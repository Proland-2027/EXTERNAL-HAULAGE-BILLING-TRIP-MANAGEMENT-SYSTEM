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hieved vs Best Rate" sheetId="2" state="visible" r:id="rId2"/>
    <sheet xmlns:r="http://schemas.openxmlformats.org/officeDocument/2006/relationships" name="Client Rate Ranking" sheetId="3" state="visible" r:id="rId3"/>
    <sheet xmlns:r="http://schemas.openxmlformats.org/officeDocument/2006/relationships" name="Rate Gaps by Route" sheetId="4" state="visible" r:id="rId4"/>
    <sheet xmlns:r="http://schemas.openxmlformats.org/officeDocument/2006/relationships" name="Turnaround Table" sheetId="5" state="visible" r:id="rId5"/>
    <sheet xmlns:r="http://schemas.openxmlformats.org/officeDocument/2006/relationships" name="Truck Requirement" sheetId="6" state="visible" r:id="rId6"/>
    <sheet xmlns:r="http://schemas.openxmlformats.org/officeDocument/2006/relationships" name="Order Planner" sheetId="7" state="visible" r:id="rId7"/>
    <sheet xmlns:r="http://schemas.openxmlformats.org/officeDocument/2006/relationships" name="Revenue Planner" sheetId="8" state="visible" r:id="rId8"/>
    <sheet xmlns:r="http://schemas.openxmlformats.org/officeDocument/2006/relationships" name="Truck Req by Route" sheetId="9" state="visible" r:id="rId9"/>
    <sheet xmlns:r="http://schemas.openxmlformats.org/officeDocument/2006/relationships" name="Client List" sheetId="10" state="visible" r:id="rId10"/>
    <sheet xmlns:r="http://schemas.openxmlformats.org/officeDocument/2006/relationships" name="Route Prices" sheetId="11" state="visible" r:id="rId11"/>
  </sheets>
  <definedNames>
    <definedName name="_xlnm._FilterDatabase" localSheetId="2" hidden="1">'Client Rate Ranking'!$A$4:$K$26</definedName>
    <definedName name="_xlnm._FilterDatabase" localSheetId="3" hidden="1">'Rate Gaps by Route'!$A$3:$M$65</definedName>
    <definedName name="_xlnm._FilterDatabase" localSheetId="8" hidden="1">'Truck Req by Route'!$A$4:$AD$320</definedName>
    <definedName name="_xlnm._FilterDatabase" localSheetId="10" hidden="1">'Route Prices'!$A$4:$G$103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₦#,##0"/>
    <numFmt numFmtId="165" formatCode="0.0%"/>
    <numFmt numFmtId="166" formatCode="0 &quot;d&quot;"/>
    <numFmt numFmtId="167" formatCode="0.0"/>
    <numFmt numFmtId="168" formatCode="0.0 &quot;d&quot;"/>
    <numFmt numFmtId="169" formatCode="+0;-0;0"/>
    <numFmt numFmtId="170" formatCode="+0%;-0%;0%"/>
  </numFmts>
  <fonts count="14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</font>
    <font>
      <b val="1"/>
      <color rgb="001F3A5F"/>
      <sz val="12"/>
    </font>
    <font>
      <b val="1"/>
      <color rgb="001F3A5F"/>
      <sz val="13"/>
    </font>
    <font>
      <b val="1"/>
      <color rgb="00FFFFFF"/>
    </font>
    <font>
      <b val="1"/>
      <color rgb="008A5300"/>
    </font>
    <font>
      <b val="1"/>
    </font>
    <font>
      <b val="1"/>
      <color rgb="00B42318"/>
    </font>
    <font>
      <b val="1"/>
      <color rgb="001F6B3F"/>
    </font>
    <font>
      <b val="1"/>
      <color rgb="001F3A5F"/>
      <sz val="14"/>
    </font>
    <font>
      <color rgb="00666666"/>
    </font>
    <font>
      <color rgb="00444444"/>
    </font>
    <font>
      <b val="1"/>
      <color rgb="001F3A5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4CC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9" fontId="0" fillId="0" borderId="1" pivotButton="0" quotePrefix="0" xfId="0"/>
    <xf numFmtId="0" fontId="6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wrapText="1"/>
    </xf>
    <xf numFmtId="0" fontId="8" fillId="0" borderId="1" pivotButton="0" quotePrefix="0" xfId="0"/>
    <xf numFmtId="0" fontId="9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7" fillId="3" borderId="0" pivotButton="0" quotePrefix="0" xfId="0"/>
    <xf numFmtId="3" fontId="7" fillId="3" borderId="0" pivotButton="0" quotePrefix="0" xfId="0"/>
    <xf numFmtId="164" fontId="7" fillId="3" borderId="0" pivotButton="0" quotePrefix="0" xfId="0"/>
    <xf numFmtId="165" fontId="7" fillId="3" borderId="0" pivotButton="0" quotePrefix="0" xfId="0"/>
    <xf numFmtId="166" fontId="0" fillId="4" borderId="1" pivotButton="0" quotePrefix="0" xfId="0"/>
    <xf numFmtId="166" fontId="0" fillId="4" borderId="0" pivotButton="0" quotePrefix="0" xfId="0"/>
    <xf numFmtId="0" fontId="7" fillId="4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center"/>
    </xf>
    <xf numFmtId="167" fontId="0" fillId="0" borderId="1" pivotButton="0" quotePrefix="0" xfId="0"/>
    <xf numFmtId="1" fontId="7" fillId="0" borderId="1" pivotButton="0" quotePrefix="0" xfId="0"/>
    <xf numFmtId="168" fontId="0" fillId="0" borderId="1" pivotButton="0" quotePrefix="0" xfId="0"/>
    <xf numFmtId="1" fontId="7" fillId="3" borderId="0" pivotButton="0" quotePrefix="0" xfId="0"/>
    <xf numFmtId="1" fontId="7" fillId="3" borderId="0" applyAlignment="1" pivotButton="0" quotePrefix="0" xfId="0">
      <alignment horizontal="center"/>
    </xf>
    <xf numFmtId="167" fontId="7" fillId="3" borderId="0" pivotButton="0" quotePrefix="0" xfId="0"/>
    <xf numFmtId="0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0" fontId="0" fillId="4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5" fillId="2" borderId="0" applyAlignment="1" pivotButton="0" quotePrefix="0" xfId="0">
      <alignment horizontal="center" wrapText="1"/>
    </xf>
    <xf numFmtId="164" fontId="0" fillId="4" borderId="1" pivotButton="0" quotePrefix="0" xfId="0"/>
    <xf numFmtId="164" fontId="7" fillId="0" borderId="1" pivotButton="0" quotePrefix="0" xfId="0"/>
    <xf numFmtId="170" fontId="0" fillId="0" borderId="1" pivotButton="0" quotePrefix="0" xfId="0"/>
    <xf numFmtId="2" fontId="7" fillId="3" borderId="0" pivotButton="0" quotePrefix="0" xfId="0"/>
    <xf numFmtId="0" fontId="0" fillId="5" borderId="1" pivotButton="0" quotePrefix="0" xfId="0"/>
    <xf numFmtId="0" fontId="5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clients: achieved vs best rate (₦)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'Achieved vs Best Rate'!C11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'Achieved vs Best Rate'!$A$12:$A$21</f>
            </numRef>
          </cat>
          <val>
            <numRef>
              <f>'Achieved vs Best Rate'!$C$12:$C$21</f>
            </numRef>
          </val>
        </ser>
        <ser>
          <idx val="1"/>
          <order val="1"/>
          <tx>
            <strRef>
              <f>'Achieved vs Best Rate'!D11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'Achieved vs Best Rate'!$A$12:$A$21</f>
            </numRef>
          </cat>
          <val>
            <numRef>
              <f>'Achieved vs Best Rate'!$D$12:$D$21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clients: achieved vs best rate (₦)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'Achieved vs Best Rate'!C11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'Achieved vs Best Rate'!$A$12:$A$21</f>
            </numRef>
          </cat>
          <val>
            <numRef>
              <f>'Achieved vs Best Rate'!$C$12:$C$21</f>
            </numRef>
          </val>
        </ser>
        <ser>
          <idx val="1"/>
          <order val="1"/>
          <tx>
            <strRef>
              <f>'Achieved vs Best Rate'!D11</f>
            </strRef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'Achieved vs Best Rate'!$A$12:$A$21</f>
            </numRef>
          </cat>
          <val>
            <numRef>
              <f>'Achieved vs Best Rate'!$D$12:$D$21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Trucks needed per client (top 12)</a:t>
            </a:r>
          </a:p>
        </rich>
      </tx>
    </title>
    <plotArea>
      <barChart>
        <barDir val="bar"/>
        <grouping val="clustered"/>
        <ser>
          <idx val="0"/>
          <order val="0"/>
          <tx>
            <v>Typical month</v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'Truck Requirement'!$A$16:$A$27</f>
            </numRef>
          </cat>
          <val>
            <numRef>
              <f>'Truck Requirement'!$M$16:$M$27</f>
            </numRef>
          </val>
        </ser>
        <ser>
          <idx val="1"/>
          <order val="1"/>
          <tx>
            <v>Peak month</v>
          </tx>
          <spPr>
            <a:solidFill xmlns:a="http://schemas.openxmlformats.org/drawingml/2006/main">
              <a:srgbClr val="E8703A"/>
            </a:solidFill>
            <a:ln xmlns:a="http://schemas.openxmlformats.org/drawingml/2006/main">
              <a:prstDash val="solid"/>
            </a:ln>
          </spPr>
          <cat>
            <numRef>
              <f>'Truck Requirement'!$A$16:$A$27</f>
            </numRef>
          </cat>
          <val>
            <numRef>
              <f>'Truck Requirement'!$N$16:$N$27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720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Client Rate Comparison 2026 (rates only)</t>
        </is>
      </c>
    </row>
    <row r="2">
      <c r="A2" s="2" t="inlineStr">
        <is>
          <t>Trips 2 Jan – 30 Sep 2026 · selling price excl. VAT · payment status ignored · haulage and flat trucks only (treated as one); closed-body/canter and Hiab trips excluded</t>
        </is>
      </c>
    </row>
    <row r="3">
      <c r="A3" s="3" t="inlineStr"/>
    </row>
    <row r="4">
      <c r="A4" s="20" t="inlineStr">
        <is>
          <t>Revenue achieved vs best rate</t>
        </is>
      </c>
    </row>
    <row r="5">
      <c r="A5" s="21" t="inlineStr">
        <is>
          <t>Revenue achieved: ₦2,391,115,142</t>
        </is>
      </c>
    </row>
    <row r="6">
      <c r="A6" s="21" t="inlineStr">
        <is>
          <t>Revenue if every trip had been sold at the best (highest) rate on its route: ₦2,569,440,468 — ₦178,325,327 more (+7.5%)</t>
        </is>
      </c>
    </row>
    <row r="7">
      <c r="A7" s="21" t="inlineStr">
        <is>
          <t>Revenue at the best-paying client’s average rate: ₦2,509,970,801 — ₦118,855,660 more (+5.0%). Detail by client and month: ‘Achieved vs Best Rate’ sheet.</t>
        </is>
      </c>
    </row>
    <row r="9">
      <c r="A9" s="4" t="inlineStr">
        <is>
          <t>How to read this</t>
        </is>
      </c>
    </row>
    <row r="10">
      <c r="A10" s="3" t="inlineStr">
        <is>
          <t>Rate level = what a client pays compared with the best-paying client on the same route in the same quarter. 100% = pays the top rate.</t>
        </is>
      </c>
    </row>
    <row r="11">
      <c r="A11" s="3" t="inlineStr">
        <is>
          <t>Revenue lost = extra revenue if the client had paid the best-paying client’s average rate on those trips.</t>
        </is>
      </c>
    </row>
    <row r="12">
      <c r="A12" s="3" t="inlineStr"/>
    </row>
    <row r="13">
      <c r="A13" s="4" t="inlineStr">
        <is>
          <t>Key findings</t>
        </is>
      </c>
    </row>
    <row r="14">
      <c r="A14" s="3" t="inlineStr">
        <is>
          <t>Total revenue lost to lower rates: ₦118.9M (5.0% of 2026 haulage revenue of ₦2.39bn).</t>
        </is>
      </c>
    </row>
    <row r="15">
      <c r="A15" s="3" t="inlineStr">
        <is>
          <t>Worst on rates: Jamara — pays ~89% of the best rate but, on high volume, costs ₦52.9M (45% of the total).</t>
        </is>
      </c>
    </row>
    <row r="16">
      <c r="A16" s="3" t="inlineStr">
        <is>
          <t>Second: Mega Manu — ~90% of the best rate, ₦23.8M lost. Jamara + Mega Manu = ₦76.7M.</t>
        </is>
      </c>
    </row>
    <row r="17">
      <c r="A17" s="3" t="inlineStr">
        <is>
          <t>Cheapest rate among sizeable clients: Lacasera at ~65% of the best rate (Lagos → Benin, Q1), ₦14.2M lost. Its Benin rate was raised to ₦1.63M by Q3.</t>
        </is>
      </c>
    </row>
    <row r="18">
      <c r="A18" s="3" t="inlineStr">
        <is>
          <t>Best on rates: SASO pays the top rate on every shared route, including the highest Lagos → Kano price every quarter. Natural Beauty (98%) and Givanas (97%) are close.</t>
        </is>
      </c>
    </row>
    <row r="19">
      <c r="A19" s="3" t="inlineStr">
        <is>
          <t>Act first on Jamara and Mega Manu’s Kano, Abuja and Ibadan rates — use SASO and Interstyle rates as the reference.</t>
        </is>
      </c>
    </row>
    <row r="20">
      <c r="A20" s="3" t="inlineStr"/>
    </row>
    <row r="21">
      <c r="A21" s="4" t="inlineStr">
        <is>
          <t>Notes</t>
        </is>
      </c>
    </row>
    <row r="22">
      <c r="A22" s="3" t="inlineStr">
        <is>
          <t>Only routes where 2+ clients ran trips in the same quarter are compared. Rates rose ~20–25% from Q1 to Q2, so comparisons stay within a quarter.</t>
        </is>
      </c>
    </row>
    <row r="23">
      <c r="A23" s="3" t="inlineStr">
        <is>
          <t>Some differences may have reasons not in the trip log (load weight, waiting time, contract terms). Review the largest gaps with each account.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20" customWidth="1" min="3" max="3"/>
    <col width="20" customWidth="1" min="4" max="4"/>
    <col width="18" customWidth="1" min="5" max="5"/>
    <col width="12" customWidth="1" min="6" max="6"/>
    <col width="22" customWidth="1" min="7" max="7"/>
    <col width="18" customWidth="1" min="8" max="8"/>
    <col width="12" customWidth="1" min="9" max="9"/>
  </cols>
  <sheetData>
    <row r="1">
      <c r="A1" s="22" t="inlineStr">
        <is>
          <t>Revenue achieved vs revenue at the best rate — 2026</t>
        </is>
      </c>
    </row>
    <row r="2">
      <c r="A2" s="6" t="inlineStr">
        <is>
          <t>Best rate = the highest rate any client paid on the same route and quarter (haulage and flat trucks only). Best client average = the average rate of the best-paying client on that route. Only trips on routes shared by 2+ clients can be repriced.</t>
        </is>
      </c>
    </row>
    <row r="4">
      <c r="A4" s="20" t="inlineStr">
        <is>
          <t>Headline</t>
        </is>
      </c>
    </row>
    <row r="5" ht="32" customHeight="1">
      <c r="A5" s="7" t="inlineStr"/>
      <c r="B5" s="7" t="inlineStr">
        <is>
          <t>Revenue (₦)</t>
        </is>
      </c>
      <c r="C5" s="7" t="inlineStr">
        <is>
          <t>Difference vs achieved (₦)</t>
        </is>
      </c>
      <c r="D5" s="7" t="inlineStr">
        <is>
          <t>Difference %</t>
        </is>
      </c>
    </row>
    <row r="6">
      <c r="A6" s="9" t="inlineStr">
        <is>
          <t>Revenue achieved</t>
        </is>
      </c>
      <c r="B6" s="12">
        <f>C41</f>
        <v/>
      </c>
      <c r="C6" s="8" t="n"/>
      <c r="D6" s="8" t="n"/>
    </row>
    <row r="7">
      <c r="A7" s="9" t="inlineStr">
        <is>
          <t>Revenue at best rate (highest on route)</t>
        </is>
      </c>
      <c r="B7" s="12">
        <f>D41</f>
        <v/>
      </c>
      <c r="C7" s="12">
        <f>E41</f>
        <v/>
      </c>
      <c r="D7" s="13">
        <f>C7/B6</f>
        <v/>
      </c>
    </row>
    <row r="8">
      <c r="A8" s="9" t="inlineStr">
        <is>
          <t>Revenue at best client average</t>
        </is>
      </c>
      <c r="B8" s="12">
        <f>G41</f>
        <v/>
      </c>
      <c r="C8" s="12">
        <f>H41</f>
        <v/>
      </c>
      <c r="D8" s="13">
        <f>C8/B6</f>
        <v/>
      </c>
    </row>
    <row r="10">
      <c r="A10" s="20" t="inlineStr">
        <is>
          <t>By client</t>
        </is>
      </c>
    </row>
    <row r="11" ht="32" customHeight="1">
      <c r="A11" s="7" t="inlineStr">
        <is>
          <t>Client</t>
        </is>
      </c>
      <c r="B11" s="7" t="inlineStr">
        <is>
          <t>Trips</t>
        </is>
      </c>
      <c r="C11" s="7" t="inlineStr">
        <is>
          <t>Revenue achieved (₦)</t>
        </is>
      </c>
      <c r="D11" s="7" t="inlineStr">
        <is>
          <t>Revenue at best rate (₦)</t>
        </is>
      </c>
      <c r="E11" s="7" t="inlineStr">
        <is>
          <t>Difference (₦)</t>
        </is>
      </c>
      <c r="F11" s="7" t="inlineStr">
        <is>
          <t>Difference %</t>
        </is>
      </c>
      <c r="G11" s="7" t="inlineStr">
        <is>
          <t>Revenue at best client avg (₦)</t>
        </is>
      </c>
      <c r="H11" s="7" t="inlineStr">
        <is>
          <t>Difference (₦)</t>
        </is>
      </c>
      <c r="I11" s="7" t="inlineStr">
        <is>
          <t>Difference %</t>
        </is>
      </c>
    </row>
    <row r="12">
      <c r="A12" s="8" t="inlineStr">
        <is>
          <t>NBL</t>
        </is>
      </c>
      <c r="B12" s="8" t="n">
        <v>355</v>
      </c>
      <c r="C12" s="12" t="n">
        <v>576684602.8758463</v>
      </c>
      <c r="D12" s="12">
        <f>C12+E12</f>
        <v/>
      </c>
      <c r="E12" s="12" t="n">
        <v>5488758.094304319</v>
      </c>
      <c r="F12" s="13">
        <f>IF(C12=0,0,E12/C12)</f>
        <v/>
      </c>
      <c r="G12" s="12">
        <f>C12+H12</f>
        <v/>
      </c>
      <c r="H12" s="12" t="n">
        <v>1058582.462388075</v>
      </c>
      <c r="I12" s="13">
        <f>IF(C12=0,0,H12/C12)</f>
        <v/>
      </c>
    </row>
    <row r="13">
      <c r="A13" s="8" t="inlineStr">
        <is>
          <t>Jamara</t>
        </is>
      </c>
      <c r="B13" s="8" t="n">
        <v>252</v>
      </c>
      <c r="C13" s="12" t="n">
        <v>478322275.9297108</v>
      </c>
      <c r="D13" s="12">
        <f>C13+E13</f>
        <v/>
      </c>
      <c r="E13" s="12" t="n">
        <v>68525638.53337449</v>
      </c>
      <c r="F13" s="13">
        <f>IF(C13=0,0,E13/C13)</f>
        <v/>
      </c>
      <c r="G13" s="12">
        <f>C13+H13</f>
        <v/>
      </c>
      <c r="H13" s="12" t="n">
        <v>52915475.74267681</v>
      </c>
      <c r="I13" s="13">
        <f>IF(C13=0,0,H13/C13)</f>
        <v/>
      </c>
    </row>
    <row r="14">
      <c r="A14" s="8" t="inlineStr">
        <is>
          <t>MEGA MANU</t>
        </is>
      </c>
      <c r="B14" s="8" t="n">
        <v>126</v>
      </c>
      <c r="C14" s="12" t="n">
        <v>246303953.4839532</v>
      </c>
      <c r="D14" s="12">
        <f>C14+E14</f>
        <v/>
      </c>
      <c r="E14" s="12" t="n">
        <v>41530327.86488384</v>
      </c>
      <c r="F14" s="13">
        <f>IF(C14=0,0,E14/C14)</f>
        <v/>
      </c>
      <c r="G14" s="12">
        <f>C14+H14</f>
        <v/>
      </c>
      <c r="H14" s="12" t="n">
        <v>23787322.14321531</v>
      </c>
      <c r="I14" s="13">
        <f>IF(C14=0,0,H14/C14)</f>
        <v/>
      </c>
    </row>
    <row r="15">
      <c r="A15" s="8" t="inlineStr">
        <is>
          <t>SASO</t>
        </is>
      </c>
      <c r="B15" s="8" t="n">
        <v>43</v>
      </c>
      <c r="C15" s="12" t="n">
        <v>174764418.6067441</v>
      </c>
      <c r="D15" s="12">
        <f>C15+E15</f>
        <v/>
      </c>
      <c r="E15" s="12" t="n">
        <v>1503255.81325581</v>
      </c>
      <c r="F15" s="13">
        <f>IF(C15=0,0,E15/C15)</f>
        <v/>
      </c>
      <c r="G15" s="12">
        <f>C15+H15</f>
        <v/>
      </c>
      <c r="H15" s="12" t="n">
        <v>37209.30162790418</v>
      </c>
      <c r="I15" s="13">
        <f>IF(C15=0,0,H15/C15)</f>
        <v/>
      </c>
    </row>
    <row r="16">
      <c r="A16" s="8" t="inlineStr">
        <is>
          <t>NATURAL BEAUTY</t>
        </is>
      </c>
      <c r="B16" s="8" t="n">
        <v>34</v>
      </c>
      <c r="C16" s="12" t="n">
        <v>126462790.7023255</v>
      </c>
      <c r="D16" s="12">
        <f>C16+E16</f>
        <v/>
      </c>
      <c r="E16" s="12" t="n">
        <v>16911627.90232557</v>
      </c>
      <c r="F16" s="13">
        <f>IF(C16=0,0,E16/C16)</f>
        <v/>
      </c>
      <c r="G16" s="12">
        <f>C16+H16</f>
        <v/>
      </c>
      <c r="H16" s="12" t="n">
        <v>2506976.739534887</v>
      </c>
      <c r="I16" s="13">
        <f>IF(C16=0,0,H16/C16)</f>
        <v/>
      </c>
    </row>
    <row r="17">
      <c r="A17" s="8" t="inlineStr">
        <is>
          <t>ORCA DECO LIMITED</t>
        </is>
      </c>
      <c r="B17" s="8" t="n">
        <v>287</v>
      </c>
      <c r="C17" s="12" t="n">
        <v>125019784.1567442</v>
      </c>
      <c r="D17" s="12">
        <f>C17+E17</f>
        <v/>
      </c>
      <c r="E17" s="12" t="n">
        <v>0</v>
      </c>
      <c r="F17" s="13">
        <f>IF(C17=0,0,E17/C17)</f>
        <v/>
      </c>
      <c r="G17" s="12">
        <f>C17+H17</f>
        <v/>
      </c>
      <c r="H17" s="12" t="n">
        <v>0</v>
      </c>
      <c r="I17" s="13">
        <f>IF(C17=0,0,H17/C17)</f>
        <v/>
      </c>
    </row>
    <row r="18">
      <c r="A18" s="8" t="inlineStr">
        <is>
          <t>AB-INBEV</t>
        </is>
      </c>
      <c r="B18" s="8" t="n">
        <v>46</v>
      </c>
      <c r="C18" s="12" t="n">
        <v>110943735.6445201</v>
      </c>
      <c r="D18" s="12">
        <f>C18+E18</f>
        <v/>
      </c>
      <c r="E18" s="12" t="n">
        <v>0</v>
      </c>
      <c r="F18" s="13">
        <f>IF(C18=0,0,E18/C18)</f>
        <v/>
      </c>
      <c r="G18" s="12">
        <f>C18+H18</f>
        <v/>
      </c>
      <c r="H18" s="12" t="n">
        <v>0</v>
      </c>
      <c r="I18" s="13">
        <f>IF(C18=0,0,H18/C18)</f>
        <v/>
      </c>
    </row>
    <row r="19">
      <c r="A19" s="8" t="inlineStr">
        <is>
          <t>JUBAILI AGROTEC</t>
        </is>
      </c>
      <c r="B19" s="8" t="n">
        <v>44</v>
      </c>
      <c r="C19" s="12" t="n">
        <v>110601169.7660464</v>
      </c>
      <c r="D19" s="12">
        <f>C19+E19</f>
        <v/>
      </c>
      <c r="E19" s="12" t="n">
        <v>6177712.421486071</v>
      </c>
      <c r="F19" s="13">
        <f>IF(C19=0,0,E19/C19)</f>
        <v/>
      </c>
      <c r="G19" s="12">
        <f>C19+H19</f>
        <v/>
      </c>
      <c r="H19" s="12" t="n">
        <v>5694126.297583807</v>
      </c>
      <c r="I19" s="13">
        <f>IF(C19=0,0,H19/C19)</f>
        <v/>
      </c>
    </row>
    <row r="20">
      <c r="A20" s="8" t="inlineStr">
        <is>
          <t>VENDARA</t>
        </is>
      </c>
      <c r="B20" s="8" t="n">
        <v>24</v>
      </c>
      <c r="C20" s="12" t="n">
        <v>88279069.76744182</v>
      </c>
      <c r="D20" s="12">
        <f>C20+E20</f>
        <v/>
      </c>
      <c r="E20" s="12" t="n">
        <v>6107459.232558177</v>
      </c>
      <c r="F20" s="13">
        <f>IF(C20=0,0,E20/C20)</f>
        <v/>
      </c>
      <c r="G20" s="12">
        <f>C20+H20</f>
        <v/>
      </c>
      <c r="H20" s="12" t="n">
        <v>5627459.232558177</v>
      </c>
      <c r="I20" s="13">
        <f>IF(C20=0,0,H20/C20)</f>
        <v/>
      </c>
    </row>
    <row r="21">
      <c r="A21" s="8" t="inlineStr">
        <is>
          <t>Lacasera</t>
        </is>
      </c>
      <c r="B21" s="8" t="n">
        <v>69</v>
      </c>
      <c r="C21" s="12" t="n">
        <v>51736810.33023253</v>
      </c>
      <c r="D21" s="12">
        <f>C21+E21</f>
        <v/>
      </c>
      <c r="E21" s="12" t="n">
        <v>14209889.81433501</v>
      </c>
      <c r="F21" s="13">
        <f>IF(C21=0,0,E21/C21)</f>
        <v/>
      </c>
      <c r="G21" s="12">
        <f>C21+H21</f>
        <v/>
      </c>
      <c r="H21" s="12" t="n">
        <v>14209889.81433501</v>
      </c>
      <c r="I21" s="13">
        <f>IF(C21=0,0,H21/C21)</f>
        <v/>
      </c>
    </row>
    <row r="22">
      <c r="A22" s="8" t="inlineStr">
        <is>
          <t>ABBA ABASS</t>
        </is>
      </c>
      <c r="B22" s="8" t="n">
        <v>34</v>
      </c>
      <c r="C22" s="12" t="n">
        <v>48649302.34046501</v>
      </c>
      <c r="D22" s="12">
        <f>C22+E22</f>
        <v/>
      </c>
      <c r="E22" s="12" t="n">
        <v>0</v>
      </c>
      <c r="F22" s="13">
        <f>IF(C22=0,0,E22/C22)</f>
        <v/>
      </c>
      <c r="G22" s="12">
        <f>C22+H22</f>
        <v/>
      </c>
      <c r="H22" s="12" t="n">
        <v>0</v>
      </c>
      <c r="I22" s="13">
        <f>IF(C22=0,0,H22/C22)</f>
        <v/>
      </c>
    </row>
    <row r="23">
      <c r="A23" s="8" t="inlineStr">
        <is>
          <t>GIVANAS</t>
        </is>
      </c>
      <c r="B23" s="8" t="n">
        <v>23</v>
      </c>
      <c r="C23" s="12" t="n">
        <v>43741860.46511623</v>
      </c>
      <c r="D23" s="12">
        <f>C23+E23</f>
        <v/>
      </c>
      <c r="E23" s="12" t="n">
        <v>4396778.930232599</v>
      </c>
      <c r="F23" s="13">
        <f>IF(C23=0,0,E23/C23)</f>
        <v/>
      </c>
      <c r="G23" s="12">
        <f>C23+H23</f>
        <v/>
      </c>
      <c r="H23" s="12" t="n">
        <v>1373058</v>
      </c>
      <c r="I23" s="13">
        <f>IF(C23=0,0,H23/C23)</f>
        <v/>
      </c>
    </row>
    <row r="24">
      <c r="A24" s="8" t="inlineStr">
        <is>
          <t>NIGER BISCUITS</t>
        </is>
      </c>
      <c r="B24" s="8" t="n">
        <v>17</v>
      </c>
      <c r="C24" s="12" t="n">
        <v>43323255.81395347</v>
      </c>
      <c r="D24" s="12">
        <f>C24+E24</f>
        <v/>
      </c>
      <c r="E24" s="12" t="n">
        <v>4250000</v>
      </c>
      <c r="F24" s="13">
        <f>IF(C24=0,0,E24/C24)</f>
        <v/>
      </c>
      <c r="G24" s="12">
        <f>C24+H24</f>
        <v/>
      </c>
      <c r="H24" s="12" t="n">
        <v>2599291.989664081</v>
      </c>
      <c r="I24" s="13">
        <f>IF(C24=0,0,H24/C24)</f>
        <v/>
      </c>
    </row>
    <row r="25">
      <c r="A25" s="8" t="inlineStr">
        <is>
          <t>PRISM STEEL</t>
        </is>
      </c>
      <c r="B25" s="8" t="n">
        <v>2</v>
      </c>
      <c r="C25" s="12" t="n">
        <v>40205000</v>
      </c>
      <c r="D25" s="12">
        <f>C25+E25</f>
        <v/>
      </c>
      <c r="E25" s="12" t="n">
        <v>0</v>
      </c>
      <c r="F25" s="13">
        <f>IF(C25=0,0,E25/C25)</f>
        <v/>
      </c>
      <c r="G25" s="12">
        <f>C25+H25</f>
        <v/>
      </c>
      <c r="H25" s="12" t="n">
        <v>0</v>
      </c>
      <c r="I25" s="13">
        <f>IF(C25=0,0,H25/C25)</f>
        <v/>
      </c>
    </row>
    <row r="26">
      <c r="A26" s="8" t="inlineStr">
        <is>
          <t>INTERSTYLE</t>
        </is>
      </c>
      <c r="B26" s="8" t="n">
        <v>12</v>
      </c>
      <c r="C26" s="12" t="n">
        <v>25655813.95348829</v>
      </c>
      <c r="D26" s="12">
        <f>C26+E26</f>
        <v/>
      </c>
      <c r="E26" s="12" t="n">
        <v>1227906.97674419</v>
      </c>
      <c r="F26" s="13">
        <f>IF(C26=0,0,E26/C26)</f>
        <v/>
      </c>
      <c r="G26" s="12">
        <f>C26+H26</f>
        <v/>
      </c>
      <c r="H26" s="12" t="n">
        <v>1227906.97674419</v>
      </c>
      <c r="I26" s="13">
        <f>IF(C26=0,0,H26/C26)</f>
        <v/>
      </c>
    </row>
    <row r="27">
      <c r="A27" s="8" t="inlineStr">
        <is>
          <t>CRESEADA</t>
        </is>
      </c>
      <c r="B27" s="8" t="n">
        <v>6</v>
      </c>
      <c r="C27" s="12" t="n">
        <v>18000000</v>
      </c>
      <c r="D27" s="12">
        <f>C27+E27</f>
        <v/>
      </c>
      <c r="E27" s="12" t="n">
        <v>0</v>
      </c>
      <c r="F27" s="13">
        <f>IF(C27=0,0,E27/C27)</f>
        <v/>
      </c>
      <c r="G27" s="12">
        <f>C27+H27</f>
        <v/>
      </c>
      <c r="H27" s="12" t="n">
        <v>0</v>
      </c>
      <c r="I27" s="13">
        <f>IF(C27=0,0,H27/C27)</f>
        <v/>
      </c>
    </row>
    <row r="28">
      <c r="A28" s="8" t="inlineStr">
        <is>
          <t>WALTER &amp; HIFY RESOURCES</t>
        </is>
      </c>
      <c r="B28" s="8" t="n">
        <v>19</v>
      </c>
      <c r="C28" s="12" t="n">
        <v>16974883.71999998</v>
      </c>
      <c r="D28" s="12">
        <f>C28+E28</f>
        <v/>
      </c>
      <c r="E28" s="12" t="n">
        <v>0</v>
      </c>
      <c r="F28" s="13">
        <f>IF(C28=0,0,E28/C28)</f>
        <v/>
      </c>
      <c r="G28" s="12">
        <f>C28+H28</f>
        <v/>
      </c>
      <c r="H28" s="12" t="n">
        <v>0</v>
      </c>
      <c r="I28" s="13">
        <f>IF(C28=0,0,H28/C28)</f>
        <v/>
      </c>
    </row>
    <row r="29">
      <c r="A29" s="8" t="inlineStr">
        <is>
          <t>MAMUDA BEVERAGES CO. LTD</t>
        </is>
      </c>
      <c r="B29" s="8" t="n">
        <v>18</v>
      </c>
      <c r="C29" s="12" t="n">
        <v>16744186.04651157</v>
      </c>
      <c r="D29" s="12">
        <f>C29+E29</f>
        <v/>
      </c>
      <c r="E29" s="12" t="n">
        <v>46511.62790697999</v>
      </c>
      <c r="F29" s="13">
        <f>IF(C29=0,0,E29/C29)</f>
        <v/>
      </c>
      <c r="G29" s="12">
        <f>C29+H29</f>
        <v/>
      </c>
      <c r="H29" s="12" t="n">
        <v>0</v>
      </c>
      <c r="I29" s="13">
        <f>IF(C29=0,0,H29/C29)</f>
        <v/>
      </c>
    </row>
    <row r="30">
      <c r="A30" s="8" t="inlineStr">
        <is>
          <t>LEBRUNI AGRO LTD</t>
        </is>
      </c>
      <c r="B30" s="8" t="n">
        <v>8</v>
      </c>
      <c r="C30" s="12" t="n">
        <v>14750009.30232558</v>
      </c>
      <c r="D30" s="12">
        <f>C30+E30</f>
        <v/>
      </c>
      <c r="E30" s="12" t="n">
        <v>614790.69767442</v>
      </c>
      <c r="F30" s="13">
        <f>IF(C30=0,0,E30/C30)</f>
        <v/>
      </c>
      <c r="G30" s="12">
        <f>C30+H30</f>
        <v/>
      </c>
      <c r="H30" s="12" t="n">
        <v>483692.5064599497</v>
      </c>
      <c r="I30" s="13">
        <f>IF(C30=0,0,H30/C30)</f>
        <v/>
      </c>
    </row>
    <row r="31">
      <c r="A31" s="8" t="inlineStr">
        <is>
          <t>STAR PRODUCT INVESTMENT</t>
        </is>
      </c>
      <c r="B31" s="8" t="n">
        <v>3</v>
      </c>
      <c r="C31" s="12" t="n">
        <v>12604651.16744186</v>
      </c>
      <c r="D31" s="12">
        <f>C31+E31</f>
        <v/>
      </c>
      <c r="E31" s="12" t="n">
        <v>595348.8325581392</v>
      </c>
      <c r="F31" s="13">
        <f>IF(C31=0,0,E31/C31)</f>
        <v/>
      </c>
      <c r="G31" s="12">
        <f>C31+H31</f>
        <v/>
      </c>
      <c r="H31" s="12" t="n">
        <v>595348.8325581411</v>
      </c>
      <c r="I31" s="13">
        <f>IF(C31=0,0,H31/C31)</f>
        <v/>
      </c>
    </row>
    <row r="32">
      <c r="A32" s="8" t="inlineStr">
        <is>
          <t>Illera Agro</t>
        </is>
      </c>
      <c r="B32" s="8" t="n">
        <v>2</v>
      </c>
      <c r="C32" s="12" t="n">
        <v>3885000</v>
      </c>
      <c r="D32" s="12">
        <f>C32+E32</f>
        <v/>
      </c>
      <c r="E32" s="12" t="n">
        <v>0</v>
      </c>
      <c r="F32" s="13">
        <f>IF(C32=0,0,E32/C32)</f>
        <v/>
      </c>
      <c r="G32" s="12">
        <f>C32+H32</f>
        <v/>
      </c>
      <c r="H32" s="12" t="n">
        <v>0</v>
      </c>
      <c r="I32" s="13">
        <f>IF(C32=0,0,H32/C32)</f>
        <v/>
      </c>
    </row>
    <row r="33">
      <c r="A33" s="8" t="inlineStr">
        <is>
          <t>B2B-ORCA DECO LIMITED-AGR</t>
        </is>
      </c>
      <c r="B33" s="8" t="n">
        <v>1</v>
      </c>
      <c r="C33" s="12" t="n">
        <v>2850000</v>
      </c>
      <c r="D33" s="12">
        <f>C33+E33</f>
        <v/>
      </c>
      <c r="E33" s="12" t="n">
        <v>777906.9767441801</v>
      </c>
      <c r="F33" s="13">
        <f>IF(C33=0,0,E33/C33)</f>
        <v/>
      </c>
      <c r="G33" s="12">
        <f>C33+H33</f>
        <v/>
      </c>
      <c r="H33" s="12" t="n">
        <v>777906.9767441801</v>
      </c>
      <c r="I33" s="13">
        <f>IF(C33=0,0,H33/C33)</f>
        <v/>
      </c>
    </row>
    <row r="34">
      <c r="A34" s="8" t="inlineStr">
        <is>
          <t>JMG</t>
        </is>
      </c>
      <c r="B34" s="8" t="n">
        <v>1</v>
      </c>
      <c r="C34" s="12" t="n">
        <v>2811550</v>
      </c>
      <c r="D34" s="12">
        <f>C34+E34</f>
        <v/>
      </c>
      <c r="E34" s="12" t="n">
        <v>816356.9767441801</v>
      </c>
      <c r="F34" s="13">
        <f>IF(C34=0,0,E34/C34)</f>
        <v/>
      </c>
      <c r="G34" s="12">
        <f>C34+H34</f>
        <v/>
      </c>
      <c r="H34" s="12" t="n">
        <v>816356.9767441801</v>
      </c>
      <c r="I34" s="13">
        <f>IF(C34=0,0,H34/C34)</f>
        <v/>
      </c>
    </row>
    <row r="35">
      <c r="A35" s="8" t="inlineStr">
        <is>
          <t>B2B-ORCA DECO LIMITED(ULOMA)</t>
        </is>
      </c>
      <c r="B35" s="8" t="n">
        <v>1</v>
      </c>
      <c r="C35" s="12" t="n">
        <v>2697674.41860465</v>
      </c>
      <c r="D35" s="12">
        <f>C35+E35</f>
        <v/>
      </c>
      <c r="E35" s="12" t="n">
        <v>930232.55813953</v>
      </c>
      <c r="F35" s="13">
        <f>IF(C35=0,0,E35/C35)</f>
        <v/>
      </c>
      <c r="G35" s="12">
        <f>C35+H35</f>
        <v/>
      </c>
      <c r="H35" s="12" t="n">
        <v>930232.55813953</v>
      </c>
      <c r="I35" s="13">
        <f>IF(C35=0,0,H35/C35)</f>
        <v/>
      </c>
    </row>
    <row r="36">
      <c r="A36" s="8" t="inlineStr">
        <is>
          <t>MIKANO INTL LTD</t>
        </is>
      </c>
      <c r="B36" s="8" t="n">
        <v>1</v>
      </c>
      <c r="C36" s="12" t="n">
        <v>2697674.41860465</v>
      </c>
      <c r="D36" s="12">
        <f>C36+E36</f>
        <v/>
      </c>
      <c r="E36" s="12" t="n">
        <v>930232.55813953</v>
      </c>
      <c r="F36" s="13">
        <f>IF(C36=0,0,E36/C36)</f>
        <v/>
      </c>
      <c r="G36" s="12">
        <f>C36+H36</f>
        <v/>
      </c>
      <c r="H36" s="12" t="n">
        <v>930232.55813953</v>
      </c>
      <c r="I36" s="13">
        <f>IF(C36=0,0,H36/C36)</f>
        <v/>
      </c>
    </row>
    <row r="37">
      <c r="A37" s="8" t="inlineStr">
        <is>
          <t>B2B-ORCA DECO LIMITED(MR OTEGA)</t>
        </is>
      </c>
      <c r="B37" s="8" t="n">
        <v>1</v>
      </c>
      <c r="C37" s="12" t="n">
        <v>2300000</v>
      </c>
      <c r="D37" s="12">
        <f>C37+E37</f>
        <v/>
      </c>
      <c r="E37" s="12" t="n">
        <v>1115393.17</v>
      </c>
      <c r="F37" s="13">
        <f>IF(C37=0,0,E37/C37)</f>
        <v/>
      </c>
      <c r="G37" s="12">
        <f>C37+H37</f>
        <v/>
      </c>
      <c r="H37" s="12" t="n">
        <v>1115393.17</v>
      </c>
      <c r="I37" s="13">
        <f>IF(C37=0,0,H37/C37)</f>
        <v/>
      </c>
    </row>
    <row r="38">
      <c r="A38" s="8" t="inlineStr">
        <is>
          <t>KD &amp; SONS</t>
        </is>
      </c>
      <c r="B38" s="8" t="n">
        <v>2</v>
      </c>
      <c r="C38" s="12" t="n">
        <v>2081250</v>
      </c>
      <c r="D38" s="12">
        <f>C38+E38</f>
        <v/>
      </c>
      <c r="E38" s="12" t="n">
        <v>2007569.723711095</v>
      </c>
      <c r="F38" s="13">
        <f>IF(C38=0,0,E38/C38)</f>
        <v/>
      </c>
      <c r="G38" s="12">
        <f>C38+H38</f>
        <v/>
      </c>
      <c r="H38" s="12" t="n">
        <v>2007569.723711095</v>
      </c>
      <c r="I38" s="13">
        <f>IF(C38=0,0,H38/C38)</f>
        <v/>
      </c>
    </row>
    <row r="39">
      <c r="A39" s="8" t="inlineStr">
        <is>
          <t>SASO-BACKLOAD</t>
        </is>
      </c>
      <c r="B39" s="8" t="n">
        <v>1</v>
      </c>
      <c r="C39" s="12" t="n">
        <v>1674418.60465116</v>
      </c>
      <c r="D39" s="12">
        <f>C39+E39</f>
        <v/>
      </c>
      <c r="E39" s="12" t="n">
        <v>0</v>
      </c>
      <c r="F39" s="13">
        <f>IF(C39=0,0,E39/C39)</f>
        <v/>
      </c>
      <c r="G39" s="12">
        <f>C39+H39</f>
        <v/>
      </c>
      <c r="H39" s="12" t="n">
        <v>0</v>
      </c>
      <c r="I39" s="13">
        <f>IF(C39=0,0,H39/C39)</f>
        <v/>
      </c>
    </row>
    <row r="40">
      <c r="A40" s="8" t="inlineStr">
        <is>
          <t>B2B-ORCA DECO LIMITED (MR LEKAN)</t>
        </is>
      </c>
      <c r="B40" s="8" t="n">
        <v>1</v>
      </c>
      <c r="C40" s="12" t="n">
        <v>350000</v>
      </c>
      <c r="D40" s="12">
        <f>C40+E40</f>
        <v/>
      </c>
      <c r="E40" s="12" t="n">
        <v>161627.906976744</v>
      </c>
      <c r="F40" s="13">
        <f>IF(C40=0,0,E40/C40)</f>
        <v/>
      </c>
      <c r="G40" s="12">
        <f>C40+H40</f>
        <v/>
      </c>
      <c r="H40" s="12" t="n">
        <v>161627.906976744</v>
      </c>
      <c r="I40" s="13">
        <f>IF(C40=0,0,H40/C40)</f>
        <v/>
      </c>
    </row>
    <row r="41">
      <c r="A41" s="23" t="inlineStr">
        <is>
          <t>Total</t>
        </is>
      </c>
      <c r="B41" s="24">
        <f>SUM(B12:B40)</f>
        <v/>
      </c>
      <c r="C41" s="25">
        <f>SUM(C12:C40)</f>
        <v/>
      </c>
      <c r="D41" s="25">
        <f>SUM(D12:D40)</f>
        <v/>
      </c>
      <c r="E41" s="25">
        <f>SUM(E12:E40)</f>
        <v/>
      </c>
      <c r="F41" s="26">
        <f>E41/C41</f>
        <v/>
      </c>
      <c r="G41" s="25">
        <f>SUM(G12:G40)</f>
        <v/>
      </c>
      <c r="H41" s="25">
        <f>SUM(H12:H40)</f>
        <v/>
      </c>
      <c r="I41" s="26">
        <f>H41/C41</f>
        <v/>
      </c>
    </row>
    <row r="43">
      <c r="A43" s="20" t="inlineStr">
        <is>
          <t>By month</t>
        </is>
      </c>
    </row>
    <row r="44" ht="32" customHeight="1">
      <c r="A44" s="7" t="inlineStr">
        <is>
          <t>Month</t>
        </is>
      </c>
      <c r="B44" s="7" t="inlineStr">
        <is>
          <t>Trips</t>
        </is>
      </c>
      <c r="C44" s="7" t="inlineStr">
        <is>
          <t>Revenue achieved (₦)</t>
        </is>
      </c>
      <c r="D44" s="7" t="inlineStr">
        <is>
          <t>Revenue at best rate (₦)</t>
        </is>
      </c>
      <c r="E44" s="7" t="inlineStr">
        <is>
          <t>Difference (₦)</t>
        </is>
      </c>
      <c r="F44" s="7" t="inlineStr">
        <is>
          <t>Difference %</t>
        </is>
      </c>
      <c r="G44" s="7" t="inlineStr">
        <is>
          <t>Revenue at best client avg (₦)</t>
        </is>
      </c>
      <c r="H44" s="7" t="inlineStr">
        <is>
          <t>Difference (₦)</t>
        </is>
      </c>
      <c r="I44" s="7" t="inlineStr">
        <is>
          <t>Difference %</t>
        </is>
      </c>
    </row>
    <row r="45">
      <c r="A45" s="8" t="inlineStr">
        <is>
          <t>Jan 2026</t>
        </is>
      </c>
      <c r="B45" s="8" t="n">
        <v>147</v>
      </c>
      <c r="C45" s="12" t="n">
        <v>243201571.7183153</v>
      </c>
      <c r="D45" s="12">
        <f>C45+E45</f>
        <v/>
      </c>
      <c r="E45" s="12" t="n">
        <v>28434379.92510302</v>
      </c>
      <c r="F45" s="13">
        <f>E45/C45</f>
        <v/>
      </c>
      <c r="G45" s="12">
        <f>C45+H45</f>
        <v/>
      </c>
      <c r="H45" s="12" t="n">
        <v>9481184.926307242</v>
      </c>
      <c r="I45" s="13">
        <f>H45/C45</f>
        <v/>
      </c>
    </row>
    <row r="46">
      <c r="A46" s="8" t="inlineStr">
        <is>
          <t>Feb 2026</t>
        </is>
      </c>
      <c r="B46" s="8" t="n">
        <v>170</v>
      </c>
      <c r="C46" s="12" t="n">
        <v>202392576.9595347</v>
      </c>
      <c r="D46" s="12">
        <f>C46+E46</f>
        <v/>
      </c>
      <c r="E46" s="12" t="n">
        <v>42478727.37920116</v>
      </c>
      <c r="F46" s="13">
        <f>E46/C46</f>
        <v/>
      </c>
      <c r="G46" s="12">
        <f>C46+H46</f>
        <v/>
      </c>
      <c r="H46" s="12" t="n">
        <v>21625701.88027536</v>
      </c>
      <c r="I46" s="13">
        <f>H46/C46</f>
        <v/>
      </c>
    </row>
    <row r="47">
      <c r="A47" s="8" t="inlineStr">
        <is>
          <t>Mar 2026</t>
        </is>
      </c>
      <c r="B47" s="8" t="n">
        <v>199</v>
      </c>
      <c r="C47" s="12" t="n">
        <v>257760087.5281565</v>
      </c>
      <c r="D47" s="12">
        <f>C47+E47</f>
        <v/>
      </c>
      <c r="E47" s="12" t="n">
        <v>19708681.22519593</v>
      </c>
      <c r="F47" s="13">
        <f>E47/C47</f>
        <v/>
      </c>
      <c r="G47" s="12">
        <f>C47+H47</f>
        <v/>
      </c>
      <c r="H47" s="12" t="n">
        <v>7388741.480572583</v>
      </c>
      <c r="I47" s="13">
        <f>H47/C47</f>
        <v/>
      </c>
    </row>
    <row r="48">
      <c r="A48" s="8" t="inlineStr">
        <is>
          <t>Apr 2026</t>
        </is>
      </c>
      <c r="B48" s="8" t="n">
        <v>187</v>
      </c>
      <c r="C48" s="12" t="n">
        <v>262545667.7478621</v>
      </c>
      <c r="D48" s="12">
        <f>C48+E48</f>
        <v/>
      </c>
      <c r="E48" s="12" t="n">
        <v>11509063.61855525</v>
      </c>
      <c r="F48" s="13">
        <f>E48/C48</f>
        <v/>
      </c>
      <c r="G48" s="12">
        <f>C48+H48</f>
        <v/>
      </c>
      <c r="H48" s="12" t="n">
        <v>8857366.081286317</v>
      </c>
      <c r="I48" s="13">
        <f>H48/C48</f>
        <v/>
      </c>
    </row>
    <row r="49">
      <c r="A49" s="8" t="inlineStr">
        <is>
          <t>May 2026</t>
        </is>
      </c>
      <c r="B49" s="8" t="n">
        <v>197</v>
      </c>
      <c r="C49" s="12" t="n">
        <v>295294804.4389409</v>
      </c>
      <c r="D49" s="12">
        <f>C49+E49</f>
        <v/>
      </c>
      <c r="E49" s="12" t="n">
        <v>12108048.62367441</v>
      </c>
      <c r="F49" s="13">
        <f>E49/C49</f>
        <v/>
      </c>
      <c r="G49" s="12">
        <f>C49+H49</f>
        <v/>
      </c>
      <c r="H49" s="12" t="n">
        <v>11176353.4283852</v>
      </c>
      <c r="I49" s="13">
        <f>H49/C49</f>
        <v/>
      </c>
    </row>
    <row r="50">
      <c r="A50" s="8" t="inlineStr">
        <is>
          <t>Jun 2026</t>
        </is>
      </c>
      <c r="B50" s="8" t="n">
        <v>162</v>
      </c>
      <c r="C50" s="12" t="n">
        <v>330312194.5876727</v>
      </c>
      <c r="D50" s="12">
        <f>C50+E50</f>
        <v/>
      </c>
      <c r="E50" s="12" t="n">
        <v>13146976.74418604</v>
      </c>
      <c r="F50" s="13">
        <f>E50/C50</f>
        <v/>
      </c>
      <c r="G50" s="12">
        <f>C50+H50</f>
        <v/>
      </c>
      <c r="H50" s="12" t="n">
        <v>13418276.45348835</v>
      </c>
      <c r="I50" s="13">
        <f>H50/C50</f>
        <v/>
      </c>
    </row>
    <row r="51">
      <c r="A51" s="8" t="inlineStr">
        <is>
          <t>Jul 2026</t>
        </is>
      </c>
      <c r="B51" s="8" t="n">
        <v>126</v>
      </c>
      <c r="C51" s="12" t="n">
        <v>259520101.6444588</v>
      </c>
      <c r="D51" s="12">
        <f>C51+E51</f>
        <v/>
      </c>
      <c r="E51" s="12" t="n">
        <v>16103926.72571413</v>
      </c>
      <c r="F51" s="13">
        <f>E51/C51</f>
        <v/>
      </c>
      <c r="G51" s="12">
        <f>C51+H51</f>
        <v/>
      </c>
      <c r="H51" s="12" t="n">
        <v>15813361.76766856</v>
      </c>
      <c r="I51" s="13">
        <f>H51/C51</f>
        <v/>
      </c>
    </row>
    <row r="52">
      <c r="A52" s="8" t="inlineStr">
        <is>
          <t>Aug 2026</t>
        </is>
      </c>
      <c r="B52" s="8" t="n">
        <v>121</v>
      </c>
      <c r="C52" s="12" t="n">
        <v>265146398.060019</v>
      </c>
      <c r="D52" s="12">
        <f>C52+E52</f>
        <v/>
      </c>
      <c r="E52" s="12" t="n">
        <v>20492999.97674405</v>
      </c>
      <c r="F52" s="13">
        <f>E52/C52</f>
        <v/>
      </c>
      <c r="G52" s="12">
        <f>C52+H52</f>
        <v/>
      </c>
      <c r="H52" s="12" t="n">
        <v>16229127.29536749</v>
      </c>
      <c r="I52" s="13">
        <f>H52/C52</f>
        <v/>
      </c>
    </row>
    <row r="53">
      <c r="A53" s="8" t="inlineStr">
        <is>
          <t>Sep 2026</t>
        </is>
      </c>
      <c r="B53" s="8" t="n">
        <v>124</v>
      </c>
      <c r="C53" s="12" t="n">
        <v>274941738.8297674</v>
      </c>
      <c r="D53" s="12">
        <f>C53+E53</f>
        <v/>
      </c>
      <c r="E53" s="12" t="n">
        <v>14342522.39372088</v>
      </c>
      <c r="F53" s="13">
        <f>E53/C53</f>
        <v/>
      </c>
      <c r="G53" s="12">
        <f>C53+H53</f>
        <v/>
      </c>
      <c r="H53" s="12" t="n">
        <v>14865546.5964505</v>
      </c>
      <c r="I53" s="13">
        <f>H53/C53</f>
        <v/>
      </c>
    </row>
    <row r="54">
      <c r="A54" s="23" t="inlineStr">
        <is>
          <t>Total</t>
        </is>
      </c>
      <c r="B54" s="24">
        <f>SUM(B45:B53)</f>
        <v/>
      </c>
      <c r="C54" s="25">
        <f>SUM(C45:C53)</f>
        <v/>
      </c>
      <c r="D54" s="25">
        <f>SUM(D45:D53)</f>
        <v/>
      </c>
      <c r="E54" s="25">
        <f>SUM(E45:E53)</f>
        <v/>
      </c>
      <c r="F54" s="26">
        <f>E54/C54</f>
        <v/>
      </c>
      <c r="G54" s="25">
        <f>SUM(G45:G53)</f>
        <v/>
      </c>
      <c r="H54" s="25">
        <f>SUM(H45:H53)</f>
        <v/>
      </c>
      <c r="I54" s="26">
        <f>H54/C54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8" customWidth="1" min="4" max="4"/>
    <col width="17" customWidth="1" min="5" max="5"/>
    <col width="13" customWidth="1" min="6" max="6"/>
    <col width="20" customWidth="1" min="7" max="7"/>
    <col width="13" customWidth="1" min="8" max="8"/>
    <col width="20" customWidth="1" min="9" max="9"/>
    <col width="17" customWidth="1" min="10" max="10"/>
    <col width="55" customWidth="1" min="11" max="11"/>
  </cols>
  <sheetData>
    <row r="1">
      <c r="A1" s="5" t="inlineStr">
        <is>
          <t>Clients ranked by revenue lost to lower rates</t>
        </is>
      </c>
    </row>
    <row r="2">
      <c r="A2" s="6" t="inlineStr">
        <is>
          <t>Rate level: 100% = pays the best client’s rate on the same route and quarter. Revenue lost = shortfall against that rate.</t>
        </is>
      </c>
    </row>
    <row r="4" ht="32" customHeight="1">
      <c r="A4" s="7" t="inlineStr">
        <is>
          <t>Rank</t>
        </is>
      </c>
      <c r="B4" s="7" t="inlineStr">
        <is>
          <t>Client</t>
        </is>
      </c>
      <c r="C4" s="7" t="inlineStr">
        <is>
          <t>Rate level</t>
        </is>
      </c>
      <c r="D4" s="7" t="inlineStr">
        <is>
          <t>Verdict</t>
        </is>
      </c>
      <c r="E4" s="7" t="inlineStr">
        <is>
          <t>Revenue lost (₦)</t>
        </is>
      </c>
      <c r="F4" s="7" t="inlineStr">
        <is>
          <t>Share of total lost</t>
        </is>
      </c>
      <c r="G4" s="7" t="inlineStr">
        <is>
          <t>Lost if priced at highest rate (₦)</t>
        </is>
      </c>
      <c r="H4" s="7" t="inlineStr">
        <is>
          <t>Trips on compared routes</t>
        </is>
      </c>
      <c r="I4" s="7" t="inlineStr">
        <is>
          <t>Revenue on compared routes (₦)</t>
        </is>
      </c>
      <c r="J4" s="7" t="inlineStr">
        <is>
          <t>2026 revenue (₦)</t>
        </is>
      </c>
      <c r="K4" s="7" t="inlineStr">
        <is>
          <t>Routes with biggest gaps</t>
        </is>
      </c>
    </row>
    <row r="5">
      <c r="A5" s="8" t="n">
        <v>1</v>
      </c>
      <c r="B5" s="9" t="inlineStr">
        <is>
          <t>Jamara</t>
        </is>
      </c>
      <c r="C5" s="10" t="n">
        <v>0.8886402220263554</v>
      </c>
      <c r="D5" s="11" t="inlineStr">
        <is>
          <t>Below peers</t>
        </is>
      </c>
      <c r="E5" s="12" t="n">
        <v>52915475.74267681</v>
      </c>
      <c r="F5" s="13">
        <f>IF($E$27=0,0,E5/$E$27)</f>
        <v/>
      </c>
      <c r="G5" s="12" t="n">
        <v>68525638.53337447</v>
      </c>
      <c r="H5" s="8" t="n">
        <v>175</v>
      </c>
      <c r="I5" s="12" t="n">
        <v>393925140.2676737</v>
      </c>
      <c r="J5" s="12" t="n">
        <v>478322275.9297108</v>
      </c>
      <c r="K5" s="14" t="inlineStr">
        <is>
          <t>Lagos → Abuja, Lagos → Kano, Lagos → Benin</t>
        </is>
      </c>
    </row>
    <row r="6">
      <c r="A6" s="8" t="n">
        <v>2</v>
      </c>
      <c r="B6" s="9" t="inlineStr">
        <is>
          <t>MEGA MANU</t>
        </is>
      </c>
      <c r="C6" s="10" t="n">
        <v>0.8955126518119514</v>
      </c>
      <c r="D6" s="11" t="inlineStr">
        <is>
          <t>Below peers</t>
        </is>
      </c>
      <c r="E6" s="12" t="n">
        <v>23787322.14321531</v>
      </c>
      <c r="F6" s="13">
        <f>IF($E$27=0,0,E6/$E$27)</f>
        <v/>
      </c>
      <c r="G6" s="12" t="n">
        <v>41530327.86488384</v>
      </c>
      <c r="H6" s="8" t="n">
        <v>121</v>
      </c>
      <c r="I6" s="12" t="n">
        <v>242419534.8793021</v>
      </c>
      <c r="J6" s="12" t="n">
        <v>246303953.4839532</v>
      </c>
      <c r="K6" s="14" t="inlineStr">
        <is>
          <t>Lagos → Kano, Lagos → Ibadan, Lagos → Abuja</t>
        </is>
      </c>
    </row>
    <row r="7">
      <c r="A7" s="8" t="n">
        <v>3</v>
      </c>
      <c r="B7" s="9" t="inlineStr">
        <is>
          <t>Lacasera</t>
        </is>
      </c>
      <c r="C7" s="10" t="n">
        <v>0.6456531223188812</v>
      </c>
      <c r="D7" s="15" t="inlineStr">
        <is>
          <t>Well below peers</t>
        </is>
      </c>
      <c r="E7" s="12" t="n">
        <v>14209889.81433501</v>
      </c>
      <c r="F7" s="13">
        <f>IF($E$27=0,0,E7/$E$27)</f>
        <v/>
      </c>
      <c r="G7" s="12" t="n">
        <v>14209889.81433501</v>
      </c>
      <c r="H7" s="8" t="n">
        <v>24</v>
      </c>
      <c r="I7" s="12" t="n">
        <v>28381994.8372093</v>
      </c>
      <c r="J7" s="12" t="n">
        <v>51736810.33023253</v>
      </c>
      <c r="K7" s="14" t="inlineStr">
        <is>
          <t>Lagos → Benin</t>
        </is>
      </c>
    </row>
    <row r="8">
      <c r="A8" s="8" t="n">
        <v>4</v>
      </c>
      <c r="B8" s="8" t="inlineStr">
        <is>
          <t>JUBAILI AGROTEC</t>
        </is>
      </c>
      <c r="C8" s="10" t="n">
        <v>0.7460620577438987</v>
      </c>
      <c r="D8" s="15" t="inlineStr">
        <is>
          <t>Well below peers</t>
        </is>
      </c>
      <c r="E8" s="12" t="n">
        <v>5694126.297583807</v>
      </c>
      <c r="F8" s="13">
        <f>IF($E$27=0,0,E8/$E$27)</f>
        <v/>
      </c>
      <c r="G8" s="12" t="n">
        <v>6177712.421486071</v>
      </c>
      <c r="H8" s="8" t="n">
        <v>8</v>
      </c>
      <c r="I8" s="12" t="n">
        <v>13593463.552093</v>
      </c>
      <c r="J8" s="12" t="n">
        <v>110601169.7660464</v>
      </c>
      <c r="K8" s="14" t="inlineStr">
        <is>
          <t>Ibadan → Abuja, Ibadan → Ekpoma, Ibadan → Kaduna</t>
        </is>
      </c>
    </row>
    <row r="9">
      <c r="A9" s="8" t="n">
        <v>5</v>
      </c>
      <c r="B9" s="8" t="inlineStr">
        <is>
          <t>VENDARA</t>
        </is>
      </c>
      <c r="C9" s="10" t="n">
        <v>0.9356081360842626</v>
      </c>
      <c r="D9" s="11" t="inlineStr">
        <is>
          <t>Below peers</t>
        </is>
      </c>
      <c r="E9" s="12" t="n">
        <v>5627459.232558177</v>
      </c>
      <c r="F9" s="13">
        <f>IF($E$27=0,0,E9/$E$27)</f>
        <v/>
      </c>
      <c r="G9" s="12" t="n">
        <v>6107459.232558177</v>
      </c>
      <c r="H9" s="8" t="n">
        <v>24</v>
      </c>
      <c r="I9" s="12" t="n">
        <v>88279069.76744182</v>
      </c>
      <c r="J9" s="12" t="n">
        <v>88279069.76744182</v>
      </c>
      <c r="K9" s="14" t="inlineStr">
        <is>
          <t>Lagos → Kano, Lagos → Onitsha</t>
        </is>
      </c>
    </row>
    <row r="10">
      <c r="A10" s="8" t="n">
        <v>6</v>
      </c>
      <c r="B10" s="8" t="inlineStr">
        <is>
          <t>NIGER BISCUITS</t>
        </is>
      </c>
      <c r="C10" s="10" t="n">
        <v>0.9136400170383987</v>
      </c>
      <c r="D10" s="11" t="inlineStr">
        <is>
          <t>Below peers</t>
        </is>
      </c>
      <c r="E10" s="12" t="n">
        <v>2599291.989664081</v>
      </c>
      <c r="F10" s="13">
        <f>IF($E$27=0,0,E10/$E$27)</f>
        <v/>
      </c>
      <c r="G10" s="12" t="n">
        <v>4250000</v>
      </c>
      <c r="H10" s="8" t="n">
        <v>11</v>
      </c>
      <c r="I10" s="12" t="n">
        <v>26112790.69767441</v>
      </c>
      <c r="J10" s="12" t="n">
        <v>43323255.81395347</v>
      </c>
      <c r="K10" s="14" t="inlineStr">
        <is>
          <t>Lagos → Owerri, Lagos → Abuja, Lagos → PHC</t>
        </is>
      </c>
    </row>
    <row r="11">
      <c r="A11" s="8" t="n">
        <v>7</v>
      </c>
      <c r="B11" s="8" t="inlineStr">
        <is>
          <t>NATURAL BEAUTY</t>
        </is>
      </c>
      <c r="C11" s="10" t="n">
        <v>0.982676306652962</v>
      </c>
      <c r="D11" s="16" t="inlineStr">
        <is>
          <t>Close to top</t>
        </is>
      </c>
      <c r="E11" s="12" t="n">
        <v>2506976.739534887</v>
      </c>
      <c r="F11" s="13">
        <f>IF($E$27=0,0,E11/$E$27)</f>
        <v/>
      </c>
      <c r="G11" s="12" t="n">
        <v>16911627.90232557</v>
      </c>
      <c r="H11" s="8" t="n">
        <v>33</v>
      </c>
      <c r="I11" s="12" t="n">
        <v>125997674.4232558</v>
      </c>
      <c r="J11" s="12" t="n">
        <v>126462790.7023255</v>
      </c>
      <c r="K11" s="14" t="inlineStr">
        <is>
          <t>Lagos → Kano</t>
        </is>
      </c>
    </row>
    <row r="12">
      <c r="A12" s="8" t="n">
        <v>8</v>
      </c>
      <c r="B12" s="8" t="inlineStr">
        <is>
          <t>KD &amp; SONS</t>
        </is>
      </c>
      <c r="C12" s="10" t="n">
        <v>0.5090099688012206</v>
      </c>
      <c r="D12" s="15" t="inlineStr">
        <is>
          <t>Well below peers</t>
        </is>
      </c>
      <c r="E12" s="12" t="n">
        <v>2007569.723711095</v>
      </c>
      <c r="F12" s="13">
        <f>IF($E$27=0,0,E12/$E$27)</f>
        <v/>
      </c>
      <c r="G12" s="12" t="n">
        <v>2007569.723711095</v>
      </c>
      <c r="H12" s="8" t="n">
        <v>2</v>
      </c>
      <c r="I12" s="12" t="n">
        <v>2081250</v>
      </c>
      <c r="J12" s="12" t="n">
        <v>2081250</v>
      </c>
      <c r="K12" s="14" t="inlineStr">
        <is>
          <t>Kaduna (Kudenda) → Ibadan</t>
        </is>
      </c>
    </row>
    <row r="13">
      <c r="A13" s="8" t="n">
        <v>9</v>
      </c>
      <c r="B13" s="8" t="inlineStr">
        <is>
          <t>GIVANAS</t>
        </is>
      </c>
      <c r="C13" s="10" t="n">
        <v>0.9734538276291215</v>
      </c>
      <c r="D13" s="16" t="inlineStr">
        <is>
          <t>Close to top</t>
        </is>
      </c>
      <c r="E13" s="12" t="n">
        <v>1373058</v>
      </c>
      <c r="F13" s="13">
        <f>IF($E$27=0,0,E13/$E$27)</f>
        <v/>
      </c>
      <c r="G13" s="12" t="n">
        <v>4396778.930232599</v>
      </c>
      <c r="H13" s="8" t="n">
        <v>23</v>
      </c>
      <c r="I13" s="12" t="n">
        <v>43741860.46511623</v>
      </c>
      <c r="J13" s="12" t="n">
        <v>43741860.46511623</v>
      </c>
      <c r="K13" s="14" t="inlineStr">
        <is>
          <t>Lagos → Onitsha</t>
        </is>
      </c>
    </row>
    <row r="14">
      <c r="A14" s="8" t="n">
        <v>10</v>
      </c>
      <c r="B14" s="8" t="inlineStr">
        <is>
          <t>INTERSTYLE</t>
        </is>
      </c>
      <c r="C14" s="10" t="n">
        <v>0.9359316239316237</v>
      </c>
      <c r="D14" s="11" t="inlineStr">
        <is>
          <t>Below peers</t>
        </is>
      </c>
      <c r="E14" s="12" t="n">
        <v>1227906.97674419</v>
      </c>
      <c r="F14" s="13">
        <f>IF($E$27=0,0,E14/$E$27)</f>
        <v/>
      </c>
      <c r="G14" s="12" t="n">
        <v>1227906.97674419</v>
      </c>
      <c r="H14" s="8" t="n">
        <v>6</v>
      </c>
      <c r="I14" s="12" t="n">
        <v>17841860.46511623</v>
      </c>
      <c r="J14" s="12" t="n">
        <v>25655813.95348829</v>
      </c>
      <c r="K14" s="14" t="inlineStr">
        <is>
          <t>Lagos → Abuja, Lagos → PHC</t>
        </is>
      </c>
    </row>
    <row r="15">
      <c r="A15" s="8" t="n">
        <v>11</v>
      </c>
      <c r="B15" s="8" t="inlineStr">
        <is>
          <t>B2B-ORCA DECO LIMITED(MR OTEGA)</t>
        </is>
      </c>
      <c r="C15" s="10" t="n">
        <v>0.6734217366839789</v>
      </c>
      <c r="D15" s="15" t="inlineStr">
        <is>
          <t>Well below peers</t>
        </is>
      </c>
      <c r="E15" s="12" t="n">
        <v>1115393.17</v>
      </c>
      <c r="F15" s="13">
        <f>IF($E$27=0,0,E15/$E$27)</f>
        <v/>
      </c>
      <c r="G15" s="12" t="n">
        <v>1115393.17</v>
      </c>
      <c r="H15" s="8" t="n">
        <v>1</v>
      </c>
      <c r="I15" s="12" t="n">
        <v>2300000</v>
      </c>
      <c r="J15" s="12" t="n">
        <v>2300000</v>
      </c>
      <c r="K15" s="14" t="inlineStr">
        <is>
          <t>Lagos → Asaba</t>
        </is>
      </c>
    </row>
    <row r="16">
      <c r="A16" s="8" t="n">
        <v>12</v>
      </c>
      <c r="B16" s="8" t="inlineStr">
        <is>
          <t>NBL</t>
        </is>
      </c>
      <c r="C16" s="10" t="n">
        <v>0.93304458725201</v>
      </c>
      <c r="D16" s="11" t="inlineStr">
        <is>
          <t>Below peers</t>
        </is>
      </c>
      <c r="E16" s="12" t="n">
        <v>1058582.462388075</v>
      </c>
      <c r="F16" s="13">
        <f>IF($E$27=0,0,E16/$E$27)</f>
        <v/>
      </c>
      <c r="G16" s="12" t="n">
        <v>5488758.094304319</v>
      </c>
      <c r="H16" s="8" t="n">
        <v>25</v>
      </c>
      <c r="I16" s="12" t="n">
        <v>44470129.69213812</v>
      </c>
      <c r="J16" s="12" t="n">
        <v>576684602.8758463</v>
      </c>
      <c r="K16" s="14" t="inlineStr">
        <is>
          <t>Lagos → Ibadan, Lagos → Ijebu Ode</t>
        </is>
      </c>
    </row>
    <row r="17">
      <c r="A17" s="8" t="n">
        <v>13</v>
      </c>
      <c r="B17" s="8" t="inlineStr">
        <is>
          <t>B2B-ORCA DECO LIMITED(ULOMA)</t>
        </is>
      </c>
      <c r="C17" s="10" t="n">
        <v>0.7435897435897445</v>
      </c>
      <c r="D17" s="15" t="inlineStr">
        <is>
          <t>Well below peers</t>
        </is>
      </c>
      <c r="E17" s="12" t="n">
        <v>930232.55813953</v>
      </c>
      <c r="F17" s="13">
        <f>IF($E$27=0,0,E17/$E$27)</f>
        <v/>
      </c>
      <c r="G17" s="12" t="n">
        <v>930232.55813953</v>
      </c>
      <c r="H17" s="8" t="n">
        <v>1</v>
      </c>
      <c r="I17" s="12" t="n">
        <v>2697674.41860465</v>
      </c>
      <c r="J17" s="12" t="n">
        <v>2697674.41860465</v>
      </c>
      <c r="K17" s="14" t="inlineStr">
        <is>
          <t>Lagos → Abuja</t>
        </is>
      </c>
    </row>
    <row r="18">
      <c r="A18" s="8" t="n">
        <v>14</v>
      </c>
      <c r="B18" s="8" t="inlineStr">
        <is>
          <t>MIKANO INTL LTD</t>
        </is>
      </c>
      <c r="C18" s="10" t="n">
        <v>0.7435897435897445</v>
      </c>
      <c r="D18" s="15" t="inlineStr">
        <is>
          <t>Well below peers</t>
        </is>
      </c>
      <c r="E18" s="12" t="n">
        <v>930232.55813953</v>
      </c>
      <c r="F18" s="13">
        <f>IF($E$27=0,0,E18/$E$27)</f>
        <v/>
      </c>
      <c r="G18" s="12" t="n">
        <v>930232.55813953</v>
      </c>
      <c r="H18" s="8" t="n">
        <v>1</v>
      </c>
      <c r="I18" s="12" t="n">
        <v>2697674.41860465</v>
      </c>
      <c r="J18" s="12" t="n">
        <v>2697674.41860465</v>
      </c>
      <c r="K18" s="14" t="inlineStr">
        <is>
          <t>Lagos → Abuja</t>
        </is>
      </c>
    </row>
    <row r="19">
      <c r="A19" s="8" t="n">
        <v>15</v>
      </c>
      <c r="B19" s="8" t="inlineStr">
        <is>
          <t>JMG</t>
        </is>
      </c>
      <c r="C19" s="10" t="n">
        <v>0.7749785256410269</v>
      </c>
      <c r="D19" s="15" t="inlineStr">
        <is>
          <t>Well below peers</t>
        </is>
      </c>
      <c r="E19" s="12" t="n">
        <v>816356.9767441801</v>
      </c>
      <c r="F19" s="13">
        <f>IF($E$27=0,0,E19/$E$27)</f>
        <v/>
      </c>
      <c r="G19" s="12" t="n">
        <v>816356.9767441801</v>
      </c>
      <c r="H19" s="8" t="n">
        <v>1</v>
      </c>
      <c r="I19" s="12" t="n">
        <v>2811550</v>
      </c>
      <c r="J19" s="12" t="n">
        <v>2811550</v>
      </c>
      <c r="K19" s="14" t="inlineStr">
        <is>
          <t>Lagos → Abuja</t>
        </is>
      </c>
    </row>
    <row r="20">
      <c r="A20" s="8" t="n">
        <v>16</v>
      </c>
      <c r="B20" s="8" t="inlineStr">
        <is>
          <t>B2B-ORCA DECO LIMITED-AGR</t>
        </is>
      </c>
      <c r="C20" s="10" t="n">
        <v>0.7855769230769244</v>
      </c>
      <c r="D20" s="15" t="inlineStr">
        <is>
          <t>Well below peers</t>
        </is>
      </c>
      <c r="E20" s="12" t="n">
        <v>777906.9767441801</v>
      </c>
      <c r="F20" s="13">
        <f>IF($E$27=0,0,E20/$E$27)</f>
        <v/>
      </c>
      <c r="G20" s="12" t="n">
        <v>777906.9767441801</v>
      </c>
      <c r="H20" s="8" t="n">
        <v>1</v>
      </c>
      <c r="I20" s="12" t="n">
        <v>2850000</v>
      </c>
      <c r="J20" s="12" t="n">
        <v>2850000</v>
      </c>
      <c r="K20" s="14" t="inlineStr">
        <is>
          <t>Lagos → Abuja</t>
        </is>
      </c>
    </row>
    <row r="21">
      <c r="A21" s="8" t="n">
        <v>17</v>
      </c>
      <c r="B21" s="8" t="inlineStr">
        <is>
          <t>STAR PRODUCT INVESTMENT</t>
        </is>
      </c>
      <c r="C21" s="10" t="n">
        <v>0.9548978157152922</v>
      </c>
      <c r="D21" s="16" t="inlineStr">
        <is>
          <t>Close to top</t>
        </is>
      </c>
      <c r="E21" s="12" t="n">
        <v>595348.8325581411</v>
      </c>
      <c r="F21" s="13">
        <f>IF($E$27=0,0,E21/$E$27)</f>
        <v/>
      </c>
      <c r="G21" s="12" t="n">
        <v>595348.8325581392</v>
      </c>
      <c r="H21" s="8" t="n">
        <v>3</v>
      </c>
      <c r="I21" s="12" t="n">
        <v>12604651.16744186</v>
      </c>
      <c r="J21" s="12" t="n">
        <v>12604651.16744186</v>
      </c>
      <c r="K21" s="14" t="inlineStr">
        <is>
          <t>Lagos → Kano</t>
        </is>
      </c>
    </row>
    <row r="22">
      <c r="A22" s="8" t="n">
        <v>18</v>
      </c>
      <c r="B22" s="8" t="inlineStr">
        <is>
          <t>LEBRUNI AGRO LTD</t>
        </is>
      </c>
      <c r="C22" s="10" t="n">
        <v>0.8417068085713501</v>
      </c>
      <c r="D22" s="11" t="inlineStr">
        <is>
          <t>Below peers</t>
        </is>
      </c>
      <c r="E22" s="12" t="n">
        <v>483692.5064599497</v>
      </c>
      <c r="F22" s="13">
        <f>IF($E$27=0,0,E22/$E$27)</f>
        <v/>
      </c>
      <c r="G22" s="12" t="n">
        <v>614790.69767442</v>
      </c>
      <c r="H22" s="8" t="n">
        <v>5</v>
      </c>
      <c r="I22" s="12" t="n">
        <v>8942009.30232558</v>
      </c>
      <c r="J22" s="12" t="n">
        <v>14750009.30232558</v>
      </c>
      <c r="K22" s="14" t="inlineStr">
        <is>
          <t>Lagos → Ibadan</t>
        </is>
      </c>
    </row>
    <row r="23">
      <c r="A23" s="8" t="n">
        <v>19</v>
      </c>
      <c r="B23" s="8" t="inlineStr">
        <is>
          <t>B2B-ORCA DECO LIMITED (MR LEKAN)</t>
        </is>
      </c>
      <c r="C23" s="10" t="n">
        <v>0.6840909090909093</v>
      </c>
      <c r="D23" s="15" t="inlineStr">
        <is>
          <t>Well below peers</t>
        </is>
      </c>
      <c r="E23" s="12" t="n">
        <v>161627.906976744</v>
      </c>
      <c r="F23" s="13">
        <f>IF($E$27=0,0,E23/$E$27)</f>
        <v/>
      </c>
      <c r="G23" s="12" t="n">
        <v>161627.906976744</v>
      </c>
      <c r="H23" s="8" t="n">
        <v>1</v>
      </c>
      <c r="I23" s="12" t="n">
        <v>350000</v>
      </c>
      <c r="J23" s="12" t="n">
        <v>350000</v>
      </c>
      <c r="K23" s="14" t="inlineStr">
        <is>
          <t>Lagos → Lekki</t>
        </is>
      </c>
    </row>
    <row r="24">
      <c r="A24" s="8" t="n">
        <v>20</v>
      </c>
      <c r="B24" s="8" t="inlineStr">
        <is>
          <t>SASO</t>
        </is>
      </c>
      <c r="C24" s="10" t="n">
        <v>0.9994767137722398</v>
      </c>
      <c r="D24" s="16" t="inlineStr">
        <is>
          <t>At top rate</t>
        </is>
      </c>
      <c r="E24" s="12" t="n">
        <v>37209.30162790418</v>
      </c>
      <c r="F24" s="13">
        <f>IF($E$27=0,0,E24/$E$27)</f>
        <v/>
      </c>
      <c r="G24" s="12" t="n">
        <v>1503255.81325581</v>
      </c>
      <c r="H24" s="8" t="n">
        <v>21</v>
      </c>
      <c r="I24" s="12" t="n">
        <v>89768837.21000001</v>
      </c>
      <c r="J24" s="12" t="n">
        <v>174764418.6067441</v>
      </c>
      <c r="K24" s="14" t="inlineStr">
        <is>
          <t>Lagos → Kano</t>
        </is>
      </c>
    </row>
    <row r="25">
      <c r="A25" s="8" t="n">
        <v>21</v>
      </c>
      <c r="B25" s="8" t="inlineStr">
        <is>
          <t>MAMUDA BEVERAGES CO. LTD</t>
        </is>
      </c>
      <c r="C25" s="10" t="n">
        <v>1</v>
      </c>
      <c r="D25" s="16" t="inlineStr">
        <is>
          <t>At top rate</t>
        </is>
      </c>
      <c r="E25" s="12" t="n">
        <v>0</v>
      </c>
      <c r="F25" s="13">
        <f>IF($E$27=0,0,E25/$E$27)</f>
        <v/>
      </c>
      <c r="G25" s="12" t="n">
        <v>46511.62790697999</v>
      </c>
      <c r="H25" s="8" t="n">
        <v>8</v>
      </c>
      <c r="I25" s="12" t="n">
        <v>5488372.093023252</v>
      </c>
      <c r="J25" s="12" t="n">
        <v>16744186.04651157</v>
      </c>
      <c r="K25" s="14" t="inlineStr">
        <is>
          <t>—</t>
        </is>
      </c>
    </row>
    <row r="26">
      <c r="A26" s="8" t="n">
        <v>22</v>
      </c>
      <c r="B26" s="8" t="inlineStr">
        <is>
          <t>ORCA DECO LIMITED</t>
        </is>
      </c>
      <c r="C26" s="10" t="n">
        <v>1</v>
      </c>
      <c r="D26" s="16" t="inlineStr">
        <is>
          <t>At top rate</t>
        </is>
      </c>
      <c r="E26" s="12" t="n">
        <v>0</v>
      </c>
      <c r="F26" s="13">
        <f>IF($E$27=0,0,E26/$E$27)</f>
        <v/>
      </c>
      <c r="G26" s="12" t="n">
        <v>0</v>
      </c>
      <c r="H26" s="8" t="n">
        <v>5</v>
      </c>
      <c r="I26" s="12" t="n">
        <v>14374086.48674418</v>
      </c>
      <c r="J26" s="12" t="n">
        <v>125019784.1567442</v>
      </c>
      <c r="K26" s="14" t="inlineStr">
        <is>
          <t>—</t>
        </is>
      </c>
    </row>
    <row r="27">
      <c r="B27" s="17" t="inlineStr">
        <is>
          <t>Total</t>
        </is>
      </c>
      <c r="E27" s="18">
        <f>SUM(E5:E26)</f>
        <v/>
      </c>
      <c r="G27" s="18">
        <f>SUM(G5:G26)</f>
        <v/>
      </c>
      <c r="H27" s="19">
        <f>SUM(H5:H26)</f>
        <v/>
      </c>
      <c r="I27" s="18">
        <f>SUM(I5:I26)</f>
        <v/>
      </c>
      <c r="J27" s="18">
        <f>SUM(J5:J26)</f>
        <v/>
      </c>
    </row>
  </sheetData>
  <autoFilter ref="A4:K26"/>
  <conditionalFormatting sqref="E5:E26">
    <cfRule type="dataBar" priority="1">
      <dataBar>
        <cfvo type="num" val="0"/>
        <cfvo type="max"/>
        <color rgb="00E8703A"/>
      </dataBar>
    </cfRule>
  </conditionalFormatting>
  <conditionalFormatting sqref="C5:C26">
    <cfRule type="colorScale" priority="2">
      <colorScale>
        <cfvo type="num" val="0.5"/>
        <cfvo type="num" val="0.8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9" customWidth="1" min="3" max="3"/>
    <col width="32" customWidth="1" min="4" max="4"/>
    <col width="8" customWidth="1" min="5" max="5"/>
    <col width="17" customWidth="1" min="6" max="6"/>
    <col width="32" customWidth="1" min="7" max="7"/>
    <col width="11" customWidth="1" min="8" max="8"/>
    <col width="17" customWidth="1" min="9" max="9"/>
    <col width="11" customWidth="1" min="10" max="10"/>
    <col width="17" customWidth="1" min="11" max="11"/>
    <col width="19" customWidth="1" min="12" max="12"/>
    <col width="18" customWidth="1" min="13" max="13"/>
  </cols>
  <sheetData>
    <row r="1">
      <c r="A1" s="5" t="inlineStr">
        <is>
          <t>Where each client pays less than the best-paying client</t>
        </is>
      </c>
    </row>
    <row r="3" ht="32" customHeight="1">
      <c r="A3" s="7" t="inlineStr">
        <is>
          <t>Quarter</t>
        </is>
      </c>
      <c r="B3" s="7" t="inlineStr">
        <is>
          <t>Route</t>
        </is>
      </c>
      <c r="C3" s="7" t="inlineStr">
        <is>
          <t>Vehicle</t>
        </is>
      </c>
      <c r="D3" s="7" t="inlineStr">
        <is>
          <t>Client (lower rate)</t>
        </is>
      </c>
      <c r="E3" s="7" t="inlineStr">
        <is>
          <t>Trips</t>
        </is>
      </c>
      <c r="F3" s="7" t="inlineStr">
        <is>
          <t>Their avg rate (₦)</t>
        </is>
      </c>
      <c r="G3" s="7" t="inlineStr">
        <is>
          <t>Best-paying client</t>
        </is>
      </c>
      <c r="H3" s="7" t="inlineStr">
        <is>
          <t>Best client trips</t>
        </is>
      </c>
      <c r="I3" s="7" t="inlineStr">
        <is>
          <t>Best avg rate (₦)</t>
        </is>
      </c>
      <c r="J3" s="7" t="inlineStr">
        <is>
          <t>Rate level</t>
        </is>
      </c>
      <c r="K3" s="7" t="inlineStr">
        <is>
          <t>Revenue lost (₦)</t>
        </is>
      </c>
      <c r="L3" s="7" t="inlineStr">
        <is>
          <t>Highest rate on route (₦)</t>
        </is>
      </c>
      <c r="M3" s="7" t="inlineStr">
        <is>
          <t>Lost if at highest (₦)</t>
        </is>
      </c>
    </row>
    <row r="4">
      <c r="A4" s="8" t="inlineStr">
        <is>
          <t>Q1</t>
        </is>
      </c>
      <c r="B4" s="8" t="inlineStr">
        <is>
          <t>Lagos → Benin</t>
        </is>
      </c>
      <c r="C4" s="8" t="inlineStr">
        <is>
          <t>Haulage</t>
        </is>
      </c>
      <c r="D4" s="8" t="inlineStr">
        <is>
          <t>Lacasera</t>
        </is>
      </c>
      <c r="E4" s="8" t="n">
        <v>18</v>
      </c>
      <c r="F4" s="12" t="n">
        <v>881463.2131782945</v>
      </c>
      <c r="G4" s="8" t="inlineStr">
        <is>
          <t>NBL</t>
        </is>
      </c>
      <c r="H4" s="8" t="n">
        <v>2</v>
      </c>
      <c r="I4" s="12" t="n">
        <v>1670901.536196906</v>
      </c>
      <c r="J4" s="10">
        <f>F4/I4</f>
        <v/>
      </c>
      <c r="K4" s="12">
        <f>MAX(0,I4-F4)*E4</f>
        <v/>
      </c>
      <c r="L4" s="12" t="n">
        <v>1670901.536196906</v>
      </c>
      <c r="M4" s="12" t="n">
        <v>14209889.81433501</v>
      </c>
    </row>
    <row r="5">
      <c r="A5" s="8" t="inlineStr">
        <is>
          <t>Q3</t>
        </is>
      </c>
      <c r="B5" s="8" t="inlineStr">
        <is>
          <t>Lagos → Abuja</t>
        </is>
      </c>
      <c r="C5" s="8" t="inlineStr">
        <is>
          <t>Haulage</t>
        </is>
      </c>
      <c r="D5" s="8" t="inlineStr">
        <is>
          <t>Jamara</t>
        </is>
      </c>
      <c r="E5" s="8" t="n">
        <v>22</v>
      </c>
      <c r="F5" s="12" t="n">
        <v>2692727.272727273</v>
      </c>
      <c r="G5" s="8" t="inlineStr">
        <is>
          <t>INTERSTYLE</t>
        </is>
      </c>
      <c r="H5" s="8" t="n">
        <v>3</v>
      </c>
      <c r="I5" s="12" t="n">
        <v>3162790.69767441</v>
      </c>
      <c r="J5" s="10">
        <f>F5/I5</f>
        <v/>
      </c>
      <c r="K5" s="12">
        <f>MAX(0,I5-F5)*E5</f>
        <v/>
      </c>
      <c r="L5" s="12" t="n">
        <v>3162790.69767441</v>
      </c>
      <c r="M5" s="12" t="n">
        <v>10341395.34883702</v>
      </c>
    </row>
    <row r="6">
      <c r="A6" s="8" t="inlineStr">
        <is>
          <t>Q2</t>
        </is>
      </c>
      <c r="B6" s="8" t="inlineStr">
        <is>
          <t>Lagos → Abuja</t>
        </is>
      </c>
      <c r="C6" s="8" t="inlineStr">
        <is>
          <t>Haulage</t>
        </is>
      </c>
      <c r="D6" s="8" t="inlineStr">
        <is>
          <t>Jamara</t>
        </is>
      </c>
      <c r="E6" s="8" t="n">
        <v>12</v>
      </c>
      <c r="F6" s="12" t="n">
        <v>2794554.166666667</v>
      </c>
      <c r="G6" s="8" t="inlineStr">
        <is>
          <t>ORCA DECO LIMITED</t>
        </is>
      </c>
      <c r="H6" s="8" t="n">
        <v>1</v>
      </c>
      <c r="I6" s="12" t="n">
        <v>3627906.97674418</v>
      </c>
      <c r="J6" s="10">
        <f>F6/I6</f>
        <v/>
      </c>
      <c r="K6" s="12">
        <f>MAX(0,I6-F6)*E6</f>
        <v/>
      </c>
      <c r="L6" s="12" t="n">
        <v>3627906.97674418</v>
      </c>
      <c r="M6" s="12" t="n">
        <v>10000233.72093016</v>
      </c>
    </row>
    <row r="7">
      <c r="A7" s="8" t="inlineStr">
        <is>
          <t>Q3</t>
        </is>
      </c>
      <c r="B7" s="8" t="inlineStr">
        <is>
          <t>Lagos → Kano</t>
        </is>
      </c>
      <c r="C7" s="8" t="inlineStr">
        <is>
          <t>Haulage</t>
        </is>
      </c>
      <c r="D7" s="8" t="inlineStr">
        <is>
          <t>Jamara</t>
        </is>
      </c>
      <c r="E7" s="8" t="n">
        <v>16</v>
      </c>
      <c r="F7" s="12" t="n">
        <v>3775000</v>
      </c>
      <c r="G7" s="8" t="inlineStr">
        <is>
          <t>SASO</t>
        </is>
      </c>
      <c r="H7" s="8" t="n">
        <v>10</v>
      </c>
      <c r="I7" s="12" t="n">
        <v>4400000</v>
      </c>
      <c r="J7" s="10">
        <f>F7/I7</f>
        <v/>
      </c>
      <c r="K7" s="12">
        <f>MAX(0,I7-F7)*E7</f>
        <v/>
      </c>
      <c r="L7" s="12" t="n">
        <v>4400000</v>
      </c>
      <c r="M7" s="12" t="n">
        <v>10000000</v>
      </c>
    </row>
    <row r="8">
      <c r="A8" s="8" t="inlineStr">
        <is>
          <t>Q3</t>
        </is>
      </c>
      <c r="B8" s="8" t="inlineStr">
        <is>
          <t>Lagos → Kano</t>
        </is>
      </c>
      <c r="C8" s="8" t="inlineStr">
        <is>
          <t>Haulage</t>
        </is>
      </c>
      <c r="D8" s="8" t="inlineStr">
        <is>
          <t>MEGA MANU</t>
        </is>
      </c>
      <c r="E8" s="8" t="n">
        <v>11</v>
      </c>
      <c r="F8" s="12" t="n">
        <v>3771670.190042284</v>
      </c>
      <c r="G8" s="8" t="inlineStr">
        <is>
          <t>SASO</t>
        </is>
      </c>
      <c r="H8" s="8" t="n">
        <v>10</v>
      </c>
      <c r="I8" s="12" t="n">
        <v>4400000</v>
      </c>
      <c r="J8" s="10">
        <f>F8/I8</f>
        <v/>
      </c>
      <c r="K8" s="12">
        <f>MAX(0,I8-F8)*E8</f>
        <v/>
      </c>
      <c r="L8" s="12" t="n">
        <v>4400000</v>
      </c>
      <c r="M8" s="12" t="n">
        <v>6911627.909534879</v>
      </c>
    </row>
    <row r="9">
      <c r="A9" s="8" t="inlineStr">
        <is>
          <t>Q1</t>
        </is>
      </c>
      <c r="B9" s="8" t="inlineStr">
        <is>
          <t>Lagos → PHC</t>
        </is>
      </c>
      <c r="C9" s="8" t="inlineStr">
        <is>
          <t>Haulage</t>
        </is>
      </c>
      <c r="D9" s="8" t="inlineStr">
        <is>
          <t>Jamara</t>
        </is>
      </c>
      <c r="E9" s="8" t="n">
        <v>17</v>
      </c>
      <c r="F9" s="12" t="n">
        <v>2035294.117647059</v>
      </c>
      <c r="G9" s="8" t="inlineStr">
        <is>
          <t>GIVANAS</t>
        </is>
      </c>
      <c r="H9" s="8" t="n">
        <v>1</v>
      </c>
      <c r="I9" s="12" t="n">
        <v>2325581.39534883</v>
      </c>
      <c r="J9" s="10">
        <f>F9/I9</f>
        <v/>
      </c>
      <c r="K9" s="12">
        <f>MAX(0,I9-F9)*E9</f>
        <v/>
      </c>
      <c r="L9" s="12" t="n">
        <v>2325581.39534883</v>
      </c>
      <c r="M9" s="12" t="n">
        <v>4934883.720930113</v>
      </c>
    </row>
    <row r="10">
      <c r="A10" s="8" t="inlineStr">
        <is>
          <t>Q2</t>
        </is>
      </c>
      <c r="B10" s="8" t="inlineStr">
        <is>
          <t>Lagos → Kano</t>
        </is>
      </c>
      <c r="C10" s="8" t="inlineStr">
        <is>
          <t>Haulage</t>
        </is>
      </c>
      <c r="D10" s="8" t="inlineStr">
        <is>
          <t>Jamara</t>
        </is>
      </c>
      <c r="E10" s="8" t="n">
        <v>10</v>
      </c>
      <c r="F10" s="12" t="n">
        <v>3864820</v>
      </c>
      <c r="G10" s="8" t="inlineStr">
        <is>
          <t>SASO</t>
        </is>
      </c>
      <c r="H10" s="8" t="n">
        <v>8</v>
      </c>
      <c r="I10" s="12" t="n">
        <v>4340000</v>
      </c>
      <c r="J10" s="10">
        <f>F10/I10</f>
        <v/>
      </c>
      <c r="K10" s="12">
        <f>MAX(0,I10-F10)*E10</f>
        <v/>
      </c>
      <c r="L10" s="12" t="n">
        <v>4400000</v>
      </c>
      <c r="M10" s="12" t="n">
        <v>5351800</v>
      </c>
    </row>
    <row r="11">
      <c r="A11" s="8" t="inlineStr">
        <is>
          <t>Q1</t>
        </is>
      </c>
      <c r="B11" s="8" t="inlineStr">
        <is>
          <t>Lagos → Benin</t>
        </is>
      </c>
      <c r="C11" s="8" t="inlineStr">
        <is>
          <t>Haulage</t>
        </is>
      </c>
      <c r="D11" s="8" t="inlineStr">
        <is>
          <t>Jamara</t>
        </is>
      </c>
      <c r="E11" s="8" t="n">
        <v>7</v>
      </c>
      <c r="F11" s="12" t="n">
        <v>1003543.333333333</v>
      </c>
      <c r="G11" s="8" t="inlineStr">
        <is>
          <t>NBL</t>
        </is>
      </c>
      <c r="H11" s="8" t="n">
        <v>2</v>
      </c>
      <c r="I11" s="12" t="n">
        <v>1670901.536196906</v>
      </c>
      <c r="J11" s="10">
        <f>F11/I11</f>
        <v/>
      </c>
      <c r="K11" s="12">
        <f>MAX(0,I11-F11)*E11</f>
        <v/>
      </c>
      <c r="L11" s="12" t="n">
        <v>1670901.536196906</v>
      </c>
      <c r="M11" s="12" t="n">
        <v>4671507.420045008</v>
      </c>
    </row>
    <row r="12">
      <c r="A12" s="8" t="inlineStr">
        <is>
          <t>Q2</t>
        </is>
      </c>
      <c r="B12" s="8" t="inlineStr">
        <is>
          <t>Lagos → Ibadan</t>
        </is>
      </c>
      <c r="C12" s="8" t="inlineStr">
        <is>
          <t>Haulage</t>
        </is>
      </c>
      <c r="D12" s="8" t="inlineStr">
        <is>
          <t>MEGA MANU</t>
        </is>
      </c>
      <c r="E12" s="8" t="n">
        <v>28</v>
      </c>
      <c r="F12" s="12" t="n">
        <v>636943.5215946839</v>
      </c>
      <c r="G12" s="8" t="inlineStr">
        <is>
          <t>MAMUDA BEVERAGES CO. LTD</t>
        </is>
      </c>
      <c r="H12" s="8" t="n">
        <v>5</v>
      </c>
      <c r="I12" s="12" t="n">
        <v>790697.674418604</v>
      </c>
      <c r="J12" s="10">
        <f>F12/I12</f>
        <v/>
      </c>
      <c r="K12" s="12">
        <f>MAX(0,I12-F12)*E12</f>
        <v/>
      </c>
      <c r="L12" s="12" t="n">
        <v>800000</v>
      </c>
      <c r="M12" s="12" t="n">
        <v>4565581.395348851</v>
      </c>
    </row>
    <row r="13">
      <c r="A13" s="8" t="inlineStr">
        <is>
          <t>Q2</t>
        </is>
      </c>
      <c r="B13" s="8" t="inlineStr">
        <is>
          <t>Lagos → Kano</t>
        </is>
      </c>
      <c r="C13" s="8" t="inlineStr">
        <is>
          <t>Haulage</t>
        </is>
      </c>
      <c r="D13" s="8" t="inlineStr">
        <is>
          <t>MEGA MANU</t>
        </is>
      </c>
      <c r="E13" s="8" t="n">
        <v>13</v>
      </c>
      <c r="F13" s="12" t="n">
        <v>4089445.438282647</v>
      </c>
      <c r="G13" s="8" t="inlineStr">
        <is>
          <t>SASO</t>
        </is>
      </c>
      <c r="H13" s="8" t="n">
        <v>8</v>
      </c>
      <c r="I13" s="12" t="n">
        <v>4340000</v>
      </c>
      <c r="J13" s="10">
        <f>F13/I13</f>
        <v/>
      </c>
      <c r="K13" s="12">
        <f>MAX(0,I13-F13)*E13</f>
        <v/>
      </c>
      <c r="L13" s="12" t="n">
        <v>4400000</v>
      </c>
      <c r="M13" s="12" t="n">
        <v>4037209.302325588</v>
      </c>
    </row>
    <row r="14">
      <c r="A14" s="8" t="inlineStr">
        <is>
          <t>Q1</t>
        </is>
      </c>
      <c r="B14" s="8" t="inlineStr">
        <is>
          <t>Lagos → Kano</t>
        </is>
      </c>
      <c r="C14" s="8" t="inlineStr">
        <is>
          <t>Haulage</t>
        </is>
      </c>
      <c r="D14" s="8" t="inlineStr">
        <is>
          <t>MEGA MANU</t>
        </is>
      </c>
      <c r="E14" s="8" t="n">
        <v>14</v>
      </c>
      <c r="F14" s="12" t="n">
        <v>3162790.69767441</v>
      </c>
      <c r="G14" s="8" t="inlineStr">
        <is>
          <t>NATURAL BEAUTY</t>
        </is>
      </c>
      <c r="H14" s="8" t="n">
        <v>14</v>
      </c>
      <c r="I14" s="12" t="n">
        <v>3386046.511627904</v>
      </c>
      <c r="J14" s="10">
        <f>F14/I14</f>
        <v/>
      </c>
      <c r="K14" s="12">
        <f>MAX(0,I14-F14)*E14</f>
        <v/>
      </c>
      <c r="L14" s="12" t="n">
        <v>4372093.02325581</v>
      </c>
      <c r="M14" s="12" t="n">
        <v>16930232.5581396</v>
      </c>
    </row>
    <row r="15">
      <c r="A15" s="8" t="inlineStr">
        <is>
          <t>Q3</t>
        </is>
      </c>
      <c r="B15" s="8" t="inlineStr">
        <is>
          <t>Lagos → Kano</t>
        </is>
      </c>
      <c r="C15" s="8" t="inlineStr">
        <is>
          <t>Haulage</t>
        </is>
      </c>
      <c r="D15" s="8" t="inlineStr">
        <is>
          <t>VENDARA</t>
        </is>
      </c>
      <c r="E15" s="8" t="n">
        <v>11</v>
      </c>
      <c r="F15" s="12" t="n">
        <v>4139534.88372093</v>
      </c>
      <c r="G15" s="8" t="inlineStr">
        <is>
          <t>SASO</t>
        </is>
      </c>
      <c r="H15" s="8" t="n">
        <v>10</v>
      </c>
      <c r="I15" s="12" t="n">
        <v>4400000</v>
      </c>
      <c r="J15" s="10">
        <f>F15/I15</f>
        <v/>
      </c>
      <c r="K15" s="12">
        <f>MAX(0,I15-F15)*E15</f>
        <v/>
      </c>
      <c r="L15" s="12" t="n">
        <v>4400000</v>
      </c>
      <c r="M15" s="12" t="n">
        <v>2865116.279069768</v>
      </c>
    </row>
    <row r="16">
      <c r="A16" s="8" t="inlineStr">
        <is>
          <t>Q1</t>
        </is>
      </c>
      <c r="B16" s="8" t="inlineStr">
        <is>
          <t>Lagos → Kano</t>
        </is>
      </c>
      <c r="C16" s="8" t="inlineStr">
        <is>
          <t>Haulage</t>
        </is>
      </c>
      <c r="D16" s="8" t="inlineStr">
        <is>
          <t>Jamara</t>
        </is>
      </c>
      <c r="E16" s="8" t="n">
        <v>10</v>
      </c>
      <c r="F16" s="12" t="n">
        <v>3111000</v>
      </c>
      <c r="G16" s="8" t="inlineStr">
        <is>
          <t>NATURAL BEAUTY</t>
        </is>
      </c>
      <c r="H16" s="8" t="n">
        <v>14</v>
      </c>
      <c r="I16" s="12" t="n">
        <v>3386046.511627904</v>
      </c>
      <c r="J16" s="10">
        <f>F16/I16</f>
        <v/>
      </c>
      <c r="K16" s="12">
        <f>MAX(0,I16-F16)*E16</f>
        <v/>
      </c>
      <c r="L16" s="12" t="n">
        <v>4372093.02325581</v>
      </c>
      <c r="M16" s="12" t="n">
        <v>12610930.2325581</v>
      </c>
    </row>
    <row r="17">
      <c r="A17" s="8" t="inlineStr">
        <is>
          <t>Q3</t>
        </is>
      </c>
      <c r="B17" s="8" t="inlineStr">
        <is>
          <t>Ibadan → Abuja</t>
        </is>
      </c>
      <c r="C17" s="8" t="inlineStr">
        <is>
          <t>Haulage</t>
        </is>
      </c>
      <c r="D17" s="8" t="inlineStr">
        <is>
          <t>JUBAILI AGROTEC</t>
        </is>
      </c>
      <c r="E17" s="8" t="n">
        <v>2</v>
      </c>
      <c r="F17" s="12" t="n">
        <v>2534255.031860465</v>
      </c>
      <c r="G17" s="8" t="inlineStr">
        <is>
          <t>LEBRUNI AGRO LTD</t>
        </is>
      </c>
      <c r="H17" s="8" t="n">
        <v>2</v>
      </c>
      <c r="I17" s="12" t="n">
        <v>3788400</v>
      </c>
      <c r="J17" s="10">
        <f>F17/I17</f>
        <v/>
      </c>
      <c r="K17" s="12">
        <f>MAX(0,I17-F17)*E17</f>
        <v/>
      </c>
      <c r="L17" s="12" t="n">
        <v>3788400</v>
      </c>
      <c r="M17" s="12" t="n">
        <v>2508289.93627907</v>
      </c>
    </row>
    <row r="18">
      <c r="A18" s="8" t="inlineStr">
        <is>
          <t>Q1</t>
        </is>
      </c>
      <c r="B18" s="8" t="inlineStr">
        <is>
          <t>Lagos → Osogbo</t>
        </is>
      </c>
      <c r="C18" s="8" t="inlineStr">
        <is>
          <t>Haulage</t>
        </is>
      </c>
      <c r="D18" s="8" t="inlineStr">
        <is>
          <t>Jamara</t>
        </is>
      </c>
      <c r="E18" s="8" t="n">
        <v>6</v>
      </c>
      <c r="F18" s="12" t="n">
        <v>763228.4425451093</v>
      </c>
      <c r="G18" s="8" t="inlineStr">
        <is>
          <t>NBL</t>
        </is>
      </c>
      <c r="H18" s="8" t="n">
        <v>1</v>
      </c>
      <c r="I18" s="12" t="n">
        <v>1170300</v>
      </c>
      <c r="J18" s="10">
        <f>F18/I18</f>
        <v/>
      </c>
      <c r="K18" s="12">
        <f>MAX(0,I18-F18)*E18</f>
        <v/>
      </c>
      <c r="L18" s="12" t="n">
        <v>1170300</v>
      </c>
      <c r="M18" s="12" t="n">
        <v>2442429.344729344</v>
      </c>
    </row>
    <row r="19">
      <c r="A19" s="8" t="inlineStr">
        <is>
          <t>Q3</t>
        </is>
      </c>
      <c r="B19" s="8" t="inlineStr">
        <is>
          <t>Kaduna (Kudenda) → Ibadan</t>
        </is>
      </c>
      <c r="C19" s="8" t="inlineStr">
        <is>
          <t>Haulage</t>
        </is>
      </c>
      <c r="D19" s="8" t="inlineStr">
        <is>
          <t>KD &amp; SONS</t>
        </is>
      </c>
      <c r="E19" s="8" t="n">
        <v>2</v>
      </c>
      <c r="F19" s="12" t="n">
        <v>1040625</v>
      </c>
      <c r="G19" s="8" t="inlineStr">
        <is>
          <t>NBL</t>
        </is>
      </c>
      <c r="H19" s="8" t="n">
        <v>1</v>
      </c>
      <c r="I19" s="12" t="n">
        <v>2044409.861855547</v>
      </c>
      <c r="J19" s="10">
        <f>F19/I19</f>
        <v/>
      </c>
      <c r="K19" s="12">
        <f>MAX(0,I19-F19)*E19</f>
        <v/>
      </c>
      <c r="L19" s="12" t="n">
        <v>2044409.861855547</v>
      </c>
      <c r="M19" s="12" t="n">
        <v>2007569.723711095</v>
      </c>
    </row>
    <row r="20">
      <c r="A20" s="8" t="inlineStr">
        <is>
          <t>Q3</t>
        </is>
      </c>
      <c r="B20" s="8" t="inlineStr">
        <is>
          <t>Lagos → Kano</t>
        </is>
      </c>
      <c r="C20" s="8" t="inlineStr">
        <is>
          <t>Haulage</t>
        </is>
      </c>
      <c r="D20" s="8" t="inlineStr">
        <is>
          <t>NATURAL BEAUTY</t>
        </is>
      </c>
      <c r="E20" s="8" t="n">
        <v>8</v>
      </c>
      <c r="F20" s="12" t="n">
        <v>4162790.698255814</v>
      </c>
      <c r="G20" s="8" t="inlineStr">
        <is>
          <t>SASO</t>
        </is>
      </c>
      <c r="H20" s="8" t="n">
        <v>10</v>
      </c>
      <c r="I20" s="12" t="n">
        <v>4400000</v>
      </c>
      <c r="J20" s="10">
        <f>F20/I20</f>
        <v/>
      </c>
      <c r="K20" s="12">
        <f>MAX(0,I20-F20)*E20</f>
        <v/>
      </c>
      <c r="L20" s="12" t="n">
        <v>4400000</v>
      </c>
      <c r="M20" s="12" t="n">
        <v>1897674.413953488</v>
      </c>
    </row>
    <row r="21">
      <c r="A21" s="8" t="inlineStr">
        <is>
          <t>Q3</t>
        </is>
      </c>
      <c r="B21" s="8" t="inlineStr">
        <is>
          <t>Lagos → Benin</t>
        </is>
      </c>
      <c r="C21" s="8" t="inlineStr">
        <is>
          <t>Haulage</t>
        </is>
      </c>
      <c r="D21" s="8" t="inlineStr">
        <is>
          <t>Jamara</t>
        </is>
      </c>
      <c r="E21" s="8" t="n">
        <v>3</v>
      </c>
      <c r="F21" s="12" t="n">
        <v>1066666.666666667</v>
      </c>
      <c r="G21" s="8" t="inlineStr">
        <is>
          <t>Lacasera</t>
        </is>
      </c>
      <c r="H21" s="8" t="n">
        <v>2</v>
      </c>
      <c r="I21" s="12" t="n">
        <v>1634564</v>
      </c>
      <c r="J21" s="10">
        <f>F21/I21</f>
        <v/>
      </c>
      <c r="K21" s="12">
        <f>MAX(0,I21-F21)*E21</f>
        <v/>
      </c>
      <c r="L21" s="12" t="n">
        <v>1634564</v>
      </c>
      <c r="M21" s="12" t="n">
        <v>1703692</v>
      </c>
    </row>
    <row r="22">
      <c r="A22" s="8" t="inlineStr">
        <is>
          <t>Q1</t>
        </is>
      </c>
      <c r="B22" s="8" t="inlineStr">
        <is>
          <t>Lagos → Abuja</t>
        </is>
      </c>
      <c r="C22" s="8" t="inlineStr">
        <is>
          <t>Haulage</t>
        </is>
      </c>
      <c r="D22" s="8" t="inlineStr">
        <is>
          <t>MEGA MANU</t>
        </is>
      </c>
      <c r="E22" s="8" t="n">
        <v>8</v>
      </c>
      <c r="F22" s="12" t="n">
        <v>2046511.62790697</v>
      </c>
      <c r="G22" s="8" t="inlineStr">
        <is>
          <t>Jamara</t>
        </is>
      </c>
      <c r="H22" s="8" t="n">
        <v>14</v>
      </c>
      <c r="I22" s="12" t="n">
        <v>2247142.857142857</v>
      </c>
      <c r="J22" s="10">
        <f>F22/I22</f>
        <v/>
      </c>
      <c r="K22" s="12">
        <f>MAX(0,I22-F22)*E22</f>
        <v/>
      </c>
      <c r="L22" s="12" t="n">
        <v>2420000</v>
      </c>
      <c r="M22" s="12" t="n">
        <v>2987906.97674424</v>
      </c>
    </row>
    <row r="23">
      <c r="A23" s="8" t="inlineStr">
        <is>
          <t>Q2</t>
        </is>
      </c>
      <c r="B23" s="8" t="inlineStr">
        <is>
          <t>Lagos → Kano</t>
        </is>
      </c>
      <c r="C23" s="8" t="inlineStr">
        <is>
          <t>Haulage</t>
        </is>
      </c>
      <c r="D23" s="8" t="inlineStr">
        <is>
          <t>VENDARA</t>
        </is>
      </c>
      <c r="E23" s="8" t="n">
        <v>8</v>
      </c>
      <c r="F23" s="12" t="n">
        <v>4139534.88372093</v>
      </c>
      <c r="G23" s="8" t="inlineStr">
        <is>
          <t>SASO</t>
        </is>
      </c>
      <c r="H23" s="8" t="n">
        <v>8</v>
      </c>
      <c r="I23" s="12" t="n">
        <v>4340000</v>
      </c>
      <c r="J23" s="10">
        <f>F23/I23</f>
        <v/>
      </c>
      <c r="K23" s="12">
        <f>MAX(0,I23-F23)*E23</f>
        <v/>
      </c>
      <c r="L23" s="12" t="n">
        <v>4400000</v>
      </c>
      <c r="M23" s="12" t="n">
        <v>2083720.930232558</v>
      </c>
    </row>
    <row r="24">
      <c r="A24" s="8" t="inlineStr">
        <is>
          <t>Q1</t>
        </is>
      </c>
      <c r="B24" s="8" t="inlineStr">
        <is>
          <t>Ibadan → Ekpoma</t>
        </is>
      </c>
      <c r="C24" s="8" t="inlineStr">
        <is>
          <t>Haulage</t>
        </is>
      </c>
      <c r="D24" s="8" t="inlineStr">
        <is>
          <t>JUBAILI AGROTEC</t>
        </is>
      </c>
      <c r="E24" s="8" t="n">
        <v>2</v>
      </c>
      <c r="F24" s="12" t="n">
        <v>1320930.232558135</v>
      </c>
      <c r="G24" s="8" t="inlineStr">
        <is>
          <t>NBL</t>
        </is>
      </c>
      <c r="H24" s="8" t="n">
        <v>1</v>
      </c>
      <c r="I24" s="12" t="n">
        <v>2054226.006265608</v>
      </c>
      <c r="J24" s="10">
        <f>F24/I24</f>
        <v/>
      </c>
      <c r="K24" s="12">
        <f>MAX(0,I24-F24)*E24</f>
        <v/>
      </c>
      <c r="L24" s="12" t="n">
        <v>2054226.006265608</v>
      </c>
      <c r="M24" s="12" t="n">
        <v>1466591.547414946</v>
      </c>
    </row>
    <row r="25">
      <c r="A25" s="8" t="inlineStr">
        <is>
          <t>Q2</t>
        </is>
      </c>
      <c r="B25" s="8" t="inlineStr">
        <is>
          <t>Ibadan → Kaduna</t>
        </is>
      </c>
      <c r="C25" s="8" t="inlineStr">
        <is>
          <t>Haulage</t>
        </is>
      </c>
      <c r="D25" s="8" t="inlineStr">
        <is>
          <t>JUBAILI AGROTEC</t>
        </is>
      </c>
      <c r="E25" s="8" t="n">
        <v>1</v>
      </c>
      <c r="F25" s="12" t="n">
        <v>2886235.3488372</v>
      </c>
      <c r="G25" s="8" t="inlineStr">
        <is>
          <t>NBL</t>
        </is>
      </c>
      <c r="H25" s="8" t="n">
        <v>1</v>
      </c>
      <c r="I25" s="12" t="n">
        <v>4276223.961047853</v>
      </c>
      <c r="J25" s="10">
        <f>F25/I25</f>
        <v/>
      </c>
      <c r="K25" s="12">
        <f>MAX(0,I25-F25)*E25</f>
        <v/>
      </c>
      <c r="L25" s="12" t="n">
        <v>4276223.961047853</v>
      </c>
      <c r="M25" s="12" t="n">
        <v>1389988.612210653</v>
      </c>
    </row>
    <row r="26">
      <c r="A26" s="8" t="inlineStr">
        <is>
          <t>Q3</t>
        </is>
      </c>
      <c r="B26" s="8" t="inlineStr">
        <is>
          <t>Lagos → Onitsha</t>
        </is>
      </c>
      <c r="C26" s="8" t="inlineStr">
        <is>
          <t>Haulage</t>
        </is>
      </c>
      <c r="D26" s="8" t="inlineStr">
        <is>
          <t>GIVANAS</t>
        </is>
      </c>
      <c r="E26" s="8" t="n">
        <v>6</v>
      </c>
      <c r="F26" s="12" t="n">
        <v>2020000</v>
      </c>
      <c r="G26" s="8" t="inlineStr">
        <is>
          <t>Lacasera</t>
        </is>
      </c>
      <c r="H26" s="8" t="n">
        <v>3</v>
      </c>
      <c r="I26" s="12" t="n">
        <v>2248843</v>
      </c>
      <c r="J26" s="10">
        <f>F26/I26</f>
        <v/>
      </c>
      <c r="K26" s="12">
        <f>MAX(0,I26-F26)*E26</f>
        <v/>
      </c>
      <c r="L26" s="12" t="n">
        <v>2248843</v>
      </c>
      <c r="M26" s="12" t="n">
        <v>1373058</v>
      </c>
    </row>
    <row r="27">
      <c r="A27" s="8" t="inlineStr">
        <is>
          <t>Q3</t>
        </is>
      </c>
      <c r="B27" s="8" t="inlineStr">
        <is>
          <t>Lagos → Owerri</t>
        </is>
      </c>
      <c r="C27" s="8" t="inlineStr">
        <is>
          <t>Haulage</t>
        </is>
      </c>
      <c r="D27" s="8" t="inlineStr">
        <is>
          <t>NIGER BISCUITS</t>
        </is>
      </c>
      <c r="E27" s="8" t="n">
        <v>3</v>
      </c>
      <c r="F27" s="12" t="n">
        <v>2241472.868217053</v>
      </c>
      <c r="G27" s="8" t="inlineStr">
        <is>
          <t>Jamara</t>
        </is>
      </c>
      <c r="H27" s="8" t="n">
        <v>1</v>
      </c>
      <c r="I27" s="12" t="n">
        <v>2636000</v>
      </c>
      <c r="J27" s="10">
        <f>F27/I27</f>
        <v/>
      </c>
      <c r="K27" s="12">
        <f>MAX(0,I27-F27)*E27</f>
        <v/>
      </c>
      <c r="L27" s="12" t="n">
        <v>2900000</v>
      </c>
      <c r="M27" s="12" t="n">
        <v>1975581.39534884</v>
      </c>
    </row>
    <row r="28">
      <c r="A28" s="8" t="inlineStr">
        <is>
          <t>Q2</t>
        </is>
      </c>
      <c r="B28" s="8" t="inlineStr">
        <is>
          <t>Lagos → Asaba</t>
        </is>
      </c>
      <c r="C28" s="8" t="inlineStr">
        <is>
          <t>Haulage</t>
        </is>
      </c>
      <c r="D28" s="8" t="inlineStr">
        <is>
          <t>B2B-ORCA DECO LIMITED(MR OTEGA)</t>
        </is>
      </c>
      <c r="E28" s="8" t="n">
        <v>1</v>
      </c>
      <c r="F28" s="12" t="n">
        <v>2300000</v>
      </c>
      <c r="G28" s="8" t="inlineStr">
        <is>
          <t>ORCA DECO LIMITED</t>
        </is>
      </c>
      <c r="H28" s="8" t="n">
        <v>3</v>
      </c>
      <c r="I28" s="12" t="n">
        <v>3415393.17</v>
      </c>
      <c r="J28" s="10">
        <f>F28/I28</f>
        <v/>
      </c>
      <c r="K28" s="12">
        <f>MAX(0,I28-F28)*E28</f>
        <v/>
      </c>
      <c r="L28" s="12" t="n">
        <v>3415393.17</v>
      </c>
      <c r="M28" s="12" t="n">
        <v>1115393.17</v>
      </c>
    </row>
    <row r="29">
      <c r="A29" s="8" t="inlineStr">
        <is>
          <t>Q3</t>
        </is>
      </c>
      <c r="B29" s="8" t="inlineStr">
        <is>
          <t>Lagos → Ibadan</t>
        </is>
      </c>
      <c r="C29" s="8" t="inlineStr">
        <is>
          <t>Haulage</t>
        </is>
      </c>
      <c r="D29" s="8" t="inlineStr">
        <is>
          <t>MEGA MANU</t>
        </is>
      </c>
      <c r="E29" s="8" t="n">
        <v>22</v>
      </c>
      <c r="F29" s="12" t="n">
        <v>625116.279069767</v>
      </c>
      <c r="G29" s="8" t="inlineStr">
        <is>
          <t>Jamara</t>
        </is>
      </c>
      <c r="H29" s="8" t="n">
        <v>9</v>
      </c>
      <c r="I29" s="12" t="n">
        <v>673901.8087855297</v>
      </c>
      <c r="J29" s="10">
        <f>F29/I29</f>
        <v/>
      </c>
      <c r="K29" s="12">
        <f>MAX(0,I29-F29)*E29</f>
        <v/>
      </c>
      <c r="L29" s="12" t="n">
        <v>680000</v>
      </c>
      <c r="M29" s="12" t="n">
        <v>1207441.860465126</v>
      </c>
    </row>
    <row r="30">
      <c r="A30" s="8" t="inlineStr">
        <is>
          <t>Q3</t>
        </is>
      </c>
      <c r="B30" s="8" t="inlineStr">
        <is>
          <t>Lagos → Onitsha</t>
        </is>
      </c>
      <c r="C30" s="8" t="inlineStr">
        <is>
          <t>Haulage</t>
        </is>
      </c>
      <c r="D30" s="8" t="inlineStr">
        <is>
          <t>VENDARA</t>
        </is>
      </c>
      <c r="E30" s="8" t="n">
        <v>3</v>
      </c>
      <c r="F30" s="12" t="n">
        <v>1925581.39534883</v>
      </c>
      <c r="G30" s="8" t="inlineStr">
        <is>
          <t>Lacasera</t>
        </is>
      </c>
      <c r="H30" s="8" t="n">
        <v>3</v>
      </c>
      <c r="I30" s="12" t="n">
        <v>2248843</v>
      </c>
      <c r="J30" s="10">
        <f>F30/I30</f>
        <v/>
      </c>
      <c r="K30" s="12">
        <f>MAX(0,I30-F30)*E30</f>
        <v/>
      </c>
      <c r="L30" s="12" t="n">
        <v>2248843</v>
      </c>
      <c r="M30" s="12" t="n">
        <v>969784.8139535103</v>
      </c>
    </row>
    <row r="31">
      <c r="A31" s="8" t="inlineStr">
        <is>
          <t>Q2</t>
        </is>
      </c>
      <c r="B31" s="8" t="inlineStr">
        <is>
          <t>Lagos → Abuja</t>
        </is>
      </c>
      <c r="C31" s="8" t="inlineStr">
        <is>
          <t>Haulage</t>
        </is>
      </c>
      <c r="D31" s="8" t="inlineStr">
        <is>
          <t>INTERSTYLE</t>
        </is>
      </c>
      <c r="E31" s="8" t="n">
        <v>2</v>
      </c>
      <c r="F31" s="12" t="n">
        <v>3162790.69767441</v>
      </c>
      <c r="G31" s="8" t="inlineStr">
        <is>
          <t>ORCA DECO LIMITED</t>
        </is>
      </c>
      <c r="H31" s="8" t="n">
        <v>1</v>
      </c>
      <c r="I31" s="12" t="n">
        <v>3627906.97674418</v>
      </c>
      <c r="J31" s="10">
        <f>F31/I31</f>
        <v/>
      </c>
      <c r="K31" s="12">
        <f>MAX(0,I31-F31)*E31</f>
        <v/>
      </c>
      <c r="L31" s="12" t="n">
        <v>3627906.97674418</v>
      </c>
      <c r="M31" s="12" t="n">
        <v>930232.5581395403</v>
      </c>
    </row>
    <row r="32">
      <c r="A32" s="8" t="inlineStr">
        <is>
          <t>Q2</t>
        </is>
      </c>
      <c r="B32" s="8" t="inlineStr">
        <is>
          <t>Lagos → Abuja</t>
        </is>
      </c>
      <c r="C32" s="8" t="inlineStr">
        <is>
          <t>Haulage</t>
        </is>
      </c>
      <c r="D32" s="8" t="inlineStr">
        <is>
          <t>MIKANO INTL LTD</t>
        </is>
      </c>
      <c r="E32" s="8" t="n">
        <v>1</v>
      </c>
      <c r="F32" s="12" t="n">
        <v>2697674.41860465</v>
      </c>
      <c r="G32" s="8" t="inlineStr">
        <is>
          <t>ORCA DECO LIMITED</t>
        </is>
      </c>
      <c r="H32" s="8" t="n">
        <v>1</v>
      </c>
      <c r="I32" s="12" t="n">
        <v>3627906.97674418</v>
      </c>
      <c r="J32" s="10">
        <f>F32/I32</f>
        <v/>
      </c>
      <c r="K32" s="12">
        <f>MAX(0,I32-F32)*E32</f>
        <v/>
      </c>
      <c r="L32" s="12" t="n">
        <v>3627906.97674418</v>
      </c>
      <c r="M32" s="12" t="n">
        <v>930232.55813953</v>
      </c>
    </row>
    <row r="33">
      <c r="A33" s="8" t="inlineStr">
        <is>
          <t>Q2</t>
        </is>
      </c>
      <c r="B33" s="8" t="inlineStr">
        <is>
          <t>Lagos → Abuja</t>
        </is>
      </c>
      <c r="C33" s="8" t="inlineStr">
        <is>
          <t>Haulage</t>
        </is>
      </c>
      <c r="D33" s="8" t="inlineStr">
        <is>
          <t>B2B-ORCA DECO LIMITED(ULOMA)</t>
        </is>
      </c>
      <c r="E33" s="8" t="n">
        <v>1</v>
      </c>
      <c r="F33" s="12" t="n">
        <v>2697674.41860465</v>
      </c>
      <c r="G33" s="8" t="inlineStr">
        <is>
          <t>ORCA DECO LIMITED</t>
        </is>
      </c>
      <c r="H33" s="8" t="n">
        <v>1</v>
      </c>
      <c r="I33" s="12" t="n">
        <v>3627906.97674418</v>
      </c>
      <c r="J33" s="10">
        <f>F33/I33</f>
        <v/>
      </c>
      <c r="K33" s="12">
        <f>MAX(0,I33-F33)*E33</f>
        <v/>
      </c>
      <c r="L33" s="12" t="n">
        <v>3627906.97674418</v>
      </c>
      <c r="M33" s="12" t="n">
        <v>930232.55813953</v>
      </c>
    </row>
    <row r="34">
      <c r="A34" s="8" t="inlineStr">
        <is>
          <t>Q2</t>
        </is>
      </c>
      <c r="B34" s="8" t="inlineStr">
        <is>
          <t>Lagos → Abuja</t>
        </is>
      </c>
      <c r="C34" s="8" t="inlineStr">
        <is>
          <t>Haulage</t>
        </is>
      </c>
      <c r="D34" s="8" t="inlineStr">
        <is>
          <t>JMG</t>
        </is>
      </c>
      <c r="E34" s="8" t="n">
        <v>1</v>
      </c>
      <c r="F34" s="12" t="n">
        <v>2811550</v>
      </c>
      <c r="G34" s="8" t="inlineStr">
        <is>
          <t>ORCA DECO LIMITED</t>
        </is>
      </c>
      <c r="H34" s="8" t="n">
        <v>1</v>
      </c>
      <c r="I34" s="12" t="n">
        <v>3627906.97674418</v>
      </c>
      <c r="J34" s="10">
        <f>F34/I34</f>
        <v/>
      </c>
      <c r="K34" s="12">
        <f>MAX(0,I34-F34)*E34</f>
        <v/>
      </c>
      <c r="L34" s="12" t="n">
        <v>3627906.97674418</v>
      </c>
      <c r="M34" s="12" t="n">
        <v>816356.9767441801</v>
      </c>
    </row>
    <row r="35">
      <c r="A35" s="8" t="inlineStr">
        <is>
          <t>Q3</t>
        </is>
      </c>
      <c r="B35" s="8" t="inlineStr">
        <is>
          <t>Lagos → Abuja</t>
        </is>
      </c>
      <c r="C35" s="8" t="inlineStr">
        <is>
          <t>Haulage</t>
        </is>
      </c>
      <c r="D35" s="8" t="inlineStr">
        <is>
          <t>NIGER BISCUITS</t>
        </is>
      </c>
      <c r="E35" s="8" t="n">
        <v>1</v>
      </c>
      <c r="F35" s="12" t="n">
        <v>2372093.02325581</v>
      </c>
      <c r="G35" s="8" t="inlineStr">
        <is>
          <t>INTERSTYLE</t>
        </is>
      </c>
      <c r="H35" s="8" t="n">
        <v>3</v>
      </c>
      <c r="I35" s="12" t="n">
        <v>3162790.69767441</v>
      </c>
      <c r="J35" s="10">
        <f>F35/I35</f>
        <v/>
      </c>
      <c r="K35" s="12">
        <f>MAX(0,I35-F35)*E35</f>
        <v/>
      </c>
      <c r="L35" s="12" t="n">
        <v>3162790.69767441</v>
      </c>
      <c r="M35" s="12" t="n">
        <v>790697.6744185998</v>
      </c>
    </row>
    <row r="36">
      <c r="A36" s="8" t="inlineStr">
        <is>
          <t>Q2</t>
        </is>
      </c>
      <c r="B36" s="8" t="inlineStr">
        <is>
          <t>Lagos → Abuja</t>
        </is>
      </c>
      <c r="C36" s="8" t="inlineStr">
        <is>
          <t>Haulage</t>
        </is>
      </c>
      <c r="D36" s="8" t="inlineStr">
        <is>
          <t>B2B-ORCA DECO LIMITED-AGR</t>
        </is>
      </c>
      <c r="E36" s="8" t="n">
        <v>1</v>
      </c>
      <c r="F36" s="12" t="n">
        <v>2850000</v>
      </c>
      <c r="G36" s="8" t="inlineStr">
        <is>
          <t>ORCA DECO LIMITED</t>
        </is>
      </c>
      <c r="H36" s="8" t="n">
        <v>1</v>
      </c>
      <c r="I36" s="12" t="n">
        <v>3627906.97674418</v>
      </c>
      <c r="J36" s="10">
        <f>F36/I36</f>
        <v/>
      </c>
      <c r="K36" s="12">
        <f>MAX(0,I36-F36)*E36</f>
        <v/>
      </c>
      <c r="L36" s="12" t="n">
        <v>3627906.97674418</v>
      </c>
      <c r="M36" s="12" t="n">
        <v>777906.9767441801</v>
      </c>
    </row>
    <row r="37">
      <c r="A37" s="8" t="inlineStr">
        <is>
          <t>Q3</t>
        </is>
      </c>
      <c r="B37" s="8" t="inlineStr">
        <is>
          <t>Lagos → Abuja</t>
        </is>
      </c>
      <c r="C37" s="8" t="inlineStr">
        <is>
          <t>Haulage</t>
        </is>
      </c>
      <c r="D37" s="8" t="inlineStr">
        <is>
          <t>MEGA MANU</t>
        </is>
      </c>
      <c r="E37" s="8" t="n">
        <v>9</v>
      </c>
      <c r="F37" s="12" t="n">
        <v>3079069.76744186</v>
      </c>
      <c r="G37" s="8" t="inlineStr">
        <is>
          <t>INTERSTYLE</t>
        </is>
      </c>
      <c r="H37" s="8" t="n">
        <v>3</v>
      </c>
      <c r="I37" s="12" t="n">
        <v>3162790.69767441</v>
      </c>
      <c r="J37" s="10">
        <f>F37/I37</f>
        <v/>
      </c>
      <c r="K37" s="12">
        <f>MAX(0,I37-F37)*E37</f>
        <v/>
      </c>
      <c r="L37" s="12" t="n">
        <v>3162790.69767441</v>
      </c>
      <c r="M37" s="12" t="n">
        <v>753488.3720929502</v>
      </c>
    </row>
    <row r="38">
      <c r="A38" s="8" t="inlineStr">
        <is>
          <t>Q3</t>
        </is>
      </c>
      <c r="B38" s="8" t="inlineStr">
        <is>
          <t>Lagos → Onitsha</t>
        </is>
      </c>
      <c r="C38" s="8" t="inlineStr">
        <is>
          <t>Haulage</t>
        </is>
      </c>
      <c r="D38" s="8" t="inlineStr">
        <is>
          <t>MEGA MANU</t>
        </is>
      </c>
      <c r="E38" s="8" t="n">
        <v>2</v>
      </c>
      <c r="F38" s="12" t="n">
        <v>1925581.397674415</v>
      </c>
      <c r="G38" s="8" t="inlineStr">
        <is>
          <t>Lacasera</t>
        </is>
      </c>
      <c r="H38" s="8" t="n">
        <v>3</v>
      </c>
      <c r="I38" s="12" t="n">
        <v>2248843</v>
      </c>
      <c r="J38" s="10">
        <f>F38/I38</f>
        <v/>
      </c>
      <c r="K38" s="12">
        <f>MAX(0,I38-F38)*E38</f>
        <v/>
      </c>
      <c r="L38" s="12" t="n">
        <v>2248843</v>
      </c>
      <c r="M38" s="12" t="n">
        <v>646523.2046511702</v>
      </c>
    </row>
    <row r="39">
      <c r="A39" s="8" t="inlineStr">
        <is>
          <t>Q1</t>
        </is>
      </c>
      <c r="B39" s="8" t="inlineStr">
        <is>
          <t>Ibadan → Onitsha</t>
        </is>
      </c>
      <c r="C39" s="8" t="inlineStr">
        <is>
          <t>Haulage</t>
        </is>
      </c>
      <c r="D39" s="8" t="inlineStr">
        <is>
          <t>MEGA MANU</t>
        </is>
      </c>
      <c r="E39" s="8" t="n">
        <v>1</v>
      </c>
      <c r="F39" s="12" t="n">
        <v>1534883.72093023</v>
      </c>
      <c r="G39" s="8" t="inlineStr">
        <is>
          <t>NBL</t>
        </is>
      </c>
      <c r="H39" s="8" t="n">
        <v>2</v>
      </c>
      <c r="I39" s="12" t="n">
        <v>2166300</v>
      </c>
      <c r="J39" s="10">
        <f>F39/I39</f>
        <v/>
      </c>
      <c r="K39" s="12">
        <f>MAX(0,I39-F39)*E39</f>
        <v/>
      </c>
      <c r="L39" s="12" t="n">
        <v>2166300</v>
      </c>
      <c r="M39" s="12" t="n">
        <v>631416.2790697699</v>
      </c>
    </row>
    <row r="40">
      <c r="A40" s="8" t="inlineStr">
        <is>
          <t>Q3</t>
        </is>
      </c>
      <c r="B40" s="8" t="inlineStr">
        <is>
          <t>Lagos → PHC</t>
        </is>
      </c>
      <c r="C40" s="8" t="inlineStr">
        <is>
          <t>Haulage</t>
        </is>
      </c>
      <c r="D40" s="8" t="inlineStr">
        <is>
          <t>NIGER BISCUITS</t>
        </is>
      </c>
      <c r="E40" s="8" t="n">
        <v>4</v>
      </c>
      <c r="F40" s="12" t="n">
        <v>2334302.325581395</v>
      </c>
      <c r="G40" s="8" t="inlineStr">
        <is>
          <t>Jamara</t>
        </is>
      </c>
      <c r="H40" s="8" t="n">
        <v>27</v>
      </c>
      <c r="I40" s="12" t="n">
        <v>2490555.555555556</v>
      </c>
      <c r="J40" s="10">
        <f>F40/I40</f>
        <v/>
      </c>
      <c r="K40" s="12">
        <f>MAX(0,I40-F40)*E40</f>
        <v/>
      </c>
      <c r="L40" s="12" t="n">
        <v>2550000</v>
      </c>
      <c r="M40" s="12" t="n">
        <v>862790.6976744202</v>
      </c>
    </row>
    <row r="41">
      <c r="A41" s="8" t="inlineStr">
        <is>
          <t>Q1</t>
        </is>
      </c>
      <c r="B41" s="8" t="inlineStr">
        <is>
          <t>Lagos → Akure</t>
        </is>
      </c>
      <c r="C41" s="8" t="inlineStr">
        <is>
          <t>Haulage</t>
        </is>
      </c>
      <c r="D41" s="8" t="inlineStr">
        <is>
          <t>Jamara</t>
        </is>
      </c>
      <c r="E41" s="8" t="n">
        <v>1</v>
      </c>
      <c r="F41" s="12" t="n">
        <v>850000</v>
      </c>
      <c r="G41" s="8" t="inlineStr">
        <is>
          <t>NBL</t>
        </is>
      </c>
      <c r="H41" s="8" t="n">
        <v>1</v>
      </c>
      <c r="I41" s="12" t="n">
        <v>1474324.884879623</v>
      </c>
      <c r="J41" s="10">
        <f>F41/I41</f>
        <v/>
      </c>
      <c r="K41" s="12">
        <f>MAX(0,I41-F41)*E41</f>
        <v/>
      </c>
      <c r="L41" s="12" t="n">
        <v>1474324.884879623</v>
      </c>
      <c r="M41" s="12" t="n">
        <v>624324.8848796228</v>
      </c>
    </row>
    <row r="42">
      <c r="A42" s="8" t="inlineStr">
        <is>
          <t>Q2</t>
        </is>
      </c>
      <c r="B42" s="8" t="inlineStr">
        <is>
          <t>Lagos → Kano</t>
        </is>
      </c>
      <c r="C42" s="8" t="inlineStr">
        <is>
          <t>Haulage</t>
        </is>
      </c>
      <c r="D42" s="8" t="inlineStr">
        <is>
          <t>NATURAL BEAUTY</t>
        </is>
      </c>
      <c r="E42" s="8" t="n">
        <v>10</v>
      </c>
      <c r="F42" s="12" t="n">
        <v>4279069.76744186</v>
      </c>
      <c r="G42" s="8" t="inlineStr">
        <is>
          <t>SASO</t>
        </is>
      </c>
      <c r="H42" s="8" t="n">
        <v>8</v>
      </c>
      <c r="I42" s="12" t="n">
        <v>4340000</v>
      </c>
      <c r="J42" s="10">
        <f>F42/I42</f>
        <v/>
      </c>
      <c r="K42" s="12">
        <f>MAX(0,I42-F42)*E42</f>
        <v/>
      </c>
      <c r="L42" s="12" t="n">
        <v>4400000</v>
      </c>
      <c r="M42" s="12" t="n">
        <v>1209302.325581396</v>
      </c>
    </row>
    <row r="43">
      <c r="A43" s="8" t="inlineStr">
        <is>
          <t>Q3</t>
        </is>
      </c>
      <c r="B43" s="8" t="inlineStr">
        <is>
          <t>Lagos → Kano</t>
        </is>
      </c>
      <c r="C43" s="8" t="inlineStr">
        <is>
          <t>Haulage</t>
        </is>
      </c>
      <c r="D43" s="8" t="inlineStr">
        <is>
          <t>STAR PRODUCT INVESTMENT</t>
        </is>
      </c>
      <c r="E43" s="8" t="n">
        <v>3</v>
      </c>
      <c r="F43" s="12" t="n">
        <v>4201550.389147286</v>
      </c>
      <c r="G43" s="8" t="inlineStr">
        <is>
          <t>SASO</t>
        </is>
      </c>
      <c r="H43" s="8" t="n">
        <v>10</v>
      </c>
      <c r="I43" s="12" t="n">
        <v>4400000</v>
      </c>
      <c r="J43" s="10">
        <f>F43/I43</f>
        <v/>
      </c>
      <c r="K43" s="12">
        <f>MAX(0,I43-F43)*E43</f>
        <v/>
      </c>
      <c r="L43" s="12" t="n">
        <v>4400000</v>
      </c>
      <c r="M43" s="12" t="n">
        <v>595348.8325581392</v>
      </c>
    </row>
    <row r="44">
      <c r="A44" s="8" t="inlineStr">
        <is>
          <t>Q2</t>
        </is>
      </c>
      <c r="B44" s="8" t="inlineStr">
        <is>
          <t>Lagos → Ibadan</t>
        </is>
      </c>
      <c r="C44" s="8" t="inlineStr">
        <is>
          <t>Haulage</t>
        </is>
      </c>
      <c r="D44" s="8" t="inlineStr">
        <is>
          <t>Jamara</t>
        </is>
      </c>
      <c r="E44" s="8" t="n">
        <v>6</v>
      </c>
      <c r="F44" s="12" t="n">
        <v>705333.3333333334</v>
      </c>
      <c r="G44" s="8" t="inlineStr">
        <is>
          <t>MAMUDA BEVERAGES CO. LTD</t>
        </is>
      </c>
      <c r="H44" s="8" t="n">
        <v>5</v>
      </c>
      <c r="I44" s="12" t="n">
        <v>790697.674418604</v>
      </c>
      <c r="J44" s="10">
        <f>F44/I44</f>
        <v/>
      </c>
      <c r="K44" s="12">
        <f>MAX(0,I44-F44)*E44</f>
        <v/>
      </c>
      <c r="L44" s="12" t="n">
        <v>800000</v>
      </c>
      <c r="M44" s="12" t="n">
        <v>568000</v>
      </c>
    </row>
    <row r="45">
      <c r="A45" s="8" t="inlineStr">
        <is>
          <t>Q1</t>
        </is>
      </c>
      <c r="B45" s="8" t="inlineStr">
        <is>
          <t>Lagos → Onitsha</t>
        </is>
      </c>
      <c r="C45" s="8" t="inlineStr">
        <is>
          <t>Haulage</t>
        </is>
      </c>
      <c r="D45" s="8" t="inlineStr">
        <is>
          <t>MEGA MANU</t>
        </is>
      </c>
      <c r="E45" s="8" t="n">
        <v>3</v>
      </c>
      <c r="F45" s="12" t="n">
        <v>1534883.72</v>
      </c>
      <c r="G45" s="8" t="inlineStr">
        <is>
          <t>GIVANAS</t>
        </is>
      </c>
      <c r="H45" s="8" t="n">
        <v>9</v>
      </c>
      <c r="I45" s="12" t="n">
        <v>1684031.007751933</v>
      </c>
      <c r="J45" s="10">
        <f>F45/I45</f>
        <v/>
      </c>
      <c r="K45" s="12">
        <f>MAX(0,I45-F45)*E45</f>
        <v/>
      </c>
      <c r="L45" s="12" t="n">
        <v>2020000</v>
      </c>
      <c r="M45" s="12" t="n">
        <v>1455348.84</v>
      </c>
    </row>
    <row r="46">
      <c r="A46" s="8" t="inlineStr">
        <is>
          <t>Q2</t>
        </is>
      </c>
      <c r="B46" s="8" t="inlineStr">
        <is>
          <t>Lagos → Onitsha</t>
        </is>
      </c>
      <c r="C46" s="8" t="inlineStr">
        <is>
          <t>Haulage</t>
        </is>
      </c>
      <c r="D46" s="8" t="inlineStr">
        <is>
          <t>MEGA MANU</t>
        </is>
      </c>
      <c r="E46" s="8" t="n">
        <v>4</v>
      </c>
      <c r="F46" s="12" t="n">
        <v>1925581.39534883</v>
      </c>
      <c r="G46" s="8" t="inlineStr">
        <is>
          <t>GIVANAS</t>
        </is>
      </c>
      <c r="H46" s="8" t="n">
        <v>7</v>
      </c>
      <c r="I46" s="12" t="n">
        <v>2020000</v>
      </c>
      <c r="J46" s="10">
        <f>F46/I46</f>
        <v/>
      </c>
      <c r="K46" s="12">
        <f>MAX(0,I46-F46)*E46</f>
        <v/>
      </c>
      <c r="L46" s="12" t="n">
        <v>2020000</v>
      </c>
      <c r="M46" s="12" t="n">
        <v>377674.4186046803</v>
      </c>
    </row>
    <row r="47">
      <c r="A47" s="8" t="inlineStr">
        <is>
          <t>Q2</t>
        </is>
      </c>
      <c r="B47" s="8" t="inlineStr">
        <is>
          <t>Lagos → Ibadan</t>
        </is>
      </c>
      <c r="C47" s="8" t="inlineStr">
        <is>
          <t>Haulage</t>
        </is>
      </c>
      <c r="D47" s="8" t="inlineStr">
        <is>
          <t>NBL</t>
        </is>
      </c>
      <c r="E47" s="8" t="n">
        <v>1</v>
      </c>
      <c r="F47" s="12" t="n">
        <v>421678.3886540415</v>
      </c>
      <c r="G47" s="8" t="inlineStr">
        <is>
          <t>MAMUDA BEVERAGES CO. LTD</t>
        </is>
      </c>
      <c r="H47" s="8" t="n">
        <v>5</v>
      </c>
      <c r="I47" s="12" t="n">
        <v>790697.674418604</v>
      </c>
      <c r="J47" s="10">
        <f>F47/I47</f>
        <v/>
      </c>
      <c r="K47" s="12">
        <f>MAX(0,I47-F47)*E47</f>
        <v/>
      </c>
      <c r="L47" s="12" t="n">
        <v>800000</v>
      </c>
      <c r="M47" s="12" t="n">
        <v>378321.6113459585</v>
      </c>
    </row>
    <row r="48">
      <c r="A48" s="8" t="inlineStr">
        <is>
          <t>Q1</t>
        </is>
      </c>
      <c r="B48" s="8" t="inlineStr">
        <is>
          <t>Lagos → Ibadan</t>
        </is>
      </c>
      <c r="C48" s="8" t="inlineStr">
        <is>
          <t>Haulage</t>
        </is>
      </c>
      <c r="D48" s="8" t="inlineStr">
        <is>
          <t>LEBRUNI AGRO LTD</t>
        </is>
      </c>
      <c r="E48" s="8" t="n">
        <v>2</v>
      </c>
      <c r="F48" s="12" t="n">
        <v>418604.65116279</v>
      </c>
      <c r="G48" s="8" t="inlineStr">
        <is>
          <t>Jamara</t>
        </is>
      </c>
      <c r="H48" s="8" t="n">
        <v>12</v>
      </c>
      <c r="I48" s="12" t="n">
        <v>587500</v>
      </c>
      <c r="J48" s="10">
        <f>F48/I48</f>
        <v/>
      </c>
      <c r="K48" s="12">
        <f>MAX(0,I48-F48)*E48</f>
        <v/>
      </c>
      <c r="L48" s="12" t="n">
        <v>650000</v>
      </c>
      <c r="M48" s="12" t="n">
        <v>462790.69767442</v>
      </c>
    </row>
    <row r="49">
      <c r="A49" s="8" t="inlineStr">
        <is>
          <t>Q1</t>
        </is>
      </c>
      <c r="B49" s="8" t="inlineStr">
        <is>
          <t>Lagos → Ilorin</t>
        </is>
      </c>
      <c r="C49" s="8" t="inlineStr">
        <is>
          <t>Haulage</t>
        </is>
      </c>
      <c r="D49" s="8" t="inlineStr">
        <is>
          <t>MEGA MANU</t>
        </is>
      </c>
      <c r="E49" s="8" t="n">
        <v>1</v>
      </c>
      <c r="F49" s="12" t="n">
        <v>1209302.32558139</v>
      </c>
      <c r="G49" s="8" t="inlineStr">
        <is>
          <t>NBL</t>
        </is>
      </c>
      <c r="H49" s="8" t="n">
        <v>1</v>
      </c>
      <c r="I49" s="12" t="n">
        <v>1518900</v>
      </c>
      <c r="J49" s="10">
        <f>F49/I49</f>
        <v/>
      </c>
      <c r="K49" s="12">
        <f>MAX(0,I49-F49)*E49</f>
        <v/>
      </c>
      <c r="L49" s="12" t="n">
        <v>1518900</v>
      </c>
      <c r="M49" s="12" t="n">
        <v>309597.6744186101</v>
      </c>
    </row>
    <row r="50">
      <c r="A50" s="8" t="inlineStr">
        <is>
          <t>Q1</t>
        </is>
      </c>
      <c r="B50" s="8" t="inlineStr">
        <is>
          <t>Lagos → PHC</t>
        </is>
      </c>
      <c r="C50" s="8" t="inlineStr">
        <is>
          <t>Haulage</t>
        </is>
      </c>
      <c r="D50" s="8" t="inlineStr">
        <is>
          <t>INTERSTYLE</t>
        </is>
      </c>
      <c r="E50" s="8" t="n">
        <v>1</v>
      </c>
      <c r="F50" s="12" t="n">
        <v>2027906.97674418</v>
      </c>
      <c r="G50" s="8" t="inlineStr">
        <is>
          <t>GIVANAS</t>
        </is>
      </c>
      <c r="H50" s="8" t="n">
        <v>1</v>
      </c>
      <c r="I50" s="12" t="n">
        <v>2325581.39534883</v>
      </c>
      <c r="J50" s="10">
        <f>F50/I50</f>
        <v/>
      </c>
      <c r="K50" s="12">
        <f>MAX(0,I50-F50)*E50</f>
        <v/>
      </c>
      <c r="L50" s="12" t="n">
        <v>2325581.39534883</v>
      </c>
      <c r="M50" s="12" t="n">
        <v>297674.4186046501</v>
      </c>
    </row>
    <row r="51">
      <c r="A51" s="8" t="inlineStr">
        <is>
          <t>Q2</t>
        </is>
      </c>
      <c r="B51" s="8" t="inlineStr">
        <is>
          <t>Lagos → Ijebu Ode</t>
        </is>
      </c>
      <c r="C51" s="8" t="inlineStr">
        <is>
          <t>Haulage</t>
        </is>
      </c>
      <c r="D51" s="8" t="inlineStr">
        <is>
          <t>NBL</t>
        </is>
      </c>
      <c r="E51" s="8" t="n">
        <v>1</v>
      </c>
      <c r="F51" s="12" t="n">
        <v>241353.9420246132</v>
      </c>
      <c r="G51" s="8" t="inlineStr">
        <is>
          <t>ORCA DECO LIMITED</t>
        </is>
      </c>
      <c r="H51" s="8" t="n">
        <v>1</v>
      </c>
      <c r="I51" s="12" t="n">
        <v>500000</v>
      </c>
      <c r="J51" s="10">
        <f>F51/I51</f>
        <v/>
      </c>
      <c r="K51" s="12">
        <f>MAX(0,I51-F51)*E51</f>
        <v/>
      </c>
      <c r="L51" s="12" t="n">
        <v>500000</v>
      </c>
      <c r="M51" s="12" t="n">
        <v>258646.0579753868</v>
      </c>
    </row>
    <row r="52">
      <c r="A52" s="8" t="inlineStr">
        <is>
          <t>Q1</t>
        </is>
      </c>
      <c r="B52" s="8" t="inlineStr">
        <is>
          <t>Lagos → Ibadan</t>
        </is>
      </c>
      <c r="C52" s="8" t="inlineStr">
        <is>
          <t>Haulage</t>
        </is>
      </c>
      <c r="D52" s="8" t="inlineStr">
        <is>
          <t>NBL</t>
        </is>
      </c>
      <c r="E52" s="8" t="n">
        <v>1</v>
      </c>
      <c r="F52" s="12" t="n">
        <v>356295.1805125755</v>
      </c>
      <c r="G52" s="8" t="inlineStr">
        <is>
          <t>Jamara</t>
        </is>
      </c>
      <c r="H52" s="8" t="n">
        <v>12</v>
      </c>
      <c r="I52" s="12" t="n">
        <v>587500</v>
      </c>
      <c r="J52" s="10">
        <f>F52/I52</f>
        <v/>
      </c>
      <c r="K52" s="12">
        <f>MAX(0,I52-F52)*E52</f>
        <v/>
      </c>
      <c r="L52" s="12" t="n">
        <v>650000</v>
      </c>
      <c r="M52" s="12" t="n">
        <v>293704.8194874245</v>
      </c>
    </row>
    <row r="53">
      <c r="A53" s="8" t="inlineStr">
        <is>
          <t>Q3</t>
        </is>
      </c>
      <c r="B53" s="8" t="inlineStr">
        <is>
          <t>Lagos → Ibadan</t>
        </is>
      </c>
      <c r="C53" s="8" t="inlineStr">
        <is>
          <t>Haulage</t>
        </is>
      </c>
      <c r="D53" s="8" t="inlineStr">
        <is>
          <t>NBL</t>
        </is>
      </c>
      <c r="E53" s="8" t="n">
        <v>1</v>
      </c>
      <c r="F53" s="12" t="n">
        <v>474189.5096248284</v>
      </c>
      <c r="G53" s="8" t="inlineStr">
        <is>
          <t>Jamara</t>
        </is>
      </c>
      <c r="H53" s="8" t="n">
        <v>9</v>
      </c>
      <c r="I53" s="12" t="n">
        <v>673901.8087855297</v>
      </c>
      <c r="J53" s="10">
        <f>F53/I53</f>
        <v/>
      </c>
      <c r="K53" s="12">
        <f>MAX(0,I53-F53)*E53</f>
        <v/>
      </c>
      <c r="L53" s="12" t="n">
        <v>680000</v>
      </c>
      <c r="M53" s="12" t="n">
        <v>205810.4903751716</v>
      </c>
    </row>
    <row r="54">
      <c r="A54" s="8" t="inlineStr">
        <is>
          <t>Q2</t>
        </is>
      </c>
      <c r="B54" s="8" t="inlineStr">
        <is>
          <t>Lagos → Onitsha</t>
        </is>
      </c>
      <c r="C54" s="8" t="inlineStr">
        <is>
          <t>Haulage</t>
        </is>
      </c>
      <c r="D54" s="8" t="inlineStr">
        <is>
          <t>VENDARA</t>
        </is>
      </c>
      <c r="E54" s="8" t="n">
        <v>2</v>
      </c>
      <c r="F54" s="12" t="n">
        <v>1925581.39534883</v>
      </c>
      <c r="G54" s="8" t="inlineStr">
        <is>
          <t>GIVANAS</t>
        </is>
      </c>
      <c r="H54" s="8" t="n">
        <v>7</v>
      </c>
      <c r="I54" s="12" t="n">
        <v>2020000</v>
      </c>
      <c r="J54" s="10">
        <f>F54/I54</f>
        <v/>
      </c>
      <c r="K54" s="12">
        <f>MAX(0,I54-F54)*E54</f>
        <v/>
      </c>
      <c r="L54" s="12" t="n">
        <v>2020000</v>
      </c>
      <c r="M54" s="12" t="n">
        <v>188837.2093023402</v>
      </c>
    </row>
    <row r="55">
      <c r="A55" s="8" t="inlineStr">
        <is>
          <t>Q1</t>
        </is>
      </c>
      <c r="B55" s="8" t="inlineStr">
        <is>
          <t>Ibadan → Aba</t>
        </is>
      </c>
      <c r="C55" s="8" t="inlineStr">
        <is>
          <t>Haulage</t>
        </is>
      </c>
      <c r="D55" s="8" t="inlineStr">
        <is>
          <t>JUBAILI AGROTEC</t>
        </is>
      </c>
      <c r="E55" s="8" t="n">
        <v>1</v>
      </c>
      <c r="F55" s="12" t="n">
        <v>2252671.62790697</v>
      </c>
      <c r="G55" s="8" t="inlineStr">
        <is>
          <t>NBL</t>
        </is>
      </c>
      <c r="H55" s="8" t="n">
        <v>9</v>
      </c>
      <c r="I55" s="12" t="n">
        <v>2429713.876097736</v>
      </c>
      <c r="J55" s="10">
        <f>F55/I55</f>
        <v/>
      </c>
      <c r="K55" s="12">
        <f>MAX(0,I55-F55)*E55</f>
        <v/>
      </c>
      <c r="L55" s="12" t="n">
        <v>2913300</v>
      </c>
      <c r="M55" s="12" t="n">
        <v>660628.3720930298</v>
      </c>
    </row>
    <row r="56">
      <c r="A56" s="8" t="inlineStr">
        <is>
          <t>Q3</t>
        </is>
      </c>
      <c r="B56" s="8" t="inlineStr">
        <is>
          <t>Lagos → Aba</t>
        </is>
      </c>
      <c r="C56" s="8" t="inlineStr">
        <is>
          <t>Haulage</t>
        </is>
      </c>
      <c r="D56" s="8" t="inlineStr">
        <is>
          <t>MEGA MANU</t>
        </is>
      </c>
      <c r="E56" s="8" t="n">
        <v>1</v>
      </c>
      <c r="F56" s="12" t="n">
        <v>2418604.65</v>
      </c>
      <c r="G56" s="8" t="inlineStr">
        <is>
          <t>NIGER BISCUITS</t>
        </is>
      </c>
      <c r="H56" s="8" t="n">
        <v>2</v>
      </c>
      <c r="I56" s="12" t="n">
        <v>2589534.88372093</v>
      </c>
      <c r="J56" s="10">
        <f>F56/I56</f>
        <v/>
      </c>
      <c r="K56" s="12">
        <f>MAX(0,I56-F56)*E56</f>
        <v/>
      </c>
      <c r="L56" s="12" t="n">
        <v>2900000</v>
      </c>
      <c r="M56" s="12" t="n">
        <v>481395.3500000001</v>
      </c>
    </row>
    <row r="57">
      <c r="A57" s="8" t="inlineStr">
        <is>
          <t>Q2</t>
        </is>
      </c>
      <c r="B57" s="8" t="inlineStr">
        <is>
          <t>Lagos → Ilorin</t>
        </is>
      </c>
      <c r="C57" s="8" t="inlineStr">
        <is>
          <t>Haulage</t>
        </is>
      </c>
      <c r="D57" s="8" t="inlineStr">
        <is>
          <t>Jamara</t>
        </is>
      </c>
      <c r="E57" s="8" t="n">
        <v>1</v>
      </c>
      <c r="F57" s="12" t="n">
        <v>950000</v>
      </c>
      <c r="G57" s="8" t="inlineStr">
        <is>
          <t>MEGA MANU</t>
        </is>
      </c>
      <c r="H57" s="8" t="n">
        <v>1</v>
      </c>
      <c r="I57" s="12" t="n">
        <v>1116279.06976744</v>
      </c>
      <c r="J57" s="10">
        <f>F57/I57</f>
        <v/>
      </c>
      <c r="K57" s="12">
        <f>MAX(0,I57-F57)*E57</f>
        <v/>
      </c>
      <c r="L57" s="12" t="n">
        <v>1116279.06976744</v>
      </c>
      <c r="M57" s="12" t="n">
        <v>166279.06976744</v>
      </c>
    </row>
    <row r="58">
      <c r="A58" s="8" t="inlineStr">
        <is>
          <t>Q2</t>
        </is>
      </c>
      <c r="B58" s="8" t="inlineStr">
        <is>
          <t>Lagos → Lekki</t>
        </is>
      </c>
      <c r="C58" s="8" t="inlineStr">
        <is>
          <t>Haulage</t>
        </is>
      </c>
      <c r="D58" s="8" t="inlineStr">
        <is>
          <t>B2B-ORCA DECO LIMITED (MR LEKAN)</t>
        </is>
      </c>
      <c r="E58" s="8" t="n">
        <v>1</v>
      </c>
      <c r="F58" s="12" t="n">
        <v>350000</v>
      </c>
      <c r="G58" s="8" t="inlineStr">
        <is>
          <t>MAMUDA BEVERAGES CO. LTD</t>
        </is>
      </c>
      <c r="H58" s="8" t="n">
        <v>3</v>
      </c>
      <c r="I58" s="12" t="n">
        <v>511627.906976744</v>
      </c>
      <c r="J58" s="10">
        <f>F58/I58</f>
        <v/>
      </c>
      <c r="K58" s="12">
        <f>MAX(0,I58-F58)*E58</f>
        <v/>
      </c>
      <c r="L58" s="12" t="n">
        <v>511627.906976744</v>
      </c>
      <c r="M58" s="12" t="n">
        <v>161627.906976744</v>
      </c>
    </row>
    <row r="59">
      <c r="A59" s="8" t="inlineStr">
        <is>
          <t>Q1</t>
        </is>
      </c>
      <c r="B59" s="8" t="inlineStr">
        <is>
          <t>Ibadan → Abeokuta</t>
        </is>
      </c>
      <c r="C59" s="8" t="inlineStr">
        <is>
          <t>Haulage</t>
        </is>
      </c>
      <c r="D59" s="8" t="inlineStr">
        <is>
          <t>JUBAILI AGROTEC</t>
        </is>
      </c>
      <c r="E59" s="8" t="n">
        <v>1</v>
      </c>
      <c r="F59" s="12" t="n">
        <v>465116.279069767</v>
      </c>
      <c r="G59" s="8" t="inlineStr">
        <is>
          <t>NBL</t>
        </is>
      </c>
      <c r="H59" s="8" t="n">
        <v>1</v>
      </c>
      <c r="I59" s="12" t="n">
        <v>612540</v>
      </c>
      <c r="J59" s="10">
        <f>F59/I59</f>
        <v/>
      </c>
      <c r="K59" s="12">
        <f>MAX(0,I59-F59)*E59</f>
        <v/>
      </c>
      <c r="L59" s="12" t="n">
        <v>612540</v>
      </c>
      <c r="M59" s="12" t="n">
        <v>147423.720930233</v>
      </c>
    </row>
    <row r="60">
      <c r="A60" s="8" t="inlineStr">
        <is>
          <t>Q3</t>
        </is>
      </c>
      <c r="B60" s="8" t="inlineStr">
        <is>
          <t>Lagos → Ibadan</t>
        </is>
      </c>
      <c r="C60" s="8" t="inlineStr">
        <is>
          <t>Haulage</t>
        </is>
      </c>
      <c r="D60" s="8" t="inlineStr">
        <is>
          <t>LEBRUNI AGRO LTD</t>
        </is>
      </c>
      <c r="E60" s="8" t="n">
        <v>1</v>
      </c>
      <c r="F60" s="12" t="n">
        <v>528000</v>
      </c>
      <c r="G60" s="8" t="inlineStr">
        <is>
          <t>Jamara</t>
        </is>
      </c>
      <c r="H60" s="8" t="n">
        <v>9</v>
      </c>
      <c r="I60" s="12" t="n">
        <v>673901.8087855297</v>
      </c>
      <c r="J60" s="10">
        <f>F60/I60</f>
        <v/>
      </c>
      <c r="K60" s="12">
        <f>MAX(0,I60-F60)*E60</f>
        <v/>
      </c>
      <c r="L60" s="12" t="n">
        <v>680000</v>
      </c>
      <c r="M60" s="12" t="n">
        <v>152000</v>
      </c>
    </row>
    <row r="61">
      <c r="A61" s="8" t="inlineStr">
        <is>
          <t>Q3</t>
        </is>
      </c>
      <c r="B61" s="8" t="inlineStr">
        <is>
          <t>Lagos → Kaduna</t>
        </is>
      </c>
      <c r="C61" s="8" t="inlineStr">
        <is>
          <t>Haulage</t>
        </is>
      </c>
      <c r="D61" s="8" t="inlineStr">
        <is>
          <t>MEGA MANU</t>
        </is>
      </c>
      <c r="E61" s="8" t="n">
        <v>1</v>
      </c>
      <c r="F61" s="12" t="n">
        <v>3720930.23</v>
      </c>
      <c r="G61" s="8" t="inlineStr">
        <is>
          <t>SASO</t>
        </is>
      </c>
      <c r="H61" s="8" t="n">
        <v>2</v>
      </c>
      <c r="I61" s="12" t="n">
        <v>3850000</v>
      </c>
      <c r="J61" s="10">
        <f>F61/I61</f>
        <v/>
      </c>
      <c r="K61" s="12">
        <f>MAX(0,I61-F61)*E61</f>
        <v/>
      </c>
      <c r="L61" s="12" t="n">
        <v>3850000</v>
      </c>
      <c r="M61" s="12" t="n">
        <v>129069.77</v>
      </c>
    </row>
    <row r="62">
      <c r="A62" s="8" t="inlineStr">
        <is>
          <t>Q1</t>
        </is>
      </c>
      <c r="B62" s="8" t="inlineStr">
        <is>
          <t>Lagos → Ibadan</t>
        </is>
      </c>
      <c r="C62" s="8" t="inlineStr">
        <is>
          <t>Haulage</t>
        </is>
      </c>
      <c r="D62" s="8" t="inlineStr">
        <is>
          <t>MEGA MANU</t>
        </is>
      </c>
      <c r="E62" s="8" t="n">
        <v>1</v>
      </c>
      <c r="F62" s="12" t="n">
        <v>544186.046511627</v>
      </c>
      <c r="G62" s="8" t="inlineStr">
        <is>
          <t>Jamara</t>
        </is>
      </c>
      <c r="H62" s="8" t="n">
        <v>12</v>
      </c>
      <c r="I62" s="12" t="n">
        <v>587500</v>
      </c>
      <c r="J62" s="10">
        <f>F62/I62</f>
        <v/>
      </c>
      <c r="K62" s="12">
        <f>MAX(0,I62-F62)*E62</f>
        <v/>
      </c>
      <c r="L62" s="12" t="n">
        <v>650000</v>
      </c>
      <c r="M62" s="12" t="n">
        <v>105813.953488373</v>
      </c>
    </row>
    <row r="63">
      <c r="A63" s="8" t="inlineStr">
        <is>
          <t>Q1</t>
        </is>
      </c>
      <c r="B63" s="8" t="inlineStr">
        <is>
          <t>Lagos → Kano</t>
        </is>
      </c>
      <c r="C63" s="8" t="inlineStr">
        <is>
          <t>Haulage</t>
        </is>
      </c>
      <c r="D63" s="8" t="inlineStr">
        <is>
          <t>SASO</t>
        </is>
      </c>
      <c r="E63" s="8" t="n">
        <v>1</v>
      </c>
      <c r="F63" s="12" t="n">
        <v>3348837.21</v>
      </c>
      <c r="G63" s="8" t="inlineStr">
        <is>
          <t>NATURAL BEAUTY</t>
        </is>
      </c>
      <c r="H63" s="8" t="n">
        <v>14</v>
      </c>
      <c r="I63" s="12" t="n">
        <v>3386046.511627904</v>
      </c>
      <c r="J63" s="10">
        <f>F63/I63</f>
        <v/>
      </c>
      <c r="K63" s="12">
        <f>MAX(0,I63-F63)*E63</f>
        <v/>
      </c>
      <c r="L63" s="12" t="n">
        <v>4372093.02325581</v>
      </c>
      <c r="M63" s="12" t="n">
        <v>1023255.81325581</v>
      </c>
    </row>
    <row r="64">
      <c r="A64" s="8" t="inlineStr">
        <is>
          <t>Q3</t>
        </is>
      </c>
      <c r="B64" s="8" t="inlineStr">
        <is>
          <t>Lagos → Ilorin</t>
        </is>
      </c>
      <c r="C64" s="8" t="inlineStr">
        <is>
          <t>Haulage</t>
        </is>
      </c>
      <c r="D64" s="8" t="inlineStr">
        <is>
          <t>Jamara</t>
        </is>
      </c>
      <c r="E64" s="8" t="n">
        <v>1</v>
      </c>
      <c r="F64" s="12" t="n">
        <v>1100000</v>
      </c>
      <c r="G64" s="8" t="inlineStr">
        <is>
          <t>MEGA MANU</t>
        </is>
      </c>
      <c r="H64" s="8" t="n">
        <v>1</v>
      </c>
      <c r="I64" s="12" t="n">
        <v>1116279.06976744</v>
      </c>
      <c r="J64" s="10">
        <f>F64/I64</f>
        <v/>
      </c>
      <c r="K64" s="12">
        <f>MAX(0,I64-F64)*E64</f>
        <v/>
      </c>
      <c r="L64" s="12" t="n">
        <v>1116279.06976744</v>
      </c>
      <c r="M64" s="12" t="n">
        <v>16279.06976743997</v>
      </c>
    </row>
    <row r="65">
      <c r="A65" s="8" t="inlineStr">
        <is>
          <t>Q1</t>
        </is>
      </c>
      <c r="B65" s="8" t="inlineStr">
        <is>
          <t>Ibadan → Oyo</t>
        </is>
      </c>
      <c r="C65" s="8" t="inlineStr">
        <is>
          <t>Haulage</t>
        </is>
      </c>
      <c r="D65" s="8" t="inlineStr">
        <is>
          <t>JUBAILI AGROTEC</t>
        </is>
      </c>
      <c r="E65" s="8" t="n">
        <v>1</v>
      </c>
      <c r="F65" s="12" t="n">
        <v>279069.76744186</v>
      </c>
      <c r="G65" s="8" t="inlineStr">
        <is>
          <t>NBL</t>
        </is>
      </c>
      <c r="H65" s="8" t="n">
        <v>1</v>
      </c>
      <c r="I65" s="12" t="n">
        <v>283860</v>
      </c>
      <c r="J65" s="10">
        <f>F65/I65</f>
        <v/>
      </c>
      <c r="K65" s="12">
        <f>MAX(0,I65-F65)*E65</f>
        <v/>
      </c>
      <c r="L65" s="12" t="n">
        <v>283860</v>
      </c>
      <c r="M65" s="12" t="n">
        <v>4790.232558140007</v>
      </c>
    </row>
    <row r="66">
      <c r="D66" s="17" t="inlineStr">
        <is>
          <t>Total</t>
        </is>
      </c>
      <c r="K66" s="18">
        <f>SUM(K4:K65)</f>
        <v/>
      </c>
      <c r="M66" s="18">
        <f>SUM(M4:M65)</f>
        <v/>
      </c>
    </row>
  </sheetData>
  <autoFilter ref="A3:M65"/>
  <conditionalFormatting sqref="J4:J65">
    <cfRule type="colorScale" priority="1">
      <colorScale>
        <cfvo type="num" val="0.5"/>
        <cfvo type="num" val="0.8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52" customWidth="1" min="4" max="4"/>
  </cols>
  <sheetData>
    <row r="1">
      <c r="A1" s="5" t="inlineStr">
        <is>
          <t>Turnaround time — one leg (drop point → loading bay)</t>
        </is>
      </c>
    </row>
    <row r="2">
      <c r="A2" s="6" t="inlineStr">
        <is>
          <t>Your table. Edit any Days value (yellow) and the truck requirement recalculates. Add new routes at the bottom; the Key fills itself.</t>
        </is>
      </c>
    </row>
    <row r="4" ht="45" customHeight="1">
      <c r="A4" s="7" t="inlineStr">
        <is>
          <t>From (drop point)</t>
        </is>
      </c>
      <c r="B4" s="7" t="inlineStr">
        <is>
          <t>To (loading bay)</t>
        </is>
      </c>
      <c r="C4" s="7" t="inlineStr">
        <is>
          <t>Days (one leg)</t>
        </is>
      </c>
      <c r="D4" s="7" t="inlineStr">
        <is>
          <t>Key</t>
        </is>
      </c>
    </row>
    <row r="5">
      <c r="A5" s="8" t="inlineStr">
        <is>
          <t>Abuja</t>
        </is>
      </c>
      <c r="B5" s="8" t="inlineStr">
        <is>
          <t>APAPA</t>
        </is>
      </c>
      <c r="C5" s="27" t="n">
        <v>2</v>
      </c>
      <c r="D5" s="8">
        <f>UPPER(A5)&amp;"&gt;"&amp;UPPER(B5)</f>
        <v/>
      </c>
    </row>
    <row r="6">
      <c r="A6" s="8" t="inlineStr">
        <is>
          <t>Warri</t>
        </is>
      </c>
      <c r="B6" s="8" t="inlineStr">
        <is>
          <t>APAPA</t>
        </is>
      </c>
      <c r="C6" s="27" t="n">
        <v>1</v>
      </c>
      <c r="D6" s="8">
        <f>UPPER(A6)&amp;"&gt;"&amp;UPPER(B6)</f>
        <v/>
      </c>
    </row>
    <row r="7">
      <c r="A7" s="8" t="inlineStr">
        <is>
          <t>Abuja</t>
        </is>
      </c>
      <c r="B7" s="8" t="inlineStr">
        <is>
          <t>Abuja</t>
        </is>
      </c>
      <c r="C7" s="27" t="n">
        <v>1</v>
      </c>
      <c r="D7" s="8">
        <f>UPPER(A7)&amp;"&gt;"&amp;UPPER(B7)</f>
        <v/>
      </c>
    </row>
    <row r="8">
      <c r="A8" s="8" t="inlineStr">
        <is>
          <t>ABAJI</t>
        </is>
      </c>
      <c r="B8" s="8" t="inlineStr">
        <is>
          <t>IBADAN</t>
        </is>
      </c>
      <c r="C8" s="27" t="n">
        <v>2</v>
      </c>
      <c r="D8" s="8">
        <f>UPPER(A8)&amp;"&gt;"&amp;UPPER(B8)</f>
        <v/>
      </c>
    </row>
    <row r="9">
      <c r="A9" s="8" t="inlineStr">
        <is>
          <t>AYANGBA</t>
        </is>
      </c>
      <c r="B9" s="8" t="inlineStr">
        <is>
          <t>IBADAN</t>
        </is>
      </c>
      <c r="C9" s="27" t="n">
        <v>2</v>
      </c>
      <c r="D9" s="8">
        <f>UPPER(A9)&amp;"&gt;"&amp;UPPER(B9)</f>
        <v/>
      </c>
    </row>
    <row r="10">
      <c r="A10" s="8" t="inlineStr">
        <is>
          <t>Aba</t>
        </is>
      </c>
      <c r="B10" s="8" t="inlineStr">
        <is>
          <t>IBADAN</t>
        </is>
      </c>
      <c r="C10" s="27" t="n">
        <v>2</v>
      </c>
      <c r="D10" s="8">
        <f>UPPER(A10)&amp;"&gt;"&amp;UPPER(B10)</f>
        <v/>
      </c>
    </row>
    <row r="11">
      <c r="A11" s="8" t="inlineStr">
        <is>
          <t>Abakalike</t>
        </is>
      </c>
      <c r="B11" s="8" t="inlineStr">
        <is>
          <t>IBADAN</t>
        </is>
      </c>
      <c r="C11" s="27" t="n">
        <v>2</v>
      </c>
      <c r="D11" s="8">
        <f>UPPER(A11)&amp;"&gt;"&amp;UPPER(B11)</f>
        <v/>
      </c>
    </row>
    <row r="12">
      <c r="A12" s="8" t="inlineStr">
        <is>
          <t>Abuja</t>
        </is>
      </c>
      <c r="B12" s="8" t="inlineStr">
        <is>
          <t>IBADAN</t>
        </is>
      </c>
      <c r="C12" s="27" t="n">
        <v>2</v>
      </c>
      <c r="D12" s="8">
        <f>UPPER(A12)&amp;"&gt;"&amp;UPPER(B12)</f>
        <v/>
      </c>
    </row>
    <row r="13">
      <c r="A13" s="8" t="inlineStr">
        <is>
          <t>Agbor</t>
        </is>
      </c>
      <c r="B13" s="8" t="inlineStr">
        <is>
          <t>IBADAN</t>
        </is>
      </c>
      <c r="C13" s="27" t="n">
        <v>1</v>
      </c>
      <c r="D13" s="8">
        <f>UPPER(A13)&amp;"&gt;"&amp;UPPER(B13)</f>
        <v/>
      </c>
    </row>
    <row r="14">
      <c r="A14" s="8" t="inlineStr">
        <is>
          <t>Bauchi</t>
        </is>
      </c>
      <c r="B14" s="8" t="inlineStr">
        <is>
          <t>IBADAN</t>
        </is>
      </c>
      <c r="C14" s="27" t="n">
        <v>3</v>
      </c>
      <c r="D14" s="8">
        <f>UPPER(A14)&amp;"&gt;"&amp;UPPER(B14)</f>
        <v/>
      </c>
    </row>
    <row r="15">
      <c r="A15" s="8" t="inlineStr">
        <is>
          <t>Bida</t>
        </is>
      </c>
      <c r="B15" s="8" t="inlineStr">
        <is>
          <t>IBADAN</t>
        </is>
      </c>
      <c r="C15" s="27" t="n">
        <v>1</v>
      </c>
      <c r="D15" s="8">
        <f>UPPER(A15)&amp;"&gt;"&amp;UPPER(B15)</f>
        <v/>
      </c>
    </row>
    <row r="16">
      <c r="A16" s="8" t="inlineStr">
        <is>
          <t>Ekpoma</t>
        </is>
      </c>
      <c r="B16" s="8" t="inlineStr">
        <is>
          <t>IBADAN</t>
        </is>
      </c>
      <c r="C16" s="27" t="n">
        <v>1</v>
      </c>
      <c r="D16" s="8">
        <f>UPPER(A16)&amp;"&gt;"&amp;UPPER(B16)</f>
        <v/>
      </c>
    </row>
    <row r="17">
      <c r="A17" s="8" t="inlineStr">
        <is>
          <t>FUNTUA</t>
        </is>
      </c>
      <c r="B17" s="8" t="inlineStr">
        <is>
          <t>IBADAN</t>
        </is>
      </c>
      <c r="C17" s="27" t="n">
        <v>2</v>
      </c>
      <c r="D17" s="8">
        <f>UPPER(A17)&amp;"&gt;"&amp;UPPER(B17)</f>
        <v/>
      </c>
    </row>
    <row r="18">
      <c r="A18" s="8" t="inlineStr">
        <is>
          <t>GANYE</t>
        </is>
      </c>
      <c r="B18" s="8" t="inlineStr">
        <is>
          <t>IBADAN</t>
        </is>
      </c>
      <c r="C18" s="27" t="n">
        <v>4</v>
      </c>
      <c r="D18" s="8">
        <f>UPPER(A18)&amp;"&gt;"&amp;UPPER(B18)</f>
        <v/>
      </c>
    </row>
    <row r="19">
      <c r="A19" s="8" t="inlineStr">
        <is>
          <t>GBOKO</t>
        </is>
      </c>
      <c r="B19" s="8" t="inlineStr">
        <is>
          <t>IBADAN</t>
        </is>
      </c>
      <c r="C19" s="27" t="n">
        <v>2</v>
      </c>
      <c r="D19" s="8">
        <f>UPPER(A19)&amp;"&gt;"&amp;UPPER(B19)</f>
        <v/>
      </c>
    </row>
    <row r="20">
      <c r="A20" s="8" t="inlineStr">
        <is>
          <t>Gombe</t>
        </is>
      </c>
      <c r="B20" s="8" t="inlineStr">
        <is>
          <t>IBADAN</t>
        </is>
      </c>
      <c r="C20" s="27" t="n">
        <v>4</v>
      </c>
      <c r="D20" s="8">
        <f>UPPER(A20)&amp;"&gt;"&amp;UPPER(B20)</f>
        <v/>
      </c>
    </row>
    <row r="21">
      <c r="A21" s="8" t="inlineStr">
        <is>
          <t>Gusau</t>
        </is>
      </c>
      <c r="B21" s="8" t="inlineStr">
        <is>
          <t>IBADAN</t>
        </is>
      </c>
      <c r="C21" s="27" t="n">
        <v>3</v>
      </c>
      <c r="D21" s="8">
        <f>UPPER(A21)&amp;"&gt;"&amp;UPPER(B21)</f>
        <v/>
      </c>
    </row>
    <row r="22">
      <c r="A22" s="8" t="inlineStr">
        <is>
          <t>IDAH</t>
        </is>
      </c>
      <c r="B22" s="8" t="inlineStr">
        <is>
          <t>IBADAN</t>
        </is>
      </c>
      <c r="C22" s="27" t="n">
        <v>2</v>
      </c>
      <c r="D22" s="8">
        <f>UPPER(A22)&amp;"&gt;"&amp;UPPER(B22)</f>
        <v/>
      </c>
    </row>
    <row r="23">
      <c r="A23" s="8" t="inlineStr">
        <is>
          <t>Ibadan</t>
        </is>
      </c>
      <c r="B23" s="8" t="inlineStr">
        <is>
          <t>IBADAN</t>
        </is>
      </c>
      <c r="C23" s="27" t="n">
        <v>1</v>
      </c>
      <c r="D23" s="8">
        <f>UPPER(A23)&amp;"&gt;"&amp;UPPER(B23)</f>
        <v/>
      </c>
    </row>
    <row r="24">
      <c r="A24" s="8" t="inlineStr">
        <is>
          <t>Jalingo</t>
        </is>
      </c>
      <c r="B24" s="8" t="inlineStr">
        <is>
          <t>IBADAN</t>
        </is>
      </c>
      <c r="C24" s="27" t="n">
        <v>4</v>
      </c>
      <c r="D24" s="8">
        <f>UPPER(A24)&amp;"&gt;"&amp;UPPER(B24)</f>
        <v/>
      </c>
    </row>
    <row r="25">
      <c r="A25" s="8" t="inlineStr">
        <is>
          <t>Jos</t>
        </is>
      </c>
      <c r="B25" s="8" t="inlineStr">
        <is>
          <t>IBADAN</t>
        </is>
      </c>
      <c r="C25" s="27" t="n">
        <v>3</v>
      </c>
      <c r="D25" s="8">
        <f>UPPER(A25)&amp;"&gt;"&amp;UPPER(B25)</f>
        <v/>
      </c>
    </row>
    <row r="26">
      <c r="A26" s="8" t="inlineStr">
        <is>
          <t>KABBA</t>
        </is>
      </c>
      <c r="B26" s="8" t="inlineStr">
        <is>
          <t>IBADAN</t>
        </is>
      </c>
      <c r="C26" s="27" t="n">
        <v>1</v>
      </c>
      <c r="D26" s="8">
        <f>UPPER(A26)&amp;"&gt;"&amp;UPPER(B26)</f>
        <v/>
      </c>
    </row>
    <row r="27">
      <c r="A27" s="8" t="inlineStr">
        <is>
          <t>KOKO</t>
        </is>
      </c>
      <c r="B27" s="8" t="inlineStr">
        <is>
          <t>IBADAN</t>
        </is>
      </c>
      <c r="C27" s="27" t="n">
        <v>2</v>
      </c>
      <c r="D27" s="8">
        <f>UPPER(A27)&amp;"&gt;"&amp;UPPER(B27)</f>
        <v/>
      </c>
    </row>
    <row r="28">
      <c r="A28" s="8" t="inlineStr">
        <is>
          <t>KONTANGORA</t>
        </is>
      </c>
      <c r="B28" s="8" t="inlineStr">
        <is>
          <t>IBADAN</t>
        </is>
      </c>
      <c r="C28" s="27" t="n">
        <v>2</v>
      </c>
      <c r="D28" s="8">
        <f>UPPER(A28)&amp;"&gt;"&amp;UPPER(B28)</f>
        <v/>
      </c>
    </row>
    <row r="29">
      <c r="A29" s="8" t="inlineStr">
        <is>
          <t>Kaduna</t>
        </is>
      </c>
      <c r="B29" s="8" t="inlineStr">
        <is>
          <t>IBADAN</t>
        </is>
      </c>
      <c r="C29" s="27" t="n">
        <v>2</v>
      </c>
      <c r="D29" s="8">
        <f>UPPER(A29)&amp;"&gt;"&amp;UPPER(B29)</f>
        <v/>
      </c>
    </row>
    <row r="30">
      <c r="A30" s="8" t="inlineStr">
        <is>
          <t>Kano</t>
        </is>
      </c>
      <c r="B30" s="8" t="inlineStr">
        <is>
          <t>IBADAN</t>
        </is>
      </c>
      <c r="C30" s="27" t="n">
        <v>3</v>
      </c>
      <c r="D30" s="8">
        <f>UPPER(A30)&amp;"&gt;"&amp;UPPER(B30)</f>
        <v/>
      </c>
    </row>
    <row r="31">
      <c r="A31" s="8" t="inlineStr">
        <is>
          <t>Keffi</t>
        </is>
      </c>
      <c r="B31" s="8" t="inlineStr">
        <is>
          <t>IBADAN</t>
        </is>
      </c>
      <c r="C31" s="27" t="n">
        <v>2</v>
      </c>
      <c r="D31" s="8">
        <f>UPPER(A31)&amp;"&gt;"&amp;UPPER(B31)</f>
        <v/>
      </c>
    </row>
    <row r="32">
      <c r="A32" s="8" t="inlineStr">
        <is>
          <t>LAFIA</t>
        </is>
      </c>
      <c r="B32" s="8" t="inlineStr">
        <is>
          <t>IBADAN</t>
        </is>
      </c>
      <c r="C32" s="27" t="n">
        <v>3</v>
      </c>
      <c r="D32" s="8">
        <f>UPPER(A32)&amp;"&gt;"&amp;UPPER(B32)</f>
        <v/>
      </c>
    </row>
    <row r="33">
      <c r="A33" s="8" t="inlineStr">
        <is>
          <t>Lokoja</t>
        </is>
      </c>
      <c r="B33" s="8" t="inlineStr">
        <is>
          <t>IBADAN</t>
        </is>
      </c>
      <c r="C33" s="27" t="n">
        <v>2</v>
      </c>
      <c r="D33" s="8">
        <f>UPPER(A33)&amp;"&gt;"&amp;UPPER(B33)</f>
        <v/>
      </c>
    </row>
    <row r="34">
      <c r="A34" s="8" t="inlineStr">
        <is>
          <t>Maiduguri</t>
        </is>
      </c>
      <c r="B34" s="8" t="inlineStr">
        <is>
          <t>IBADAN</t>
        </is>
      </c>
      <c r="C34" s="27" t="n">
        <v>5</v>
      </c>
      <c r="D34" s="8">
        <f>UPPER(A34)&amp;"&gt;"&amp;UPPER(B34)</f>
        <v/>
      </c>
    </row>
    <row r="35">
      <c r="A35" s="8" t="inlineStr">
        <is>
          <t>Makurdi</t>
        </is>
      </c>
      <c r="B35" s="8" t="inlineStr">
        <is>
          <t>IBADAN</t>
        </is>
      </c>
      <c r="C35" s="27" t="n">
        <v>2</v>
      </c>
      <c r="D35" s="8">
        <f>UPPER(A35)&amp;"&gt;"&amp;UPPER(B35)</f>
        <v/>
      </c>
    </row>
    <row r="36">
      <c r="A36" s="8" t="inlineStr">
        <is>
          <t>Minna</t>
        </is>
      </c>
      <c r="B36" s="8" t="inlineStr">
        <is>
          <t>IBADAN</t>
        </is>
      </c>
      <c r="C36" s="27" t="n">
        <v>2</v>
      </c>
      <c r="D36" s="8">
        <f>UPPER(A36)&amp;"&gt;"&amp;UPPER(B36)</f>
        <v/>
      </c>
    </row>
    <row r="37">
      <c r="A37" s="8" t="inlineStr">
        <is>
          <t>Mubi</t>
        </is>
      </c>
      <c r="B37" s="8" t="inlineStr">
        <is>
          <t>IBADAN</t>
        </is>
      </c>
      <c r="C37" s="27" t="n">
        <v>5</v>
      </c>
      <c r="D37" s="8">
        <f>UPPER(A37)&amp;"&gt;"&amp;UPPER(B37)</f>
        <v/>
      </c>
    </row>
    <row r="38">
      <c r="A38" s="8" t="inlineStr">
        <is>
          <t>Onitsha</t>
        </is>
      </c>
      <c r="B38" s="8" t="inlineStr">
        <is>
          <t>IBADAN</t>
        </is>
      </c>
      <c r="C38" s="27" t="n">
        <v>2</v>
      </c>
      <c r="D38" s="8">
        <f>UPPER(A38)&amp;"&gt;"&amp;UPPER(B38)</f>
        <v/>
      </c>
    </row>
    <row r="39">
      <c r="A39" s="8" t="inlineStr">
        <is>
          <t>Otukpo</t>
        </is>
      </c>
      <c r="B39" s="8" t="inlineStr">
        <is>
          <t>IBADAN</t>
        </is>
      </c>
      <c r="C39" s="27" t="n">
        <v>2</v>
      </c>
      <c r="D39" s="8">
        <f>UPPER(A39)&amp;"&gt;"&amp;UPPER(B39)</f>
        <v/>
      </c>
    </row>
    <row r="40">
      <c r="A40" s="8" t="inlineStr">
        <is>
          <t>POTISKUM</t>
        </is>
      </c>
      <c r="B40" s="8" t="inlineStr">
        <is>
          <t>IBADAN</t>
        </is>
      </c>
      <c r="C40" s="27" t="n">
        <v>4</v>
      </c>
      <c r="D40" s="8">
        <f>UPPER(A40)&amp;"&gt;"&amp;UPPER(B40)</f>
        <v/>
      </c>
    </row>
    <row r="41">
      <c r="A41" s="8" t="inlineStr">
        <is>
          <t>SAMINAKA</t>
        </is>
      </c>
      <c r="B41" s="8" t="inlineStr">
        <is>
          <t>IBADAN</t>
        </is>
      </c>
      <c r="C41" s="27" t="n">
        <v>3</v>
      </c>
      <c r="D41" s="8">
        <f>UPPER(A41)&amp;"&gt;"&amp;UPPER(B41)</f>
        <v/>
      </c>
    </row>
    <row r="42">
      <c r="A42" s="8" t="inlineStr">
        <is>
          <t>SHANDAM</t>
        </is>
      </c>
      <c r="B42" s="8" t="inlineStr">
        <is>
          <t>IBADAN</t>
        </is>
      </c>
      <c r="C42" s="27" t="n">
        <v>3</v>
      </c>
      <c r="D42" s="8">
        <f>UPPER(A42)&amp;"&gt;"&amp;UPPER(B42)</f>
        <v/>
      </c>
    </row>
    <row r="43">
      <c r="A43" s="8" t="inlineStr">
        <is>
          <t>Sokoto</t>
        </is>
      </c>
      <c r="B43" s="8" t="inlineStr">
        <is>
          <t>IBADAN</t>
        </is>
      </c>
      <c r="C43" s="27" t="n">
        <v>3</v>
      </c>
      <c r="D43" s="8">
        <f>UPPER(A43)&amp;"&gt;"&amp;UPPER(B43)</f>
        <v/>
      </c>
    </row>
    <row r="44">
      <c r="A44" s="8" t="inlineStr">
        <is>
          <t>Suleja</t>
        </is>
      </c>
      <c r="B44" s="8" t="inlineStr">
        <is>
          <t>IBADAN</t>
        </is>
      </c>
      <c r="C44" s="27" t="n">
        <v>2</v>
      </c>
      <c r="D44" s="8">
        <f>UPPER(A44)&amp;"&gt;"&amp;UPPER(B44)</f>
        <v/>
      </c>
    </row>
    <row r="45">
      <c r="A45" s="8" t="inlineStr">
        <is>
          <t>Takum</t>
        </is>
      </c>
      <c r="B45" s="8" t="inlineStr">
        <is>
          <t>IBADAN</t>
        </is>
      </c>
      <c r="C45" s="27" t="n">
        <v>3</v>
      </c>
      <c r="D45" s="8">
        <f>UPPER(A45)&amp;"&gt;"&amp;UPPER(B45)</f>
        <v/>
      </c>
    </row>
    <row r="46">
      <c r="A46" s="8" t="inlineStr">
        <is>
          <t>Tigina</t>
        </is>
      </c>
      <c r="B46" s="8" t="inlineStr">
        <is>
          <t>IBADAN</t>
        </is>
      </c>
      <c r="C46" s="27" t="n">
        <v>2</v>
      </c>
      <c r="D46" s="8">
        <f>UPPER(A46)&amp;"&gt;"&amp;UPPER(B46)</f>
        <v/>
      </c>
    </row>
    <row r="47">
      <c r="A47" s="8" t="inlineStr">
        <is>
          <t>Wukari</t>
        </is>
      </c>
      <c r="B47" s="8" t="inlineStr">
        <is>
          <t>IBADAN</t>
        </is>
      </c>
      <c r="C47" s="27" t="n">
        <v>3</v>
      </c>
      <c r="D47" s="8">
        <f>UPPER(A47)&amp;"&gt;"&amp;UPPER(B47)</f>
        <v/>
      </c>
    </row>
    <row r="48">
      <c r="A48" s="8" t="inlineStr">
        <is>
          <t>YAURI</t>
        </is>
      </c>
      <c r="B48" s="8" t="inlineStr">
        <is>
          <t>IBADAN</t>
        </is>
      </c>
      <c r="C48" s="27" t="n">
        <v>2</v>
      </c>
      <c r="D48" s="8">
        <f>UPPER(A48)&amp;"&gt;"&amp;UPPER(B48)</f>
        <v/>
      </c>
    </row>
    <row r="49">
      <c r="A49" s="8" t="inlineStr">
        <is>
          <t>Yola</t>
        </is>
      </c>
      <c r="B49" s="8" t="inlineStr">
        <is>
          <t>IBADAN</t>
        </is>
      </c>
      <c r="C49" s="27" t="n">
        <v>5</v>
      </c>
      <c r="D49" s="8">
        <f>UPPER(A49)&amp;"&gt;"&amp;UPPER(B49)</f>
        <v/>
      </c>
    </row>
    <row r="50">
      <c r="A50" s="8" t="inlineStr">
        <is>
          <t>Zaria</t>
        </is>
      </c>
      <c r="B50" s="8" t="inlineStr">
        <is>
          <t>IBADAN</t>
        </is>
      </c>
      <c r="C50" s="27" t="n">
        <v>3</v>
      </c>
      <c r="D50" s="8">
        <f>UPPER(A50)&amp;"&gt;"&amp;UPPER(B50)</f>
        <v/>
      </c>
    </row>
    <row r="51">
      <c r="A51" s="8" t="inlineStr">
        <is>
          <t>OGERE</t>
        </is>
      </c>
      <c r="B51" s="8" t="inlineStr">
        <is>
          <t>Keffi</t>
        </is>
      </c>
      <c r="C51" s="27" t="n">
        <v>1</v>
      </c>
      <c r="D51" s="8">
        <f>UPPER(A51)&amp;"&gt;"&amp;UPPER(B51)</f>
        <v/>
      </c>
    </row>
    <row r="52">
      <c r="A52" s="8" t="inlineStr">
        <is>
          <t>ABEOKUTA</t>
        </is>
      </c>
      <c r="B52" s="8" t="inlineStr">
        <is>
          <t>Lagos</t>
        </is>
      </c>
      <c r="C52" s="27" t="n">
        <v>1</v>
      </c>
      <c r="D52" s="8">
        <f>UPPER(A52)&amp;"&gt;"&amp;UPPER(B52)</f>
        <v/>
      </c>
    </row>
    <row r="53">
      <c r="A53" s="8" t="inlineStr">
        <is>
          <t>AGBARA</t>
        </is>
      </c>
      <c r="B53" s="8" t="inlineStr">
        <is>
          <t>Lagos</t>
        </is>
      </c>
      <c r="C53" s="27" t="n">
        <v>1</v>
      </c>
      <c r="D53" s="8">
        <f>UPPER(A53)&amp;"&gt;"&amp;UPPER(B53)</f>
        <v/>
      </c>
    </row>
    <row r="54">
      <c r="A54" s="8" t="inlineStr">
        <is>
          <t>AGBARA-BADAGRI</t>
        </is>
      </c>
      <c r="B54" s="8" t="inlineStr">
        <is>
          <t>Lagos</t>
        </is>
      </c>
      <c r="C54" s="27" t="n">
        <v>1</v>
      </c>
      <c r="D54" s="8">
        <f>UPPER(A54)&amp;"&gt;"&amp;UPPER(B54)</f>
        <v/>
      </c>
    </row>
    <row r="55">
      <c r="A55" s="8" t="inlineStr">
        <is>
          <t>AJAO ESTATE</t>
        </is>
      </c>
      <c r="B55" s="8" t="inlineStr">
        <is>
          <t>Lagos</t>
        </is>
      </c>
      <c r="C55" s="27" t="n">
        <v>1</v>
      </c>
      <c r="D55" s="8">
        <f>UPPER(A55)&amp;"&gt;"&amp;UPPER(B55)</f>
        <v/>
      </c>
    </row>
    <row r="56">
      <c r="A56" s="8" t="inlineStr">
        <is>
          <t>ALABA</t>
        </is>
      </c>
      <c r="B56" s="8" t="inlineStr">
        <is>
          <t>Lagos</t>
        </is>
      </c>
      <c r="C56" s="27" t="n">
        <v>1</v>
      </c>
      <c r="D56" s="8">
        <f>UPPER(A56)&amp;"&gt;"&amp;UPPER(B56)</f>
        <v/>
      </c>
    </row>
    <row r="57">
      <c r="A57" s="8" t="inlineStr">
        <is>
          <t>AMUWO</t>
        </is>
      </c>
      <c r="B57" s="8" t="inlineStr">
        <is>
          <t>Lagos</t>
        </is>
      </c>
      <c r="C57" s="27" t="n">
        <v>1</v>
      </c>
      <c r="D57" s="8">
        <f>UPPER(A57)&amp;"&gt;"&amp;UPPER(B57)</f>
        <v/>
      </c>
    </row>
    <row r="58">
      <c r="A58" s="8" t="inlineStr">
        <is>
          <t>APAPA</t>
        </is>
      </c>
      <c r="B58" s="8" t="inlineStr">
        <is>
          <t>Lagos</t>
        </is>
      </c>
      <c r="C58" s="27" t="n">
        <v>1</v>
      </c>
      <c r="D58" s="8">
        <f>UPPER(A58)&amp;"&gt;"&amp;UPPER(B58)</f>
        <v/>
      </c>
    </row>
    <row r="59">
      <c r="A59" s="8" t="inlineStr">
        <is>
          <t>ASABA</t>
        </is>
      </c>
      <c r="B59" s="8" t="inlineStr">
        <is>
          <t>Lagos</t>
        </is>
      </c>
      <c r="C59" s="27" t="n">
        <v>1</v>
      </c>
      <c r="D59" s="8">
        <f>UPPER(A59)&amp;"&gt;"&amp;UPPER(B59)</f>
        <v/>
      </c>
    </row>
    <row r="60">
      <c r="A60" s="8" t="inlineStr">
        <is>
          <t>Aba</t>
        </is>
      </c>
      <c r="B60" s="8" t="inlineStr">
        <is>
          <t>Lagos</t>
        </is>
      </c>
      <c r="C60" s="27" t="n">
        <v>2</v>
      </c>
      <c r="D60" s="8">
        <f>UPPER(A60)&amp;"&gt;"&amp;UPPER(B60)</f>
        <v/>
      </c>
    </row>
    <row r="61">
      <c r="A61" s="8" t="inlineStr">
        <is>
          <t>Abak</t>
        </is>
      </c>
      <c r="B61" s="8" t="inlineStr">
        <is>
          <t>Lagos</t>
        </is>
      </c>
      <c r="C61" s="27" t="n">
        <v>2</v>
      </c>
      <c r="D61" s="8">
        <f>UPPER(A61)&amp;"&gt;"&amp;UPPER(B61)</f>
        <v/>
      </c>
    </row>
    <row r="62">
      <c r="A62" s="8" t="inlineStr">
        <is>
          <t>Abakalike</t>
        </is>
      </c>
      <c r="B62" s="8" t="inlineStr">
        <is>
          <t>Lagos</t>
        </is>
      </c>
      <c r="C62" s="27" t="n">
        <v>2</v>
      </c>
      <c r="D62" s="8">
        <f>UPPER(A62)&amp;"&gt;"&amp;UPPER(B62)</f>
        <v/>
      </c>
    </row>
    <row r="63">
      <c r="A63" s="8" t="inlineStr">
        <is>
          <t>Abakaliki</t>
        </is>
      </c>
      <c r="B63" s="8" t="inlineStr">
        <is>
          <t>Lagos</t>
        </is>
      </c>
      <c r="C63" s="27" t="n">
        <v>2</v>
      </c>
      <c r="D63" s="8">
        <f>UPPER(A63)&amp;"&gt;"&amp;UPPER(B63)</f>
        <v/>
      </c>
    </row>
    <row r="64">
      <c r="A64" s="8" t="inlineStr">
        <is>
          <t>Abuja</t>
        </is>
      </c>
      <c r="B64" s="8" t="inlineStr">
        <is>
          <t>Lagos</t>
        </is>
      </c>
      <c r="C64" s="27" t="n">
        <v>3</v>
      </c>
      <c r="D64" s="8">
        <f>UPPER(A64)&amp;"&gt;"&amp;UPPER(B64)</f>
        <v/>
      </c>
    </row>
    <row r="65">
      <c r="A65" s="8" t="inlineStr">
        <is>
          <t>Abule-EGBA-Ijayi-Moshalasi-Kola-Sango</t>
        </is>
      </c>
      <c r="B65" s="8" t="inlineStr">
        <is>
          <t>Lagos</t>
        </is>
      </c>
      <c r="C65" s="27" t="n">
        <v>1</v>
      </c>
      <c r="D65" s="8">
        <f>UPPER(A65)&amp;"&gt;"&amp;UPPER(B65)</f>
        <v/>
      </c>
    </row>
    <row r="66">
      <c r="A66" s="8" t="inlineStr">
        <is>
          <t>Adikpo</t>
        </is>
      </c>
      <c r="B66" s="8" t="inlineStr">
        <is>
          <t>Lagos</t>
        </is>
      </c>
      <c r="C66" s="27" t="n">
        <v>3</v>
      </c>
      <c r="D66" s="8">
        <f>UPPER(A66)&amp;"&gt;"&amp;UPPER(B66)</f>
        <v/>
      </c>
    </row>
    <row r="67">
      <c r="A67" s="8" t="inlineStr">
        <is>
          <t>Ado ekiti</t>
        </is>
      </c>
      <c r="B67" s="8" t="inlineStr">
        <is>
          <t>Lagos</t>
        </is>
      </c>
      <c r="C67" s="27" t="n">
        <v>1</v>
      </c>
      <c r="D67" s="8">
        <f>UPPER(A67)&amp;"&gt;"&amp;UPPER(B67)</f>
        <v/>
      </c>
    </row>
    <row r="68">
      <c r="A68" s="8" t="inlineStr">
        <is>
          <t>Ado-Ekiti</t>
        </is>
      </c>
      <c r="B68" s="8" t="inlineStr">
        <is>
          <t>Lagos</t>
        </is>
      </c>
      <c r="C68" s="27" t="n">
        <v>1</v>
      </c>
      <c r="D68" s="8">
        <f>UPPER(A68)&amp;"&gt;"&amp;UPPER(B68)</f>
        <v/>
      </c>
    </row>
    <row r="69">
      <c r="A69" s="8" t="inlineStr">
        <is>
          <t>Ajaokuta</t>
        </is>
      </c>
      <c r="B69" s="8" t="inlineStr">
        <is>
          <t>Lagos</t>
        </is>
      </c>
      <c r="C69" s="27" t="n">
        <v>2</v>
      </c>
      <c r="D69" s="8">
        <f>UPPER(A69)&amp;"&gt;"&amp;UPPER(B69)</f>
        <v/>
      </c>
    </row>
    <row r="70">
      <c r="A70" s="8" t="inlineStr">
        <is>
          <t>Akure</t>
        </is>
      </c>
      <c r="B70" s="8" t="inlineStr">
        <is>
          <t>Lagos</t>
        </is>
      </c>
      <c r="C70" s="27" t="n">
        <v>1</v>
      </c>
      <c r="D70" s="8">
        <f>UPPER(A70)&amp;"&gt;"&amp;UPPER(B70)</f>
        <v/>
      </c>
    </row>
    <row r="71">
      <c r="A71" s="8" t="inlineStr">
        <is>
          <t>Akwanga</t>
        </is>
      </c>
      <c r="B71" s="8" t="inlineStr">
        <is>
          <t>Lagos</t>
        </is>
      </c>
      <c r="C71" s="27" t="n">
        <v>3</v>
      </c>
      <c r="D71" s="8">
        <f>UPPER(A71)&amp;"&gt;"&amp;UPPER(B71)</f>
        <v/>
      </c>
    </row>
    <row r="72">
      <c r="A72" s="8" t="inlineStr">
        <is>
          <t>Auchi</t>
        </is>
      </c>
      <c r="B72" s="8" t="inlineStr">
        <is>
          <t>Lagos</t>
        </is>
      </c>
      <c r="C72" s="27" t="n">
        <v>1</v>
      </c>
      <c r="D72" s="8">
        <f>UPPER(A72)&amp;"&gt;"&amp;UPPER(B72)</f>
        <v/>
      </c>
    </row>
    <row r="73">
      <c r="A73" s="8" t="inlineStr">
        <is>
          <t>Awka</t>
        </is>
      </c>
      <c r="B73" s="8" t="inlineStr">
        <is>
          <t>Lagos</t>
        </is>
      </c>
      <c r="C73" s="27" t="n">
        <v>2</v>
      </c>
      <c r="D73" s="8">
        <f>UPPER(A73)&amp;"&gt;"&amp;UPPER(B73)</f>
        <v/>
      </c>
    </row>
    <row r="74">
      <c r="A74" s="8" t="inlineStr">
        <is>
          <t>Ayangba</t>
        </is>
      </c>
      <c r="B74" s="8" t="inlineStr">
        <is>
          <t>Lagos</t>
        </is>
      </c>
      <c r="C74" s="27" t="n">
        <v>2</v>
      </c>
      <c r="D74" s="8">
        <f>UPPER(A74)&amp;"&gt;"&amp;UPPER(B74)</f>
        <v/>
      </c>
    </row>
    <row r="75">
      <c r="A75" s="8" t="inlineStr">
        <is>
          <t>Bauchi</t>
        </is>
      </c>
      <c r="B75" s="8" t="inlineStr">
        <is>
          <t>Lagos</t>
        </is>
      </c>
      <c r="C75" s="27" t="n">
        <v>4</v>
      </c>
      <c r="D75" s="8">
        <f>UPPER(A75)&amp;"&gt;"&amp;UPPER(B75)</f>
        <v/>
      </c>
    </row>
    <row r="76">
      <c r="A76" s="8" t="inlineStr">
        <is>
          <t>Benin</t>
        </is>
      </c>
      <c r="B76" s="8" t="inlineStr">
        <is>
          <t>Lagos</t>
        </is>
      </c>
      <c r="C76" s="27" t="n">
        <v>1</v>
      </c>
      <c r="D76" s="8">
        <f>UPPER(A76)&amp;"&gt;"&amp;UPPER(B76)</f>
        <v/>
      </c>
    </row>
    <row r="77">
      <c r="A77" s="8" t="inlineStr">
        <is>
          <t>Benin City</t>
        </is>
      </c>
      <c r="B77" s="8" t="inlineStr">
        <is>
          <t>Lagos</t>
        </is>
      </c>
      <c r="C77" s="27" t="n">
        <v>1</v>
      </c>
      <c r="D77" s="8">
        <f>UPPER(A77)&amp;"&gt;"&amp;UPPER(B77)</f>
        <v/>
      </c>
    </row>
    <row r="78">
      <c r="A78" s="8" t="inlineStr">
        <is>
          <t>Bida</t>
        </is>
      </c>
      <c r="B78" s="8" t="inlineStr">
        <is>
          <t>Lagos</t>
        </is>
      </c>
      <c r="C78" s="27" t="n">
        <v>2</v>
      </c>
      <c r="D78" s="8">
        <f>UPPER(A78)&amp;"&gt;"&amp;UPPER(B78)</f>
        <v/>
      </c>
    </row>
    <row r="79">
      <c r="A79" s="8" t="inlineStr">
        <is>
          <t>Birnin Kebbi</t>
        </is>
      </c>
      <c r="B79" s="8" t="inlineStr">
        <is>
          <t>Lagos</t>
        </is>
      </c>
      <c r="C79" s="27" t="n">
        <v>3</v>
      </c>
      <c r="D79" s="8">
        <f>UPPER(A79)&amp;"&gt;"&amp;UPPER(B79)</f>
        <v/>
      </c>
    </row>
    <row r="80">
      <c r="A80" s="8" t="inlineStr">
        <is>
          <t>Bori</t>
        </is>
      </c>
      <c r="B80" s="8" t="inlineStr">
        <is>
          <t>Lagos</t>
        </is>
      </c>
      <c r="C80" s="27" t="n">
        <v>2</v>
      </c>
      <c r="D80" s="8">
        <f>UPPER(A80)&amp;"&gt;"&amp;UPPER(B80)</f>
        <v/>
      </c>
    </row>
    <row r="81">
      <c r="A81" s="8" t="inlineStr">
        <is>
          <t>Calabar</t>
        </is>
      </c>
      <c r="B81" s="8" t="inlineStr">
        <is>
          <t>Lagos</t>
        </is>
      </c>
      <c r="C81" s="27" t="n">
        <v>3</v>
      </c>
      <c r="D81" s="8">
        <f>UPPER(A81)&amp;"&gt;"&amp;UPPER(B81)</f>
        <v/>
      </c>
    </row>
    <row r="82">
      <c r="A82" s="8" t="inlineStr">
        <is>
          <t>Chikanda</t>
        </is>
      </c>
      <c r="B82" s="8" t="inlineStr">
        <is>
          <t>Lagos</t>
        </is>
      </c>
      <c r="C82" s="27" t="n">
        <v>2</v>
      </c>
      <c r="D82" s="8">
        <f>UPPER(A82)&amp;"&gt;"&amp;UPPER(B82)</f>
        <v/>
      </c>
    </row>
    <row r="83">
      <c r="A83" s="8" t="inlineStr">
        <is>
          <t>DOPEMU</t>
        </is>
      </c>
      <c r="B83" s="8" t="inlineStr">
        <is>
          <t>Lagos</t>
        </is>
      </c>
      <c r="C83" s="27" t="n">
        <v>1</v>
      </c>
      <c r="D83" s="8">
        <f>UPPER(A83)&amp;"&gt;"&amp;UPPER(B83)</f>
        <v/>
      </c>
    </row>
    <row r="84">
      <c r="A84" s="8" t="inlineStr">
        <is>
          <t>EKITE</t>
        </is>
      </c>
      <c r="B84" s="8" t="inlineStr">
        <is>
          <t>Lagos</t>
        </is>
      </c>
      <c r="C84" s="27" t="n">
        <v>1</v>
      </c>
      <c r="D84" s="8">
        <f>UPPER(A84)&amp;"&gt;"&amp;UPPER(B84)</f>
        <v/>
      </c>
    </row>
    <row r="85">
      <c r="A85" s="8" t="inlineStr">
        <is>
          <t>EPE</t>
        </is>
      </c>
      <c r="B85" s="8" t="inlineStr">
        <is>
          <t>Lagos</t>
        </is>
      </c>
      <c r="C85" s="27" t="n">
        <v>1</v>
      </c>
      <c r="D85" s="8">
        <f>UPPER(A85)&amp;"&gt;"&amp;UPPER(B85)</f>
        <v/>
      </c>
    </row>
    <row r="86">
      <c r="A86" s="8" t="inlineStr">
        <is>
          <t>Ejigbo (Osun)</t>
        </is>
      </c>
      <c r="B86" s="8" t="inlineStr">
        <is>
          <t>Lagos</t>
        </is>
      </c>
      <c r="C86" s="27" t="n">
        <v>1</v>
      </c>
      <c r="D86" s="8">
        <f>UPPER(A86)&amp;"&gt;"&amp;UPPER(B86)</f>
        <v/>
      </c>
    </row>
    <row r="87">
      <c r="A87" s="8" t="inlineStr">
        <is>
          <t>Eket</t>
        </is>
      </c>
      <c r="B87" s="8" t="inlineStr">
        <is>
          <t>Lagos</t>
        </is>
      </c>
      <c r="C87" s="27" t="n">
        <v>2</v>
      </c>
      <c r="D87" s="8">
        <f>UPPER(A87)&amp;"&gt;"&amp;UPPER(B87)</f>
        <v/>
      </c>
    </row>
    <row r="88">
      <c r="A88" s="8" t="inlineStr">
        <is>
          <t>Enugu</t>
        </is>
      </c>
      <c r="B88" s="8" t="inlineStr">
        <is>
          <t>Lagos</t>
        </is>
      </c>
      <c r="C88" s="27" t="n">
        <v>2</v>
      </c>
      <c r="D88" s="8">
        <f>UPPER(A88)&amp;"&gt;"&amp;UPPER(B88)</f>
        <v/>
      </c>
    </row>
    <row r="89">
      <c r="A89" s="8" t="inlineStr">
        <is>
          <t>FATAI ATERE</t>
        </is>
      </c>
      <c r="B89" s="8" t="inlineStr">
        <is>
          <t>Lagos</t>
        </is>
      </c>
      <c r="C89" s="27" t="n">
        <v>1</v>
      </c>
      <c r="D89" s="8">
        <f>UPPER(A89)&amp;"&gt;"&amp;UPPER(B89)</f>
        <v/>
      </c>
    </row>
    <row r="90">
      <c r="A90" s="8" t="inlineStr">
        <is>
          <t>FESTAC-MILE2 --AMOWO-OKOTA</t>
        </is>
      </c>
      <c r="B90" s="8" t="inlineStr">
        <is>
          <t>Lagos</t>
        </is>
      </c>
      <c r="C90" s="27" t="n">
        <v>1</v>
      </c>
      <c r="D90" s="8">
        <f>UPPER(A90)&amp;"&gt;"&amp;UPPER(B90)</f>
        <v/>
      </c>
    </row>
    <row r="91">
      <c r="A91" s="8" t="inlineStr">
        <is>
          <t>FUNTUA</t>
        </is>
      </c>
      <c r="B91" s="8" t="inlineStr">
        <is>
          <t>Lagos</t>
        </is>
      </c>
      <c r="C91" s="27" t="n">
        <v>3</v>
      </c>
      <c r="D91" s="8">
        <f>UPPER(A91)&amp;"&gt;"&amp;UPPER(B91)</f>
        <v/>
      </c>
    </row>
    <row r="92">
      <c r="A92" s="8" t="inlineStr">
        <is>
          <t>Gboko</t>
        </is>
      </c>
      <c r="B92" s="8" t="inlineStr">
        <is>
          <t>Lagos</t>
        </is>
      </c>
      <c r="C92" s="27" t="n">
        <v>2</v>
      </c>
      <c r="D92" s="8">
        <f>UPPER(A92)&amp;"&gt;"&amp;UPPER(B92)</f>
        <v/>
      </c>
    </row>
    <row r="93">
      <c r="A93" s="8" t="inlineStr">
        <is>
          <t>Gombe</t>
        </is>
      </c>
      <c r="B93" s="8" t="inlineStr">
        <is>
          <t>Lagos</t>
        </is>
      </c>
      <c r="C93" s="27" t="n">
        <v>4</v>
      </c>
      <c r="D93" s="8">
        <f>UPPER(A93)&amp;"&gt;"&amp;UPPER(B93)</f>
        <v/>
      </c>
    </row>
    <row r="94">
      <c r="A94" s="8" t="inlineStr">
        <is>
          <t>Gusau</t>
        </is>
      </c>
      <c r="B94" s="8" t="inlineStr">
        <is>
          <t>Lagos</t>
        </is>
      </c>
      <c r="C94" s="27" t="n">
        <v>3</v>
      </c>
      <c r="D94" s="8">
        <f>UPPER(A94)&amp;"&gt;"&amp;UPPER(B94)</f>
        <v/>
      </c>
    </row>
    <row r="95">
      <c r="A95" s="8" t="inlineStr">
        <is>
          <t>IGBESA</t>
        </is>
      </c>
      <c r="B95" s="8" t="inlineStr">
        <is>
          <t>Lagos</t>
        </is>
      </c>
      <c r="C95" s="27" t="n">
        <v>1</v>
      </c>
      <c r="D95" s="8">
        <f>UPPER(A95)&amp;"&gt;"&amp;UPPER(B95)</f>
        <v/>
      </c>
    </row>
    <row r="96">
      <c r="A96" s="8" t="inlineStr">
        <is>
          <t>IJEBU ODE</t>
        </is>
      </c>
      <c r="B96" s="8" t="inlineStr">
        <is>
          <t>Lagos</t>
        </is>
      </c>
      <c r="C96" s="27" t="n">
        <v>1</v>
      </c>
      <c r="D96" s="8">
        <f>UPPER(A96)&amp;"&gt;"&amp;UPPER(B96)</f>
        <v/>
      </c>
    </row>
    <row r="97">
      <c r="A97" s="8" t="inlineStr">
        <is>
          <t>IJEBU OSAS</t>
        </is>
      </c>
      <c r="B97" s="8" t="inlineStr">
        <is>
          <t>Lagos</t>
        </is>
      </c>
      <c r="C97" s="27" t="n">
        <v>1</v>
      </c>
      <c r="D97" s="8">
        <f>UPPER(A97)&amp;"&gt;"&amp;UPPER(B97)</f>
        <v/>
      </c>
    </row>
    <row r="98">
      <c r="A98" s="8" t="inlineStr">
        <is>
          <t>IKEJA</t>
        </is>
      </c>
      <c r="B98" s="8" t="inlineStr">
        <is>
          <t>Lagos</t>
        </is>
      </c>
      <c r="C98" s="27" t="n">
        <v>1</v>
      </c>
      <c r="D98" s="8">
        <f>UPPER(A98)&amp;"&gt;"&amp;UPPER(B98)</f>
        <v/>
      </c>
    </row>
    <row r="99">
      <c r="A99" s="8" t="inlineStr">
        <is>
          <t>IKEJA-AGEGE-DOPEMU-MAGODO</t>
        </is>
      </c>
      <c r="B99" s="8" t="inlineStr">
        <is>
          <t>Lagos</t>
        </is>
      </c>
      <c r="C99" s="27" t="n">
        <v>1</v>
      </c>
      <c r="D99" s="8">
        <f>UPPER(A99)&amp;"&gt;"&amp;UPPER(B99)</f>
        <v/>
      </c>
    </row>
    <row r="100">
      <c r="A100" s="8" t="inlineStr">
        <is>
          <t>IKM</t>
        </is>
      </c>
      <c r="B100" s="8" t="inlineStr">
        <is>
          <t>Lagos</t>
        </is>
      </c>
      <c r="C100" s="27" t="n">
        <v>1</v>
      </c>
      <c r="D100" s="8">
        <f>UPPER(A100)&amp;"&gt;"&amp;UPPER(B100)</f>
        <v/>
      </c>
    </row>
    <row r="101">
      <c r="A101" s="8" t="inlineStr">
        <is>
          <t>IKM-SHAGARI-EGIGBO-IPAJA-AYOBO-OKOKOMAIKO-OSHODI-ISOLO</t>
        </is>
      </c>
      <c r="B101" s="8" t="inlineStr">
        <is>
          <t>Lagos</t>
        </is>
      </c>
      <c r="C101" s="27" t="n">
        <v>1</v>
      </c>
      <c r="D101" s="8">
        <f>UPPER(A101)&amp;"&gt;"&amp;UPPER(B101)</f>
        <v/>
      </c>
    </row>
    <row r="102">
      <c r="A102" s="8" t="inlineStr">
        <is>
          <t>ILORIN</t>
        </is>
      </c>
      <c r="B102" s="8" t="inlineStr">
        <is>
          <t>Lagos</t>
        </is>
      </c>
      <c r="C102" s="27" t="n">
        <v>1</v>
      </c>
      <c r="D102" s="8">
        <f>UPPER(A102)&amp;"&gt;"&amp;UPPER(B102)</f>
        <v/>
      </c>
    </row>
    <row r="103">
      <c r="A103" s="8" t="inlineStr">
        <is>
          <t>ILUPEJU</t>
        </is>
      </c>
      <c r="B103" s="8" t="inlineStr">
        <is>
          <t>Lagos</t>
        </is>
      </c>
      <c r="C103" s="27" t="n">
        <v>1</v>
      </c>
      <c r="D103" s="8">
        <f>UPPER(A103)&amp;"&gt;"&amp;UPPER(B103)</f>
        <v/>
      </c>
    </row>
    <row r="104">
      <c r="A104" s="8" t="inlineStr">
        <is>
          <t>ISOLO</t>
        </is>
      </c>
      <c r="B104" s="8" t="inlineStr">
        <is>
          <t>Lagos</t>
        </is>
      </c>
      <c r="C104" s="27" t="n">
        <v>1</v>
      </c>
      <c r="D104" s="8">
        <f>UPPER(A104)&amp;"&gt;"&amp;UPPER(B104)</f>
        <v/>
      </c>
    </row>
    <row r="105">
      <c r="A105" s="8" t="inlineStr">
        <is>
          <t>Ibadan</t>
        </is>
      </c>
      <c r="B105" s="8" t="inlineStr">
        <is>
          <t>Lagos</t>
        </is>
      </c>
      <c r="C105" s="27" t="n">
        <v>1</v>
      </c>
      <c r="D105" s="8">
        <f>UPPER(A105)&amp;"&gt;"&amp;UPPER(B105)</f>
        <v/>
      </c>
    </row>
    <row r="106">
      <c r="A106" s="8" t="inlineStr">
        <is>
          <t>Ibadan 45Tons</t>
        </is>
      </c>
      <c r="B106" s="8" t="inlineStr">
        <is>
          <t>Lagos</t>
        </is>
      </c>
      <c r="C106" s="27" t="n">
        <v>1</v>
      </c>
      <c r="D106" s="8">
        <f>UPPER(A106)&amp;"&gt;"&amp;UPPER(B106)</f>
        <v/>
      </c>
    </row>
    <row r="107">
      <c r="A107" s="8" t="inlineStr">
        <is>
          <t>Idanre</t>
        </is>
      </c>
      <c r="B107" s="8" t="inlineStr">
        <is>
          <t>Lagos</t>
        </is>
      </c>
      <c r="C107" s="27" t="n">
        <v>1</v>
      </c>
      <c r="D107" s="8">
        <f>UPPER(A107)&amp;"&gt;"&amp;UPPER(B107)</f>
        <v/>
      </c>
    </row>
    <row r="108">
      <c r="A108" s="8" t="inlineStr">
        <is>
          <t>Ifon</t>
        </is>
      </c>
      <c r="B108" s="8" t="inlineStr">
        <is>
          <t>Lagos</t>
        </is>
      </c>
      <c r="C108" s="27" t="n">
        <v>1</v>
      </c>
      <c r="D108" s="8">
        <f>UPPER(A108)&amp;"&gt;"&amp;UPPER(B108)</f>
        <v/>
      </c>
    </row>
    <row r="109">
      <c r="A109" s="8" t="inlineStr">
        <is>
          <t>Ijebu-Ode</t>
        </is>
      </c>
      <c r="B109" s="8" t="inlineStr">
        <is>
          <t>Lagos</t>
        </is>
      </c>
      <c r="C109" s="27" t="n">
        <v>1</v>
      </c>
      <c r="D109" s="8">
        <f>UPPER(A109)&amp;"&gt;"&amp;UPPER(B109)</f>
        <v/>
      </c>
    </row>
    <row r="110">
      <c r="A110" s="8" t="inlineStr">
        <is>
          <t>Ikare</t>
        </is>
      </c>
      <c r="B110" s="8" t="inlineStr">
        <is>
          <t>Lagos</t>
        </is>
      </c>
      <c r="C110" s="27" t="n">
        <v>1</v>
      </c>
      <c r="D110" s="8">
        <f>UPPER(A110)&amp;"&gt;"&amp;UPPER(B110)</f>
        <v/>
      </c>
    </row>
    <row r="111">
      <c r="A111" s="8" t="inlineStr">
        <is>
          <t>Ikom</t>
        </is>
      </c>
      <c r="B111" s="8" t="inlineStr">
        <is>
          <t>Lagos</t>
        </is>
      </c>
      <c r="C111" s="27" t="n">
        <v>3</v>
      </c>
      <c r="D111" s="8">
        <f>UPPER(A111)&amp;"&gt;"&amp;UPPER(B111)</f>
        <v/>
      </c>
    </row>
    <row r="112">
      <c r="A112" s="8" t="inlineStr">
        <is>
          <t>Ikot Ekpene</t>
        </is>
      </c>
      <c r="B112" s="8" t="inlineStr">
        <is>
          <t>Lagos</t>
        </is>
      </c>
      <c r="C112" s="27" t="n">
        <v>2</v>
      </c>
      <c r="D112" s="8">
        <f>UPPER(A112)&amp;"&gt;"&amp;UPPER(B112)</f>
        <v/>
      </c>
    </row>
    <row r="113">
      <c r="A113" s="8" t="inlineStr">
        <is>
          <t>Ile-Ife</t>
        </is>
      </c>
      <c r="B113" s="8" t="inlineStr">
        <is>
          <t>Lagos</t>
        </is>
      </c>
      <c r="C113" s="27" t="n">
        <v>1</v>
      </c>
      <c r="D113" s="8">
        <f>UPPER(A113)&amp;"&gt;"&amp;UPPER(B113)</f>
        <v/>
      </c>
    </row>
    <row r="114">
      <c r="A114" s="8" t="inlineStr">
        <is>
          <t>Ilesa</t>
        </is>
      </c>
      <c r="B114" s="8" t="inlineStr">
        <is>
          <t>Lagos</t>
        </is>
      </c>
      <c r="C114" s="27" t="n">
        <v>1</v>
      </c>
      <c r="D114" s="8">
        <f>UPPER(A114)&amp;"&gt;"&amp;UPPER(B114)</f>
        <v/>
      </c>
    </row>
    <row r="115">
      <c r="A115" s="8" t="inlineStr">
        <is>
          <t>Ilupeju-GBD-APAPA-MUSHIN-OKOTA-FADEYI</t>
        </is>
      </c>
      <c r="B115" s="8" t="inlineStr">
        <is>
          <t>Lagos</t>
        </is>
      </c>
      <c r="C115" s="27" t="n">
        <v>1</v>
      </c>
      <c r="D115" s="8">
        <f>UPPER(A115)&amp;"&gt;"&amp;UPPER(B115)</f>
        <v/>
      </c>
    </row>
    <row r="116">
      <c r="A116" s="8" t="inlineStr">
        <is>
          <t>Imeko</t>
        </is>
      </c>
      <c r="B116" s="8" t="inlineStr">
        <is>
          <t>Lagos</t>
        </is>
      </c>
      <c r="C116" s="27" t="n">
        <v>1</v>
      </c>
      <c r="D116" s="8">
        <f>UPPER(A116)&amp;"&gt;"&amp;UPPER(B116)</f>
        <v/>
      </c>
    </row>
    <row r="117">
      <c r="A117" s="8" t="inlineStr">
        <is>
          <t>Iseyin</t>
        </is>
      </c>
      <c r="B117" s="8" t="inlineStr">
        <is>
          <t>Lagos</t>
        </is>
      </c>
      <c r="C117" s="27" t="n">
        <v>1</v>
      </c>
      <c r="D117" s="8">
        <f>UPPER(A117)&amp;"&gt;"&amp;UPPER(B117)</f>
        <v/>
      </c>
    </row>
    <row r="118">
      <c r="A118" s="8" t="inlineStr">
        <is>
          <t>Jalingo</t>
        </is>
      </c>
      <c r="B118" s="8" t="inlineStr">
        <is>
          <t>Lagos</t>
        </is>
      </c>
      <c r="C118" s="27" t="n">
        <v>4</v>
      </c>
      <c r="D118" s="8">
        <f>UPPER(A118)&amp;"&gt;"&amp;UPPER(B118)</f>
        <v/>
      </c>
    </row>
    <row r="119">
      <c r="A119" s="8" t="inlineStr">
        <is>
          <t>Jebba</t>
        </is>
      </c>
      <c r="B119" s="8" t="inlineStr">
        <is>
          <t>Lagos</t>
        </is>
      </c>
      <c r="C119" s="27" t="n">
        <v>1</v>
      </c>
      <c r="D119" s="8">
        <f>UPPER(A119)&amp;"&gt;"&amp;UPPER(B119)</f>
        <v/>
      </c>
    </row>
    <row r="120">
      <c r="A120" s="8" t="inlineStr">
        <is>
          <t>Jigawa (Dutse)</t>
        </is>
      </c>
      <c r="B120" s="8" t="inlineStr">
        <is>
          <t>Lagos</t>
        </is>
      </c>
      <c r="C120" s="27" t="n">
        <v>3</v>
      </c>
      <c r="D120" s="8">
        <f>UPPER(A120)&amp;"&gt;"&amp;UPPER(B120)</f>
        <v/>
      </c>
    </row>
    <row r="121">
      <c r="A121" s="8" t="inlineStr">
        <is>
          <t>Jos</t>
        </is>
      </c>
      <c r="B121" s="8" t="inlineStr">
        <is>
          <t>Lagos</t>
        </is>
      </c>
      <c r="C121" s="27" t="n">
        <v>3</v>
      </c>
      <c r="D121" s="8">
        <f>UPPER(A121)&amp;"&gt;"&amp;UPPER(B121)</f>
        <v/>
      </c>
    </row>
    <row r="122">
      <c r="A122" s="8" t="inlineStr">
        <is>
          <t>KATSINA</t>
        </is>
      </c>
      <c r="B122" s="8" t="inlineStr">
        <is>
          <t>Lagos</t>
        </is>
      </c>
      <c r="C122" s="27" t="n">
        <v>3</v>
      </c>
      <c r="D122" s="8">
        <f>UPPER(A122)&amp;"&gt;"&amp;UPPER(B122)</f>
        <v/>
      </c>
    </row>
    <row r="123">
      <c r="A123" s="8" t="inlineStr">
        <is>
          <t>KETU-IKORODU</t>
        </is>
      </c>
      <c r="B123" s="8" t="inlineStr">
        <is>
          <t>Lagos</t>
        </is>
      </c>
      <c r="C123" s="27" t="n">
        <v>1</v>
      </c>
      <c r="D123" s="8">
        <f>UPPER(A123)&amp;"&gt;"&amp;UPPER(B123)</f>
        <v/>
      </c>
    </row>
    <row r="124">
      <c r="A124" s="8" t="inlineStr">
        <is>
          <t>KWALE</t>
        </is>
      </c>
      <c r="B124" s="8" t="inlineStr">
        <is>
          <t>Lagos</t>
        </is>
      </c>
      <c r="C124" s="27" t="n">
        <v>1</v>
      </c>
      <c r="D124" s="8">
        <f>UPPER(A124)&amp;"&gt;"&amp;UPPER(B124)</f>
        <v/>
      </c>
    </row>
    <row r="125">
      <c r="A125" s="8" t="inlineStr">
        <is>
          <t>KWARA</t>
        </is>
      </c>
      <c r="B125" s="8" t="inlineStr">
        <is>
          <t>Lagos</t>
        </is>
      </c>
      <c r="C125" s="27" t="n">
        <v>1</v>
      </c>
      <c r="D125" s="8">
        <f>UPPER(A125)&amp;"&gt;"&amp;UPPER(B125)</f>
        <v/>
      </c>
    </row>
    <row r="126">
      <c r="A126" s="8" t="inlineStr">
        <is>
          <t>Kaduna</t>
        </is>
      </c>
      <c r="B126" s="8" t="inlineStr">
        <is>
          <t>Lagos</t>
        </is>
      </c>
      <c r="C126" s="27" t="n">
        <v>3</v>
      </c>
      <c r="D126" s="8">
        <f>UPPER(A126)&amp;"&gt;"&amp;UPPER(B126)</f>
        <v/>
      </c>
    </row>
    <row r="127">
      <c r="A127" s="8" t="inlineStr">
        <is>
          <t>Kastina</t>
        </is>
      </c>
      <c r="B127" s="8" t="inlineStr">
        <is>
          <t>Lagos</t>
        </is>
      </c>
      <c r="C127" s="27" t="n">
        <v>3</v>
      </c>
      <c r="D127" s="8">
        <f>UPPER(A127)&amp;"&gt;"&amp;UPPER(B127)</f>
        <v/>
      </c>
    </row>
    <row r="128">
      <c r="A128" s="8" t="inlineStr">
        <is>
          <t>Kastina ala</t>
        </is>
      </c>
      <c r="B128" s="8" t="inlineStr">
        <is>
          <t>Lagos</t>
        </is>
      </c>
      <c r="C128" s="27" t="n">
        <v>3</v>
      </c>
      <c r="D128" s="8">
        <f>UPPER(A128)&amp;"&gt;"&amp;UPPER(B128)</f>
        <v/>
      </c>
    </row>
    <row r="129">
      <c r="A129" s="8" t="inlineStr">
        <is>
          <t>Kayama</t>
        </is>
      </c>
      <c r="B129" s="8" t="inlineStr">
        <is>
          <t>Lagos</t>
        </is>
      </c>
      <c r="C129" s="27" t="n">
        <v>1</v>
      </c>
      <c r="D129" s="8">
        <f>UPPER(A129)&amp;"&gt;"&amp;UPPER(B129)</f>
        <v/>
      </c>
    </row>
    <row r="130">
      <c r="A130" s="8" t="inlineStr">
        <is>
          <t>Keffi</t>
        </is>
      </c>
      <c r="B130" s="8" t="inlineStr">
        <is>
          <t>Lagos</t>
        </is>
      </c>
      <c r="C130" s="27" t="n">
        <v>3</v>
      </c>
      <c r="D130" s="8">
        <f>UPPER(A130)&amp;"&gt;"&amp;UPPER(B130)</f>
        <v/>
      </c>
    </row>
    <row r="131">
      <c r="A131" s="8" t="inlineStr">
        <is>
          <t>Kontagora</t>
        </is>
      </c>
      <c r="B131" s="8" t="inlineStr">
        <is>
          <t>Lagos</t>
        </is>
      </c>
      <c r="C131" s="27" t="n">
        <v>2</v>
      </c>
      <c r="D131" s="8">
        <f>UPPER(A131)&amp;"&gt;"&amp;UPPER(B131)</f>
        <v/>
      </c>
    </row>
    <row r="132">
      <c r="A132" s="8" t="inlineStr">
        <is>
          <t>Kotongora</t>
        </is>
      </c>
      <c r="B132" s="8" t="inlineStr">
        <is>
          <t>Lagos</t>
        </is>
      </c>
      <c r="C132" s="27" t="n">
        <v>2</v>
      </c>
      <c r="D132" s="8">
        <f>UPPER(A132)&amp;"&gt;"&amp;UPPER(B132)</f>
        <v/>
      </c>
    </row>
    <row r="133">
      <c r="A133" s="8" t="inlineStr">
        <is>
          <t>LAGOS-ISLAND-MARINA</t>
        </is>
      </c>
      <c r="B133" s="8" t="inlineStr">
        <is>
          <t>Lagos</t>
        </is>
      </c>
      <c r="C133" s="27" t="n">
        <v>1</v>
      </c>
      <c r="D133" s="8">
        <f>UPPER(A133)&amp;"&gt;"&amp;UPPER(B133)</f>
        <v/>
      </c>
    </row>
    <row r="134">
      <c r="A134" s="8" t="inlineStr">
        <is>
          <t>LEKKI</t>
        </is>
      </c>
      <c r="B134" s="8" t="inlineStr">
        <is>
          <t>Lagos</t>
        </is>
      </c>
      <c r="C134" s="27" t="n">
        <v>1</v>
      </c>
      <c r="D134" s="8">
        <f>UPPER(A134)&amp;"&gt;"&amp;UPPER(B134)</f>
        <v/>
      </c>
    </row>
    <row r="135">
      <c r="A135" s="8" t="inlineStr">
        <is>
          <t>Lafia</t>
        </is>
      </c>
      <c r="B135" s="8" t="inlineStr">
        <is>
          <t>Lagos</t>
        </is>
      </c>
      <c r="C135" s="27" t="n">
        <v>3</v>
      </c>
      <c r="D135" s="8">
        <f>UPPER(A135)&amp;"&gt;"&amp;UPPER(B135)</f>
        <v/>
      </c>
    </row>
    <row r="136">
      <c r="A136" s="8" t="inlineStr">
        <is>
          <t>Lokoja</t>
        </is>
      </c>
      <c r="B136" s="8" t="inlineStr">
        <is>
          <t>Lagos</t>
        </is>
      </c>
      <c r="C136" s="27" t="n">
        <v>2</v>
      </c>
      <c r="D136" s="8">
        <f>UPPER(A136)&amp;"&gt;"&amp;UPPER(B136)</f>
        <v/>
      </c>
    </row>
    <row r="137">
      <c r="A137" s="8" t="inlineStr">
        <is>
          <t>MATORI</t>
        </is>
      </c>
      <c r="B137" s="8" t="inlineStr">
        <is>
          <t>Lagos</t>
        </is>
      </c>
      <c r="C137" s="27" t="n">
        <v>1</v>
      </c>
      <c r="D137" s="8">
        <f>UPPER(A137)&amp;"&gt;"&amp;UPPER(B137)</f>
        <v/>
      </c>
    </row>
    <row r="138">
      <c r="A138" s="8" t="inlineStr">
        <is>
          <t>MOWE</t>
        </is>
      </c>
      <c r="B138" s="8" t="inlineStr">
        <is>
          <t>Lagos</t>
        </is>
      </c>
      <c r="C138" s="27" t="n">
        <v>1</v>
      </c>
      <c r="D138" s="8">
        <f>UPPER(A138)&amp;"&gt;"&amp;UPPER(B138)</f>
        <v/>
      </c>
    </row>
    <row r="139">
      <c r="A139" s="8" t="inlineStr">
        <is>
          <t>Madagali</t>
        </is>
      </c>
      <c r="B139" s="8" t="inlineStr">
        <is>
          <t>Lagos</t>
        </is>
      </c>
      <c r="C139" s="27" t="n">
        <v>6</v>
      </c>
      <c r="D139" s="8">
        <f>UPPER(A139)&amp;"&gt;"&amp;UPPER(B139)</f>
        <v/>
      </c>
    </row>
    <row r="140">
      <c r="A140" s="8" t="inlineStr">
        <is>
          <t>Maidugri</t>
        </is>
      </c>
      <c r="B140" s="8" t="inlineStr">
        <is>
          <t>Lagos</t>
        </is>
      </c>
      <c r="C140" s="27" t="n">
        <v>5</v>
      </c>
      <c r="D140" s="8">
        <f>UPPER(A140)&amp;"&gt;"&amp;UPPER(B140)</f>
        <v/>
      </c>
    </row>
    <row r="141">
      <c r="A141" s="8" t="inlineStr">
        <is>
          <t>Maiduguri</t>
        </is>
      </c>
      <c r="B141" s="8" t="inlineStr">
        <is>
          <t>Lagos</t>
        </is>
      </c>
      <c r="C141" s="27" t="n">
        <v>5</v>
      </c>
      <c r="D141" s="8">
        <f>UPPER(A141)&amp;"&gt;"&amp;UPPER(B141)</f>
        <v/>
      </c>
    </row>
    <row r="142">
      <c r="A142" s="8" t="inlineStr">
        <is>
          <t>Makurdi</t>
        </is>
      </c>
      <c r="B142" s="8" t="inlineStr">
        <is>
          <t>Lagos</t>
        </is>
      </c>
      <c r="C142" s="27" t="n">
        <v>3</v>
      </c>
      <c r="D142" s="8">
        <f>UPPER(A142)&amp;"&gt;"&amp;UPPER(B142)</f>
        <v/>
      </c>
    </row>
    <row r="143">
      <c r="A143" s="8" t="inlineStr">
        <is>
          <t>Maraba</t>
        </is>
      </c>
      <c r="B143" s="8" t="inlineStr">
        <is>
          <t>Lagos</t>
        </is>
      </c>
      <c r="C143" s="27" t="n">
        <v>2</v>
      </c>
      <c r="D143" s="8">
        <f>UPPER(A143)&amp;"&gt;"&amp;UPPER(B143)</f>
        <v/>
      </c>
    </row>
    <row r="144">
      <c r="A144" s="8" t="inlineStr">
        <is>
          <t>Minna</t>
        </is>
      </c>
      <c r="B144" s="8" t="inlineStr">
        <is>
          <t>Lagos</t>
        </is>
      </c>
      <c r="C144" s="27" t="n">
        <v>2</v>
      </c>
      <c r="D144" s="8">
        <f>UPPER(A144)&amp;"&gt;"&amp;UPPER(B144)</f>
        <v/>
      </c>
    </row>
    <row r="145">
      <c r="A145" s="8" t="inlineStr">
        <is>
          <t>Mokwa</t>
        </is>
      </c>
      <c r="B145" s="8" t="inlineStr">
        <is>
          <t>Lagos</t>
        </is>
      </c>
      <c r="C145" s="27" t="n">
        <v>1</v>
      </c>
      <c r="D145" s="8">
        <f>UPPER(A145)&amp;"&gt;"&amp;UPPER(B145)</f>
        <v/>
      </c>
    </row>
    <row r="146">
      <c r="A146" s="8" t="inlineStr">
        <is>
          <t>Mubi</t>
        </is>
      </c>
      <c r="B146" s="8" t="inlineStr">
        <is>
          <t>Lagos</t>
        </is>
      </c>
      <c r="C146" s="27" t="n">
        <v>5</v>
      </c>
      <c r="D146" s="8">
        <f>UPPER(A146)&amp;"&gt;"&amp;UPPER(B146)</f>
        <v/>
      </c>
    </row>
    <row r="147">
      <c r="A147" s="8" t="inlineStr">
        <is>
          <t>Mutu biyu</t>
        </is>
      </c>
      <c r="B147" s="8" t="inlineStr">
        <is>
          <t>Lagos</t>
        </is>
      </c>
      <c r="C147" s="27" t="n">
        <v>4</v>
      </c>
      <c r="D147" s="8">
        <f>UPPER(A147)&amp;"&gt;"&amp;UPPER(B147)</f>
        <v/>
      </c>
    </row>
    <row r="148">
      <c r="A148" s="8" t="inlineStr">
        <is>
          <t>Nsukka</t>
        </is>
      </c>
      <c r="B148" s="8" t="inlineStr">
        <is>
          <t>Lagos</t>
        </is>
      </c>
      <c r="C148" s="27" t="n">
        <v>2</v>
      </c>
      <c r="D148" s="8">
        <f>UPPER(A148)&amp;"&gt;"&amp;UPPER(B148)</f>
        <v/>
      </c>
    </row>
    <row r="149">
      <c r="A149" s="8" t="inlineStr">
        <is>
          <t>OGBA</t>
        </is>
      </c>
      <c r="B149" s="8" t="inlineStr">
        <is>
          <t>Lagos</t>
        </is>
      </c>
      <c r="C149" s="27" t="n">
        <v>1</v>
      </c>
      <c r="D149" s="8">
        <f>UPPER(A149)&amp;"&gt;"&amp;UPPER(B149)</f>
        <v/>
      </c>
    </row>
    <row r="150">
      <c r="A150" s="8" t="inlineStr">
        <is>
          <t>OGERE</t>
        </is>
      </c>
      <c r="B150" s="8" t="inlineStr">
        <is>
          <t>Lagos</t>
        </is>
      </c>
      <c r="C150" s="27" t="n">
        <v>1</v>
      </c>
      <c r="D150" s="8">
        <f>UPPER(A150)&amp;"&gt;"&amp;UPPER(B150)</f>
        <v/>
      </c>
    </row>
    <row r="151">
      <c r="A151" s="8" t="inlineStr">
        <is>
          <t>OJOTA</t>
        </is>
      </c>
      <c r="B151" s="8" t="inlineStr">
        <is>
          <t>Lagos</t>
        </is>
      </c>
      <c r="C151" s="27" t="n">
        <v>1</v>
      </c>
      <c r="D151" s="8">
        <f>UPPER(A151)&amp;"&gt;"&amp;UPPER(B151)</f>
        <v/>
      </c>
    </row>
    <row r="152">
      <c r="A152" s="8" t="inlineStr">
        <is>
          <t>OKOTA</t>
        </is>
      </c>
      <c r="B152" s="8" t="inlineStr">
        <is>
          <t>Lagos</t>
        </is>
      </c>
      <c r="C152" s="27" t="n">
        <v>1</v>
      </c>
      <c r="D152" s="8">
        <f>UPPER(A152)&amp;"&gt;"&amp;UPPER(B152)</f>
        <v/>
      </c>
    </row>
    <row r="153">
      <c r="A153" s="8" t="inlineStr">
        <is>
          <t>OMU-ARAN</t>
        </is>
      </c>
      <c r="B153" s="8" t="inlineStr">
        <is>
          <t>Lagos</t>
        </is>
      </c>
      <c r="C153" s="27" t="n">
        <v>1</v>
      </c>
      <c r="D153" s="8">
        <f>UPPER(A153)&amp;"&gt;"&amp;UPPER(B153)</f>
        <v/>
      </c>
    </row>
    <row r="154">
      <c r="A154" s="8" t="inlineStr">
        <is>
          <t>ONDO</t>
        </is>
      </c>
      <c r="B154" s="8" t="inlineStr">
        <is>
          <t>Lagos</t>
        </is>
      </c>
      <c r="C154" s="27" t="n">
        <v>1</v>
      </c>
      <c r="D154" s="8">
        <f>UPPER(A154)&amp;"&gt;"&amp;UPPER(B154)</f>
        <v/>
      </c>
    </row>
    <row r="155">
      <c r="A155" s="8" t="inlineStr">
        <is>
          <t>OSHODI</t>
        </is>
      </c>
      <c r="B155" s="8" t="inlineStr">
        <is>
          <t>Lagos</t>
        </is>
      </c>
      <c r="C155" s="27" t="n">
        <v>1</v>
      </c>
      <c r="D155" s="8">
        <f>UPPER(A155)&amp;"&gt;"&amp;UPPER(B155)</f>
        <v/>
      </c>
    </row>
    <row r="156">
      <c r="A156" s="8" t="inlineStr">
        <is>
          <t>OSUN</t>
        </is>
      </c>
      <c r="B156" s="8" t="inlineStr">
        <is>
          <t>Lagos</t>
        </is>
      </c>
      <c r="C156" s="27" t="n">
        <v>1</v>
      </c>
      <c r="D156" s="8">
        <f>UPPER(A156)&amp;"&gt;"&amp;UPPER(B156)</f>
        <v/>
      </c>
    </row>
    <row r="157">
      <c r="A157" s="8" t="inlineStr">
        <is>
          <t>Obubra</t>
        </is>
      </c>
      <c r="B157" s="8" t="inlineStr">
        <is>
          <t>Lagos</t>
        </is>
      </c>
      <c r="C157" s="27" t="n">
        <v>2</v>
      </c>
      <c r="D157" s="8">
        <f>UPPER(A157)&amp;"&gt;"&amp;UPPER(B157)</f>
        <v/>
      </c>
    </row>
    <row r="158">
      <c r="A158" s="8" t="inlineStr">
        <is>
          <t>Offa</t>
        </is>
      </c>
      <c r="B158" s="8" t="inlineStr">
        <is>
          <t>Lagos</t>
        </is>
      </c>
      <c r="C158" s="27" t="n">
        <v>1</v>
      </c>
      <c r="D158" s="8">
        <f>UPPER(A158)&amp;"&gt;"&amp;UPPER(B158)</f>
        <v/>
      </c>
    </row>
    <row r="159">
      <c r="A159" s="8" t="inlineStr">
        <is>
          <t>Ogbomosho</t>
        </is>
      </c>
      <c r="B159" s="8" t="inlineStr">
        <is>
          <t>Lagos</t>
        </is>
      </c>
      <c r="C159" s="27" t="n">
        <v>1</v>
      </c>
      <c r="D159" s="8">
        <f>UPPER(A159)&amp;"&gt;"&amp;UPPER(B159)</f>
        <v/>
      </c>
    </row>
    <row r="160">
      <c r="A160" s="8" t="inlineStr">
        <is>
          <t>Ogun</t>
        </is>
      </c>
      <c r="B160" s="8" t="inlineStr">
        <is>
          <t>Lagos</t>
        </is>
      </c>
      <c r="C160" s="27" t="n">
        <v>1</v>
      </c>
      <c r="D160" s="8">
        <f>UPPER(A160)&amp;"&gt;"&amp;UPPER(B160)</f>
        <v/>
      </c>
    </row>
    <row r="161">
      <c r="A161" s="8" t="inlineStr">
        <is>
          <t>Oja odan</t>
        </is>
      </c>
      <c r="B161" s="8" t="inlineStr">
        <is>
          <t>Lagos</t>
        </is>
      </c>
      <c r="C161" s="27" t="n">
        <v>1</v>
      </c>
      <c r="D161" s="8">
        <f>UPPER(A161)&amp;"&gt;"&amp;UPPER(B161)</f>
        <v/>
      </c>
    </row>
    <row r="162">
      <c r="A162" s="8" t="inlineStr">
        <is>
          <t>Ojodu-Akute-Mowe</t>
        </is>
      </c>
      <c r="B162" s="8" t="inlineStr">
        <is>
          <t>Lagos</t>
        </is>
      </c>
      <c r="C162" s="27" t="n">
        <v>1</v>
      </c>
      <c r="D162" s="8">
        <f>UPPER(A162)&amp;"&gt;"&amp;UPPER(B162)</f>
        <v/>
      </c>
    </row>
    <row r="163">
      <c r="A163" s="8" t="inlineStr">
        <is>
          <t>Okene</t>
        </is>
      </c>
      <c r="B163" s="8" t="inlineStr">
        <is>
          <t>Lagos</t>
        </is>
      </c>
      <c r="C163" s="27" t="n">
        <v>2</v>
      </c>
      <c r="D163" s="8">
        <f>UPPER(A163)&amp;"&gt;"&amp;UPPER(B163)</f>
        <v/>
      </c>
    </row>
    <row r="164">
      <c r="A164" s="8" t="inlineStr">
        <is>
          <t>Onitsha</t>
        </is>
      </c>
      <c r="B164" s="8" t="inlineStr">
        <is>
          <t>Lagos</t>
        </is>
      </c>
      <c r="C164" s="27" t="n">
        <v>2</v>
      </c>
      <c r="D164" s="8">
        <f>UPPER(A164)&amp;"&gt;"&amp;UPPER(B164)</f>
        <v/>
      </c>
    </row>
    <row r="165">
      <c r="A165" s="8" t="inlineStr">
        <is>
          <t>Ore</t>
        </is>
      </c>
      <c r="B165" s="8" t="inlineStr">
        <is>
          <t>Lagos</t>
        </is>
      </c>
      <c r="C165" s="27" t="n">
        <v>1</v>
      </c>
      <c r="D165" s="8">
        <f>UPPER(A165)&amp;"&gt;"&amp;UPPER(B165)</f>
        <v/>
      </c>
    </row>
    <row r="166">
      <c r="A166" s="8" t="inlineStr">
        <is>
          <t>Oron</t>
        </is>
      </c>
      <c r="B166" s="8" t="inlineStr">
        <is>
          <t>Lagos</t>
        </is>
      </c>
      <c r="C166" s="27" t="n">
        <v>2</v>
      </c>
      <c r="D166" s="8">
        <f>UPPER(A166)&amp;"&gt;"&amp;UPPER(B166)</f>
        <v/>
      </c>
    </row>
    <row r="167">
      <c r="A167" s="8" t="inlineStr">
        <is>
          <t>Oshogbo</t>
        </is>
      </c>
      <c r="B167" s="8" t="inlineStr">
        <is>
          <t>Lagos</t>
        </is>
      </c>
      <c r="C167" s="27" t="n">
        <v>1</v>
      </c>
      <c r="D167" s="8">
        <f>UPPER(A167)&amp;"&gt;"&amp;UPPER(B167)</f>
        <v/>
      </c>
    </row>
    <row r="168">
      <c r="A168" s="8" t="inlineStr">
        <is>
          <t>Osogbo</t>
        </is>
      </c>
      <c r="B168" s="8" t="inlineStr">
        <is>
          <t>Lagos</t>
        </is>
      </c>
      <c r="C168" s="27" t="n">
        <v>1</v>
      </c>
      <c r="D168" s="8">
        <f>UPPER(A168)&amp;"&gt;"&amp;UPPER(B168)</f>
        <v/>
      </c>
    </row>
    <row r="169">
      <c r="A169" s="8" t="inlineStr">
        <is>
          <t>Owerri</t>
        </is>
      </c>
      <c r="B169" s="8" t="inlineStr">
        <is>
          <t>Lagos</t>
        </is>
      </c>
      <c r="C169" s="27" t="n">
        <v>2</v>
      </c>
      <c r="D169" s="8">
        <f>UPPER(A169)&amp;"&gt;"&amp;UPPER(B169)</f>
        <v/>
      </c>
    </row>
    <row r="170">
      <c r="A170" s="8" t="inlineStr">
        <is>
          <t>Oyo</t>
        </is>
      </c>
      <c r="B170" s="8" t="inlineStr">
        <is>
          <t>Lagos</t>
        </is>
      </c>
      <c r="C170" s="27" t="n">
        <v>1</v>
      </c>
      <c r="D170" s="8">
        <f>UPPER(A170)&amp;"&gt;"&amp;UPPER(B170)</f>
        <v/>
      </c>
    </row>
    <row r="171">
      <c r="A171" s="8" t="inlineStr">
        <is>
          <t>Port Harcourt</t>
        </is>
      </c>
      <c r="B171" s="8" t="inlineStr">
        <is>
          <t>Lagos</t>
        </is>
      </c>
      <c r="C171" s="27" t="n">
        <v>2</v>
      </c>
      <c r="D171" s="8">
        <f>UPPER(A171)&amp;"&gt;"&amp;UPPER(B171)</f>
        <v/>
      </c>
    </row>
    <row r="172">
      <c r="A172" s="8" t="inlineStr">
        <is>
          <t>SAGAMU</t>
        </is>
      </c>
      <c r="B172" s="8" t="inlineStr">
        <is>
          <t>Lagos</t>
        </is>
      </c>
      <c r="C172" s="27" t="n">
        <v>1</v>
      </c>
      <c r="D172" s="8">
        <f>UPPER(A172)&amp;"&gt;"&amp;UPPER(B172)</f>
        <v/>
      </c>
    </row>
    <row r="173">
      <c r="A173" s="8" t="inlineStr">
        <is>
          <t>SANGO OTTA</t>
        </is>
      </c>
      <c r="B173" s="8" t="inlineStr">
        <is>
          <t>Lagos</t>
        </is>
      </c>
      <c r="C173" s="27" t="n">
        <v>1</v>
      </c>
      <c r="D173" s="8">
        <f>UPPER(A173)&amp;"&gt;"&amp;UPPER(B173)</f>
        <v/>
      </c>
    </row>
    <row r="174">
      <c r="A174" s="8" t="inlineStr">
        <is>
          <t>SURULELE-TEJESHU-YABA-EBUTE META-OYINGOBO</t>
        </is>
      </c>
      <c r="B174" s="8" t="inlineStr">
        <is>
          <t>Lagos</t>
        </is>
      </c>
      <c r="C174" s="27" t="n">
        <v>1</v>
      </c>
      <c r="D174" s="8">
        <f>UPPER(A174)&amp;"&gt;"&amp;UPPER(B174)</f>
        <v/>
      </c>
    </row>
    <row r="175">
      <c r="A175" s="8" t="inlineStr">
        <is>
          <t>Saki</t>
        </is>
      </c>
      <c r="B175" s="8" t="inlineStr">
        <is>
          <t>Lagos</t>
        </is>
      </c>
      <c r="C175" s="27" t="n">
        <v>1</v>
      </c>
      <c r="D175" s="8">
        <f>UPPER(A175)&amp;"&gt;"&amp;UPPER(B175)</f>
        <v/>
      </c>
    </row>
    <row r="176">
      <c r="A176" s="8" t="inlineStr">
        <is>
          <t>Saminaka</t>
        </is>
      </c>
      <c r="B176" s="8" t="inlineStr">
        <is>
          <t>Lagos</t>
        </is>
      </c>
      <c r="C176" s="27" t="n">
        <v>3</v>
      </c>
      <c r="D176" s="8">
        <f>UPPER(A176)&amp;"&gt;"&amp;UPPER(B176)</f>
        <v/>
      </c>
    </row>
    <row r="177">
      <c r="A177" s="8" t="inlineStr">
        <is>
          <t>Sangotta (Sango-Otta)</t>
        </is>
      </c>
      <c r="B177" s="8" t="inlineStr">
        <is>
          <t>Lagos</t>
        </is>
      </c>
      <c r="C177" s="27" t="n">
        <v>1</v>
      </c>
      <c r="D177" s="8">
        <f>UPPER(A177)&amp;"&gt;"&amp;UPPER(B177)</f>
        <v/>
      </c>
    </row>
    <row r="178">
      <c r="A178" s="8" t="inlineStr">
        <is>
          <t>Shagamu</t>
        </is>
      </c>
      <c r="B178" s="8" t="inlineStr">
        <is>
          <t>Lagos</t>
        </is>
      </c>
      <c r="C178" s="27" t="n">
        <v>1</v>
      </c>
      <c r="D178" s="8">
        <f>UPPER(A178)&amp;"&gt;"&amp;UPPER(B178)</f>
        <v/>
      </c>
    </row>
    <row r="179">
      <c r="A179" s="8" t="inlineStr">
        <is>
          <t>Shendam</t>
        </is>
      </c>
      <c r="B179" s="8" t="inlineStr">
        <is>
          <t>Lagos</t>
        </is>
      </c>
      <c r="C179" s="27" t="n">
        <v>3</v>
      </c>
      <c r="D179" s="8">
        <f>UPPER(A179)&amp;"&gt;"&amp;UPPER(B179)</f>
        <v/>
      </c>
    </row>
    <row r="180">
      <c r="A180" s="8" t="inlineStr">
        <is>
          <t>Sokoto</t>
        </is>
      </c>
      <c r="B180" s="8" t="inlineStr">
        <is>
          <t>Lagos</t>
        </is>
      </c>
      <c r="C180" s="27" t="n">
        <v>3</v>
      </c>
      <c r="D180" s="8">
        <f>UPPER(A180)&amp;"&gt;"&amp;UPPER(B180)</f>
        <v/>
      </c>
    </row>
    <row r="181">
      <c r="A181" s="8" t="inlineStr">
        <is>
          <t>Takum</t>
        </is>
      </c>
      <c r="B181" s="8" t="inlineStr">
        <is>
          <t>Lagos</t>
        </is>
      </c>
      <c r="C181" s="27" t="n">
        <v>3</v>
      </c>
      <c r="D181" s="8">
        <f>UPPER(A181)&amp;"&gt;"&amp;UPPER(B181)</f>
        <v/>
      </c>
    </row>
    <row r="182">
      <c r="A182" s="8" t="inlineStr">
        <is>
          <t>Talata Mafara</t>
        </is>
      </c>
      <c r="B182" s="8" t="inlineStr">
        <is>
          <t>Lagos</t>
        </is>
      </c>
      <c r="C182" s="27" t="n">
        <v>3</v>
      </c>
      <c r="D182" s="8">
        <f>UPPER(A182)&amp;"&gt;"&amp;UPPER(B182)</f>
        <v/>
      </c>
    </row>
    <row r="183">
      <c r="A183" s="8" t="inlineStr">
        <is>
          <t>Umuahia</t>
        </is>
      </c>
      <c r="B183" s="8" t="inlineStr">
        <is>
          <t>Lagos</t>
        </is>
      </c>
      <c r="C183" s="27" t="n">
        <v>2</v>
      </c>
      <c r="D183" s="8">
        <f>UPPER(A183)&amp;"&gt;"&amp;UPPER(B183)</f>
        <v/>
      </c>
    </row>
    <row r="184">
      <c r="A184" s="8" t="inlineStr">
        <is>
          <t>Umunze</t>
        </is>
      </c>
      <c r="B184" s="8" t="inlineStr">
        <is>
          <t>Lagos</t>
        </is>
      </c>
      <c r="C184" s="27" t="n">
        <v>2</v>
      </c>
      <c r="D184" s="8">
        <f>UPPER(A184)&amp;"&gt;"&amp;UPPER(B184)</f>
        <v/>
      </c>
    </row>
    <row r="185">
      <c r="A185" s="8" t="inlineStr">
        <is>
          <t>Uromi</t>
        </is>
      </c>
      <c r="B185" s="8" t="inlineStr">
        <is>
          <t>Lagos</t>
        </is>
      </c>
      <c r="C185" s="27" t="n">
        <v>1</v>
      </c>
      <c r="D185" s="8">
        <f>UPPER(A185)&amp;"&gt;"&amp;UPPER(B185)</f>
        <v/>
      </c>
    </row>
    <row r="186">
      <c r="A186" s="8" t="inlineStr">
        <is>
          <t>Uyo</t>
        </is>
      </c>
      <c r="B186" s="8" t="inlineStr">
        <is>
          <t>Lagos</t>
        </is>
      </c>
      <c r="C186" s="27" t="n">
        <v>2</v>
      </c>
      <c r="D186" s="8">
        <f>UPPER(A186)&amp;"&gt;"&amp;UPPER(B186)</f>
        <v/>
      </c>
    </row>
    <row r="187">
      <c r="A187" s="8" t="inlineStr">
        <is>
          <t>VI-Lekki-AJAH</t>
        </is>
      </c>
      <c r="B187" s="8" t="inlineStr">
        <is>
          <t>Lagos</t>
        </is>
      </c>
      <c r="C187" s="27" t="n">
        <v>1</v>
      </c>
      <c r="D187" s="8">
        <f>UPPER(A187)&amp;"&gt;"&amp;UPPER(B187)</f>
        <v/>
      </c>
    </row>
    <row r="188">
      <c r="A188" s="8" t="inlineStr">
        <is>
          <t>Warri</t>
        </is>
      </c>
      <c r="B188" s="8" t="inlineStr">
        <is>
          <t>Lagos</t>
        </is>
      </c>
      <c r="C188" s="27" t="n">
        <v>1</v>
      </c>
      <c r="D188" s="8">
        <f>UPPER(A188)&amp;"&gt;"&amp;UPPER(B188)</f>
        <v/>
      </c>
    </row>
    <row r="189">
      <c r="A189" s="8" t="inlineStr">
        <is>
          <t>Wukari</t>
        </is>
      </c>
      <c r="B189" s="8" t="inlineStr">
        <is>
          <t>Lagos</t>
        </is>
      </c>
      <c r="C189" s="27" t="n">
        <v>3</v>
      </c>
      <c r="D189" s="8">
        <f>UPPER(A189)&amp;"&gt;"&amp;UPPER(B189)</f>
        <v/>
      </c>
    </row>
    <row r="190">
      <c r="A190" s="8" t="inlineStr">
        <is>
          <t>YOLA</t>
        </is>
      </c>
      <c r="B190" s="8" t="inlineStr">
        <is>
          <t>Lagos</t>
        </is>
      </c>
      <c r="C190" s="27" t="n">
        <v>5</v>
      </c>
      <c r="D190" s="8">
        <f>UPPER(A190)&amp;"&gt;"&amp;UPPER(B190)</f>
        <v/>
      </c>
    </row>
    <row r="191">
      <c r="A191" s="8" t="inlineStr">
        <is>
          <t>Yauri</t>
        </is>
      </c>
      <c r="B191" s="8" t="inlineStr">
        <is>
          <t>Lagos</t>
        </is>
      </c>
      <c r="C191" s="27" t="n">
        <v>2</v>
      </c>
      <c r="D191" s="8">
        <f>UPPER(A191)&amp;"&gt;"&amp;UPPER(B191)</f>
        <v/>
      </c>
    </row>
    <row r="192">
      <c r="A192" s="8" t="inlineStr">
        <is>
          <t>Yenagoa</t>
        </is>
      </c>
      <c r="B192" s="8" t="inlineStr">
        <is>
          <t>Lagos</t>
        </is>
      </c>
      <c r="C192" s="27" t="n">
        <v>2</v>
      </c>
      <c r="D192" s="8">
        <f>UPPER(A192)&amp;"&gt;"&amp;UPPER(B192)</f>
        <v/>
      </c>
    </row>
    <row r="193">
      <c r="A193" s="8" t="inlineStr">
        <is>
          <t>Zakiblarn</t>
        </is>
      </c>
      <c r="B193" s="8" t="inlineStr">
        <is>
          <t>Lagos</t>
        </is>
      </c>
      <c r="C193" s="27" t="n">
        <v>3</v>
      </c>
      <c r="D193" s="8">
        <f>UPPER(A193)&amp;"&gt;"&amp;UPPER(B193)</f>
        <v/>
      </c>
    </row>
    <row r="194">
      <c r="A194" s="8" t="inlineStr">
        <is>
          <t>Zamfara (Gusau)</t>
        </is>
      </c>
      <c r="B194" s="8" t="inlineStr">
        <is>
          <t>Lagos</t>
        </is>
      </c>
      <c r="C194" s="27" t="n">
        <v>3</v>
      </c>
      <c r="D194" s="8">
        <f>UPPER(A194)&amp;"&gt;"&amp;UPPER(B194)</f>
        <v/>
      </c>
    </row>
    <row r="195">
      <c r="A195" s="8" t="inlineStr">
        <is>
          <t>Zaria</t>
        </is>
      </c>
      <c r="B195" s="8" t="inlineStr">
        <is>
          <t>Lagos</t>
        </is>
      </c>
      <c r="C195" s="27" t="n">
        <v>3</v>
      </c>
      <c r="D195" s="8">
        <f>UPPER(A195)&amp;"&gt;"&amp;UPPER(B195)</f>
        <v/>
      </c>
    </row>
    <row r="196">
      <c r="A196" s="8" t="inlineStr">
        <is>
          <t>kano</t>
        </is>
      </c>
      <c r="B196" s="8" t="inlineStr">
        <is>
          <t>Lagos</t>
        </is>
      </c>
      <c r="C196" s="27" t="n">
        <v>4</v>
      </c>
      <c r="D196" s="8">
        <f>UPPER(A196)&amp;"&gt;"&amp;UPPER(B196)</f>
        <v/>
      </c>
    </row>
    <row r="197">
      <c r="A197" s="8" t="inlineStr">
        <is>
          <t>lara</t>
        </is>
      </c>
      <c r="B197" s="8" t="inlineStr">
        <is>
          <t>Lagos</t>
        </is>
      </c>
      <c r="C197" s="27" t="n">
        <v>1</v>
      </c>
      <c r="D197" s="8">
        <f>UPPER(A197)&amp;"&gt;"&amp;UPPER(B197)</f>
        <v/>
      </c>
    </row>
    <row r="198">
      <c r="A198" s="8" t="inlineStr">
        <is>
          <t>lella</t>
        </is>
      </c>
      <c r="B198" s="8" t="inlineStr">
        <is>
          <t>Lagos</t>
        </is>
      </c>
      <c r="C198" s="27" t="n">
        <v>3</v>
      </c>
      <c r="D198" s="8">
        <f>UPPER(A198)&amp;"&gt;"&amp;UPPER(B198)</f>
        <v/>
      </c>
    </row>
    <row r="199">
      <c r="A199" s="8" t="inlineStr">
        <is>
          <t>lorin</t>
        </is>
      </c>
      <c r="B199" s="8" t="inlineStr">
        <is>
          <t>Lagos</t>
        </is>
      </c>
      <c r="C199" s="27" t="n">
        <v>1</v>
      </c>
      <c r="D199" s="8">
        <f>UPPER(A199)&amp;"&gt;"&amp;UPPER(B199)</f>
        <v/>
      </c>
    </row>
    <row r="200">
      <c r="A200" s="8" t="inlineStr">
        <is>
          <t>Lafia</t>
        </is>
      </c>
      <c r="B200" s="8" t="inlineStr">
        <is>
          <t>Ogere</t>
        </is>
      </c>
      <c r="C200" s="27" t="n">
        <v>1</v>
      </c>
      <c r="D200" s="8">
        <f>UPPER(A200)&amp;"&gt;"&amp;UPPER(B200)</f>
        <v/>
      </c>
    </row>
    <row r="201">
      <c r="A201" s="8" t="inlineStr">
        <is>
          <t>Port Harcourt</t>
        </is>
      </c>
      <c r="B201" s="8" t="inlineStr">
        <is>
          <t>Benin</t>
        </is>
      </c>
      <c r="C201" s="27" t="n">
        <v>2</v>
      </c>
      <c r="D201" s="8">
        <f>UPPER(A201)&amp;"&gt;"&amp;UPPER(B201)</f>
        <v/>
      </c>
    </row>
    <row r="202">
      <c r="C202" s="28" t="n"/>
      <c r="D202">
        <f>IF(A202="","",UPPER(A202)&amp;"&gt;"&amp;UPPER(B202))</f>
        <v/>
      </c>
    </row>
    <row r="203">
      <c r="C203" s="28" t="n"/>
      <c r="D203">
        <f>IF(A203="","",UPPER(A203)&amp;"&gt;"&amp;UPPER(B203))</f>
        <v/>
      </c>
    </row>
    <row r="204">
      <c r="C204" s="28" t="n"/>
      <c r="D204">
        <f>IF(A204="","",UPPER(A204)&amp;"&gt;"&amp;UPPER(B204))</f>
        <v/>
      </c>
    </row>
    <row r="205">
      <c r="C205" s="28" t="n"/>
      <c r="D205">
        <f>IF(A205="","",UPPER(A205)&amp;"&gt;"&amp;UPPER(B205))</f>
        <v/>
      </c>
    </row>
    <row r="206">
      <c r="C206" s="28" t="n"/>
      <c r="D206">
        <f>IF(A206="","",UPPER(A206)&amp;"&gt;"&amp;UPPER(B206))</f>
        <v/>
      </c>
    </row>
    <row r="207">
      <c r="C207" s="28" t="n"/>
      <c r="D207">
        <f>IF(A207="","",UPPER(A207)&amp;"&gt;"&amp;UPPER(B207))</f>
        <v/>
      </c>
    </row>
    <row r="208">
      <c r="C208" s="28" t="n"/>
      <c r="D208">
        <f>IF(A208="","",UPPER(A208)&amp;"&gt;"&amp;UPPER(B208))</f>
        <v/>
      </c>
    </row>
    <row r="209">
      <c r="C209" s="28" t="n"/>
      <c r="D209">
        <f>IF(A209="","",UPPER(A209)&amp;"&gt;"&amp;UPPER(B209))</f>
        <v/>
      </c>
    </row>
    <row r="210">
      <c r="C210" s="28" t="n"/>
      <c r="D210">
        <f>IF(A210="","",UPPER(A210)&amp;"&gt;"&amp;UPPER(B210))</f>
        <v/>
      </c>
    </row>
    <row r="211">
      <c r="C211" s="28" t="n"/>
      <c r="D211">
        <f>IF(A211="","",UPPER(A211)&amp;"&gt;"&amp;UPPER(B211))</f>
        <v/>
      </c>
    </row>
    <row r="212">
      <c r="C212" s="28" t="n"/>
      <c r="D212">
        <f>IF(A212="","",UPPER(A212)&amp;"&gt;"&amp;UPPER(B212))</f>
        <v/>
      </c>
    </row>
    <row r="213">
      <c r="C213" s="28" t="n"/>
      <c r="D213">
        <f>IF(A213="","",UPPER(A213)&amp;"&gt;"&amp;UPPER(B213))</f>
        <v/>
      </c>
    </row>
    <row r="214">
      <c r="C214" s="28" t="n"/>
      <c r="D214">
        <f>IF(A214="","",UPPER(A214)&amp;"&gt;"&amp;UPPER(B214))</f>
        <v/>
      </c>
    </row>
    <row r="215">
      <c r="C215" s="28" t="n"/>
      <c r="D215">
        <f>IF(A215="","",UPPER(A215)&amp;"&gt;"&amp;UPPER(B215))</f>
        <v/>
      </c>
    </row>
    <row r="216">
      <c r="C216" s="28" t="n"/>
      <c r="D216">
        <f>IF(A216="","",UPPER(A216)&amp;"&gt;"&amp;UPPER(B216))</f>
        <v/>
      </c>
    </row>
    <row r="217">
      <c r="C217" s="28" t="n"/>
      <c r="D217">
        <f>IF(A217="","",UPPER(A217)&amp;"&gt;"&amp;UPPER(B217))</f>
        <v/>
      </c>
    </row>
    <row r="218">
      <c r="C218" s="28" t="n"/>
      <c r="D218">
        <f>IF(A218="","",UPPER(A218)&amp;"&gt;"&amp;UPPER(B218))</f>
        <v/>
      </c>
    </row>
    <row r="219">
      <c r="C219" s="28" t="n"/>
      <c r="D219">
        <f>IF(A219="","",UPPER(A219)&amp;"&gt;"&amp;UPPER(B219))</f>
        <v/>
      </c>
    </row>
    <row r="220">
      <c r="C220" s="28" t="n"/>
      <c r="D220">
        <f>IF(A220="","",UPPER(A220)&amp;"&gt;"&amp;UPPER(B220))</f>
        <v/>
      </c>
    </row>
    <row r="221">
      <c r="C221" s="28" t="n"/>
      <c r="D221">
        <f>IF(A221="","",UPPER(A221)&amp;"&gt;"&amp;UPPER(B221))</f>
        <v/>
      </c>
    </row>
    <row r="222">
      <c r="C222" s="28" t="n"/>
      <c r="D222">
        <f>IF(A222="","",UPPER(A222)&amp;"&gt;"&amp;UPPER(B222))</f>
        <v/>
      </c>
    </row>
    <row r="223">
      <c r="C223" s="28" t="n"/>
      <c r="D223">
        <f>IF(A223="","",UPPER(A223)&amp;"&gt;"&amp;UPPER(B223))</f>
        <v/>
      </c>
    </row>
    <row r="224">
      <c r="C224" s="28" t="n"/>
      <c r="D224">
        <f>IF(A224="","",UPPER(A224)&amp;"&gt;"&amp;UPPER(B224))</f>
        <v/>
      </c>
    </row>
    <row r="225">
      <c r="C225" s="28" t="n"/>
      <c r="D225">
        <f>IF(A225="","",UPPER(A225)&amp;"&gt;"&amp;UPPER(B225))</f>
        <v/>
      </c>
    </row>
    <row r="226">
      <c r="C226" s="28" t="n"/>
      <c r="D226">
        <f>IF(A226="","",UPPER(A226)&amp;"&gt;"&amp;UPPER(B226))</f>
        <v/>
      </c>
    </row>
    <row r="227">
      <c r="C227" s="28" t="n"/>
      <c r="D227">
        <f>IF(A227="","",UPPER(A227)&amp;"&gt;"&amp;UPPER(B227))</f>
        <v/>
      </c>
    </row>
    <row r="228">
      <c r="C228" s="28" t="n"/>
      <c r="D228">
        <f>IF(A228="","",UPPER(A228)&amp;"&gt;"&amp;UPPER(B228))</f>
        <v/>
      </c>
    </row>
    <row r="229">
      <c r="C229" s="28" t="n"/>
      <c r="D229">
        <f>IF(A229="","",UPPER(A229)&amp;"&gt;"&amp;UPPER(B229))</f>
        <v/>
      </c>
    </row>
    <row r="230">
      <c r="C230" s="28" t="n"/>
      <c r="D230">
        <f>IF(A230="","",UPPER(A230)&amp;"&gt;"&amp;UPPER(B230))</f>
        <v/>
      </c>
    </row>
    <row r="231">
      <c r="C231" s="28" t="n"/>
      <c r="D231">
        <f>IF(A231="","",UPPER(A231)&amp;"&gt;"&amp;UPPER(B231))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1" customWidth="1" min="16" max="16"/>
  </cols>
  <sheetData>
    <row r="1">
      <c r="A1" s="22" t="inlineStr">
        <is>
          <t>Truck requirement per client — monthly rotation</t>
        </is>
      </c>
    </row>
    <row r="2" ht="48" customHeight="1">
      <c r="A2" s="2" t="inlineStr">
        <is>
          <t>A truck rotates on its route through the month. Trips one truck can do per month = whole number of (operating days ÷ round-trip days). Example: 6-day round trip → 4 trips per truck per month (one a week), so 4 trips a month need 1 truck. Trucks needed = trips in the month ÷ trips per truck, added up across the client's routes and rounded up per client.</t>
        </is>
      </c>
    </row>
    <row r="4">
      <c r="A4" s="17" t="inlineStr">
        <is>
          <t>Operating days per truck per month</t>
        </is>
      </c>
      <c r="B4" s="29" t="n">
        <v>26</v>
      </c>
      <c r="C4" s="30" t="inlineStr">
        <is>
          <t>Days a truck is available to run (26 allows for Sundays and maintenance; use 30 for every day).</t>
        </is>
      </c>
    </row>
    <row r="5">
      <c r="A5" s="17" t="inlineStr">
        <is>
          <t>Default one-leg days for routes not in your table</t>
        </is>
      </c>
      <c r="B5" s="29" t="n">
        <v>2</v>
      </c>
      <c r="C5" s="30" t="inlineStr">
        <is>
          <t>Used only where a route has no match and no override (red rows on the route sheet).</t>
        </is>
      </c>
    </row>
    <row r="7">
      <c r="A7" s="17" t="inlineStr">
        <is>
          <t>Trips one truck can do in a month:</t>
        </is>
      </c>
    </row>
    <row r="8">
      <c r="A8" s="31" t="inlineStr">
        <is>
          <t>2-day round trip (Lagos/Ibadan local)</t>
        </is>
      </c>
      <c r="B8">
        <f>MAX(1,INT('Truck Requirement'!$B$4/2))</f>
        <v/>
      </c>
      <c r="C8" t="inlineStr">
        <is>
          <t>trip(s) per truck per month</t>
        </is>
      </c>
    </row>
    <row r="9">
      <c r="A9" s="31" t="inlineStr">
        <is>
          <t>4-day round trip (e.g. PHC, Onitsha, Benin from Ibadan)</t>
        </is>
      </c>
      <c r="B9">
        <f>MAX(1,INT('Truck Requirement'!$B$4/4))</f>
        <v/>
      </c>
      <c r="C9" t="inlineStr">
        <is>
          <t>trip(s) per truck per month</t>
        </is>
      </c>
    </row>
    <row r="10">
      <c r="A10" s="31" t="inlineStr">
        <is>
          <t>6-day round trip (e.g. Abuja, Kaduna)</t>
        </is>
      </c>
      <c r="B10">
        <f>MAX(1,INT('Truck Requirement'!$B$4/6))</f>
        <v/>
      </c>
      <c r="C10" t="inlineStr">
        <is>
          <t>trip(s) per truck per month</t>
        </is>
      </c>
    </row>
    <row r="11">
      <c r="A11" s="31" t="inlineStr">
        <is>
          <t>8-day round trip (e.g. Kano from Lagos)</t>
        </is>
      </c>
      <c r="B11">
        <f>MAX(1,INT('Truck Requirement'!$B$4/8))</f>
        <v/>
      </c>
      <c r="C11" t="inlineStr">
        <is>
          <t>trip(s) per truck per month</t>
        </is>
      </c>
    </row>
    <row r="12">
      <c r="A12" s="31" t="inlineStr">
        <is>
          <t>10-day round trip (e.g. Yola, Maiduguri)</t>
        </is>
      </c>
      <c r="B12">
        <f>MAX(1,INT('Truck Requirement'!$B$4/10))</f>
        <v/>
      </c>
      <c r="C12" t="inlineStr">
        <is>
          <t>trip(s) per truck per month</t>
        </is>
      </c>
    </row>
    <row r="14">
      <c r="B14" s="32" t="inlineStr">
        <is>
          <t>Trucks needed each month (trucks rotating on their routes)</t>
        </is>
      </c>
    </row>
    <row r="15" ht="45" customHeight="1">
      <c r="A15" s="7" t="inlineStr">
        <is>
          <t>Client</t>
        </is>
      </c>
      <c r="B15" s="7" t="inlineStr">
        <is>
          <t>Jan</t>
        </is>
      </c>
      <c r="C15" s="7" t="inlineStr">
        <is>
          <t>Feb</t>
        </is>
      </c>
      <c r="D15" s="7" t="inlineStr">
        <is>
          <t>Mar</t>
        </is>
      </c>
      <c r="E15" s="7" t="inlineStr">
        <is>
          <t>Apr</t>
        </is>
      </c>
      <c r="F15" s="7" t="inlineStr">
        <is>
          <t>May</t>
        </is>
      </c>
      <c r="G15" s="7" t="inlineStr">
        <is>
          <t>Jun</t>
        </is>
      </c>
      <c r="H15" s="7" t="inlineStr">
        <is>
          <t>Jul</t>
        </is>
      </c>
      <c r="I15" s="7" t="inlineStr">
        <is>
          <t>Aug</t>
        </is>
      </c>
      <c r="J15" s="7" t="inlineStr">
        <is>
          <t>Sep</t>
        </is>
      </c>
      <c r="K15" s="7" t="inlineStr">
        <is>
          <t>Months with trips</t>
        </is>
      </c>
      <c r="L15" s="7" t="inlineStr">
        <is>
          <t>Avg trips per month</t>
        </is>
      </c>
      <c r="M15" s="7" t="inlineStr">
        <is>
          <t>Typical month (avg trucks)</t>
        </is>
      </c>
      <c r="N15" s="7" t="inlineStr">
        <is>
          <t>Peak month (trucks)</t>
        </is>
      </c>
      <c r="O15" s="7" t="inlineStr">
        <is>
          <t>Peak month Jul–Sep</t>
        </is>
      </c>
      <c r="P15" s="7" t="inlineStr">
        <is>
          <t>Avg round-trip days</t>
        </is>
      </c>
    </row>
    <row r="16">
      <c r="A16" s="33" t="inlineStr">
        <is>
          <t>NBL</t>
        </is>
      </c>
      <c r="B16" s="34">
        <f>ROUNDUP(SUMIFS('Truck Req by Route'!$V$5:$V$320,'Truck Req by Route'!$A$5:$A$320,$A16),0)</f>
        <v/>
      </c>
      <c r="C16" s="34">
        <f>ROUNDUP(SUMIFS('Truck Req by Route'!$W$5:$W$320,'Truck Req by Route'!$A$5:$A$320,$A16),0)</f>
        <v/>
      </c>
      <c r="D16" s="34">
        <f>ROUNDUP(SUMIFS('Truck Req by Route'!$X$5:$X$320,'Truck Req by Route'!$A$5:$A$320,$A16),0)</f>
        <v/>
      </c>
      <c r="E16" s="34">
        <f>ROUNDUP(SUMIFS('Truck Req by Route'!$Y$5:$Y$320,'Truck Req by Route'!$A$5:$A$320,$A16),0)</f>
        <v/>
      </c>
      <c r="F16" s="34">
        <f>ROUNDUP(SUMIFS('Truck Req by Route'!$Z$5:$Z$320,'Truck Req by Route'!$A$5:$A$320,$A16),0)</f>
        <v/>
      </c>
      <c r="G16" s="34">
        <f>ROUNDUP(SUMIFS('Truck Req by Route'!$AA$5:$AA$320,'Truck Req by Route'!$A$5:$A$320,$A16),0)</f>
        <v/>
      </c>
      <c r="H16" s="34">
        <f>ROUNDUP(SUMIFS('Truck Req by Route'!$AB$5:$AB$320,'Truck Req by Route'!$A$5:$A$320,$A16),0)</f>
        <v/>
      </c>
      <c r="I16" s="34">
        <f>ROUNDUP(SUMIFS('Truck Req by Route'!$AC$5:$AC$320,'Truck Req by Route'!$A$5:$A$320,$A16),0)</f>
        <v/>
      </c>
      <c r="J16" s="34">
        <f>ROUNDUP(SUMIFS('Truck Req by Route'!$AD$5:$AD$320,'Truck Req by Route'!$A$5:$A$320,$A16),0)</f>
        <v/>
      </c>
      <c r="K16" s="33">
        <f>COUNTIF(B16:J16,"&gt;0")</f>
        <v/>
      </c>
      <c r="L16" s="35">
        <f>IF(K16=0,0,SUMIFS('Truck Req by Route'!$L$5:$L$320,'Truck Req by Route'!$A$5:$A$320,$A16)/K16)</f>
        <v/>
      </c>
      <c r="M16" s="35">
        <f>IFERROR(AVERAGEIF(B16:J16,"&gt;0"),0)</f>
        <v/>
      </c>
      <c r="N16" s="36">
        <f>MAX(B16:J16)</f>
        <v/>
      </c>
      <c r="O16" s="36">
        <f>MAX(H16:J16)</f>
        <v/>
      </c>
      <c r="P16" s="37">
        <f>IFERROR(SUMPRODUCT(('Truck Req by Route'!$A$5:$A$320=$A16)*'Truck Req by Route'!$L$5:$L$320*'Truck Req by Route'!$J$5:$J$320)/SUMIFS('Truck Req by Route'!$L$5:$L$320,'Truck Req by Route'!$A$5:$A$320,$A16),"")</f>
        <v/>
      </c>
    </row>
    <row r="17">
      <c r="A17" s="33" t="inlineStr">
        <is>
          <t>ORCA DECO LIMITED</t>
        </is>
      </c>
      <c r="B17" s="34">
        <f>ROUNDUP(SUMIFS('Truck Req by Route'!$V$5:$V$320,'Truck Req by Route'!$A$5:$A$320,$A17),0)</f>
        <v/>
      </c>
      <c r="C17" s="34">
        <f>ROUNDUP(SUMIFS('Truck Req by Route'!$W$5:$W$320,'Truck Req by Route'!$A$5:$A$320,$A17),0)</f>
        <v/>
      </c>
      <c r="D17" s="34">
        <f>ROUNDUP(SUMIFS('Truck Req by Route'!$X$5:$X$320,'Truck Req by Route'!$A$5:$A$320,$A17),0)</f>
        <v/>
      </c>
      <c r="E17" s="34">
        <f>ROUNDUP(SUMIFS('Truck Req by Route'!$Y$5:$Y$320,'Truck Req by Route'!$A$5:$A$320,$A17),0)</f>
        <v/>
      </c>
      <c r="F17" s="34">
        <f>ROUNDUP(SUMIFS('Truck Req by Route'!$Z$5:$Z$320,'Truck Req by Route'!$A$5:$A$320,$A17),0)</f>
        <v/>
      </c>
      <c r="G17" s="34">
        <f>ROUNDUP(SUMIFS('Truck Req by Route'!$AA$5:$AA$320,'Truck Req by Route'!$A$5:$A$320,$A17),0)</f>
        <v/>
      </c>
      <c r="H17" s="34">
        <f>ROUNDUP(SUMIFS('Truck Req by Route'!$AB$5:$AB$320,'Truck Req by Route'!$A$5:$A$320,$A17),0)</f>
        <v/>
      </c>
      <c r="I17" s="34">
        <f>ROUNDUP(SUMIFS('Truck Req by Route'!$AC$5:$AC$320,'Truck Req by Route'!$A$5:$A$320,$A17),0)</f>
        <v/>
      </c>
      <c r="J17" s="34">
        <f>ROUNDUP(SUMIFS('Truck Req by Route'!$AD$5:$AD$320,'Truck Req by Route'!$A$5:$A$320,$A17),0)</f>
        <v/>
      </c>
      <c r="K17" s="33">
        <f>COUNTIF(B17:J17,"&gt;0")</f>
        <v/>
      </c>
      <c r="L17" s="35">
        <f>IF(K17=0,0,SUMIFS('Truck Req by Route'!$L$5:$L$320,'Truck Req by Route'!$A$5:$A$320,$A17)/K17)</f>
        <v/>
      </c>
      <c r="M17" s="35">
        <f>IFERROR(AVERAGEIF(B17:J17,"&gt;0"),0)</f>
        <v/>
      </c>
      <c r="N17" s="36">
        <f>MAX(B17:J17)</f>
        <v/>
      </c>
      <c r="O17" s="36">
        <f>MAX(H17:J17)</f>
        <v/>
      </c>
      <c r="P17" s="37">
        <f>IFERROR(SUMPRODUCT(('Truck Req by Route'!$A$5:$A$320=$A17)*'Truck Req by Route'!$L$5:$L$320*'Truck Req by Route'!$J$5:$J$320)/SUMIFS('Truck Req by Route'!$L$5:$L$320,'Truck Req by Route'!$A$5:$A$320,$A17),"")</f>
        <v/>
      </c>
    </row>
    <row r="18">
      <c r="A18" s="33" t="inlineStr">
        <is>
          <t>Jamara</t>
        </is>
      </c>
      <c r="B18" s="34">
        <f>ROUNDUP(SUMIFS('Truck Req by Route'!$V$5:$V$320,'Truck Req by Route'!$A$5:$A$320,$A18),0)</f>
        <v/>
      </c>
      <c r="C18" s="34">
        <f>ROUNDUP(SUMIFS('Truck Req by Route'!$W$5:$W$320,'Truck Req by Route'!$A$5:$A$320,$A18),0)</f>
        <v/>
      </c>
      <c r="D18" s="34">
        <f>ROUNDUP(SUMIFS('Truck Req by Route'!$X$5:$X$320,'Truck Req by Route'!$A$5:$A$320,$A18),0)</f>
        <v/>
      </c>
      <c r="E18" s="34">
        <f>ROUNDUP(SUMIFS('Truck Req by Route'!$Y$5:$Y$320,'Truck Req by Route'!$A$5:$A$320,$A18),0)</f>
        <v/>
      </c>
      <c r="F18" s="34">
        <f>ROUNDUP(SUMIFS('Truck Req by Route'!$Z$5:$Z$320,'Truck Req by Route'!$A$5:$A$320,$A18),0)</f>
        <v/>
      </c>
      <c r="G18" s="34">
        <f>ROUNDUP(SUMIFS('Truck Req by Route'!$AA$5:$AA$320,'Truck Req by Route'!$A$5:$A$320,$A18),0)</f>
        <v/>
      </c>
      <c r="H18" s="34">
        <f>ROUNDUP(SUMIFS('Truck Req by Route'!$AB$5:$AB$320,'Truck Req by Route'!$A$5:$A$320,$A18),0)</f>
        <v/>
      </c>
      <c r="I18" s="34">
        <f>ROUNDUP(SUMIFS('Truck Req by Route'!$AC$5:$AC$320,'Truck Req by Route'!$A$5:$A$320,$A18),0)</f>
        <v/>
      </c>
      <c r="J18" s="34">
        <f>ROUNDUP(SUMIFS('Truck Req by Route'!$AD$5:$AD$320,'Truck Req by Route'!$A$5:$A$320,$A18),0)</f>
        <v/>
      </c>
      <c r="K18" s="33">
        <f>COUNTIF(B18:J18,"&gt;0")</f>
        <v/>
      </c>
      <c r="L18" s="35">
        <f>IF(K18=0,0,SUMIFS('Truck Req by Route'!$L$5:$L$320,'Truck Req by Route'!$A$5:$A$320,$A18)/K18)</f>
        <v/>
      </c>
      <c r="M18" s="35">
        <f>IFERROR(AVERAGEIF(B18:J18,"&gt;0"),0)</f>
        <v/>
      </c>
      <c r="N18" s="36">
        <f>MAX(B18:J18)</f>
        <v/>
      </c>
      <c r="O18" s="36">
        <f>MAX(H18:J18)</f>
        <v/>
      </c>
      <c r="P18" s="37">
        <f>IFERROR(SUMPRODUCT(('Truck Req by Route'!$A$5:$A$320=$A18)*'Truck Req by Route'!$L$5:$L$320*'Truck Req by Route'!$J$5:$J$320)/SUMIFS('Truck Req by Route'!$L$5:$L$320,'Truck Req by Route'!$A$5:$A$320,$A18),"")</f>
        <v/>
      </c>
    </row>
    <row r="19">
      <c r="A19" s="33" t="inlineStr">
        <is>
          <t>MEGA MANU</t>
        </is>
      </c>
      <c r="B19" s="34">
        <f>ROUNDUP(SUMIFS('Truck Req by Route'!$V$5:$V$320,'Truck Req by Route'!$A$5:$A$320,$A19),0)</f>
        <v/>
      </c>
      <c r="C19" s="34">
        <f>ROUNDUP(SUMIFS('Truck Req by Route'!$W$5:$W$320,'Truck Req by Route'!$A$5:$A$320,$A19),0)</f>
        <v/>
      </c>
      <c r="D19" s="34">
        <f>ROUNDUP(SUMIFS('Truck Req by Route'!$X$5:$X$320,'Truck Req by Route'!$A$5:$A$320,$A19),0)</f>
        <v/>
      </c>
      <c r="E19" s="34">
        <f>ROUNDUP(SUMIFS('Truck Req by Route'!$Y$5:$Y$320,'Truck Req by Route'!$A$5:$A$320,$A19),0)</f>
        <v/>
      </c>
      <c r="F19" s="34">
        <f>ROUNDUP(SUMIFS('Truck Req by Route'!$Z$5:$Z$320,'Truck Req by Route'!$A$5:$A$320,$A19),0)</f>
        <v/>
      </c>
      <c r="G19" s="34">
        <f>ROUNDUP(SUMIFS('Truck Req by Route'!$AA$5:$AA$320,'Truck Req by Route'!$A$5:$A$320,$A19),0)</f>
        <v/>
      </c>
      <c r="H19" s="34">
        <f>ROUNDUP(SUMIFS('Truck Req by Route'!$AB$5:$AB$320,'Truck Req by Route'!$A$5:$A$320,$A19),0)</f>
        <v/>
      </c>
      <c r="I19" s="34">
        <f>ROUNDUP(SUMIFS('Truck Req by Route'!$AC$5:$AC$320,'Truck Req by Route'!$A$5:$A$320,$A19),0)</f>
        <v/>
      </c>
      <c r="J19" s="34">
        <f>ROUNDUP(SUMIFS('Truck Req by Route'!$AD$5:$AD$320,'Truck Req by Route'!$A$5:$A$320,$A19),0)</f>
        <v/>
      </c>
      <c r="K19" s="33">
        <f>COUNTIF(B19:J19,"&gt;0")</f>
        <v/>
      </c>
      <c r="L19" s="35">
        <f>IF(K19=0,0,SUMIFS('Truck Req by Route'!$L$5:$L$320,'Truck Req by Route'!$A$5:$A$320,$A19)/K19)</f>
        <v/>
      </c>
      <c r="M19" s="35">
        <f>IFERROR(AVERAGEIF(B19:J19,"&gt;0"),0)</f>
        <v/>
      </c>
      <c r="N19" s="36">
        <f>MAX(B19:J19)</f>
        <v/>
      </c>
      <c r="O19" s="36">
        <f>MAX(H19:J19)</f>
        <v/>
      </c>
      <c r="P19" s="37">
        <f>IFERROR(SUMPRODUCT(('Truck Req by Route'!$A$5:$A$320=$A19)*'Truck Req by Route'!$L$5:$L$320*'Truck Req by Route'!$J$5:$J$320)/SUMIFS('Truck Req by Route'!$L$5:$L$320,'Truck Req by Route'!$A$5:$A$320,$A19),"")</f>
        <v/>
      </c>
    </row>
    <row r="20">
      <c r="A20" s="33" t="inlineStr">
        <is>
          <t>Lacasera</t>
        </is>
      </c>
      <c r="B20" s="34">
        <f>ROUNDUP(SUMIFS('Truck Req by Route'!$V$5:$V$320,'Truck Req by Route'!$A$5:$A$320,$A20),0)</f>
        <v/>
      </c>
      <c r="C20" s="34">
        <f>ROUNDUP(SUMIFS('Truck Req by Route'!$W$5:$W$320,'Truck Req by Route'!$A$5:$A$320,$A20),0)</f>
        <v/>
      </c>
      <c r="D20" s="34">
        <f>ROUNDUP(SUMIFS('Truck Req by Route'!$X$5:$X$320,'Truck Req by Route'!$A$5:$A$320,$A20),0)</f>
        <v/>
      </c>
      <c r="E20" s="34">
        <f>ROUNDUP(SUMIFS('Truck Req by Route'!$Y$5:$Y$320,'Truck Req by Route'!$A$5:$A$320,$A20),0)</f>
        <v/>
      </c>
      <c r="F20" s="34">
        <f>ROUNDUP(SUMIFS('Truck Req by Route'!$Z$5:$Z$320,'Truck Req by Route'!$A$5:$A$320,$A20),0)</f>
        <v/>
      </c>
      <c r="G20" s="34">
        <f>ROUNDUP(SUMIFS('Truck Req by Route'!$AA$5:$AA$320,'Truck Req by Route'!$A$5:$A$320,$A20),0)</f>
        <v/>
      </c>
      <c r="H20" s="34">
        <f>ROUNDUP(SUMIFS('Truck Req by Route'!$AB$5:$AB$320,'Truck Req by Route'!$A$5:$A$320,$A20),0)</f>
        <v/>
      </c>
      <c r="I20" s="34">
        <f>ROUNDUP(SUMIFS('Truck Req by Route'!$AC$5:$AC$320,'Truck Req by Route'!$A$5:$A$320,$A20),0)</f>
        <v/>
      </c>
      <c r="J20" s="34">
        <f>ROUNDUP(SUMIFS('Truck Req by Route'!$AD$5:$AD$320,'Truck Req by Route'!$A$5:$A$320,$A20),0)</f>
        <v/>
      </c>
      <c r="K20" s="33">
        <f>COUNTIF(B20:J20,"&gt;0")</f>
        <v/>
      </c>
      <c r="L20" s="35">
        <f>IF(K20=0,0,SUMIFS('Truck Req by Route'!$L$5:$L$320,'Truck Req by Route'!$A$5:$A$320,$A20)/K20)</f>
        <v/>
      </c>
      <c r="M20" s="35">
        <f>IFERROR(AVERAGEIF(B20:J20,"&gt;0"),0)</f>
        <v/>
      </c>
      <c r="N20" s="36">
        <f>MAX(B20:J20)</f>
        <v/>
      </c>
      <c r="O20" s="36">
        <f>MAX(H20:J20)</f>
        <v/>
      </c>
      <c r="P20" s="37">
        <f>IFERROR(SUMPRODUCT(('Truck Req by Route'!$A$5:$A$320=$A20)*'Truck Req by Route'!$L$5:$L$320*'Truck Req by Route'!$J$5:$J$320)/SUMIFS('Truck Req by Route'!$L$5:$L$320,'Truck Req by Route'!$A$5:$A$320,$A20),"")</f>
        <v/>
      </c>
    </row>
    <row r="21">
      <c r="A21" s="33" t="inlineStr">
        <is>
          <t>AB-INBEV</t>
        </is>
      </c>
      <c r="B21" s="34">
        <f>ROUNDUP(SUMIFS('Truck Req by Route'!$V$5:$V$320,'Truck Req by Route'!$A$5:$A$320,$A21),0)</f>
        <v/>
      </c>
      <c r="C21" s="34">
        <f>ROUNDUP(SUMIFS('Truck Req by Route'!$W$5:$W$320,'Truck Req by Route'!$A$5:$A$320,$A21),0)</f>
        <v/>
      </c>
      <c r="D21" s="34">
        <f>ROUNDUP(SUMIFS('Truck Req by Route'!$X$5:$X$320,'Truck Req by Route'!$A$5:$A$320,$A21),0)</f>
        <v/>
      </c>
      <c r="E21" s="34">
        <f>ROUNDUP(SUMIFS('Truck Req by Route'!$Y$5:$Y$320,'Truck Req by Route'!$A$5:$A$320,$A21),0)</f>
        <v/>
      </c>
      <c r="F21" s="34">
        <f>ROUNDUP(SUMIFS('Truck Req by Route'!$Z$5:$Z$320,'Truck Req by Route'!$A$5:$A$320,$A21),0)</f>
        <v/>
      </c>
      <c r="G21" s="34">
        <f>ROUNDUP(SUMIFS('Truck Req by Route'!$AA$5:$AA$320,'Truck Req by Route'!$A$5:$A$320,$A21),0)</f>
        <v/>
      </c>
      <c r="H21" s="34">
        <f>ROUNDUP(SUMIFS('Truck Req by Route'!$AB$5:$AB$320,'Truck Req by Route'!$A$5:$A$320,$A21),0)</f>
        <v/>
      </c>
      <c r="I21" s="34">
        <f>ROUNDUP(SUMIFS('Truck Req by Route'!$AC$5:$AC$320,'Truck Req by Route'!$A$5:$A$320,$A21),0)</f>
        <v/>
      </c>
      <c r="J21" s="34">
        <f>ROUNDUP(SUMIFS('Truck Req by Route'!$AD$5:$AD$320,'Truck Req by Route'!$A$5:$A$320,$A21),0)</f>
        <v/>
      </c>
      <c r="K21" s="33">
        <f>COUNTIF(B21:J21,"&gt;0")</f>
        <v/>
      </c>
      <c r="L21" s="35">
        <f>IF(K21=0,0,SUMIFS('Truck Req by Route'!$L$5:$L$320,'Truck Req by Route'!$A$5:$A$320,$A21)/K21)</f>
        <v/>
      </c>
      <c r="M21" s="35">
        <f>IFERROR(AVERAGEIF(B21:J21,"&gt;0"),0)</f>
        <v/>
      </c>
      <c r="N21" s="36">
        <f>MAX(B21:J21)</f>
        <v/>
      </c>
      <c r="O21" s="36">
        <f>MAX(H21:J21)</f>
        <v/>
      </c>
      <c r="P21" s="37">
        <f>IFERROR(SUMPRODUCT(('Truck Req by Route'!$A$5:$A$320=$A21)*'Truck Req by Route'!$L$5:$L$320*'Truck Req by Route'!$J$5:$J$320)/SUMIFS('Truck Req by Route'!$L$5:$L$320,'Truck Req by Route'!$A$5:$A$320,$A21),"")</f>
        <v/>
      </c>
    </row>
    <row r="22">
      <c r="A22" s="33" t="inlineStr">
        <is>
          <t>JUBAILI AGROTEC</t>
        </is>
      </c>
      <c r="B22" s="34">
        <f>ROUNDUP(SUMIFS('Truck Req by Route'!$V$5:$V$320,'Truck Req by Route'!$A$5:$A$320,$A22),0)</f>
        <v/>
      </c>
      <c r="C22" s="34">
        <f>ROUNDUP(SUMIFS('Truck Req by Route'!$W$5:$W$320,'Truck Req by Route'!$A$5:$A$320,$A22),0)</f>
        <v/>
      </c>
      <c r="D22" s="34">
        <f>ROUNDUP(SUMIFS('Truck Req by Route'!$X$5:$X$320,'Truck Req by Route'!$A$5:$A$320,$A22),0)</f>
        <v/>
      </c>
      <c r="E22" s="34">
        <f>ROUNDUP(SUMIFS('Truck Req by Route'!$Y$5:$Y$320,'Truck Req by Route'!$A$5:$A$320,$A22),0)</f>
        <v/>
      </c>
      <c r="F22" s="34">
        <f>ROUNDUP(SUMIFS('Truck Req by Route'!$Z$5:$Z$320,'Truck Req by Route'!$A$5:$A$320,$A22),0)</f>
        <v/>
      </c>
      <c r="G22" s="34">
        <f>ROUNDUP(SUMIFS('Truck Req by Route'!$AA$5:$AA$320,'Truck Req by Route'!$A$5:$A$320,$A22),0)</f>
        <v/>
      </c>
      <c r="H22" s="34">
        <f>ROUNDUP(SUMIFS('Truck Req by Route'!$AB$5:$AB$320,'Truck Req by Route'!$A$5:$A$320,$A22),0)</f>
        <v/>
      </c>
      <c r="I22" s="34">
        <f>ROUNDUP(SUMIFS('Truck Req by Route'!$AC$5:$AC$320,'Truck Req by Route'!$A$5:$A$320,$A22),0)</f>
        <v/>
      </c>
      <c r="J22" s="34">
        <f>ROUNDUP(SUMIFS('Truck Req by Route'!$AD$5:$AD$320,'Truck Req by Route'!$A$5:$A$320,$A22),0)</f>
        <v/>
      </c>
      <c r="K22" s="33">
        <f>COUNTIF(B22:J22,"&gt;0")</f>
        <v/>
      </c>
      <c r="L22" s="35">
        <f>IF(K22=0,0,SUMIFS('Truck Req by Route'!$L$5:$L$320,'Truck Req by Route'!$A$5:$A$320,$A22)/K22)</f>
        <v/>
      </c>
      <c r="M22" s="35">
        <f>IFERROR(AVERAGEIF(B22:J22,"&gt;0"),0)</f>
        <v/>
      </c>
      <c r="N22" s="36">
        <f>MAX(B22:J22)</f>
        <v/>
      </c>
      <c r="O22" s="36">
        <f>MAX(H22:J22)</f>
        <v/>
      </c>
      <c r="P22" s="37">
        <f>IFERROR(SUMPRODUCT(('Truck Req by Route'!$A$5:$A$320=$A22)*'Truck Req by Route'!$L$5:$L$320*'Truck Req by Route'!$J$5:$J$320)/SUMIFS('Truck Req by Route'!$L$5:$L$320,'Truck Req by Route'!$A$5:$A$320,$A22),"")</f>
        <v/>
      </c>
    </row>
    <row r="23">
      <c r="A23" s="33" t="inlineStr">
        <is>
          <t>SASO</t>
        </is>
      </c>
      <c r="B23" s="34">
        <f>ROUNDUP(SUMIFS('Truck Req by Route'!$V$5:$V$320,'Truck Req by Route'!$A$5:$A$320,$A23),0)</f>
        <v/>
      </c>
      <c r="C23" s="34">
        <f>ROUNDUP(SUMIFS('Truck Req by Route'!$W$5:$W$320,'Truck Req by Route'!$A$5:$A$320,$A23),0)</f>
        <v/>
      </c>
      <c r="D23" s="34">
        <f>ROUNDUP(SUMIFS('Truck Req by Route'!$X$5:$X$320,'Truck Req by Route'!$A$5:$A$320,$A23),0)</f>
        <v/>
      </c>
      <c r="E23" s="34">
        <f>ROUNDUP(SUMIFS('Truck Req by Route'!$Y$5:$Y$320,'Truck Req by Route'!$A$5:$A$320,$A23),0)</f>
        <v/>
      </c>
      <c r="F23" s="34">
        <f>ROUNDUP(SUMIFS('Truck Req by Route'!$Z$5:$Z$320,'Truck Req by Route'!$A$5:$A$320,$A23),0)</f>
        <v/>
      </c>
      <c r="G23" s="34">
        <f>ROUNDUP(SUMIFS('Truck Req by Route'!$AA$5:$AA$320,'Truck Req by Route'!$A$5:$A$320,$A23),0)</f>
        <v/>
      </c>
      <c r="H23" s="34">
        <f>ROUNDUP(SUMIFS('Truck Req by Route'!$AB$5:$AB$320,'Truck Req by Route'!$A$5:$A$320,$A23),0)</f>
        <v/>
      </c>
      <c r="I23" s="34">
        <f>ROUNDUP(SUMIFS('Truck Req by Route'!$AC$5:$AC$320,'Truck Req by Route'!$A$5:$A$320,$A23),0)</f>
        <v/>
      </c>
      <c r="J23" s="34">
        <f>ROUNDUP(SUMIFS('Truck Req by Route'!$AD$5:$AD$320,'Truck Req by Route'!$A$5:$A$320,$A23),0)</f>
        <v/>
      </c>
      <c r="K23" s="33">
        <f>COUNTIF(B23:J23,"&gt;0")</f>
        <v/>
      </c>
      <c r="L23" s="35">
        <f>IF(K23=0,0,SUMIFS('Truck Req by Route'!$L$5:$L$320,'Truck Req by Route'!$A$5:$A$320,$A23)/K23)</f>
        <v/>
      </c>
      <c r="M23" s="35">
        <f>IFERROR(AVERAGEIF(B23:J23,"&gt;0"),0)</f>
        <v/>
      </c>
      <c r="N23" s="36">
        <f>MAX(B23:J23)</f>
        <v/>
      </c>
      <c r="O23" s="36">
        <f>MAX(H23:J23)</f>
        <v/>
      </c>
      <c r="P23" s="37">
        <f>IFERROR(SUMPRODUCT(('Truck Req by Route'!$A$5:$A$320=$A23)*'Truck Req by Route'!$L$5:$L$320*'Truck Req by Route'!$J$5:$J$320)/SUMIFS('Truck Req by Route'!$L$5:$L$320,'Truck Req by Route'!$A$5:$A$320,$A23),"")</f>
        <v/>
      </c>
    </row>
    <row r="24">
      <c r="A24" s="33" t="inlineStr">
        <is>
          <t>NATURAL BEAUTY</t>
        </is>
      </c>
      <c r="B24" s="34">
        <f>ROUNDUP(SUMIFS('Truck Req by Route'!$V$5:$V$320,'Truck Req by Route'!$A$5:$A$320,$A24),0)</f>
        <v/>
      </c>
      <c r="C24" s="34">
        <f>ROUNDUP(SUMIFS('Truck Req by Route'!$W$5:$W$320,'Truck Req by Route'!$A$5:$A$320,$A24),0)</f>
        <v/>
      </c>
      <c r="D24" s="34">
        <f>ROUNDUP(SUMIFS('Truck Req by Route'!$X$5:$X$320,'Truck Req by Route'!$A$5:$A$320,$A24),0)</f>
        <v/>
      </c>
      <c r="E24" s="34">
        <f>ROUNDUP(SUMIFS('Truck Req by Route'!$Y$5:$Y$320,'Truck Req by Route'!$A$5:$A$320,$A24),0)</f>
        <v/>
      </c>
      <c r="F24" s="34">
        <f>ROUNDUP(SUMIFS('Truck Req by Route'!$Z$5:$Z$320,'Truck Req by Route'!$A$5:$A$320,$A24),0)</f>
        <v/>
      </c>
      <c r="G24" s="34">
        <f>ROUNDUP(SUMIFS('Truck Req by Route'!$AA$5:$AA$320,'Truck Req by Route'!$A$5:$A$320,$A24),0)</f>
        <v/>
      </c>
      <c r="H24" s="34">
        <f>ROUNDUP(SUMIFS('Truck Req by Route'!$AB$5:$AB$320,'Truck Req by Route'!$A$5:$A$320,$A24),0)</f>
        <v/>
      </c>
      <c r="I24" s="34">
        <f>ROUNDUP(SUMIFS('Truck Req by Route'!$AC$5:$AC$320,'Truck Req by Route'!$A$5:$A$320,$A24),0)</f>
        <v/>
      </c>
      <c r="J24" s="34">
        <f>ROUNDUP(SUMIFS('Truck Req by Route'!$AD$5:$AD$320,'Truck Req by Route'!$A$5:$A$320,$A24),0)</f>
        <v/>
      </c>
      <c r="K24" s="33">
        <f>COUNTIF(B24:J24,"&gt;0")</f>
        <v/>
      </c>
      <c r="L24" s="35">
        <f>IF(K24=0,0,SUMIFS('Truck Req by Route'!$L$5:$L$320,'Truck Req by Route'!$A$5:$A$320,$A24)/K24)</f>
        <v/>
      </c>
      <c r="M24" s="35">
        <f>IFERROR(AVERAGEIF(B24:J24,"&gt;0"),0)</f>
        <v/>
      </c>
      <c r="N24" s="36">
        <f>MAX(B24:J24)</f>
        <v/>
      </c>
      <c r="O24" s="36">
        <f>MAX(H24:J24)</f>
        <v/>
      </c>
      <c r="P24" s="37">
        <f>IFERROR(SUMPRODUCT(('Truck Req by Route'!$A$5:$A$320=$A24)*'Truck Req by Route'!$L$5:$L$320*'Truck Req by Route'!$J$5:$J$320)/SUMIFS('Truck Req by Route'!$L$5:$L$320,'Truck Req by Route'!$A$5:$A$320,$A24),"")</f>
        <v/>
      </c>
    </row>
    <row r="25">
      <c r="A25" s="33" t="inlineStr">
        <is>
          <t>ABBA ABASS</t>
        </is>
      </c>
      <c r="B25" s="34">
        <f>ROUNDUP(SUMIFS('Truck Req by Route'!$V$5:$V$320,'Truck Req by Route'!$A$5:$A$320,$A25),0)</f>
        <v/>
      </c>
      <c r="C25" s="34">
        <f>ROUNDUP(SUMIFS('Truck Req by Route'!$W$5:$W$320,'Truck Req by Route'!$A$5:$A$320,$A25),0)</f>
        <v/>
      </c>
      <c r="D25" s="34">
        <f>ROUNDUP(SUMIFS('Truck Req by Route'!$X$5:$X$320,'Truck Req by Route'!$A$5:$A$320,$A25),0)</f>
        <v/>
      </c>
      <c r="E25" s="34">
        <f>ROUNDUP(SUMIFS('Truck Req by Route'!$Y$5:$Y$320,'Truck Req by Route'!$A$5:$A$320,$A25),0)</f>
        <v/>
      </c>
      <c r="F25" s="34">
        <f>ROUNDUP(SUMIFS('Truck Req by Route'!$Z$5:$Z$320,'Truck Req by Route'!$A$5:$A$320,$A25),0)</f>
        <v/>
      </c>
      <c r="G25" s="34">
        <f>ROUNDUP(SUMIFS('Truck Req by Route'!$AA$5:$AA$320,'Truck Req by Route'!$A$5:$A$320,$A25),0)</f>
        <v/>
      </c>
      <c r="H25" s="34">
        <f>ROUNDUP(SUMIFS('Truck Req by Route'!$AB$5:$AB$320,'Truck Req by Route'!$A$5:$A$320,$A25),0)</f>
        <v/>
      </c>
      <c r="I25" s="34">
        <f>ROUNDUP(SUMIFS('Truck Req by Route'!$AC$5:$AC$320,'Truck Req by Route'!$A$5:$A$320,$A25),0)</f>
        <v/>
      </c>
      <c r="J25" s="34">
        <f>ROUNDUP(SUMIFS('Truck Req by Route'!$AD$5:$AD$320,'Truck Req by Route'!$A$5:$A$320,$A25),0)</f>
        <v/>
      </c>
      <c r="K25" s="33">
        <f>COUNTIF(B25:J25,"&gt;0")</f>
        <v/>
      </c>
      <c r="L25" s="35">
        <f>IF(K25=0,0,SUMIFS('Truck Req by Route'!$L$5:$L$320,'Truck Req by Route'!$A$5:$A$320,$A25)/K25)</f>
        <v/>
      </c>
      <c r="M25" s="35">
        <f>IFERROR(AVERAGEIF(B25:J25,"&gt;0"),0)</f>
        <v/>
      </c>
      <c r="N25" s="36">
        <f>MAX(B25:J25)</f>
        <v/>
      </c>
      <c r="O25" s="36">
        <f>MAX(H25:J25)</f>
        <v/>
      </c>
      <c r="P25" s="37">
        <f>IFERROR(SUMPRODUCT(('Truck Req by Route'!$A$5:$A$320=$A25)*'Truck Req by Route'!$L$5:$L$320*'Truck Req by Route'!$J$5:$J$320)/SUMIFS('Truck Req by Route'!$L$5:$L$320,'Truck Req by Route'!$A$5:$A$320,$A25),"")</f>
        <v/>
      </c>
    </row>
    <row r="26">
      <c r="A26" s="33" t="inlineStr">
        <is>
          <t>VENDARA</t>
        </is>
      </c>
      <c r="B26" s="34">
        <f>ROUNDUP(SUMIFS('Truck Req by Route'!$V$5:$V$320,'Truck Req by Route'!$A$5:$A$320,$A26),0)</f>
        <v/>
      </c>
      <c r="C26" s="34">
        <f>ROUNDUP(SUMIFS('Truck Req by Route'!$W$5:$W$320,'Truck Req by Route'!$A$5:$A$320,$A26),0)</f>
        <v/>
      </c>
      <c r="D26" s="34">
        <f>ROUNDUP(SUMIFS('Truck Req by Route'!$X$5:$X$320,'Truck Req by Route'!$A$5:$A$320,$A26),0)</f>
        <v/>
      </c>
      <c r="E26" s="34">
        <f>ROUNDUP(SUMIFS('Truck Req by Route'!$Y$5:$Y$320,'Truck Req by Route'!$A$5:$A$320,$A26),0)</f>
        <v/>
      </c>
      <c r="F26" s="34">
        <f>ROUNDUP(SUMIFS('Truck Req by Route'!$Z$5:$Z$320,'Truck Req by Route'!$A$5:$A$320,$A26),0)</f>
        <v/>
      </c>
      <c r="G26" s="34">
        <f>ROUNDUP(SUMIFS('Truck Req by Route'!$AA$5:$AA$320,'Truck Req by Route'!$A$5:$A$320,$A26),0)</f>
        <v/>
      </c>
      <c r="H26" s="34">
        <f>ROUNDUP(SUMIFS('Truck Req by Route'!$AB$5:$AB$320,'Truck Req by Route'!$A$5:$A$320,$A26),0)</f>
        <v/>
      </c>
      <c r="I26" s="34">
        <f>ROUNDUP(SUMIFS('Truck Req by Route'!$AC$5:$AC$320,'Truck Req by Route'!$A$5:$A$320,$A26),0)</f>
        <v/>
      </c>
      <c r="J26" s="34">
        <f>ROUNDUP(SUMIFS('Truck Req by Route'!$AD$5:$AD$320,'Truck Req by Route'!$A$5:$A$320,$A26),0)</f>
        <v/>
      </c>
      <c r="K26" s="33">
        <f>COUNTIF(B26:J26,"&gt;0")</f>
        <v/>
      </c>
      <c r="L26" s="35">
        <f>IF(K26=0,0,SUMIFS('Truck Req by Route'!$L$5:$L$320,'Truck Req by Route'!$A$5:$A$320,$A26)/K26)</f>
        <v/>
      </c>
      <c r="M26" s="35">
        <f>IFERROR(AVERAGEIF(B26:J26,"&gt;0"),0)</f>
        <v/>
      </c>
      <c r="N26" s="36">
        <f>MAX(B26:J26)</f>
        <v/>
      </c>
      <c r="O26" s="36">
        <f>MAX(H26:J26)</f>
        <v/>
      </c>
      <c r="P26" s="37">
        <f>IFERROR(SUMPRODUCT(('Truck Req by Route'!$A$5:$A$320=$A26)*'Truck Req by Route'!$L$5:$L$320*'Truck Req by Route'!$J$5:$J$320)/SUMIFS('Truck Req by Route'!$L$5:$L$320,'Truck Req by Route'!$A$5:$A$320,$A26),"")</f>
        <v/>
      </c>
    </row>
    <row r="27">
      <c r="A27" s="33" t="inlineStr">
        <is>
          <t>GIVANAS</t>
        </is>
      </c>
      <c r="B27" s="34">
        <f>ROUNDUP(SUMIFS('Truck Req by Route'!$V$5:$V$320,'Truck Req by Route'!$A$5:$A$320,$A27),0)</f>
        <v/>
      </c>
      <c r="C27" s="34">
        <f>ROUNDUP(SUMIFS('Truck Req by Route'!$W$5:$W$320,'Truck Req by Route'!$A$5:$A$320,$A27),0)</f>
        <v/>
      </c>
      <c r="D27" s="34">
        <f>ROUNDUP(SUMIFS('Truck Req by Route'!$X$5:$X$320,'Truck Req by Route'!$A$5:$A$320,$A27),0)</f>
        <v/>
      </c>
      <c r="E27" s="34">
        <f>ROUNDUP(SUMIFS('Truck Req by Route'!$Y$5:$Y$320,'Truck Req by Route'!$A$5:$A$320,$A27),0)</f>
        <v/>
      </c>
      <c r="F27" s="34">
        <f>ROUNDUP(SUMIFS('Truck Req by Route'!$Z$5:$Z$320,'Truck Req by Route'!$A$5:$A$320,$A27),0)</f>
        <v/>
      </c>
      <c r="G27" s="34">
        <f>ROUNDUP(SUMIFS('Truck Req by Route'!$AA$5:$AA$320,'Truck Req by Route'!$A$5:$A$320,$A27),0)</f>
        <v/>
      </c>
      <c r="H27" s="34">
        <f>ROUNDUP(SUMIFS('Truck Req by Route'!$AB$5:$AB$320,'Truck Req by Route'!$A$5:$A$320,$A27),0)</f>
        <v/>
      </c>
      <c r="I27" s="34">
        <f>ROUNDUP(SUMIFS('Truck Req by Route'!$AC$5:$AC$320,'Truck Req by Route'!$A$5:$A$320,$A27),0)</f>
        <v/>
      </c>
      <c r="J27" s="34">
        <f>ROUNDUP(SUMIFS('Truck Req by Route'!$AD$5:$AD$320,'Truck Req by Route'!$A$5:$A$320,$A27),0)</f>
        <v/>
      </c>
      <c r="K27" s="33">
        <f>COUNTIF(B27:J27,"&gt;0")</f>
        <v/>
      </c>
      <c r="L27" s="35">
        <f>IF(K27=0,0,SUMIFS('Truck Req by Route'!$L$5:$L$320,'Truck Req by Route'!$A$5:$A$320,$A27)/K27)</f>
        <v/>
      </c>
      <c r="M27" s="35">
        <f>IFERROR(AVERAGEIF(B27:J27,"&gt;0"),0)</f>
        <v/>
      </c>
      <c r="N27" s="36">
        <f>MAX(B27:J27)</f>
        <v/>
      </c>
      <c r="O27" s="36">
        <f>MAX(H27:J27)</f>
        <v/>
      </c>
      <c r="P27" s="37">
        <f>IFERROR(SUMPRODUCT(('Truck Req by Route'!$A$5:$A$320=$A27)*'Truck Req by Route'!$L$5:$L$320*'Truck Req by Route'!$J$5:$J$320)/SUMIFS('Truck Req by Route'!$L$5:$L$320,'Truck Req by Route'!$A$5:$A$320,$A27),"")</f>
        <v/>
      </c>
    </row>
    <row r="28">
      <c r="A28" s="33" t="inlineStr">
        <is>
          <t>WALTER &amp; HIFY RESOURCES</t>
        </is>
      </c>
      <c r="B28" s="34">
        <f>ROUNDUP(SUMIFS('Truck Req by Route'!$V$5:$V$320,'Truck Req by Route'!$A$5:$A$320,$A28),0)</f>
        <v/>
      </c>
      <c r="C28" s="34">
        <f>ROUNDUP(SUMIFS('Truck Req by Route'!$W$5:$W$320,'Truck Req by Route'!$A$5:$A$320,$A28),0)</f>
        <v/>
      </c>
      <c r="D28" s="34">
        <f>ROUNDUP(SUMIFS('Truck Req by Route'!$X$5:$X$320,'Truck Req by Route'!$A$5:$A$320,$A28),0)</f>
        <v/>
      </c>
      <c r="E28" s="34">
        <f>ROUNDUP(SUMIFS('Truck Req by Route'!$Y$5:$Y$320,'Truck Req by Route'!$A$5:$A$320,$A28),0)</f>
        <v/>
      </c>
      <c r="F28" s="34">
        <f>ROUNDUP(SUMIFS('Truck Req by Route'!$Z$5:$Z$320,'Truck Req by Route'!$A$5:$A$320,$A28),0)</f>
        <v/>
      </c>
      <c r="G28" s="34">
        <f>ROUNDUP(SUMIFS('Truck Req by Route'!$AA$5:$AA$320,'Truck Req by Route'!$A$5:$A$320,$A28),0)</f>
        <v/>
      </c>
      <c r="H28" s="34">
        <f>ROUNDUP(SUMIFS('Truck Req by Route'!$AB$5:$AB$320,'Truck Req by Route'!$A$5:$A$320,$A28),0)</f>
        <v/>
      </c>
      <c r="I28" s="34">
        <f>ROUNDUP(SUMIFS('Truck Req by Route'!$AC$5:$AC$320,'Truck Req by Route'!$A$5:$A$320,$A28),0)</f>
        <v/>
      </c>
      <c r="J28" s="34">
        <f>ROUNDUP(SUMIFS('Truck Req by Route'!$AD$5:$AD$320,'Truck Req by Route'!$A$5:$A$320,$A28),0)</f>
        <v/>
      </c>
      <c r="K28" s="33">
        <f>COUNTIF(B28:J28,"&gt;0")</f>
        <v/>
      </c>
      <c r="L28" s="35">
        <f>IF(K28=0,0,SUMIFS('Truck Req by Route'!$L$5:$L$320,'Truck Req by Route'!$A$5:$A$320,$A28)/K28)</f>
        <v/>
      </c>
      <c r="M28" s="35">
        <f>IFERROR(AVERAGEIF(B28:J28,"&gt;0"),0)</f>
        <v/>
      </c>
      <c r="N28" s="36">
        <f>MAX(B28:J28)</f>
        <v/>
      </c>
      <c r="O28" s="36">
        <f>MAX(H28:J28)</f>
        <v/>
      </c>
      <c r="P28" s="37">
        <f>IFERROR(SUMPRODUCT(('Truck Req by Route'!$A$5:$A$320=$A28)*'Truck Req by Route'!$L$5:$L$320*'Truck Req by Route'!$J$5:$J$320)/SUMIFS('Truck Req by Route'!$L$5:$L$320,'Truck Req by Route'!$A$5:$A$320,$A28),"")</f>
        <v/>
      </c>
    </row>
    <row r="29">
      <c r="A29" s="33" t="inlineStr">
        <is>
          <t>MAMUDA BEVERAGES CO. LTD</t>
        </is>
      </c>
      <c r="B29" s="34">
        <f>ROUNDUP(SUMIFS('Truck Req by Route'!$V$5:$V$320,'Truck Req by Route'!$A$5:$A$320,$A29),0)</f>
        <v/>
      </c>
      <c r="C29" s="34">
        <f>ROUNDUP(SUMIFS('Truck Req by Route'!$W$5:$W$320,'Truck Req by Route'!$A$5:$A$320,$A29),0)</f>
        <v/>
      </c>
      <c r="D29" s="34">
        <f>ROUNDUP(SUMIFS('Truck Req by Route'!$X$5:$X$320,'Truck Req by Route'!$A$5:$A$320,$A29),0)</f>
        <v/>
      </c>
      <c r="E29" s="34">
        <f>ROUNDUP(SUMIFS('Truck Req by Route'!$Y$5:$Y$320,'Truck Req by Route'!$A$5:$A$320,$A29),0)</f>
        <v/>
      </c>
      <c r="F29" s="34">
        <f>ROUNDUP(SUMIFS('Truck Req by Route'!$Z$5:$Z$320,'Truck Req by Route'!$A$5:$A$320,$A29),0)</f>
        <v/>
      </c>
      <c r="G29" s="34">
        <f>ROUNDUP(SUMIFS('Truck Req by Route'!$AA$5:$AA$320,'Truck Req by Route'!$A$5:$A$320,$A29),0)</f>
        <v/>
      </c>
      <c r="H29" s="34">
        <f>ROUNDUP(SUMIFS('Truck Req by Route'!$AB$5:$AB$320,'Truck Req by Route'!$A$5:$A$320,$A29),0)</f>
        <v/>
      </c>
      <c r="I29" s="34">
        <f>ROUNDUP(SUMIFS('Truck Req by Route'!$AC$5:$AC$320,'Truck Req by Route'!$A$5:$A$320,$A29),0)</f>
        <v/>
      </c>
      <c r="J29" s="34">
        <f>ROUNDUP(SUMIFS('Truck Req by Route'!$AD$5:$AD$320,'Truck Req by Route'!$A$5:$A$320,$A29),0)</f>
        <v/>
      </c>
      <c r="K29" s="33">
        <f>COUNTIF(B29:J29,"&gt;0")</f>
        <v/>
      </c>
      <c r="L29" s="35">
        <f>IF(K29=0,0,SUMIFS('Truck Req by Route'!$L$5:$L$320,'Truck Req by Route'!$A$5:$A$320,$A29)/K29)</f>
        <v/>
      </c>
      <c r="M29" s="35">
        <f>IFERROR(AVERAGEIF(B29:J29,"&gt;0"),0)</f>
        <v/>
      </c>
      <c r="N29" s="36">
        <f>MAX(B29:J29)</f>
        <v/>
      </c>
      <c r="O29" s="36">
        <f>MAX(H29:J29)</f>
        <v/>
      </c>
      <c r="P29" s="37">
        <f>IFERROR(SUMPRODUCT(('Truck Req by Route'!$A$5:$A$320=$A29)*'Truck Req by Route'!$L$5:$L$320*'Truck Req by Route'!$J$5:$J$320)/SUMIFS('Truck Req by Route'!$L$5:$L$320,'Truck Req by Route'!$A$5:$A$320,$A29),"")</f>
        <v/>
      </c>
    </row>
    <row r="30">
      <c r="A30" s="33" t="inlineStr">
        <is>
          <t>NIGER BISCUITS</t>
        </is>
      </c>
      <c r="B30" s="34">
        <f>ROUNDUP(SUMIFS('Truck Req by Route'!$V$5:$V$320,'Truck Req by Route'!$A$5:$A$320,$A30),0)</f>
        <v/>
      </c>
      <c r="C30" s="34">
        <f>ROUNDUP(SUMIFS('Truck Req by Route'!$W$5:$W$320,'Truck Req by Route'!$A$5:$A$320,$A30),0)</f>
        <v/>
      </c>
      <c r="D30" s="34">
        <f>ROUNDUP(SUMIFS('Truck Req by Route'!$X$5:$X$320,'Truck Req by Route'!$A$5:$A$320,$A30),0)</f>
        <v/>
      </c>
      <c r="E30" s="34">
        <f>ROUNDUP(SUMIFS('Truck Req by Route'!$Y$5:$Y$320,'Truck Req by Route'!$A$5:$A$320,$A30),0)</f>
        <v/>
      </c>
      <c r="F30" s="34">
        <f>ROUNDUP(SUMIFS('Truck Req by Route'!$Z$5:$Z$320,'Truck Req by Route'!$A$5:$A$320,$A30),0)</f>
        <v/>
      </c>
      <c r="G30" s="34">
        <f>ROUNDUP(SUMIFS('Truck Req by Route'!$AA$5:$AA$320,'Truck Req by Route'!$A$5:$A$320,$A30),0)</f>
        <v/>
      </c>
      <c r="H30" s="34">
        <f>ROUNDUP(SUMIFS('Truck Req by Route'!$AB$5:$AB$320,'Truck Req by Route'!$A$5:$A$320,$A30),0)</f>
        <v/>
      </c>
      <c r="I30" s="34">
        <f>ROUNDUP(SUMIFS('Truck Req by Route'!$AC$5:$AC$320,'Truck Req by Route'!$A$5:$A$320,$A30),0)</f>
        <v/>
      </c>
      <c r="J30" s="34">
        <f>ROUNDUP(SUMIFS('Truck Req by Route'!$AD$5:$AD$320,'Truck Req by Route'!$A$5:$A$320,$A30),0)</f>
        <v/>
      </c>
      <c r="K30" s="33">
        <f>COUNTIF(B30:J30,"&gt;0")</f>
        <v/>
      </c>
      <c r="L30" s="35">
        <f>IF(K30=0,0,SUMIFS('Truck Req by Route'!$L$5:$L$320,'Truck Req by Route'!$A$5:$A$320,$A30)/K30)</f>
        <v/>
      </c>
      <c r="M30" s="35">
        <f>IFERROR(AVERAGEIF(B30:J30,"&gt;0"),0)</f>
        <v/>
      </c>
      <c r="N30" s="36">
        <f>MAX(B30:J30)</f>
        <v/>
      </c>
      <c r="O30" s="36">
        <f>MAX(H30:J30)</f>
        <v/>
      </c>
      <c r="P30" s="37">
        <f>IFERROR(SUMPRODUCT(('Truck Req by Route'!$A$5:$A$320=$A30)*'Truck Req by Route'!$L$5:$L$320*'Truck Req by Route'!$J$5:$J$320)/SUMIFS('Truck Req by Route'!$L$5:$L$320,'Truck Req by Route'!$A$5:$A$320,$A30),"")</f>
        <v/>
      </c>
    </row>
    <row r="31">
      <c r="A31" s="33" t="inlineStr">
        <is>
          <t>INTERSTYLE</t>
        </is>
      </c>
      <c r="B31" s="34">
        <f>ROUNDUP(SUMIFS('Truck Req by Route'!$V$5:$V$320,'Truck Req by Route'!$A$5:$A$320,$A31),0)</f>
        <v/>
      </c>
      <c r="C31" s="34">
        <f>ROUNDUP(SUMIFS('Truck Req by Route'!$W$5:$W$320,'Truck Req by Route'!$A$5:$A$320,$A31),0)</f>
        <v/>
      </c>
      <c r="D31" s="34">
        <f>ROUNDUP(SUMIFS('Truck Req by Route'!$X$5:$X$320,'Truck Req by Route'!$A$5:$A$320,$A31),0)</f>
        <v/>
      </c>
      <c r="E31" s="34">
        <f>ROUNDUP(SUMIFS('Truck Req by Route'!$Y$5:$Y$320,'Truck Req by Route'!$A$5:$A$320,$A31),0)</f>
        <v/>
      </c>
      <c r="F31" s="34">
        <f>ROUNDUP(SUMIFS('Truck Req by Route'!$Z$5:$Z$320,'Truck Req by Route'!$A$5:$A$320,$A31),0)</f>
        <v/>
      </c>
      <c r="G31" s="34">
        <f>ROUNDUP(SUMIFS('Truck Req by Route'!$AA$5:$AA$320,'Truck Req by Route'!$A$5:$A$320,$A31),0)</f>
        <v/>
      </c>
      <c r="H31" s="34">
        <f>ROUNDUP(SUMIFS('Truck Req by Route'!$AB$5:$AB$320,'Truck Req by Route'!$A$5:$A$320,$A31),0)</f>
        <v/>
      </c>
      <c r="I31" s="34">
        <f>ROUNDUP(SUMIFS('Truck Req by Route'!$AC$5:$AC$320,'Truck Req by Route'!$A$5:$A$320,$A31),0)</f>
        <v/>
      </c>
      <c r="J31" s="34">
        <f>ROUNDUP(SUMIFS('Truck Req by Route'!$AD$5:$AD$320,'Truck Req by Route'!$A$5:$A$320,$A31),0)</f>
        <v/>
      </c>
      <c r="K31" s="33">
        <f>COUNTIF(B31:J31,"&gt;0")</f>
        <v/>
      </c>
      <c r="L31" s="35">
        <f>IF(K31=0,0,SUMIFS('Truck Req by Route'!$L$5:$L$320,'Truck Req by Route'!$A$5:$A$320,$A31)/K31)</f>
        <v/>
      </c>
      <c r="M31" s="35">
        <f>IFERROR(AVERAGEIF(B31:J31,"&gt;0"),0)</f>
        <v/>
      </c>
      <c r="N31" s="36">
        <f>MAX(B31:J31)</f>
        <v/>
      </c>
      <c r="O31" s="36">
        <f>MAX(H31:J31)</f>
        <v/>
      </c>
      <c r="P31" s="37">
        <f>IFERROR(SUMPRODUCT(('Truck Req by Route'!$A$5:$A$320=$A31)*'Truck Req by Route'!$L$5:$L$320*'Truck Req by Route'!$J$5:$J$320)/SUMIFS('Truck Req by Route'!$L$5:$L$320,'Truck Req by Route'!$A$5:$A$320,$A31),"")</f>
        <v/>
      </c>
    </row>
    <row r="32">
      <c r="A32" s="33" t="inlineStr">
        <is>
          <t>LEBRUNI AGRO LTD</t>
        </is>
      </c>
      <c r="B32" s="34">
        <f>ROUNDUP(SUMIFS('Truck Req by Route'!$V$5:$V$320,'Truck Req by Route'!$A$5:$A$320,$A32),0)</f>
        <v/>
      </c>
      <c r="C32" s="34">
        <f>ROUNDUP(SUMIFS('Truck Req by Route'!$W$5:$W$320,'Truck Req by Route'!$A$5:$A$320,$A32),0)</f>
        <v/>
      </c>
      <c r="D32" s="34">
        <f>ROUNDUP(SUMIFS('Truck Req by Route'!$X$5:$X$320,'Truck Req by Route'!$A$5:$A$320,$A32),0)</f>
        <v/>
      </c>
      <c r="E32" s="34">
        <f>ROUNDUP(SUMIFS('Truck Req by Route'!$Y$5:$Y$320,'Truck Req by Route'!$A$5:$A$320,$A32),0)</f>
        <v/>
      </c>
      <c r="F32" s="34">
        <f>ROUNDUP(SUMIFS('Truck Req by Route'!$Z$5:$Z$320,'Truck Req by Route'!$A$5:$A$320,$A32),0)</f>
        <v/>
      </c>
      <c r="G32" s="34">
        <f>ROUNDUP(SUMIFS('Truck Req by Route'!$AA$5:$AA$320,'Truck Req by Route'!$A$5:$A$320,$A32),0)</f>
        <v/>
      </c>
      <c r="H32" s="34">
        <f>ROUNDUP(SUMIFS('Truck Req by Route'!$AB$5:$AB$320,'Truck Req by Route'!$A$5:$A$320,$A32),0)</f>
        <v/>
      </c>
      <c r="I32" s="34">
        <f>ROUNDUP(SUMIFS('Truck Req by Route'!$AC$5:$AC$320,'Truck Req by Route'!$A$5:$A$320,$A32),0)</f>
        <v/>
      </c>
      <c r="J32" s="34">
        <f>ROUNDUP(SUMIFS('Truck Req by Route'!$AD$5:$AD$320,'Truck Req by Route'!$A$5:$A$320,$A32),0)</f>
        <v/>
      </c>
      <c r="K32" s="33">
        <f>COUNTIF(B32:J32,"&gt;0")</f>
        <v/>
      </c>
      <c r="L32" s="35">
        <f>IF(K32=0,0,SUMIFS('Truck Req by Route'!$L$5:$L$320,'Truck Req by Route'!$A$5:$A$320,$A32)/K32)</f>
        <v/>
      </c>
      <c r="M32" s="35">
        <f>IFERROR(AVERAGEIF(B32:J32,"&gt;0"),0)</f>
        <v/>
      </c>
      <c r="N32" s="36">
        <f>MAX(B32:J32)</f>
        <v/>
      </c>
      <c r="O32" s="36">
        <f>MAX(H32:J32)</f>
        <v/>
      </c>
      <c r="P32" s="37">
        <f>IFERROR(SUMPRODUCT(('Truck Req by Route'!$A$5:$A$320=$A32)*'Truck Req by Route'!$L$5:$L$320*'Truck Req by Route'!$J$5:$J$320)/SUMIFS('Truck Req by Route'!$L$5:$L$320,'Truck Req by Route'!$A$5:$A$320,$A32),"")</f>
        <v/>
      </c>
    </row>
    <row r="33">
      <c r="A33" s="33" t="inlineStr">
        <is>
          <t>CRESEADA</t>
        </is>
      </c>
      <c r="B33" s="34">
        <f>ROUNDUP(SUMIFS('Truck Req by Route'!$V$5:$V$320,'Truck Req by Route'!$A$5:$A$320,$A33),0)</f>
        <v/>
      </c>
      <c r="C33" s="34">
        <f>ROUNDUP(SUMIFS('Truck Req by Route'!$W$5:$W$320,'Truck Req by Route'!$A$5:$A$320,$A33),0)</f>
        <v/>
      </c>
      <c r="D33" s="34">
        <f>ROUNDUP(SUMIFS('Truck Req by Route'!$X$5:$X$320,'Truck Req by Route'!$A$5:$A$320,$A33),0)</f>
        <v/>
      </c>
      <c r="E33" s="34">
        <f>ROUNDUP(SUMIFS('Truck Req by Route'!$Y$5:$Y$320,'Truck Req by Route'!$A$5:$A$320,$A33),0)</f>
        <v/>
      </c>
      <c r="F33" s="34">
        <f>ROUNDUP(SUMIFS('Truck Req by Route'!$Z$5:$Z$320,'Truck Req by Route'!$A$5:$A$320,$A33),0)</f>
        <v/>
      </c>
      <c r="G33" s="34">
        <f>ROUNDUP(SUMIFS('Truck Req by Route'!$AA$5:$AA$320,'Truck Req by Route'!$A$5:$A$320,$A33),0)</f>
        <v/>
      </c>
      <c r="H33" s="34">
        <f>ROUNDUP(SUMIFS('Truck Req by Route'!$AB$5:$AB$320,'Truck Req by Route'!$A$5:$A$320,$A33),0)</f>
        <v/>
      </c>
      <c r="I33" s="34">
        <f>ROUNDUP(SUMIFS('Truck Req by Route'!$AC$5:$AC$320,'Truck Req by Route'!$A$5:$A$320,$A33),0)</f>
        <v/>
      </c>
      <c r="J33" s="34">
        <f>ROUNDUP(SUMIFS('Truck Req by Route'!$AD$5:$AD$320,'Truck Req by Route'!$A$5:$A$320,$A33),0)</f>
        <v/>
      </c>
      <c r="K33" s="33">
        <f>COUNTIF(B33:J33,"&gt;0")</f>
        <v/>
      </c>
      <c r="L33" s="35">
        <f>IF(K33=0,0,SUMIFS('Truck Req by Route'!$L$5:$L$320,'Truck Req by Route'!$A$5:$A$320,$A33)/K33)</f>
        <v/>
      </c>
      <c r="M33" s="35">
        <f>IFERROR(AVERAGEIF(B33:J33,"&gt;0"),0)</f>
        <v/>
      </c>
      <c r="N33" s="36">
        <f>MAX(B33:J33)</f>
        <v/>
      </c>
      <c r="O33" s="36">
        <f>MAX(H33:J33)</f>
        <v/>
      </c>
      <c r="P33" s="37">
        <f>IFERROR(SUMPRODUCT(('Truck Req by Route'!$A$5:$A$320=$A33)*'Truck Req by Route'!$L$5:$L$320*'Truck Req by Route'!$J$5:$J$320)/SUMIFS('Truck Req by Route'!$L$5:$L$320,'Truck Req by Route'!$A$5:$A$320,$A33),"")</f>
        <v/>
      </c>
    </row>
    <row r="34">
      <c r="A34" s="33" t="inlineStr">
        <is>
          <t>STAR PRODUCT INVESTMENT</t>
        </is>
      </c>
      <c r="B34" s="34">
        <f>ROUNDUP(SUMIFS('Truck Req by Route'!$V$5:$V$320,'Truck Req by Route'!$A$5:$A$320,$A34),0)</f>
        <v/>
      </c>
      <c r="C34" s="34">
        <f>ROUNDUP(SUMIFS('Truck Req by Route'!$W$5:$W$320,'Truck Req by Route'!$A$5:$A$320,$A34),0)</f>
        <v/>
      </c>
      <c r="D34" s="34">
        <f>ROUNDUP(SUMIFS('Truck Req by Route'!$X$5:$X$320,'Truck Req by Route'!$A$5:$A$320,$A34),0)</f>
        <v/>
      </c>
      <c r="E34" s="34">
        <f>ROUNDUP(SUMIFS('Truck Req by Route'!$Y$5:$Y$320,'Truck Req by Route'!$A$5:$A$320,$A34),0)</f>
        <v/>
      </c>
      <c r="F34" s="34">
        <f>ROUNDUP(SUMIFS('Truck Req by Route'!$Z$5:$Z$320,'Truck Req by Route'!$A$5:$A$320,$A34),0)</f>
        <v/>
      </c>
      <c r="G34" s="34">
        <f>ROUNDUP(SUMIFS('Truck Req by Route'!$AA$5:$AA$320,'Truck Req by Route'!$A$5:$A$320,$A34),0)</f>
        <v/>
      </c>
      <c r="H34" s="34">
        <f>ROUNDUP(SUMIFS('Truck Req by Route'!$AB$5:$AB$320,'Truck Req by Route'!$A$5:$A$320,$A34),0)</f>
        <v/>
      </c>
      <c r="I34" s="34">
        <f>ROUNDUP(SUMIFS('Truck Req by Route'!$AC$5:$AC$320,'Truck Req by Route'!$A$5:$A$320,$A34),0)</f>
        <v/>
      </c>
      <c r="J34" s="34">
        <f>ROUNDUP(SUMIFS('Truck Req by Route'!$AD$5:$AD$320,'Truck Req by Route'!$A$5:$A$320,$A34),0)</f>
        <v/>
      </c>
      <c r="K34" s="33">
        <f>COUNTIF(B34:J34,"&gt;0")</f>
        <v/>
      </c>
      <c r="L34" s="35">
        <f>IF(K34=0,0,SUMIFS('Truck Req by Route'!$L$5:$L$320,'Truck Req by Route'!$A$5:$A$320,$A34)/K34)</f>
        <v/>
      </c>
      <c r="M34" s="35">
        <f>IFERROR(AVERAGEIF(B34:J34,"&gt;0"),0)</f>
        <v/>
      </c>
      <c r="N34" s="36">
        <f>MAX(B34:J34)</f>
        <v/>
      </c>
      <c r="O34" s="36">
        <f>MAX(H34:J34)</f>
        <v/>
      </c>
      <c r="P34" s="37">
        <f>IFERROR(SUMPRODUCT(('Truck Req by Route'!$A$5:$A$320=$A34)*'Truck Req by Route'!$L$5:$L$320*'Truck Req by Route'!$J$5:$J$320)/SUMIFS('Truck Req by Route'!$L$5:$L$320,'Truck Req by Route'!$A$5:$A$320,$A34),"")</f>
        <v/>
      </c>
    </row>
    <row r="35">
      <c r="A35" s="33" t="inlineStr">
        <is>
          <t>PRISM STEEL</t>
        </is>
      </c>
      <c r="B35" s="34">
        <f>ROUNDUP(SUMIFS('Truck Req by Route'!$V$5:$V$320,'Truck Req by Route'!$A$5:$A$320,$A35),0)</f>
        <v/>
      </c>
      <c r="C35" s="34">
        <f>ROUNDUP(SUMIFS('Truck Req by Route'!$W$5:$W$320,'Truck Req by Route'!$A$5:$A$320,$A35),0)</f>
        <v/>
      </c>
      <c r="D35" s="34">
        <f>ROUNDUP(SUMIFS('Truck Req by Route'!$X$5:$X$320,'Truck Req by Route'!$A$5:$A$320,$A35),0)</f>
        <v/>
      </c>
      <c r="E35" s="34">
        <f>ROUNDUP(SUMIFS('Truck Req by Route'!$Y$5:$Y$320,'Truck Req by Route'!$A$5:$A$320,$A35),0)</f>
        <v/>
      </c>
      <c r="F35" s="34">
        <f>ROUNDUP(SUMIFS('Truck Req by Route'!$Z$5:$Z$320,'Truck Req by Route'!$A$5:$A$320,$A35),0)</f>
        <v/>
      </c>
      <c r="G35" s="34">
        <f>ROUNDUP(SUMIFS('Truck Req by Route'!$AA$5:$AA$320,'Truck Req by Route'!$A$5:$A$320,$A35),0)</f>
        <v/>
      </c>
      <c r="H35" s="34">
        <f>ROUNDUP(SUMIFS('Truck Req by Route'!$AB$5:$AB$320,'Truck Req by Route'!$A$5:$A$320,$A35),0)</f>
        <v/>
      </c>
      <c r="I35" s="34">
        <f>ROUNDUP(SUMIFS('Truck Req by Route'!$AC$5:$AC$320,'Truck Req by Route'!$A$5:$A$320,$A35),0)</f>
        <v/>
      </c>
      <c r="J35" s="34">
        <f>ROUNDUP(SUMIFS('Truck Req by Route'!$AD$5:$AD$320,'Truck Req by Route'!$A$5:$A$320,$A35),0)</f>
        <v/>
      </c>
      <c r="K35" s="33">
        <f>COUNTIF(B35:J35,"&gt;0")</f>
        <v/>
      </c>
      <c r="L35" s="35">
        <f>IF(K35=0,0,SUMIFS('Truck Req by Route'!$L$5:$L$320,'Truck Req by Route'!$A$5:$A$320,$A35)/K35)</f>
        <v/>
      </c>
      <c r="M35" s="35">
        <f>IFERROR(AVERAGEIF(B35:J35,"&gt;0"),0)</f>
        <v/>
      </c>
      <c r="N35" s="36">
        <f>MAX(B35:J35)</f>
        <v/>
      </c>
      <c r="O35" s="36">
        <f>MAX(H35:J35)</f>
        <v/>
      </c>
      <c r="P35" s="37">
        <f>IFERROR(SUMPRODUCT(('Truck Req by Route'!$A$5:$A$320=$A35)*'Truck Req by Route'!$L$5:$L$320*'Truck Req by Route'!$J$5:$J$320)/SUMIFS('Truck Req by Route'!$L$5:$L$320,'Truck Req by Route'!$A$5:$A$320,$A35),"")</f>
        <v/>
      </c>
    </row>
    <row r="36">
      <c r="A36" s="33" t="inlineStr">
        <is>
          <t>Illera Agro</t>
        </is>
      </c>
      <c r="B36" s="34">
        <f>ROUNDUP(SUMIFS('Truck Req by Route'!$V$5:$V$320,'Truck Req by Route'!$A$5:$A$320,$A36),0)</f>
        <v/>
      </c>
      <c r="C36" s="34">
        <f>ROUNDUP(SUMIFS('Truck Req by Route'!$W$5:$W$320,'Truck Req by Route'!$A$5:$A$320,$A36),0)</f>
        <v/>
      </c>
      <c r="D36" s="34">
        <f>ROUNDUP(SUMIFS('Truck Req by Route'!$X$5:$X$320,'Truck Req by Route'!$A$5:$A$320,$A36),0)</f>
        <v/>
      </c>
      <c r="E36" s="34">
        <f>ROUNDUP(SUMIFS('Truck Req by Route'!$Y$5:$Y$320,'Truck Req by Route'!$A$5:$A$320,$A36),0)</f>
        <v/>
      </c>
      <c r="F36" s="34">
        <f>ROUNDUP(SUMIFS('Truck Req by Route'!$Z$5:$Z$320,'Truck Req by Route'!$A$5:$A$320,$A36),0)</f>
        <v/>
      </c>
      <c r="G36" s="34">
        <f>ROUNDUP(SUMIFS('Truck Req by Route'!$AA$5:$AA$320,'Truck Req by Route'!$A$5:$A$320,$A36),0)</f>
        <v/>
      </c>
      <c r="H36" s="34">
        <f>ROUNDUP(SUMIFS('Truck Req by Route'!$AB$5:$AB$320,'Truck Req by Route'!$A$5:$A$320,$A36),0)</f>
        <v/>
      </c>
      <c r="I36" s="34">
        <f>ROUNDUP(SUMIFS('Truck Req by Route'!$AC$5:$AC$320,'Truck Req by Route'!$A$5:$A$320,$A36),0)</f>
        <v/>
      </c>
      <c r="J36" s="34">
        <f>ROUNDUP(SUMIFS('Truck Req by Route'!$AD$5:$AD$320,'Truck Req by Route'!$A$5:$A$320,$A36),0)</f>
        <v/>
      </c>
      <c r="K36" s="33">
        <f>COUNTIF(B36:J36,"&gt;0")</f>
        <v/>
      </c>
      <c r="L36" s="35">
        <f>IF(K36=0,0,SUMIFS('Truck Req by Route'!$L$5:$L$320,'Truck Req by Route'!$A$5:$A$320,$A36)/K36)</f>
        <v/>
      </c>
      <c r="M36" s="35">
        <f>IFERROR(AVERAGEIF(B36:J36,"&gt;0"),0)</f>
        <v/>
      </c>
      <c r="N36" s="36">
        <f>MAX(B36:J36)</f>
        <v/>
      </c>
      <c r="O36" s="36">
        <f>MAX(H36:J36)</f>
        <v/>
      </c>
      <c r="P36" s="37">
        <f>IFERROR(SUMPRODUCT(('Truck Req by Route'!$A$5:$A$320=$A36)*'Truck Req by Route'!$L$5:$L$320*'Truck Req by Route'!$J$5:$J$320)/SUMIFS('Truck Req by Route'!$L$5:$L$320,'Truck Req by Route'!$A$5:$A$320,$A36),"")</f>
        <v/>
      </c>
    </row>
    <row r="37">
      <c r="A37" s="33" t="inlineStr">
        <is>
          <t>KD &amp; SONS</t>
        </is>
      </c>
      <c r="B37" s="34">
        <f>ROUNDUP(SUMIFS('Truck Req by Route'!$V$5:$V$320,'Truck Req by Route'!$A$5:$A$320,$A37),0)</f>
        <v/>
      </c>
      <c r="C37" s="34">
        <f>ROUNDUP(SUMIFS('Truck Req by Route'!$W$5:$W$320,'Truck Req by Route'!$A$5:$A$320,$A37),0)</f>
        <v/>
      </c>
      <c r="D37" s="34">
        <f>ROUNDUP(SUMIFS('Truck Req by Route'!$X$5:$X$320,'Truck Req by Route'!$A$5:$A$320,$A37),0)</f>
        <v/>
      </c>
      <c r="E37" s="34">
        <f>ROUNDUP(SUMIFS('Truck Req by Route'!$Y$5:$Y$320,'Truck Req by Route'!$A$5:$A$320,$A37),0)</f>
        <v/>
      </c>
      <c r="F37" s="34">
        <f>ROUNDUP(SUMIFS('Truck Req by Route'!$Z$5:$Z$320,'Truck Req by Route'!$A$5:$A$320,$A37),0)</f>
        <v/>
      </c>
      <c r="G37" s="34">
        <f>ROUNDUP(SUMIFS('Truck Req by Route'!$AA$5:$AA$320,'Truck Req by Route'!$A$5:$A$320,$A37),0)</f>
        <v/>
      </c>
      <c r="H37" s="34">
        <f>ROUNDUP(SUMIFS('Truck Req by Route'!$AB$5:$AB$320,'Truck Req by Route'!$A$5:$A$320,$A37),0)</f>
        <v/>
      </c>
      <c r="I37" s="34">
        <f>ROUNDUP(SUMIFS('Truck Req by Route'!$AC$5:$AC$320,'Truck Req by Route'!$A$5:$A$320,$A37),0)</f>
        <v/>
      </c>
      <c r="J37" s="34">
        <f>ROUNDUP(SUMIFS('Truck Req by Route'!$AD$5:$AD$320,'Truck Req by Route'!$A$5:$A$320,$A37),0)</f>
        <v/>
      </c>
      <c r="K37" s="33">
        <f>COUNTIF(B37:J37,"&gt;0")</f>
        <v/>
      </c>
      <c r="L37" s="35">
        <f>IF(K37=0,0,SUMIFS('Truck Req by Route'!$L$5:$L$320,'Truck Req by Route'!$A$5:$A$320,$A37)/K37)</f>
        <v/>
      </c>
      <c r="M37" s="35">
        <f>IFERROR(AVERAGEIF(B37:J37,"&gt;0"),0)</f>
        <v/>
      </c>
      <c r="N37" s="36">
        <f>MAX(B37:J37)</f>
        <v/>
      </c>
      <c r="O37" s="36">
        <f>MAX(H37:J37)</f>
        <v/>
      </c>
      <c r="P37" s="37">
        <f>IFERROR(SUMPRODUCT(('Truck Req by Route'!$A$5:$A$320=$A37)*'Truck Req by Route'!$L$5:$L$320*'Truck Req by Route'!$J$5:$J$320)/SUMIFS('Truck Req by Route'!$L$5:$L$320,'Truck Req by Route'!$A$5:$A$320,$A37),"")</f>
        <v/>
      </c>
    </row>
    <row r="38">
      <c r="A38" s="33" t="inlineStr">
        <is>
          <t>JMG</t>
        </is>
      </c>
      <c r="B38" s="34">
        <f>ROUNDUP(SUMIFS('Truck Req by Route'!$V$5:$V$320,'Truck Req by Route'!$A$5:$A$320,$A38),0)</f>
        <v/>
      </c>
      <c r="C38" s="34">
        <f>ROUNDUP(SUMIFS('Truck Req by Route'!$W$5:$W$320,'Truck Req by Route'!$A$5:$A$320,$A38),0)</f>
        <v/>
      </c>
      <c r="D38" s="34">
        <f>ROUNDUP(SUMIFS('Truck Req by Route'!$X$5:$X$320,'Truck Req by Route'!$A$5:$A$320,$A38),0)</f>
        <v/>
      </c>
      <c r="E38" s="34">
        <f>ROUNDUP(SUMIFS('Truck Req by Route'!$Y$5:$Y$320,'Truck Req by Route'!$A$5:$A$320,$A38),0)</f>
        <v/>
      </c>
      <c r="F38" s="34">
        <f>ROUNDUP(SUMIFS('Truck Req by Route'!$Z$5:$Z$320,'Truck Req by Route'!$A$5:$A$320,$A38),0)</f>
        <v/>
      </c>
      <c r="G38" s="34">
        <f>ROUNDUP(SUMIFS('Truck Req by Route'!$AA$5:$AA$320,'Truck Req by Route'!$A$5:$A$320,$A38),0)</f>
        <v/>
      </c>
      <c r="H38" s="34">
        <f>ROUNDUP(SUMIFS('Truck Req by Route'!$AB$5:$AB$320,'Truck Req by Route'!$A$5:$A$320,$A38),0)</f>
        <v/>
      </c>
      <c r="I38" s="34">
        <f>ROUNDUP(SUMIFS('Truck Req by Route'!$AC$5:$AC$320,'Truck Req by Route'!$A$5:$A$320,$A38),0)</f>
        <v/>
      </c>
      <c r="J38" s="34">
        <f>ROUNDUP(SUMIFS('Truck Req by Route'!$AD$5:$AD$320,'Truck Req by Route'!$A$5:$A$320,$A38),0)</f>
        <v/>
      </c>
      <c r="K38" s="33">
        <f>COUNTIF(B38:J38,"&gt;0")</f>
        <v/>
      </c>
      <c r="L38" s="35">
        <f>IF(K38=0,0,SUMIFS('Truck Req by Route'!$L$5:$L$320,'Truck Req by Route'!$A$5:$A$320,$A38)/K38)</f>
        <v/>
      </c>
      <c r="M38" s="35">
        <f>IFERROR(AVERAGEIF(B38:J38,"&gt;0"),0)</f>
        <v/>
      </c>
      <c r="N38" s="36">
        <f>MAX(B38:J38)</f>
        <v/>
      </c>
      <c r="O38" s="36">
        <f>MAX(H38:J38)</f>
        <v/>
      </c>
      <c r="P38" s="37">
        <f>IFERROR(SUMPRODUCT(('Truck Req by Route'!$A$5:$A$320=$A38)*'Truck Req by Route'!$L$5:$L$320*'Truck Req by Route'!$J$5:$J$320)/SUMIFS('Truck Req by Route'!$L$5:$L$320,'Truck Req by Route'!$A$5:$A$320,$A38),"")</f>
        <v/>
      </c>
    </row>
    <row r="39">
      <c r="A39" s="33" t="inlineStr">
        <is>
          <t>B2B-ORCA DECO LIMITED(MR OTEGA)</t>
        </is>
      </c>
      <c r="B39" s="34">
        <f>ROUNDUP(SUMIFS('Truck Req by Route'!$V$5:$V$320,'Truck Req by Route'!$A$5:$A$320,$A39),0)</f>
        <v/>
      </c>
      <c r="C39" s="34">
        <f>ROUNDUP(SUMIFS('Truck Req by Route'!$W$5:$W$320,'Truck Req by Route'!$A$5:$A$320,$A39),0)</f>
        <v/>
      </c>
      <c r="D39" s="34">
        <f>ROUNDUP(SUMIFS('Truck Req by Route'!$X$5:$X$320,'Truck Req by Route'!$A$5:$A$320,$A39),0)</f>
        <v/>
      </c>
      <c r="E39" s="34">
        <f>ROUNDUP(SUMIFS('Truck Req by Route'!$Y$5:$Y$320,'Truck Req by Route'!$A$5:$A$320,$A39),0)</f>
        <v/>
      </c>
      <c r="F39" s="34">
        <f>ROUNDUP(SUMIFS('Truck Req by Route'!$Z$5:$Z$320,'Truck Req by Route'!$A$5:$A$320,$A39),0)</f>
        <v/>
      </c>
      <c r="G39" s="34">
        <f>ROUNDUP(SUMIFS('Truck Req by Route'!$AA$5:$AA$320,'Truck Req by Route'!$A$5:$A$320,$A39),0)</f>
        <v/>
      </c>
      <c r="H39" s="34">
        <f>ROUNDUP(SUMIFS('Truck Req by Route'!$AB$5:$AB$320,'Truck Req by Route'!$A$5:$A$320,$A39),0)</f>
        <v/>
      </c>
      <c r="I39" s="34">
        <f>ROUNDUP(SUMIFS('Truck Req by Route'!$AC$5:$AC$320,'Truck Req by Route'!$A$5:$A$320,$A39),0)</f>
        <v/>
      </c>
      <c r="J39" s="34">
        <f>ROUNDUP(SUMIFS('Truck Req by Route'!$AD$5:$AD$320,'Truck Req by Route'!$A$5:$A$320,$A39),0)</f>
        <v/>
      </c>
      <c r="K39" s="33">
        <f>COUNTIF(B39:J39,"&gt;0")</f>
        <v/>
      </c>
      <c r="L39" s="35">
        <f>IF(K39=0,0,SUMIFS('Truck Req by Route'!$L$5:$L$320,'Truck Req by Route'!$A$5:$A$320,$A39)/K39)</f>
        <v/>
      </c>
      <c r="M39" s="35">
        <f>IFERROR(AVERAGEIF(B39:J39,"&gt;0"),0)</f>
        <v/>
      </c>
      <c r="N39" s="36">
        <f>MAX(B39:J39)</f>
        <v/>
      </c>
      <c r="O39" s="36">
        <f>MAX(H39:J39)</f>
        <v/>
      </c>
      <c r="P39" s="37">
        <f>IFERROR(SUMPRODUCT(('Truck Req by Route'!$A$5:$A$320=$A39)*'Truck Req by Route'!$L$5:$L$320*'Truck Req by Route'!$J$5:$J$320)/SUMIFS('Truck Req by Route'!$L$5:$L$320,'Truck Req by Route'!$A$5:$A$320,$A39),"")</f>
        <v/>
      </c>
    </row>
    <row r="40">
      <c r="A40" s="33" t="inlineStr">
        <is>
          <t>B2B-ORCA DECO LIMITED(ULOMA)</t>
        </is>
      </c>
      <c r="B40" s="34">
        <f>ROUNDUP(SUMIFS('Truck Req by Route'!$V$5:$V$320,'Truck Req by Route'!$A$5:$A$320,$A40),0)</f>
        <v/>
      </c>
      <c r="C40" s="34">
        <f>ROUNDUP(SUMIFS('Truck Req by Route'!$W$5:$W$320,'Truck Req by Route'!$A$5:$A$320,$A40),0)</f>
        <v/>
      </c>
      <c r="D40" s="34">
        <f>ROUNDUP(SUMIFS('Truck Req by Route'!$X$5:$X$320,'Truck Req by Route'!$A$5:$A$320,$A40),0)</f>
        <v/>
      </c>
      <c r="E40" s="34">
        <f>ROUNDUP(SUMIFS('Truck Req by Route'!$Y$5:$Y$320,'Truck Req by Route'!$A$5:$A$320,$A40),0)</f>
        <v/>
      </c>
      <c r="F40" s="34">
        <f>ROUNDUP(SUMIFS('Truck Req by Route'!$Z$5:$Z$320,'Truck Req by Route'!$A$5:$A$320,$A40),0)</f>
        <v/>
      </c>
      <c r="G40" s="34">
        <f>ROUNDUP(SUMIFS('Truck Req by Route'!$AA$5:$AA$320,'Truck Req by Route'!$A$5:$A$320,$A40),0)</f>
        <v/>
      </c>
      <c r="H40" s="34">
        <f>ROUNDUP(SUMIFS('Truck Req by Route'!$AB$5:$AB$320,'Truck Req by Route'!$A$5:$A$320,$A40),0)</f>
        <v/>
      </c>
      <c r="I40" s="34">
        <f>ROUNDUP(SUMIFS('Truck Req by Route'!$AC$5:$AC$320,'Truck Req by Route'!$A$5:$A$320,$A40),0)</f>
        <v/>
      </c>
      <c r="J40" s="34">
        <f>ROUNDUP(SUMIFS('Truck Req by Route'!$AD$5:$AD$320,'Truck Req by Route'!$A$5:$A$320,$A40),0)</f>
        <v/>
      </c>
      <c r="K40" s="33">
        <f>COUNTIF(B40:J40,"&gt;0")</f>
        <v/>
      </c>
      <c r="L40" s="35">
        <f>IF(K40=0,0,SUMIFS('Truck Req by Route'!$L$5:$L$320,'Truck Req by Route'!$A$5:$A$320,$A40)/K40)</f>
        <v/>
      </c>
      <c r="M40" s="35">
        <f>IFERROR(AVERAGEIF(B40:J40,"&gt;0"),0)</f>
        <v/>
      </c>
      <c r="N40" s="36">
        <f>MAX(B40:J40)</f>
        <v/>
      </c>
      <c r="O40" s="36">
        <f>MAX(H40:J40)</f>
        <v/>
      </c>
      <c r="P40" s="37">
        <f>IFERROR(SUMPRODUCT(('Truck Req by Route'!$A$5:$A$320=$A40)*'Truck Req by Route'!$L$5:$L$320*'Truck Req by Route'!$J$5:$J$320)/SUMIFS('Truck Req by Route'!$L$5:$L$320,'Truck Req by Route'!$A$5:$A$320,$A40),"")</f>
        <v/>
      </c>
    </row>
    <row r="41">
      <c r="A41" s="33" t="inlineStr">
        <is>
          <t>B2B-ORCA DECO LIMITED (MR LEKAN)</t>
        </is>
      </c>
      <c r="B41" s="34">
        <f>ROUNDUP(SUMIFS('Truck Req by Route'!$V$5:$V$320,'Truck Req by Route'!$A$5:$A$320,$A41),0)</f>
        <v/>
      </c>
      <c r="C41" s="34">
        <f>ROUNDUP(SUMIFS('Truck Req by Route'!$W$5:$W$320,'Truck Req by Route'!$A$5:$A$320,$A41),0)</f>
        <v/>
      </c>
      <c r="D41" s="34">
        <f>ROUNDUP(SUMIFS('Truck Req by Route'!$X$5:$X$320,'Truck Req by Route'!$A$5:$A$320,$A41),0)</f>
        <v/>
      </c>
      <c r="E41" s="34">
        <f>ROUNDUP(SUMIFS('Truck Req by Route'!$Y$5:$Y$320,'Truck Req by Route'!$A$5:$A$320,$A41),0)</f>
        <v/>
      </c>
      <c r="F41" s="34">
        <f>ROUNDUP(SUMIFS('Truck Req by Route'!$Z$5:$Z$320,'Truck Req by Route'!$A$5:$A$320,$A41),0)</f>
        <v/>
      </c>
      <c r="G41" s="34">
        <f>ROUNDUP(SUMIFS('Truck Req by Route'!$AA$5:$AA$320,'Truck Req by Route'!$A$5:$A$320,$A41),0)</f>
        <v/>
      </c>
      <c r="H41" s="34">
        <f>ROUNDUP(SUMIFS('Truck Req by Route'!$AB$5:$AB$320,'Truck Req by Route'!$A$5:$A$320,$A41),0)</f>
        <v/>
      </c>
      <c r="I41" s="34">
        <f>ROUNDUP(SUMIFS('Truck Req by Route'!$AC$5:$AC$320,'Truck Req by Route'!$A$5:$A$320,$A41),0)</f>
        <v/>
      </c>
      <c r="J41" s="34">
        <f>ROUNDUP(SUMIFS('Truck Req by Route'!$AD$5:$AD$320,'Truck Req by Route'!$A$5:$A$320,$A41),0)</f>
        <v/>
      </c>
      <c r="K41" s="33">
        <f>COUNTIF(B41:J41,"&gt;0")</f>
        <v/>
      </c>
      <c r="L41" s="35">
        <f>IF(K41=0,0,SUMIFS('Truck Req by Route'!$L$5:$L$320,'Truck Req by Route'!$A$5:$A$320,$A41)/K41)</f>
        <v/>
      </c>
      <c r="M41" s="35">
        <f>IFERROR(AVERAGEIF(B41:J41,"&gt;0"),0)</f>
        <v/>
      </c>
      <c r="N41" s="36">
        <f>MAX(B41:J41)</f>
        <v/>
      </c>
      <c r="O41" s="36">
        <f>MAX(H41:J41)</f>
        <v/>
      </c>
      <c r="P41" s="37">
        <f>IFERROR(SUMPRODUCT(('Truck Req by Route'!$A$5:$A$320=$A41)*'Truck Req by Route'!$L$5:$L$320*'Truck Req by Route'!$J$5:$J$320)/SUMIFS('Truck Req by Route'!$L$5:$L$320,'Truck Req by Route'!$A$5:$A$320,$A41),"")</f>
        <v/>
      </c>
    </row>
    <row r="42">
      <c r="A42" s="33" t="inlineStr">
        <is>
          <t>B2B-ORCA DECO LIMITED-AGR</t>
        </is>
      </c>
      <c r="B42" s="34">
        <f>ROUNDUP(SUMIFS('Truck Req by Route'!$V$5:$V$320,'Truck Req by Route'!$A$5:$A$320,$A42),0)</f>
        <v/>
      </c>
      <c r="C42" s="34">
        <f>ROUNDUP(SUMIFS('Truck Req by Route'!$W$5:$W$320,'Truck Req by Route'!$A$5:$A$320,$A42),0)</f>
        <v/>
      </c>
      <c r="D42" s="34">
        <f>ROUNDUP(SUMIFS('Truck Req by Route'!$X$5:$X$320,'Truck Req by Route'!$A$5:$A$320,$A42),0)</f>
        <v/>
      </c>
      <c r="E42" s="34">
        <f>ROUNDUP(SUMIFS('Truck Req by Route'!$Y$5:$Y$320,'Truck Req by Route'!$A$5:$A$320,$A42),0)</f>
        <v/>
      </c>
      <c r="F42" s="34">
        <f>ROUNDUP(SUMIFS('Truck Req by Route'!$Z$5:$Z$320,'Truck Req by Route'!$A$5:$A$320,$A42),0)</f>
        <v/>
      </c>
      <c r="G42" s="34">
        <f>ROUNDUP(SUMIFS('Truck Req by Route'!$AA$5:$AA$320,'Truck Req by Route'!$A$5:$A$320,$A42),0)</f>
        <v/>
      </c>
      <c r="H42" s="34">
        <f>ROUNDUP(SUMIFS('Truck Req by Route'!$AB$5:$AB$320,'Truck Req by Route'!$A$5:$A$320,$A42),0)</f>
        <v/>
      </c>
      <c r="I42" s="34">
        <f>ROUNDUP(SUMIFS('Truck Req by Route'!$AC$5:$AC$320,'Truck Req by Route'!$A$5:$A$320,$A42),0)</f>
        <v/>
      </c>
      <c r="J42" s="34">
        <f>ROUNDUP(SUMIFS('Truck Req by Route'!$AD$5:$AD$320,'Truck Req by Route'!$A$5:$A$320,$A42),0)</f>
        <v/>
      </c>
      <c r="K42" s="33">
        <f>COUNTIF(B42:J42,"&gt;0")</f>
        <v/>
      </c>
      <c r="L42" s="35">
        <f>IF(K42=0,0,SUMIFS('Truck Req by Route'!$L$5:$L$320,'Truck Req by Route'!$A$5:$A$320,$A42)/K42)</f>
        <v/>
      </c>
      <c r="M42" s="35">
        <f>IFERROR(AVERAGEIF(B42:J42,"&gt;0"),0)</f>
        <v/>
      </c>
      <c r="N42" s="36">
        <f>MAX(B42:J42)</f>
        <v/>
      </c>
      <c r="O42" s="36">
        <f>MAX(H42:J42)</f>
        <v/>
      </c>
      <c r="P42" s="37">
        <f>IFERROR(SUMPRODUCT(('Truck Req by Route'!$A$5:$A$320=$A42)*'Truck Req by Route'!$L$5:$L$320*'Truck Req by Route'!$J$5:$J$320)/SUMIFS('Truck Req by Route'!$L$5:$L$320,'Truck Req by Route'!$A$5:$A$320,$A42),"")</f>
        <v/>
      </c>
    </row>
    <row r="43">
      <c r="A43" s="33" t="inlineStr">
        <is>
          <t>MIKANO INTL LTD</t>
        </is>
      </c>
      <c r="B43" s="34">
        <f>ROUNDUP(SUMIFS('Truck Req by Route'!$V$5:$V$320,'Truck Req by Route'!$A$5:$A$320,$A43),0)</f>
        <v/>
      </c>
      <c r="C43" s="34">
        <f>ROUNDUP(SUMIFS('Truck Req by Route'!$W$5:$W$320,'Truck Req by Route'!$A$5:$A$320,$A43),0)</f>
        <v/>
      </c>
      <c r="D43" s="34">
        <f>ROUNDUP(SUMIFS('Truck Req by Route'!$X$5:$X$320,'Truck Req by Route'!$A$5:$A$320,$A43),0)</f>
        <v/>
      </c>
      <c r="E43" s="34">
        <f>ROUNDUP(SUMIFS('Truck Req by Route'!$Y$5:$Y$320,'Truck Req by Route'!$A$5:$A$320,$A43),0)</f>
        <v/>
      </c>
      <c r="F43" s="34">
        <f>ROUNDUP(SUMIFS('Truck Req by Route'!$Z$5:$Z$320,'Truck Req by Route'!$A$5:$A$320,$A43),0)</f>
        <v/>
      </c>
      <c r="G43" s="34">
        <f>ROUNDUP(SUMIFS('Truck Req by Route'!$AA$5:$AA$320,'Truck Req by Route'!$A$5:$A$320,$A43),0)</f>
        <v/>
      </c>
      <c r="H43" s="34">
        <f>ROUNDUP(SUMIFS('Truck Req by Route'!$AB$5:$AB$320,'Truck Req by Route'!$A$5:$A$320,$A43),0)</f>
        <v/>
      </c>
      <c r="I43" s="34">
        <f>ROUNDUP(SUMIFS('Truck Req by Route'!$AC$5:$AC$320,'Truck Req by Route'!$A$5:$A$320,$A43),0)</f>
        <v/>
      </c>
      <c r="J43" s="34">
        <f>ROUNDUP(SUMIFS('Truck Req by Route'!$AD$5:$AD$320,'Truck Req by Route'!$A$5:$A$320,$A43),0)</f>
        <v/>
      </c>
      <c r="K43" s="33">
        <f>COUNTIF(B43:J43,"&gt;0")</f>
        <v/>
      </c>
      <c r="L43" s="35">
        <f>IF(K43=0,0,SUMIFS('Truck Req by Route'!$L$5:$L$320,'Truck Req by Route'!$A$5:$A$320,$A43)/K43)</f>
        <v/>
      </c>
      <c r="M43" s="35">
        <f>IFERROR(AVERAGEIF(B43:J43,"&gt;0"),0)</f>
        <v/>
      </c>
      <c r="N43" s="36">
        <f>MAX(B43:J43)</f>
        <v/>
      </c>
      <c r="O43" s="36">
        <f>MAX(H43:J43)</f>
        <v/>
      </c>
      <c r="P43" s="37">
        <f>IFERROR(SUMPRODUCT(('Truck Req by Route'!$A$5:$A$320=$A43)*'Truck Req by Route'!$L$5:$L$320*'Truck Req by Route'!$J$5:$J$320)/SUMIFS('Truck Req by Route'!$L$5:$L$320,'Truck Req by Route'!$A$5:$A$320,$A43),"")</f>
        <v/>
      </c>
    </row>
    <row r="44">
      <c r="A44" s="33" t="inlineStr">
        <is>
          <t>SASO-BACKLOAD</t>
        </is>
      </c>
      <c r="B44" s="34">
        <f>ROUNDUP(SUMIFS('Truck Req by Route'!$V$5:$V$320,'Truck Req by Route'!$A$5:$A$320,$A44),0)</f>
        <v/>
      </c>
      <c r="C44" s="34">
        <f>ROUNDUP(SUMIFS('Truck Req by Route'!$W$5:$W$320,'Truck Req by Route'!$A$5:$A$320,$A44),0)</f>
        <v/>
      </c>
      <c r="D44" s="34">
        <f>ROUNDUP(SUMIFS('Truck Req by Route'!$X$5:$X$320,'Truck Req by Route'!$A$5:$A$320,$A44),0)</f>
        <v/>
      </c>
      <c r="E44" s="34">
        <f>ROUNDUP(SUMIFS('Truck Req by Route'!$Y$5:$Y$320,'Truck Req by Route'!$A$5:$A$320,$A44),0)</f>
        <v/>
      </c>
      <c r="F44" s="34">
        <f>ROUNDUP(SUMIFS('Truck Req by Route'!$Z$5:$Z$320,'Truck Req by Route'!$A$5:$A$320,$A44),0)</f>
        <v/>
      </c>
      <c r="G44" s="34">
        <f>ROUNDUP(SUMIFS('Truck Req by Route'!$AA$5:$AA$320,'Truck Req by Route'!$A$5:$A$320,$A44),0)</f>
        <v/>
      </c>
      <c r="H44" s="34">
        <f>ROUNDUP(SUMIFS('Truck Req by Route'!$AB$5:$AB$320,'Truck Req by Route'!$A$5:$A$320,$A44),0)</f>
        <v/>
      </c>
      <c r="I44" s="34">
        <f>ROUNDUP(SUMIFS('Truck Req by Route'!$AC$5:$AC$320,'Truck Req by Route'!$A$5:$A$320,$A44),0)</f>
        <v/>
      </c>
      <c r="J44" s="34">
        <f>ROUNDUP(SUMIFS('Truck Req by Route'!$AD$5:$AD$320,'Truck Req by Route'!$A$5:$A$320,$A44),0)</f>
        <v/>
      </c>
      <c r="K44" s="33">
        <f>COUNTIF(B44:J44,"&gt;0")</f>
        <v/>
      </c>
      <c r="L44" s="35">
        <f>IF(K44=0,0,SUMIFS('Truck Req by Route'!$L$5:$L$320,'Truck Req by Route'!$A$5:$A$320,$A44)/K44)</f>
        <v/>
      </c>
      <c r="M44" s="35">
        <f>IFERROR(AVERAGEIF(B44:J44,"&gt;0"),0)</f>
        <v/>
      </c>
      <c r="N44" s="36">
        <f>MAX(B44:J44)</f>
        <v/>
      </c>
      <c r="O44" s="36">
        <f>MAX(H44:J44)</f>
        <v/>
      </c>
      <c r="P44" s="37">
        <f>IFERROR(SUMPRODUCT(('Truck Req by Route'!$A$5:$A$320=$A44)*'Truck Req by Route'!$L$5:$L$320*'Truck Req by Route'!$J$5:$J$320)/SUMIFS('Truck Req by Route'!$L$5:$L$320,'Truck Req by Route'!$A$5:$A$320,$A44),"")</f>
        <v/>
      </c>
    </row>
    <row r="45">
      <c r="A45" s="38" t="inlineStr">
        <is>
          <t>Total — each client has its own trucks (rounded up per client)</t>
        </is>
      </c>
      <c r="B45" s="39">
        <f>SUM(B16:B44)</f>
        <v/>
      </c>
      <c r="C45" s="39">
        <f>SUM(C16:C44)</f>
        <v/>
      </c>
      <c r="D45" s="39">
        <f>SUM(D16:D44)</f>
        <v/>
      </c>
      <c r="E45" s="39">
        <f>SUM(E16:E44)</f>
        <v/>
      </c>
      <c r="F45" s="39">
        <f>SUM(F16:F44)</f>
        <v/>
      </c>
      <c r="G45" s="39">
        <f>SUM(G16:G44)</f>
        <v/>
      </c>
      <c r="H45" s="39">
        <f>SUM(H16:H44)</f>
        <v/>
      </c>
      <c r="I45" s="39">
        <f>SUM(I16:I44)</f>
        <v/>
      </c>
      <c r="J45" s="39">
        <f>SUM(J16:J44)</f>
        <v/>
      </c>
      <c r="K45" s="38" t="n"/>
      <c r="L45" s="38" t="n"/>
      <c r="M45" s="40">
        <f>AVERAGE(B45:J45)</f>
        <v/>
      </c>
      <c r="N45" s="38">
        <f>MAX(B45:J45)</f>
        <v/>
      </c>
      <c r="O45" s="38">
        <f>MAX(H45:J45)</f>
        <v/>
      </c>
      <c r="P45" s="38" t="n"/>
    </row>
    <row r="46">
      <c r="A46" s="38" t="inlineStr">
        <is>
          <t>Total — trucks shared across clients (smallest fleet)</t>
        </is>
      </c>
      <c r="B46" s="39">
        <f>ROUNDUP(SUM('Truck Req by Route'!V5:V320),0)</f>
        <v/>
      </c>
      <c r="C46" s="39">
        <f>ROUNDUP(SUM('Truck Req by Route'!W5:W320),0)</f>
        <v/>
      </c>
      <c r="D46" s="39">
        <f>ROUNDUP(SUM('Truck Req by Route'!X5:X320),0)</f>
        <v/>
      </c>
      <c r="E46" s="39">
        <f>ROUNDUP(SUM('Truck Req by Route'!Y5:Y320),0)</f>
        <v/>
      </c>
      <c r="F46" s="39">
        <f>ROUNDUP(SUM('Truck Req by Route'!Z5:Z320),0)</f>
        <v/>
      </c>
      <c r="G46" s="39">
        <f>ROUNDUP(SUM('Truck Req by Route'!AA5:AA320),0)</f>
        <v/>
      </c>
      <c r="H46" s="39">
        <f>ROUNDUP(SUM('Truck Req by Route'!AB5:AB320),0)</f>
        <v/>
      </c>
      <c r="I46" s="39">
        <f>ROUNDUP(SUM('Truck Req by Route'!AC5:AC320),0)</f>
        <v/>
      </c>
      <c r="J46" s="39">
        <f>ROUNDUP(SUM('Truck Req by Route'!AD5:AD320),0)</f>
        <v/>
      </c>
      <c r="K46" s="38" t="n"/>
      <c r="L46" s="38" t="n"/>
      <c r="M46" s="40">
        <f>AVERAGE(B46:J46)</f>
        <v/>
      </c>
      <c r="N46" s="38">
        <f>MAX(B46:J46)</f>
        <v/>
      </c>
      <c r="O46" s="38">
        <f>MAX(H46:J46)</f>
        <v/>
      </c>
      <c r="P46" s="38" t="n"/>
    </row>
    <row r="49">
      <c r="A49" s="9" t="inlineStr">
        <is>
          <t>Own haulage/flat trucks actually used (distinct plate numbers, excl. 3rd party)</t>
        </is>
      </c>
      <c r="B49" s="41" t="n">
        <v>35</v>
      </c>
      <c r="C49" s="41" t="n">
        <v>36</v>
      </c>
      <c r="D49" s="41" t="n">
        <v>37</v>
      </c>
      <c r="E49" s="41" t="n">
        <v>40</v>
      </c>
      <c r="F49" s="41" t="n">
        <v>37</v>
      </c>
      <c r="G49" s="41" t="n">
        <v>37</v>
      </c>
      <c r="H49" s="41" t="n">
        <v>33</v>
      </c>
      <c r="I49" s="41" t="n">
        <v>36</v>
      </c>
      <c r="J49" s="41" t="n">
        <v>35</v>
      </c>
      <c r="K49" s="8" t="n"/>
      <c r="L49" s="8" t="n"/>
      <c r="M49" s="35">
        <f>AVERAGE(B49:J49)</f>
        <v/>
      </c>
      <c r="N49" s="8">
        <f>MAX(B49:J49)</f>
        <v/>
      </c>
      <c r="O49" s="8">
        <f>MAX(H49:J49)</f>
        <v/>
      </c>
    </row>
    <row r="50">
      <c r="A50" s="9" t="inlineStr">
        <is>
          <t>Own trucks minus shared-fleet need (positive = spare trucks)</t>
        </is>
      </c>
      <c r="B50" s="42">
        <f>B49-B46</f>
        <v/>
      </c>
      <c r="C50" s="42">
        <f>C49-C46</f>
        <v/>
      </c>
      <c r="D50" s="42">
        <f>D49-D46</f>
        <v/>
      </c>
      <c r="E50" s="42">
        <f>E49-E46</f>
        <v/>
      </c>
      <c r="F50" s="42">
        <f>F49-F46</f>
        <v/>
      </c>
      <c r="G50" s="42">
        <f>G49-G46</f>
        <v/>
      </c>
      <c r="H50" s="42">
        <f>H49-H46</f>
        <v/>
      </c>
      <c r="I50" s="42">
        <f>I49-I46</f>
        <v/>
      </c>
      <c r="J50" s="42">
        <f>J49-J46</f>
        <v/>
      </c>
      <c r="K50" s="8" t="n"/>
      <c r="L50" s="8" t="n"/>
      <c r="M50" s="8" t="n"/>
      <c r="N50" s="8" t="n"/>
      <c r="O50" s="8" t="n"/>
    </row>
    <row r="53">
      <c r="A53" s="20" t="inlineStr">
        <is>
          <t>Notes</t>
        </is>
      </c>
    </row>
    <row r="54">
      <c r="A54" t="inlineStr">
        <is>
          <t>Trips per month come from the 2026 trip log: haulage and flat trucks (treated as one), including 3rd-party trucks. Closed-body/canter and Hiab trips are excluded.</t>
        </is>
      </c>
    </row>
    <row r="55">
      <c r="A55" t="inlineStr">
        <is>
          <t>Trucks rotate on their routes through the month: a 6-day round trip gives 4 trips per truck per month (weekly), an 8-day round trip gives 3, a 4-day round trip gives 6.</t>
        </is>
      </c>
    </row>
    <row r="56">
      <c r="A56" t="inlineStr">
        <is>
          <t>The second total row shares trucks across clients (a truck that finishes one client’s work takes another’s), so it is the smallest fleet that covers the month on average.</t>
        </is>
      </c>
    </row>
    <row r="57">
      <c r="A57" t="inlineStr">
        <is>
          <t>Loading/offloading waits beyond your turnaround days are not included; busy weeks inside a month may need more trucks than the monthly average shows.</t>
        </is>
      </c>
    </row>
    <row r="58">
      <c r="A58" t="inlineStr">
        <is>
          <t>Lagos pickup points use the Lagos loading bay, Ibadan depots the Ibadan bay; nearby towns (Ilesa, Akure, Ijebu Ode, Ota, Agbara, Ogere) use the nearest bay; returns toward Lagos/Ibadan use your table in reverse.</t>
        </is>
      </c>
    </row>
    <row r="59">
      <c r="A59" t="inlineStr">
        <is>
          <t>76 trips (5.3%) have no route in your table — mostly NBL depot-to-depot moves (NGB4/NGB5/NGB8, Ama, Kudenda). They use the default days until you add the route or type an override.</t>
        </is>
      </c>
    </row>
  </sheetData>
  <mergeCells count="1"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3" customWidth="1" min="9" max="9"/>
    <col width="26" customWidth="1" min="10" max="10"/>
    <col width="12" customWidth="1" min="11" max="11"/>
    <col width="16" customWidth="1" min="12" max="12"/>
  </cols>
  <sheetData>
    <row r="1">
      <c r="A1" s="5" t="inlineStr">
        <is>
          <t>Order planner — trucks needed for a client’s monthly request</t>
        </is>
      </c>
    </row>
    <row r="2">
      <c r="A2" s="6" t="inlineStr">
        <is>
          <t>Enter the client, pick the route (turnaround key from your table) and the trucks/trips requested per month. Operating days per month comes from the Truck Requirement sheet. Yellow cells are inputs.</t>
        </is>
      </c>
    </row>
    <row r="4" ht="45" customHeight="1">
      <c r="A4" s="7" t="inlineStr">
        <is>
          <t>Client</t>
        </is>
      </c>
      <c r="B4" s="7" t="inlineStr">
        <is>
          <t>Route (turnaround key)</t>
        </is>
      </c>
      <c r="C4" s="7" t="inlineStr">
        <is>
          <t>Trips requested per month</t>
        </is>
      </c>
      <c r="D4" s="7" t="inlineStr">
        <is>
          <t>One-leg days</t>
        </is>
      </c>
      <c r="E4" s="7" t="inlineStr">
        <is>
          <t>Round-trip days</t>
        </is>
      </c>
      <c r="F4" s="7" t="inlineStr">
        <is>
          <t>Trips one truck can do per month</t>
        </is>
      </c>
      <c r="G4" s="7" t="inlineStr">
        <is>
          <t>Truck use (exact)</t>
        </is>
      </c>
      <c r="H4" s="7" t="inlineStr">
        <is>
          <t>Trucks needed for this route</t>
        </is>
      </c>
      <c r="J4" s="32" t="inlineStr">
        <is>
          <t>Totals by client</t>
        </is>
      </c>
    </row>
    <row r="5">
      <c r="A5" s="43" t="inlineStr">
        <is>
          <t>Jamara</t>
        </is>
      </c>
      <c r="B5" s="43" t="inlineStr">
        <is>
          <t>ABUJA&gt;LAGOS</t>
        </is>
      </c>
      <c r="C5" s="43" t="n">
        <v>4</v>
      </c>
      <c r="D5" s="44">
        <f>IF(B5="","",IFERROR(INDEX('Turnaround Table'!$C$5:$C$231,MATCH(B5,'Turnaround Table'!$D$5:$D$231,0)),"not in table"))</f>
        <v/>
      </c>
      <c r="E5" s="44">
        <f>IF(ISNUMBER(D5),2*D5,"")</f>
        <v/>
      </c>
      <c r="F5" s="8">
        <f>IF(ISNUMBER(E5),MAX(1,INT('Truck Requirement'!$B$4/E5)),"")</f>
        <v/>
      </c>
      <c r="G5" s="45">
        <f>IF(AND(ISNUMBER(F5),C5&lt;&gt;""),C5/F5,"")</f>
        <v/>
      </c>
      <c r="H5" s="9">
        <f>IF(ISNUMBER(G5),ROUNDUP(G5,0),"")</f>
        <v/>
      </c>
      <c r="J5" s="46" t="inlineStr">
        <is>
          <t>Client</t>
        </is>
      </c>
      <c r="K5" s="46" t="inlineStr">
        <is>
          <t>Trips per month</t>
        </is>
      </c>
      <c r="L5" s="46" t="inlineStr">
        <is>
          <t>Trucks needed (shared across the client’s routes)</t>
        </is>
      </c>
    </row>
    <row r="6">
      <c r="A6" s="43" t="inlineStr">
        <is>
          <t>Jamara</t>
        </is>
      </c>
      <c r="B6" s="43" t="inlineStr">
        <is>
          <t>PORT HARCOURT&gt;LAGOS</t>
        </is>
      </c>
      <c r="C6" s="43" t="n">
        <v>6</v>
      </c>
      <c r="D6" s="44">
        <f>IF(B6="","",IFERROR(INDEX('Turnaround Table'!$C$5:$C$231,MATCH(B6,'Turnaround Table'!$D$5:$D$231,0)),"not in table"))</f>
        <v/>
      </c>
      <c r="E6" s="44">
        <f>IF(ISNUMBER(D6),2*D6,"")</f>
        <v/>
      </c>
      <c r="F6" s="8">
        <f>IF(ISNUMBER(E6),MAX(1,INT('Truck Requirement'!$B$4/E6)),"")</f>
        <v/>
      </c>
      <c r="G6" s="45">
        <f>IF(AND(ISNUMBER(F6),C6&lt;&gt;""),C6/F6,"")</f>
        <v/>
      </c>
      <c r="H6" s="9">
        <f>IF(ISNUMBER(G6),ROUNDUP(G6,0),"")</f>
        <v/>
      </c>
      <c r="J6" s="43" t="inlineStr">
        <is>
          <t>Jamara</t>
        </is>
      </c>
      <c r="K6" s="8">
        <f>IF(J6="","",SUMIF($A$5:$A$34,J6,$C$5:$C$34))</f>
        <v/>
      </c>
      <c r="L6" s="9">
        <f>IF(J6="","",ROUNDUP(SUMIF($A$5:$A$34,J6,$G$5:$G$34),0))</f>
        <v/>
      </c>
    </row>
    <row r="7">
      <c r="A7" s="43" t="inlineStr">
        <is>
          <t>Jamara</t>
        </is>
      </c>
      <c r="B7" s="43" t="inlineStr">
        <is>
          <t>KANO&gt;LAGOS</t>
        </is>
      </c>
      <c r="C7" s="43" t="n">
        <v>4</v>
      </c>
      <c r="D7" s="44">
        <f>IF(B7="","",IFERROR(INDEX('Turnaround Table'!$C$5:$C$231,MATCH(B7,'Turnaround Table'!$D$5:$D$231,0)),"not in table"))</f>
        <v/>
      </c>
      <c r="E7" s="44">
        <f>IF(ISNUMBER(D7),2*D7,"")</f>
        <v/>
      </c>
      <c r="F7" s="8">
        <f>IF(ISNUMBER(E7),MAX(1,INT('Truck Requirement'!$B$4/E7)),"")</f>
        <v/>
      </c>
      <c r="G7" s="45">
        <f>IF(AND(ISNUMBER(F7),C7&lt;&gt;""),C7/F7,"")</f>
        <v/>
      </c>
      <c r="H7" s="9">
        <f>IF(ISNUMBER(G7),ROUNDUP(G7,0),"")</f>
        <v/>
      </c>
      <c r="J7" s="43" t="n"/>
      <c r="K7" s="8">
        <f>IF(J7="","",SUMIF($A$5:$A$34,J7,$C$5:$C$34))</f>
        <v/>
      </c>
      <c r="L7" s="9">
        <f>IF(J7="","",ROUNDUP(SUMIF($A$5:$A$34,J7,$G$5:$G$34),0))</f>
        <v/>
      </c>
    </row>
    <row r="8">
      <c r="A8" s="43" t="n"/>
      <c r="B8" s="43" t="n"/>
      <c r="C8" s="43" t="n"/>
      <c r="D8" s="44">
        <f>IF(B8="","",IFERROR(INDEX('Turnaround Table'!$C$5:$C$231,MATCH(B8,'Turnaround Table'!$D$5:$D$231,0)),"not in table"))</f>
        <v/>
      </c>
      <c r="E8" s="44">
        <f>IF(ISNUMBER(D8),2*D8,"")</f>
        <v/>
      </c>
      <c r="F8" s="8">
        <f>IF(ISNUMBER(E8),MAX(1,INT('Truck Requirement'!$B$4/E8)),"")</f>
        <v/>
      </c>
      <c r="G8" s="45">
        <f>IF(AND(ISNUMBER(F8),C8&lt;&gt;""),C8/F8,"")</f>
        <v/>
      </c>
      <c r="H8" s="9">
        <f>IF(ISNUMBER(G8),ROUNDUP(G8,0),"")</f>
        <v/>
      </c>
      <c r="J8" s="43" t="n"/>
      <c r="K8" s="8">
        <f>IF(J8="","",SUMIF($A$5:$A$34,J8,$C$5:$C$34))</f>
        <v/>
      </c>
      <c r="L8" s="9">
        <f>IF(J8="","",ROUNDUP(SUMIF($A$5:$A$34,J8,$G$5:$G$34),0))</f>
        <v/>
      </c>
    </row>
    <row r="9">
      <c r="A9" s="43" t="n"/>
      <c r="B9" s="43" t="n"/>
      <c r="C9" s="43" t="n"/>
      <c r="D9" s="44">
        <f>IF(B9="","",IFERROR(INDEX('Turnaround Table'!$C$5:$C$231,MATCH(B9,'Turnaround Table'!$D$5:$D$231,0)),"not in table"))</f>
        <v/>
      </c>
      <c r="E9" s="44">
        <f>IF(ISNUMBER(D9),2*D9,"")</f>
        <v/>
      </c>
      <c r="F9" s="8">
        <f>IF(ISNUMBER(E9),MAX(1,INT('Truck Requirement'!$B$4/E9)),"")</f>
        <v/>
      </c>
      <c r="G9" s="45">
        <f>IF(AND(ISNUMBER(F9),C9&lt;&gt;""),C9/F9,"")</f>
        <v/>
      </c>
      <c r="H9" s="9">
        <f>IF(ISNUMBER(G9),ROUNDUP(G9,0),"")</f>
        <v/>
      </c>
      <c r="J9" s="43" t="n"/>
      <c r="K9" s="8">
        <f>IF(J9="","",SUMIF($A$5:$A$34,J9,$C$5:$C$34))</f>
        <v/>
      </c>
      <c r="L9" s="9">
        <f>IF(J9="","",ROUNDUP(SUMIF($A$5:$A$34,J9,$G$5:$G$34),0))</f>
        <v/>
      </c>
    </row>
    <row r="10">
      <c r="A10" s="43" t="n"/>
      <c r="B10" s="43" t="n"/>
      <c r="C10" s="43" t="n"/>
      <c r="D10" s="44">
        <f>IF(B10="","",IFERROR(INDEX('Turnaround Table'!$C$5:$C$231,MATCH(B10,'Turnaround Table'!$D$5:$D$231,0)),"not in table"))</f>
        <v/>
      </c>
      <c r="E10" s="44">
        <f>IF(ISNUMBER(D10),2*D10,"")</f>
        <v/>
      </c>
      <c r="F10" s="8">
        <f>IF(ISNUMBER(E10),MAX(1,INT('Truck Requirement'!$B$4/E10)),"")</f>
        <v/>
      </c>
      <c r="G10" s="45">
        <f>IF(AND(ISNUMBER(F10),C10&lt;&gt;""),C10/F10,"")</f>
        <v/>
      </c>
      <c r="H10" s="9">
        <f>IF(ISNUMBER(G10),ROUNDUP(G10,0),"")</f>
        <v/>
      </c>
      <c r="J10" s="43" t="n"/>
      <c r="K10" s="8">
        <f>IF(J10="","",SUMIF($A$5:$A$34,J10,$C$5:$C$34))</f>
        <v/>
      </c>
      <c r="L10" s="9">
        <f>IF(J10="","",ROUNDUP(SUMIF($A$5:$A$34,J10,$G$5:$G$34),0))</f>
        <v/>
      </c>
    </row>
    <row r="11">
      <c r="A11" s="43" t="n"/>
      <c r="B11" s="43" t="n"/>
      <c r="C11" s="43" t="n"/>
      <c r="D11" s="44">
        <f>IF(B11="","",IFERROR(INDEX('Turnaround Table'!$C$5:$C$231,MATCH(B11,'Turnaround Table'!$D$5:$D$231,0)),"not in table"))</f>
        <v/>
      </c>
      <c r="E11" s="44">
        <f>IF(ISNUMBER(D11),2*D11,"")</f>
        <v/>
      </c>
      <c r="F11" s="8">
        <f>IF(ISNUMBER(E11),MAX(1,INT('Truck Requirement'!$B$4/E11)),"")</f>
        <v/>
      </c>
      <c r="G11" s="45">
        <f>IF(AND(ISNUMBER(F11),C11&lt;&gt;""),C11/F11,"")</f>
        <v/>
      </c>
      <c r="H11" s="9">
        <f>IF(ISNUMBER(G11),ROUNDUP(G11,0),"")</f>
        <v/>
      </c>
      <c r="J11" s="43" t="n"/>
      <c r="K11" s="8">
        <f>IF(J11="","",SUMIF($A$5:$A$34,J11,$C$5:$C$34))</f>
        <v/>
      </c>
      <c r="L11" s="9">
        <f>IF(J11="","",ROUNDUP(SUMIF($A$5:$A$34,J11,$G$5:$G$34),0))</f>
        <v/>
      </c>
    </row>
    <row r="12">
      <c r="A12" s="43" t="n"/>
      <c r="B12" s="43" t="n"/>
      <c r="C12" s="43" t="n"/>
      <c r="D12" s="44">
        <f>IF(B12="","",IFERROR(INDEX('Turnaround Table'!$C$5:$C$231,MATCH(B12,'Turnaround Table'!$D$5:$D$231,0)),"not in table"))</f>
        <v/>
      </c>
      <c r="E12" s="44">
        <f>IF(ISNUMBER(D12),2*D12,"")</f>
        <v/>
      </c>
      <c r="F12" s="8">
        <f>IF(ISNUMBER(E12),MAX(1,INT('Truck Requirement'!$B$4/E12)),"")</f>
        <v/>
      </c>
      <c r="G12" s="45">
        <f>IF(AND(ISNUMBER(F12),C12&lt;&gt;""),C12/F12,"")</f>
        <v/>
      </c>
      <c r="H12" s="9">
        <f>IF(ISNUMBER(G12),ROUNDUP(G12,0),"")</f>
        <v/>
      </c>
      <c r="J12" s="43" t="n"/>
      <c r="K12" s="8">
        <f>IF(J12="","",SUMIF($A$5:$A$34,J12,$C$5:$C$34))</f>
        <v/>
      </c>
      <c r="L12" s="9">
        <f>IF(J12="","",ROUNDUP(SUMIF($A$5:$A$34,J12,$G$5:$G$34),0))</f>
        <v/>
      </c>
    </row>
    <row r="13">
      <c r="A13" s="43" t="n"/>
      <c r="B13" s="43" t="n"/>
      <c r="C13" s="43" t="n"/>
      <c r="D13" s="44">
        <f>IF(B13="","",IFERROR(INDEX('Turnaround Table'!$C$5:$C$231,MATCH(B13,'Turnaround Table'!$D$5:$D$231,0)),"not in table"))</f>
        <v/>
      </c>
      <c r="E13" s="44">
        <f>IF(ISNUMBER(D13),2*D13,"")</f>
        <v/>
      </c>
      <c r="F13" s="8">
        <f>IF(ISNUMBER(E13),MAX(1,INT('Truck Requirement'!$B$4/E13)),"")</f>
        <v/>
      </c>
      <c r="G13" s="45">
        <f>IF(AND(ISNUMBER(F13),C13&lt;&gt;""),C13/F13,"")</f>
        <v/>
      </c>
      <c r="H13" s="9">
        <f>IF(ISNUMBER(G13),ROUNDUP(G13,0),"")</f>
        <v/>
      </c>
      <c r="J13" s="43" t="n"/>
      <c r="K13" s="8">
        <f>IF(J13="","",SUMIF($A$5:$A$34,J13,$C$5:$C$34))</f>
        <v/>
      </c>
      <c r="L13" s="9">
        <f>IF(J13="","",ROUNDUP(SUMIF($A$5:$A$34,J13,$G$5:$G$34),0))</f>
        <v/>
      </c>
    </row>
    <row r="14">
      <c r="A14" s="43" t="n"/>
      <c r="B14" s="43" t="n"/>
      <c r="C14" s="43" t="n"/>
      <c r="D14" s="44">
        <f>IF(B14="","",IFERROR(INDEX('Turnaround Table'!$C$5:$C$231,MATCH(B14,'Turnaround Table'!$D$5:$D$231,0)),"not in table"))</f>
        <v/>
      </c>
      <c r="E14" s="44">
        <f>IF(ISNUMBER(D14),2*D14,"")</f>
        <v/>
      </c>
      <c r="F14" s="8">
        <f>IF(ISNUMBER(E14),MAX(1,INT('Truck Requirement'!$B$4/E14)),"")</f>
        <v/>
      </c>
      <c r="G14" s="45">
        <f>IF(AND(ISNUMBER(F14),C14&lt;&gt;""),C14/F14,"")</f>
        <v/>
      </c>
      <c r="H14" s="9">
        <f>IF(ISNUMBER(G14),ROUNDUP(G14,0),"")</f>
        <v/>
      </c>
      <c r="J14" s="43" t="n"/>
      <c r="K14" s="8">
        <f>IF(J14="","",SUMIF($A$5:$A$34,J14,$C$5:$C$34))</f>
        <v/>
      </c>
      <c r="L14" s="9">
        <f>IF(J14="","",ROUNDUP(SUMIF($A$5:$A$34,J14,$G$5:$G$34),0))</f>
        <v/>
      </c>
    </row>
    <row r="15">
      <c r="A15" s="43" t="n"/>
      <c r="B15" s="43" t="n"/>
      <c r="C15" s="43" t="n"/>
      <c r="D15" s="44">
        <f>IF(B15="","",IFERROR(INDEX('Turnaround Table'!$C$5:$C$231,MATCH(B15,'Turnaround Table'!$D$5:$D$231,0)),"not in table"))</f>
        <v/>
      </c>
      <c r="E15" s="44">
        <f>IF(ISNUMBER(D15),2*D15,"")</f>
        <v/>
      </c>
      <c r="F15" s="8">
        <f>IF(ISNUMBER(E15),MAX(1,INT('Truck Requirement'!$B$4/E15)),"")</f>
        <v/>
      </c>
      <c r="G15" s="45">
        <f>IF(AND(ISNUMBER(F15),C15&lt;&gt;""),C15/F15,"")</f>
        <v/>
      </c>
      <c r="H15" s="9">
        <f>IF(ISNUMBER(G15),ROUNDUP(G15,0),"")</f>
        <v/>
      </c>
      <c r="J15" s="43" t="n"/>
      <c r="K15" s="8">
        <f>IF(J15="","",SUMIF($A$5:$A$34,J15,$C$5:$C$34))</f>
        <v/>
      </c>
      <c r="L15" s="9">
        <f>IF(J15="","",ROUNDUP(SUMIF($A$5:$A$34,J15,$G$5:$G$34),0))</f>
        <v/>
      </c>
    </row>
    <row r="16">
      <c r="A16" s="43" t="n"/>
      <c r="B16" s="43" t="n"/>
      <c r="C16" s="43" t="n"/>
      <c r="D16" s="44">
        <f>IF(B16="","",IFERROR(INDEX('Turnaround Table'!$C$5:$C$231,MATCH(B16,'Turnaround Table'!$D$5:$D$231,0)),"not in table"))</f>
        <v/>
      </c>
      <c r="E16" s="44">
        <f>IF(ISNUMBER(D16),2*D16,"")</f>
        <v/>
      </c>
      <c r="F16" s="8">
        <f>IF(ISNUMBER(E16),MAX(1,INT('Truck Requirement'!$B$4/E16)),"")</f>
        <v/>
      </c>
      <c r="G16" s="45">
        <f>IF(AND(ISNUMBER(F16),C16&lt;&gt;""),C16/F16,"")</f>
        <v/>
      </c>
      <c r="H16" s="9">
        <f>IF(ISNUMBER(G16),ROUNDUP(G16,0),"")</f>
        <v/>
      </c>
      <c r="J16" s="43" t="n"/>
      <c r="K16" s="8">
        <f>IF(J16="","",SUMIF($A$5:$A$34,J16,$C$5:$C$34))</f>
        <v/>
      </c>
      <c r="L16" s="9">
        <f>IF(J16="","",ROUNDUP(SUMIF($A$5:$A$34,J16,$G$5:$G$34),0))</f>
        <v/>
      </c>
    </row>
    <row r="17">
      <c r="A17" s="43" t="n"/>
      <c r="B17" s="43" t="n"/>
      <c r="C17" s="43" t="n"/>
      <c r="D17" s="44">
        <f>IF(B17="","",IFERROR(INDEX('Turnaround Table'!$C$5:$C$231,MATCH(B17,'Turnaround Table'!$D$5:$D$231,0)),"not in table"))</f>
        <v/>
      </c>
      <c r="E17" s="44">
        <f>IF(ISNUMBER(D17),2*D17,"")</f>
        <v/>
      </c>
      <c r="F17" s="8">
        <f>IF(ISNUMBER(E17),MAX(1,INT('Truck Requirement'!$B$4/E17)),"")</f>
        <v/>
      </c>
      <c r="G17" s="45">
        <f>IF(AND(ISNUMBER(F17),C17&lt;&gt;""),C17/F17,"")</f>
        <v/>
      </c>
      <c r="H17" s="9">
        <f>IF(ISNUMBER(G17),ROUNDUP(G17,0),"")</f>
        <v/>
      </c>
      <c r="J17" s="43" t="n"/>
      <c r="K17" s="8">
        <f>IF(J17="","",SUMIF($A$5:$A$34,J17,$C$5:$C$34))</f>
        <v/>
      </c>
      <c r="L17" s="9">
        <f>IF(J17="","",ROUNDUP(SUMIF($A$5:$A$34,J17,$G$5:$G$34),0))</f>
        <v/>
      </c>
    </row>
    <row r="18">
      <c r="A18" s="43" t="n"/>
      <c r="B18" s="43" t="n"/>
      <c r="C18" s="43" t="n"/>
      <c r="D18" s="44">
        <f>IF(B18="","",IFERROR(INDEX('Turnaround Table'!$C$5:$C$231,MATCH(B18,'Turnaround Table'!$D$5:$D$231,0)),"not in table"))</f>
        <v/>
      </c>
      <c r="E18" s="44">
        <f>IF(ISNUMBER(D18),2*D18,"")</f>
        <v/>
      </c>
      <c r="F18" s="8">
        <f>IF(ISNUMBER(E18),MAX(1,INT('Truck Requirement'!$B$4/E18)),"")</f>
        <v/>
      </c>
      <c r="G18" s="45">
        <f>IF(AND(ISNUMBER(F18),C18&lt;&gt;""),C18/F18,"")</f>
        <v/>
      </c>
      <c r="H18" s="9">
        <f>IF(ISNUMBER(G18),ROUNDUP(G18,0),"")</f>
        <v/>
      </c>
      <c r="J18" s="43" t="n"/>
      <c r="K18" s="8">
        <f>IF(J18="","",SUMIF($A$5:$A$34,J18,$C$5:$C$34))</f>
        <v/>
      </c>
      <c r="L18" s="9">
        <f>IF(J18="","",ROUNDUP(SUMIF($A$5:$A$34,J18,$G$5:$G$34),0))</f>
        <v/>
      </c>
    </row>
    <row r="19">
      <c r="A19" s="43" t="n"/>
      <c r="B19" s="43" t="n"/>
      <c r="C19" s="43" t="n"/>
      <c r="D19" s="44">
        <f>IF(B19="","",IFERROR(INDEX('Turnaround Table'!$C$5:$C$231,MATCH(B19,'Turnaround Table'!$D$5:$D$231,0)),"not in table"))</f>
        <v/>
      </c>
      <c r="E19" s="44">
        <f>IF(ISNUMBER(D19),2*D19,"")</f>
        <v/>
      </c>
      <c r="F19" s="8">
        <f>IF(ISNUMBER(E19),MAX(1,INT('Truck Requirement'!$B$4/E19)),"")</f>
        <v/>
      </c>
      <c r="G19" s="45">
        <f>IF(AND(ISNUMBER(F19),C19&lt;&gt;""),C19/F19,"")</f>
        <v/>
      </c>
      <c r="H19" s="9">
        <f>IF(ISNUMBER(G19),ROUNDUP(G19,0),"")</f>
        <v/>
      </c>
      <c r="J19" s="43" t="n"/>
      <c r="K19" s="8">
        <f>IF(J19="","",SUMIF($A$5:$A$34,J19,$C$5:$C$34))</f>
        <v/>
      </c>
      <c r="L19" s="9">
        <f>IF(J19="","",ROUNDUP(SUMIF($A$5:$A$34,J19,$G$5:$G$34),0))</f>
        <v/>
      </c>
    </row>
    <row r="20">
      <c r="A20" s="43" t="n"/>
      <c r="B20" s="43" t="n"/>
      <c r="C20" s="43" t="n"/>
      <c r="D20" s="44">
        <f>IF(B20="","",IFERROR(INDEX('Turnaround Table'!$C$5:$C$231,MATCH(B20,'Turnaround Table'!$D$5:$D$231,0)),"not in table"))</f>
        <v/>
      </c>
      <c r="E20" s="44">
        <f>IF(ISNUMBER(D20),2*D20,"")</f>
        <v/>
      </c>
      <c r="F20" s="8">
        <f>IF(ISNUMBER(E20),MAX(1,INT('Truck Requirement'!$B$4/E20)),"")</f>
        <v/>
      </c>
      <c r="G20" s="45">
        <f>IF(AND(ISNUMBER(F20),C20&lt;&gt;""),C20/F20,"")</f>
        <v/>
      </c>
      <c r="H20" s="9">
        <f>IF(ISNUMBER(G20),ROUNDUP(G20,0),"")</f>
        <v/>
      </c>
      <c r="J20" s="43" t="n"/>
      <c r="K20" s="8">
        <f>IF(J20="","",SUMIF($A$5:$A$34,J20,$C$5:$C$34))</f>
        <v/>
      </c>
      <c r="L20" s="9">
        <f>IF(J20="","",ROUNDUP(SUMIF($A$5:$A$34,J20,$G$5:$G$34),0))</f>
        <v/>
      </c>
    </row>
    <row r="21">
      <c r="A21" s="43" t="n"/>
      <c r="B21" s="43" t="n"/>
      <c r="C21" s="43" t="n"/>
      <c r="D21" s="44">
        <f>IF(B21="","",IFERROR(INDEX('Turnaround Table'!$C$5:$C$231,MATCH(B21,'Turnaround Table'!$D$5:$D$231,0)),"not in table"))</f>
        <v/>
      </c>
      <c r="E21" s="44">
        <f>IF(ISNUMBER(D21),2*D21,"")</f>
        <v/>
      </c>
      <c r="F21" s="8">
        <f>IF(ISNUMBER(E21),MAX(1,INT('Truck Requirement'!$B$4/E21)),"")</f>
        <v/>
      </c>
      <c r="G21" s="45">
        <f>IF(AND(ISNUMBER(F21),C21&lt;&gt;""),C21/F21,"")</f>
        <v/>
      </c>
      <c r="H21" s="9">
        <f>IF(ISNUMBER(G21),ROUNDUP(G21,0),"")</f>
        <v/>
      </c>
    </row>
    <row r="22">
      <c r="A22" s="43" t="n"/>
      <c r="B22" s="43" t="n"/>
      <c r="C22" s="43" t="n"/>
      <c r="D22" s="44">
        <f>IF(B22="","",IFERROR(INDEX('Turnaround Table'!$C$5:$C$231,MATCH(B22,'Turnaround Table'!$D$5:$D$231,0)),"not in table"))</f>
        <v/>
      </c>
      <c r="E22" s="44">
        <f>IF(ISNUMBER(D22),2*D22,"")</f>
        <v/>
      </c>
      <c r="F22" s="8">
        <f>IF(ISNUMBER(E22),MAX(1,INT('Truck Requirement'!$B$4/E22)),"")</f>
        <v/>
      </c>
      <c r="G22" s="45">
        <f>IF(AND(ISNUMBER(F22),C22&lt;&gt;""),C22/F22,"")</f>
        <v/>
      </c>
      <c r="H22" s="9">
        <f>IF(ISNUMBER(G22),ROUNDUP(G22,0),"")</f>
        <v/>
      </c>
    </row>
    <row r="23">
      <c r="A23" s="43" t="n"/>
      <c r="B23" s="43" t="n"/>
      <c r="C23" s="43" t="n"/>
      <c r="D23" s="44">
        <f>IF(B23="","",IFERROR(INDEX('Turnaround Table'!$C$5:$C$231,MATCH(B23,'Turnaround Table'!$D$5:$D$231,0)),"not in table"))</f>
        <v/>
      </c>
      <c r="E23" s="44">
        <f>IF(ISNUMBER(D23),2*D23,"")</f>
        <v/>
      </c>
      <c r="F23" s="8">
        <f>IF(ISNUMBER(E23),MAX(1,INT('Truck Requirement'!$B$4/E23)),"")</f>
        <v/>
      </c>
      <c r="G23" s="45">
        <f>IF(AND(ISNUMBER(F23),C23&lt;&gt;""),C23/F23,"")</f>
        <v/>
      </c>
      <c r="H23" s="9">
        <f>IF(ISNUMBER(G23),ROUNDUP(G23,0),"")</f>
        <v/>
      </c>
    </row>
    <row r="24">
      <c r="A24" s="43" t="n"/>
      <c r="B24" s="43" t="n"/>
      <c r="C24" s="43" t="n"/>
      <c r="D24" s="44">
        <f>IF(B24="","",IFERROR(INDEX('Turnaround Table'!$C$5:$C$231,MATCH(B24,'Turnaround Table'!$D$5:$D$231,0)),"not in table"))</f>
        <v/>
      </c>
      <c r="E24" s="44">
        <f>IF(ISNUMBER(D24),2*D24,"")</f>
        <v/>
      </c>
      <c r="F24" s="8">
        <f>IF(ISNUMBER(E24),MAX(1,INT('Truck Requirement'!$B$4/E24)),"")</f>
        <v/>
      </c>
      <c r="G24" s="45">
        <f>IF(AND(ISNUMBER(F24),C24&lt;&gt;""),C24/F24,"")</f>
        <v/>
      </c>
      <c r="H24" s="9">
        <f>IF(ISNUMBER(G24),ROUNDUP(G24,0),"")</f>
        <v/>
      </c>
    </row>
    <row r="25">
      <c r="A25" s="43" t="n"/>
      <c r="B25" s="43" t="n"/>
      <c r="C25" s="43" t="n"/>
      <c r="D25" s="44">
        <f>IF(B25="","",IFERROR(INDEX('Turnaround Table'!$C$5:$C$231,MATCH(B25,'Turnaround Table'!$D$5:$D$231,0)),"not in table"))</f>
        <v/>
      </c>
      <c r="E25" s="44">
        <f>IF(ISNUMBER(D25),2*D25,"")</f>
        <v/>
      </c>
      <c r="F25" s="8">
        <f>IF(ISNUMBER(E25),MAX(1,INT('Truck Requirement'!$B$4/E25)),"")</f>
        <v/>
      </c>
      <c r="G25" s="45">
        <f>IF(AND(ISNUMBER(F25),C25&lt;&gt;""),C25/F25,"")</f>
        <v/>
      </c>
      <c r="H25" s="9">
        <f>IF(ISNUMBER(G25),ROUNDUP(G25,0),"")</f>
        <v/>
      </c>
    </row>
    <row r="26">
      <c r="A26" s="43" t="n"/>
      <c r="B26" s="43" t="n"/>
      <c r="C26" s="43" t="n"/>
      <c r="D26" s="44">
        <f>IF(B26="","",IFERROR(INDEX('Turnaround Table'!$C$5:$C$231,MATCH(B26,'Turnaround Table'!$D$5:$D$231,0)),"not in table"))</f>
        <v/>
      </c>
      <c r="E26" s="44">
        <f>IF(ISNUMBER(D26),2*D26,"")</f>
        <v/>
      </c>
      <c r="F26" s="8">
        <f>IF(ISNUMBER(E26),MAX(1,INT('Truck Requirement'!$B$4/E26)),"")</f>
        <v/>
      </c>
      <c r="G26" s="45">
        <f>IF(AND(ISNUMBER(F26),C26&lt;&gt;""),C26/F26,"")</f>
        <v/>
      </c>
      <c r="H26" s="9">
        <f>IF(ISNUMBER(G26),ROUNDUP(G26,0),"")</f>
        <v/>
      </c>
    </row>
    <row r="27">
      <c r="A27" s="43" t="n"/>
      <c r="B27" s="43" t="n"/>
      <c r="C27" s="43" t="n"/>
      <c r="D27" s="44">
        <f>IF(B27="","",IFERROR(INDEX('Turnaround Table'!$C$5:$C$231,MATCH(B27,'Turnaround Table'!$D$5:$D$231,0)),"not in table"))</f>
        <v/>
      </c>
      <c r="E27" s="44">
        <f>IF(ISNUMBER(D27),2*D27,"")</f>
        <v/>
      </c>
      <c r="F27" s="8">
        <f>IF(ISNUMBER(E27),MAX(1,INT('Truck Requirement'!$B$4/E27)),"")</f>
        <v/>
      </c>
      <c r="G27" s="45">
        <f>IF(AND(ISNUMBER(F27),C27&lt;&gt;""),C27/F27,"")</f>
        <v/>
      </c>
      <c r="H27" s="9">
        <f>IF(ISNUMBER(G27),ROUNDUP(G27,0),"")</f>
        <v/>
      </c>
    </row>
    <row r="28">
      <c r="A28" s="43" t="n"/>
      <c r="B28" s="43" t="n"/>
      <c r="C28" s="43" t="n"/>
      <c r="D28" s="44">
        <f>IF(B28="","",IFERROR(INDEX('Turnaround Table'!$C$5:$C$231,MATCH(B28,'Turnaround Table'!$D$5:$D$231,0)),"not in table"))</f>
        <v/>
      </c>
      <c r="E28" s="44">
        <f>IF(ISNUMBER(D28),2*D28,"")</f>
        <v/>
      </c>
      <c r="F28" s="8">
        <f>IF(ISNUMBER(E28),MAX(1,INT('Truck Requirement'!$B$4/E28)),"")</f>
        <v/>
      </c>
      <c r="G28" s="45">
        <f>IF(AND(ISNUMBER(F28),C28&lt;&gt;""),C28/F28,"")</f>
        <v/>
      </c>
      <c r="H28" s="9">
        <f>IF(ISNUMBER(G28),ROUNDUP(G28,0),"")</f>
        <v/>
      </c>
    </row>
    <row r="29">
      <c r="A29" s="43" t="n"/>
      <c r="B29" s="43" t="n"/>
      <c r="C29" s="43" t="n"/>
      <c r="D29" s="44">
        <f>IF(B29="","",IFERROR(INDEX('Turnaround Table'!$C$5:$C$231,MATCH(B29,'Turnaround Table'!$D$5:$D$231,0)),"not in table"))</f>
        <v/>
      </c>
      <c r="E29" s="44">
        <f>IF(ISNUMBER(D29),2*D29,"")</f>
        <v/>
      </c>
      <c r="F29" s="8">
        <f>IF(ISNUMBER(E29),MAX(1,INT('Truck Requirement'!$B$4/E29)),"")</f>
        <v/>
      </c>
      <c r="G29" s="45">
        <f>IF(AND(ISNUMBER(F29),C29&lt;&gt;""),C29/F29,"")</f>
        <v/>
      </c>
      <c r="H29" s="9">
        <f>IF(ISNUMBER(G29),ROUNDUP(G29,0),"")</f>
        <v/>
      </c>
    </row>
    <row r="30">
      <c r="A30" s="43" t="n"/>
      <c r="B30" s="43" t="n"/>
      <c r="C30" s="43" t="n"/>
      <c r="D30" s="44">
        <f>IF(B30="","",IFERROR(INDEX('Turnaround Table'!$C$5:$C$231,MATCH(B30,'Turnaround Table'!$D$5:$D$231,0)),"not in table"))</f>
        <v/>
      </c>
      <c r="E30" s="44">
        <f>IF(ISNUMBER(D30),2*D30,"")</f>
        <v/>
      </c>
      <c r="F30" s="8">
        <f>IF(ISNUMBER(E30),MAX(1,INT('Truck Requirement'!$B$4/E30)),"")</f>
        <v/>
      </c>
      <c r="G30" s="45">
        <f>IF(AND(ISNUMBER(F30),C30&lt;&gt;""),C30/F30,"")</f>
        <v/>
      </c>
      <c r="H30" s="9">
        <f>IF(ISNUMBER(G30),ROUNDUP(G30,0),"")</f>
        <v/>
      </c>
    </row>
    <row r="31">
      <c r="A31" s="43" t="n"/>
      <c r="B31" s="43" t="n"/>
      <c r="C31" s="43" t="n"/>
      <c r="D31" s="44">
        <f>IF(B31="","",IFERROR(INDEX('Turnaround Table'!$C$5:$C$231,MATCH(B31,'Turnaround Table'!$D$5:$D$231,0)),"not in table"))</f>
        <v/>
      </c>
      <c r="E31" s="44">
        <f>IF(ISNUMBER(D31),2*D31,"")</f>
        <v/>
      </c>
      <c r="F31" s="8">
        <f>IF(ISNUMBER(E31),MAX(1,INT('Truck Requirement'!$B$4/E31)),"")</f>
        <v/>
      </c>
      <c r="G31" s="45">
        <f>IF(AND(ISNUMBER(F31),C31&lt;&gt;""),C31/F31,"")</f>
        <v/>
      </c>
      <c r="H31" s="9">
        <f>IF(ISNUMBER(G31),ROUNDUP(G31,0),"")</f>
        <v/>
      </c>
    </row>
    <row r="32">
      <c r="A32" s="43" t="n"/>
      <c r="B32" s="43" t="n"/>
      <c r="C32" s="43" t="n"/>
      <c r="D32" s="44">
        <f>IF(B32="","",IFERROR(INDEX('Turnaround Table'!$C$5:$C$231,MATCH(B32,'Turnaround Table'!$D$5:$D$231,0)),"not in table"))</f>
        <v/>
      </c>
      <c r="E32" s="44">
        <f>IF(ISNUMBER(D32),2*D32,"")</f>
        <v/>
      </c>
      <c r="F32" s="8">
        <f>IF(ISNUMBER(E32),MAX(1,INT('Truck Requirement'!$B$4/E32)),"")</f>
        <v/>
      </c>
      <c r="G32" s="45">
        <f>IF(AND(ISNUMBER(F32),C32&lt;&gt;""),C32/F32,"")</f>
        <v/>
      </c>
      <c r="H32" s="9">
        <f>IF(ISNUMBER(G32),ROUNDUP(G32,0),"")</f>
        <v/>
      </c>
    </row>
    <row r="33">
      <c r="A33" s="43" t="n"/>
      <c r="B33" s="43" t="n"/>
      <c r="C33" s="43" t="n"/>
      <c r="D33" s="44">
        <f>IF(B33="","",IFERROR(INDEX('Turnaround Table'!$C$5:$C$231,MATCH(B33,'Turnaround Table'!$D$5:$D$231,0)),"not in table"))</f>
        <v/>
      </c>
      <c r="E33" s="44">
        <f>IF(ISNUMBER(D33),2*D33,"")</f>
        <v/>
      </c>
      <c r="F33" s="8">
        <f>IF(ISNUMBER(E33),MAX(1,INT('Truck Requirement'!$B$4/E33)),"")</f>
        <v/>
      </c>
      <c r="G33" s="45">
        <f>IF(AND(ISNUMBER(F33),C33&lt;&gt;""),C33/F33,"")</f>
        <v/>
      </c>
      <c r="H33" s="9">
        <f>IF(ISNUMBER(G33),ROUNDUP(G33,0),"")</f>
        <v/>
      </c>
    </row>
    <row r="34">
      <c r="A34" s="43" t="n"/>
      <c r="B34" s="43" t="n"/>
      <c r="C34" s="43" t="n"/>
      <c r="D34" s="44">
        <f>IF(B34="","",IFERROR(INDEX('Turnaround Table'!$C$5:$C$231,MATCH(B34,'Turnaround Table'!$D$5:$D$231,0)),"not in table"))</f>
        <v/>
      </c>
      <c r="E34" s="44">
        <f>IF(ISNUMBER(D34),2*D34,"")</f>
        <v/>
      </c>
      <c r="F34" s="8">
        <f>IF(ISNUMBER(E34),MAX(1,INT('Truck Requirement'!$B$4/E34)),"")</f>
        <v/>
      </c>
      <c r="G34" s="45">
        <f>IF(AND(ISNUMBER(F34),C34&lt;&gt;""),C34/F34,"")</f>
        <v/>
      </c>
      <c r="H34" s="9">
        <f>IF(ISNUMBER(G34),ROUNDUP(G34,0),"")</f>
        <v/>
      </c>
    </row>
    <row r="35">
      <c r="A35" s="17" t="inlineStr">
        <is>
          <t>Total</t>
        </is>
      </c>
      <c r="C35" s="23">
        <f>SUM(C5:C34)</f>
        <v/>
      </c>
      <c r="G35" s="23">
        <f>SUM(G5:G34)</f>
        <v/>
      </c>
      <c r="H35" s="23">
        <f>SUM(H5:H34)</f>
        <v/>
      </c>
    </row>
  </sheetData>
  <dataValidations count="2">
    <dataValidation sqref="B5:B34" showDropDown="0" showInputMessage="0" showErrorMessage="0" allowBlank="1" type="list">
      <formula1>='Turnaround Table'!$D$5:$D$231</formula1>
    </dataValidation>
    <dataValidation sqref="A5:A34 J6:J20" showDropDown="0" showInputMessage="0" showErrorMessage="1" allowBlank="1" errorTitle="Client not in list" error="This client is not on the Client List sheet. Add it there to keep the dropdown complete." type="list" errorStyle="warning">
      <formula1>='Client List'!$A$4:$A$63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5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6" customWidth="1" min="10" max="10"/>
    <col width="16" customWidth="1" min="11" max="11"/>
    <col width="14" customWidth="1" min="12" max="12"/>
    <col width="10" customWidth="1" min="13" max="13"/>
    <col width="16" customWidth="1" min="14" max="14"/>
    <col width="16" customWidth="1" min="15" max="15"/>
    <col width="11" customWidth="1" min="16" max="16"/>
    <col width="3" customWidth="1" min="17" max="17"/>
    <col width="26" customWidth="1" min="18" max="18"/>
    <col width="10" customWidth="1" min="19" max="19"/>
    <col width="13" customWidth="1" min="20" max="20"/>
    <col width="16" customWidth="1" min="21" max="21"/>
    <col width="16" customWidth="1" min="22" max="22"/>
    <col width="17" customWidth="1" min="23" max="23"/>
  </cols>
  <sheetData>
    <row r="1">
      <c r="A1" s="5" t="inlineStr">
        <is>
          <t>Revenue planner — what each route earns with the trucks allocated to it</t>
        </is>
      </c>
    </row>
    <row r="2">
      <c r="A2" s="6" t="inlineStr">
        <is>
          <t>Pick the client and route, enter trips per month and your price per trip (yellow). Trucks follow the same rotation as the Order Planner. Revenue per truck-day lets you compare routes fairly: it is what one truck earns for each day it is tied up on that route.</t>
        </is>
      </c>
    </row>
    <row r="4" ht="45" customHeight="1">
      <c r="A4" s="7" t="inlineStr">
        <is>
          <t>Client</t>
        </is>
      </c>
      <c r="B4" s="7" t="inlineStr">
        <is>
          <t>Route (turnaround key)</t>
        </is>
      </c>
      <c r="C4" s="7" t="inlineStr">
        <is>
          <t>Trips per month</t>
        </is>
      </c>
      <c r="D4" s="7" t="inlineStr">
        <is>
          <t>Price per trip (₦)</t>
        </is>
      </c>
      <c r="E4" s="7" t="inlineStr">
        <is>
          <t>One-leg days</t>
        </is>
      </c>
      <c r="F4" s="7" t="inlineStr">
        <is>
          <t>Round-trip days</t>
        </is>
      </c>
      <c r="G4" s="7" t="inlineStr">
        <is>
          <t>Trips one truck can do per month</t>
        </is>
      </c>
      <c r="H4" s="7" t="inlineStr">
        <is>
          <t>Truck use (exact)</t>
        </is>
      </c>
      <c r="I4" s="7" t="inlineStr">
        <is>
          <t>Trucks needed</t>
        </is>
      </c>
      <c r="J4" s="7" t="inlineStr">
        <is>
          <t>Monthly revenue (₦)</t>
        </is>
      </c>
      <c r="K4" s="7" t="inlineStr">
        <is>
          <t>Revenue per truck per month (₦)</t>
        </is>
      </c>
      <c r="L4" s="7" t="inlineStr">
        <is>
          <t>Revenue per truck-day (₦)</t>
        </is>
      </c>
      <c r="M4" s="7" t="inlineStr">
        <is>
          <t>Spare trips with these trucks</t>
        </is>
      </c>
      <c r="N4" s="7" t="inlineStr">
        <is>
          <t>Market avg price Jul–Sep (₦)</t>
        </is>
      </c>
      <c r="O4" s="7" t="inlineStr">
        <is>
          <t>Highest price Jul–Sep (₦)</t>
        </is>
      </c>
      <c r="P4" s="7" t="inlineStr">
        <is>
          <t>Your price vs market avg</t>
        </is>
      </c>
      <c r="R4" s="32" t="inlineStr">
        <is>
          <t>Totals by client</t>
        </is>
      </c>
    </row>
    <row r="5" ht="45" customHeight="1">
      <c r="A5" s="43" t="inlineStr">
        <is>
          <t>Jamara</t>
        </is>
      </c>
      <c r="B5" s="43" t="inlineStr">
        <is>
          <t>ABUJA&gt;LAGOS</t>
        </is>
      </c>
      <c r="C5" s="43" t="n">
        <v>4</v>
      </c>
      <c r="D5" s="47" t="n">
        <v>2693000</v>
      </c>
      <c r="E5" s="44">
        <f>IF(B5="","",IFERROR(INDEX('Turnaround Table'!$C$5:$C$231,MATCH(B5,'Turnaround Table'!$D$5:$D$231,0)),"not in table"))</f>
        <v/>
      </c>
      <c r="F5" s="44">
        <f>IF(ISNUMBER(E5),2*E5,"")</f>
        <v/>
      </c>
      <c r="G5" s="8">
        <f>IF(ISNUMBER(F5),MAX(1,INT('Truck Requirement'!$B$4/F5)),"")</f>
        <v/>
      </c>
      <c r="H5" s="45">
        <f>IF(AND(ISNUMBER(G5),C5&lt;&gt;""),C5/G5,"")</f>
        <v/>
      </c>
      <c r="I5" s="9">
        <f>IF(ISNUMBER(H5),ROUNDUP(H5,0),"")</f>
        <v/>
      </c>
      <c r="J5" s="48">
        <f>IF(AND(C5&lt;&gt;"",D5&lt;&gt;""),C5*D5,"")</f>
        <v/>
      </c>
      <c r="K5" s="12">
        <f>IF(AND(ISNUMBER(J5),ISNUMBER(I5)),IF(I5=0,"",J5/I5),"")</f>
        <v/>
      </c>
      <c r="L5" s="48">
        <f>IF(AND(ISNUMBER(D5),ISNUMBER(F5)),D5/F5,"")</f>
        <v/>
      </c>
      <c r="M5" s="8">
        <f>IF(ISNUMBER(I5),I5*G5-C5,"")</f>
        <v/>
      </c>
      <c r="N5" s="12">
        <f>IF(B5="","",IFERROR(INDEX('Route Prices'!$F$5:$F$103,MATCH(B5,'Route Prices'!$A$5:$A$103,0)),""))</f>
        <v/>
      </c>
      <c r="O5" s="12">
        <f>IF(B5="","",IFERROR(INDEX('Route Prices'!$G$5:$G$103,MATCH(B5,'Route Prices'!$A$5:$A$103,0)),""))</f>
        <v/>
      </c>
      <c r="P5" s="49">
        <f>IF(AND(ISNUMBER(D5),ISNUMBER(N5)),IF(N5=0,"",D5/N5-1),"")</f>
        <v/>
      </c>
      <c r="R5" s="46" t="inlineStr">
        <is>
          <t>Client</t>
        </is>
      </c>
      <c r="S5" s="46" t="inlineStr">
        <is>
          <t>Trips per month</t>
        </is>
      </c>
      <c r="T5" s="46" t="inlineStr">
        <is>
          <t>Trucks needed (shared across routes)</t>
        </is>
      </c>
      <c r="U5" s="46" t="inlineStr">
        <is>
          <t>Monthly revenue (₦)</t>
        </is>
      </c>
      <c r="V5" s="46" t="inlineStr">
        <is>
          <t>Revenue per truck per month (₦)</t>
        </is>
      </c>
      <c r="W5" s="46" t="inlineStr">
        <is>
          <t>Yearly revenue (₦)</t>
        </is>
      </c>
    </row>
    <row r="6">
      <c r="A6" s="43" t="inlineStr">
        <is>
          <t>Jamara</t>
        </is>
      </c>
      <c r="B6" s="43" t="inlineStr">
        <is>
          <t>PORT HARCOURT&gt;LAGOS</t>
        </is>
      </c>
      <c r="C6" s="43" t="n">
        <v>6</v>
      </c>
      <c r="D6" s="47" t="n">
        <v>2491000</v>
      </c>
      <c r="E6" s="44">
        <f>IF(B6="","",IFERROR(INDEX('Turnaround Table'!$C$5:$C$231,MATCH(B6,'Turnaround Table'!$D$5:$D$231,0)),"not in table"))</f>
        <v/>
      </c>
      <c r="F6" s="44">
        <f>IF(ISNUMBER(E6),2*E6,"")</f>
        <v/>
      </c>
      <c r="G6" s="8">
        <f>IF(ISNUMBER(F6),MAX(1,INT('Truck Requirement'!$B$4/F6)),"")</f>
        <v/>
      </c>
      <c r="H6" s="45">
        <f>IF(AND(ISNUMBER(G6),C6&lt;&gt;""),C6/G6,"")</f>
        <v/>
      </c>
      <c r="I6" s="9">
        <f>IF(ISNUMBER(H6),ROUNDUP(H6,0),"")</f>
        <v/>
      </c>
      <c r="J6" s="48">
        <f>IF(AND(C6&lt;&gt;"",D6&lt;&gt;""),C6*D6,"")</f>
        <v/>
      </c>
      <c r="K6" s="12">
        <f>IF(AND(ISNUMBER(J6),ISNUMBER(I6)),IF(I6=0,"",J6/I6),"")</f>
        <v/>
      </c>
      <c r="L6" s="48">
        <f>IF(AND(ISNUMBER(D6),ISNUMBER(F6)),D6/F6,"")</f>
        <v/>
      </c>
      <c r="M6" s="8">
        <f>IF(ISNUMBER(I6),I6*G6-C6,"")</f>
        <v/>
      </c>
      <c r="N6" s="12">
        <f>IF(B6="","",IFERROR(INDEX('Route Prices'!$F$5:$F$103,MATCH(B6,'Route Prices'!$A$5:$A$103,0)),""))</f>
        <v/>
      </c>
      <c r="O6" s="12">
        <f>IF(B6="","",IFERROR(INDEX('Route Prices'!$G$5:$G$103,MATCH(B6,'Route Prices'!$A$5:$A$103,0)),""))</f>
        <v/>
      </c>
      <c r="P6" s="49">
        <f>IF(AND(ISNUMBER(D6),ISNUMBER(N6)),IF(N6=0,"",D6/N6-1),"")</f>
        <v/>
      </c>
      <c r="R6" s="43" t="inlineStr">
        <is>
          <t>Jamara</t>
        </is>
      </c>
      <c r="S6" s="8">
        <f>IF(R6="","",SUMIF($A$5:$A$34,R6,$C$5:$C$34))</f>
        <v/>
      </c>
      <c r="T6" s="8">
        <f>IF(R6="","",ROUNDUP(SUMIF($A$5:$A$34,R6,$H$5:$H$34),0))</f>
        <v/>
      </c>
      <c r="U6" s="12">
        <f>IF(R6="","",SUMIF($A$5:$A$34,R6,$J$5:$J$34))</f>
        <v/>
      </c>
      <c r="V6" s="12">
        <f>IF(OR(R6="",T6=0),"",U6/T6)</f>
        <v/>
      </c>
      <c r="W6" s="12">
        <f>IF(R6="","",U6*12)</f>
        <v/>
      </c>
    </row>
    <row r="7">
      <c r="A7" s="43" t="inlineStr">
        <is>
          <t>Jamara</t>
        </is>
      </c>
      <c r="B7" s="43" t="inlineStr">
        <is>
          <t>KANO&gt;LAGOS</t>
        </is>
      </c>
      <c r="C7" s="43" t="n">
        <v>4</v>
      </c>
      <c r="D7" s="47" t="n">
        <v>3775000</v>
      </c>
      <c r="E7" s="44">
        <f>IF(B7="","",IFERROR(INDEX('Turnaround Table'!$C$5:$C$231,MATCH(B7,'Turnaround Table'!$D$5:$D$231,0)),"not in table"))</f>
        <v/>
      </c>
      <c r="F7" s="44">
        <f>IF(ISNUMBER(E7),2*E7,"")</f>
        <v/>
      </c>
      <c r="G7" s="8">
        <f>IF(ISNUMBER(F7),MAX(1,INT('Truck Requirement'!$B$4/F7)),"")</f>
        <v/>
      </c>
      <c r="H7" s="45">
        <f>IF(AND(ISNUMBER(G7),C7&lt;&gt;""),C7/G7,"")</f>
        <v/>
      </c>
      <c r="I7" s="9">
        <f>IF(ISNUMBER(H7),ROUNDUP(H7,0),"")</f>
        <v/>
      </c>
      <c r="J7" s="48">
        <f>IF(AND(C7&lt;&gt;"",D7&lt;&gt;""),C7*D7,"")</f>
        <v/>
      </c>
      <c r="K7" s="12">
        <f>IF(AND(ISNUMBER(J7),ISNUMBER(I7)),IF(I7=0,"",J7/I7),"")</f>
        <v/>
      </c>
      <c r="L7" s="48">
        <f>IF(AND(ISNUMBER(D7),ISNUMBER(F7)),D7/F7,"")</f>
        <v/>
      </c>
      <c r="M7" s="8">
        <f>IF(ISNUMBER(I7),I7*G7-C7,"")</f>
        <v/>
      </c>
      <c r="N7" s="12">
        <f>IF(B7="","",IFERROR(INDEX('Route Prices'!$F$5:$F$103,MATCH(B7,'Route Prices'!$A$5:$A$103,0)),""))</f>
        <v/>
      </c>
      <c r="O7" s="12">
        <f>IF(B7="","",IFERROR(INDEX('Route Prices'!$G$5:$G$103,MATCH(B7,'Route Prices'!$A$5:$A$103,0)),""))</f>
        <v/>
      </c>
      <c r="P7" s="49">
        <f>IF(AND(ISNUMBER(D7),ISNUMBER(N7)),IF(N7=0,"",D7/N7-1),"")</f>
        <v/>
      </c>
      <c r="R7" s="43" t="n"/>
      <c r="S7" s="8">
        <f>IF(R7="","",SUMIF($A$5:$A$34,R7,$C$5:$C$34))</f>
        <v/>
      </c>
      <c r="T7" s="8">
        <f>IF(R7="","",ROUNDUP(SUMIF($A$5:$A$34,R7,$H$5:$H$34),0))</f>
        <v/>
      </c>
      <c r="U7" s="12">
        <f>IF(R7="","",SUMIF($A$5:$A$34,R7,$J$5:$J$34))</f>
        <v/>
      </c>
      <c r="V7" s="12">
        <f>IF(OR(R7="",T7=0),"",U7/T7)</f>
        <v/>
      </c>
      <c r="W7" s="12">
        <f>IF(R7="","",U7*12)</f>
        <v/>
      </c>
    </row>
    <row r="8">
      <c r="A8" s="43" t="n"/>
      <c r="B8" s="43" t="n"/>
      <c r="C8" s="43" t="n"/>
      <c r="D8" s="47" t="n"/>
      <c r="E8" s="44">
        <f>IF(B8="","",IFERROR(INDEX('Turnaround Table'!$C$5:$C$231,MATCH(B8,'Turnaround Table'!$D$5:$D$231,0)),"not in table"))</f>
        <v/>
      </c>
      <c r="F8" s="44">
        <f>IF(ISNUMBER(E8),2*E8,"")</f>
        <v/>
      </c>
      <c r="G8" s="8">
        <f>IF(ISNUMBER(F8),MAX(1,INT('Truck Requirement'!$B$4/F8)),"")</f>
        <v/>
      </c>
      <c r="H8" s="45">
        <f>IF(AND(ISNUMBER(G8),C8&lt;&gt;""),C8/G8,"")</f>
        <v/>
      </c>
      <c r="I8" s="9">
        <f>IF(ISNUMBER(H8),ROUNDUP(H8,0),"")</f>
        <v/>
      </c>
      <c r="J8" s="48">
        <f>IF(AND(C8&lt;&gt;"",D8&lt;&gt;""),C8*D8,"")</f>
        <v/>
      </c>
      <c r="K8" s="12">
        <f>IF(AND(ISNUMBER(J8),ISNUMBER(I8)),IF(I8=0,"",J8/I8),"")</f>
        <v/>
      </c>
      <c r="L8" s="48">
        <f>IF(AND(ISNUMBER(D8),ISNUMBER(F8)),D8/F8,"")</f>
        <v/>
      </c>
      <c r="M8" s="8">
        <f>IF(ISNUMBER(I8),I8*G8-C8,"")</f>
        <v/>
      </c>
      <c r="N8" s="12">
        <f>IF(B8="","",IFERROR(INDEX('Route Prices'!$F$5:$F$103,MATCH(B8,'Route Prices'!$A$5:$A$103,0)),""))</f>
        <v/>
      </c>
      <c r="O8" s="12">
        <f>IF(B8="","",IFERROR(INDEX('Route Prices'!$G$5:$G$103,MATCH(B8,'Route Prices'!$A$5:$A$103,0)),""))</f>
        <v/>
      </c>
      <c r="P8" s="49">
        <f>IF(AND(ISNUMBER(D8),ISNUMBER(N8)),IF(N8=0,"",D8/N8-1),"")</f>
        <v/>
      </c>
      <c r="R8" s="43" t="n"/>
      <c r="S8" s="8">
        <f>IF(R8="","",SUMIF($A$5:$A$34,R8,$C$5:$C$34))</f>
        <v/>
      </c>
      <c r="T8" s="8">
        <f>IF(R8="","",ROUNDUP(SUMIF($A$5:$A$34,R8,$H$5:$H$34),0))</f>
        <v/>
      </c>
      <c r="U8" s="12">
        <f>IF(R8="","",SUMIF($A$5:$A$34,R8,$J$5:$J$34))</f>
        <v/>
      </c>
      <c r="V8" s="12">
        <f>IF(OR(R8="",T8=0),"",U8/T8)</f>
        <v/>
      </c>
      <c r="W8" s="12">
        <f>IF(R8="","",U8*12)</f>
        <v/>
      </c>
    </row>
    <row r="9">
      <c r="A9" s="43" t="n"/>
      <c r="B9" s="43" t="n"/>
      <c r="C9" s="43" t="n"/>
      <c r="D9" s="47" t="n"/>
      <c r="E9" s="44">
        <f>IF(B9="","",IFERROR(INDEX('Turnaround Table'!$C$5:$C$231,MATCH(B9,'Turnaround Table'!$D$5:$D$231,0)),"not in table"))</f>
        <v/>
      </c>
      <c r="F9" s="44">
        <f>IF(ISNUMBER(E9),2*E9,"")</f>
        <v/>
      </c>
      <c r="G9" s="8">
        <f>IF(ISNUMBER(F9),MAX(1,INT('Truck Requirement'!$B$4/F9)),"")</f>
        <v/>
      </c>
      <c r="H9" s="45">
        <f>IF(AND(ISNUMBER(G9),C9&lt;&gt;""),C9/G9,"")</f>
        <v/>
      </c>
      <c r="I9" s="9">
        <f>IF(ISNUMBER(H9),ROUNDUP(H9,0),"")</f>
        <v/>
      </c>
      <c r="J9" s="48">
        <f>IF(AND(C9&lt;&gt;"",D9&lt;&gt;""),C9*D9,"")</f>
        <v/>
      </c>
      <c r="K9" s="12">
        <f>IF(AND(ISNUMBER(J9),ISNUMBER(I9)),IF(I9=0,"",J9/I9),"")</f>
        <v/>
      </c>
      <c r="L9" s="48">
        <f>IF(AND(ISNUMBER(D9),ISNUMBER(F9)),D9/F9,"")</f>
        <v/>
      </c>
      <c r="M9" s="8">
        <f>IF(ISNUMBER(I9),I9*G9-C9,"")</f>
        <v/>
      </c>
      <c r="N9" s="12">
        <f>IF(B9="","",IFERROR(INDEX('Route Prices'!$F$5:$F$103,MATCH(B9,'Route Prices'!$A$5:$A$103,0)),""))</f>
        <v/>
      </c>
      <c r="O9" s="12">
        <f>IF(B9="","",IFERROR(INDEX('Route Prices'!$G$5:$G$103,MATCH(B9,'Route Prices'!$A$5:$A$103,0)),""))</f>
        <v/>
      </c>
      <c r="P9" s="49">
        <f>IF(AND(ISNUMBER(D9),ISNUMBER(N9)),IF(N9=0,"",D9/N9-1),"")</f>
        <v/>
      </c>
      <c r="R9" s="43" t="n"/>
      <c r="S9" s="8">
        <f>IF(R9="","",SUMIF($A$5:$A$34,R9,$C$5:$C$34))</f>
        <v/>
      </c>
      <c r="T9" s="8">
        <f>IF(R9="","",ROUNDUP(SUMIF($A$5:$A$34,R9,$H$5:$H$34),0))</f>
        <v/>
      </c>
      <c r="U9" s="12">
        <f>IF(R9="","",SUMIF($A$5:$A$34,R9,$J$5:$J$34))</f>
        <v/>
      </c>
      <c r="V9" s="12">
        <f>IF(OR(R9="",T9=0),"",U9/T9)</f>
        <v/>
      </c>
      <c r="W9" s="12">
        <f>IF(R9="","",U9*12)</f>
        <v/>
      </c>
    </row>
    <row r="10">
      <c r="A10" s="43" t="n"/>
      <c r="B10" s="43" t="n"/>
      <c r="C10" s="43" t="n"/>
      <c r="D10" s="47" t="n"/>
      <c r="E10" s="44">
        <f>IF(B10="","",IFERROR(INDEX('Turnaround Table'!$C$5:$C$231,MATCH(B10,'Turnaround Table'!$D$5:$D$231,0)),"not in table"))</f>
        <v/>
      </c>
      <c r="F10" s="44">
        <f>IF(ISNUMBER(E10),2*E10,"")</f>
        <v/>
      </c>
      <c r="G10" s="8">
        <f>IF(ISNUMBER(F10),MAX(1,INT('Truck Requirement'!$B$4/F10)),"")</f>
        <v/>
      </c>
      <c r="H10" s="45">
        <f>IF(AND(ISNUMBER(G10),C10&lt;&gt;""),C10/G10,"")</f>
        <v/>
      </c>
      <c r="I10" s="9">
        <f>IF(ISNUMBER(H10),ROUNDUP(H10,0),"")</f>
        <v/>
      </c>
      <c r="J10" s="48">
        <f>IF(AND(C10&lt;&gt;"",D10&lt;&gt;""),C10*D10,"")</f>
        <v/>
      </c>
      <c r="K10" s="12">
        <f>IF(AND(ISNUMBER(J10),ISNUMBER(I10)),IF(I10=0,"",J10/I10),"")</f>
        <v/>
      </c>
      <c r="L10" s="48">
        <f>IF(AND(ISNUMBER(D10),ISNUMBER(F10)),D10/F10,"")</f>
        <v/>
      </c>
      <c r="M10" s="8">
        <f>IF(ISNUMBER(I10),I10*G10-C10,"")</f>
        <v/>
      </c>
      <c r="N10" s="12">
        <f>IF(B10="","",IFERROR(INDEX('Route Prices'!$F$5:$F$103,MATCH(B10,'Route Prices'!$A$5:$A$103,0)),""))</f>
        <v/>
      </c>
      <c r="O10" s="12">
        <f>IF(B10="","",IFERROR(INDEX('Route Prices'!$G$5:$G$103,MATCH(B10,'Route Prices'!$A$5:$A$103,0)),""))</f>
        <v/>
      </c>
      <c r="P10" s="49">
        <f>IF(AND(ISNUMBER(D10),ISNUMBER(N10)),IF(N10=0,"",D10/N10-1),"")</f>
        <v/>
      </c>
      <c r="R10" s="43" t="n"/>
      <c r="S10" s="8">
        <f>IF(R10="","",SUMIF($A$5:$A$34,R10,$C$5:$C$34))</f>
        <v/>
      </c>
      <c r="T10" s="8">
        <f>IF(R10="","",ROUNDUP(SUMIF($A$5:$A$34,R10,$H$5:$H$34),0))</f>
        <v/>
      </c>
      <c r="U10" s="12">
        <f>IF(R10="","",SUMIF($A$5:$A$34,R10,$J$5:$J$34))</f>
        <v/>
      </c>
      <c r="V10" s="12">
        <f>IF(OR(R10="",T10=0),"",U10/T10)</f>
        <v/>
      </c>
      <c r="W10" s="12">
        <f>IF(R10="","",U10*12)</f>
        <v/>
      </c>
    </row>
    <row r="11">
      <c r="A11" s="43" t="n"/>
      <c r="B11" s="43" t="n"/>
      <c r="C11" s="43" t="n"/>
      <c r="D11" s="47" t="n"/>
      <c r="E11" s="44">
        <f>IF(B11="","",IFERROR(INDEX('Turnaround Table'!$C$5:$C$231,MATCH(B11,'Turnaround Table'!$D$5:$D$231,0)),"not in table"))</f>
        <v/>
      </c>
      <c r="F11" s="44">
        <f>IF(ISNUMBER(E11),2*E11,"")</f>
        <v/>
      </c>
      <c r="G11" s="8">
        <f>IF(ISNUMBER(F11),MAX(1,INT('Truck Requirement'!$B$4/F11)),"")</f>
        <v/>
      </c>
      <c r="H11" s="45">
        <f>IF(AND(ISNUMBER(G11),C11&lt;&gt;""),C11/G11,"")</f>
        <v/>
      </c>
      <c r="I11" s="9">
        <f>IF(ISNUMBER(H11),ROUNDUP(H11,0),"")</f>
        <v/>
      </c>
      <c r="J11" s="48">
        <f>IF(AND(C11&lt;&gt;"",D11&lt;&gt;""),C11*D11,"")</f>
        <v/>
      </c>
      <c r="K11" s="12">
        <f>IF(AND(ISNUMBER(J11),ISNUMBER(I11)),IF(I11=0,"",J11/I11),"")</f>
        <v/>
      </c>
      <c r="L11" s="48">
        <f>IF(AND(ISNUMBER(D11),ISNUMBER(F11)),D11/F11,"")</f>
        <v/>
      </c>
      <c r="M11" s="8">
        <f>IF(ISNUMBER(I11),I11*G11-C11,"")</f>
        <v/>
      </c>
      <c r="N11" s="12">
        <f>IF(B11="","",IFERROR(INDEX('Route Prices'!$F$5:$F$103,MATCH(B11,'Route Prices'!$A$5:$A$103,0)),""))</f>
        <v/>
      </c>
      <c r="O11" s="12">
        <f>IF(B11="","",IFERROR(INDEX('Route Prices'!$G$5:$G$103,MATCH(B11,'Route Prices'!$A$5:$A$103,0)),""))</f>
        <v/>
      </c>
      <c r="P11" s="49">
        <f>IF(AND(ISNUMBER(D11),ISNUMBER(N11)),IF(N11=0,"",D11/N11-1),"")</f>
        <v/>
      </c>
      <c r="R11" s="43" t="n"/>
      <c r="S11" s="8">
        <f>IF(R11="","",SUMIF($A$5:$A$34,R11,$C$5:$C$34))</f>
        <v/>
      </c>
      <c r="T11" s="8">
        <f>IF(R11="","",ROUNDUP(SUMIF($A$5:$A$34,R11,$H$5:$H$34),0))</f>
        <v/>
      </c>
      <c r="U11" s="12">
        <f>IF(R11="","",SUMIF($A$5:$A$34,R11,$J$5:$J$34))</f>
        <v/>
      </c>
      <c r="V11" s="12">
        <f>IF(OR(R11="",T11=0),"",U11/T11)</f>
        <v/>
      </c>
      <c r="W11" s="12">
        <f>IF(R11="","",U11*12)</f>
        <v/>
      </c>
    </row>
    <row r="12">
      <c r="A12" s="43" t="n"/>
      <c r="B12" s="43" t="n"/>
      <c r="C12" s="43" t="n"/>
      <c r="D12" s="47" t="n"/>
      <c r="E12" s="44">
        <f>IF(B12="","",IFERROR(INDEX('Turnaround Table'!$C$5:$C$231,MATCH(B12,'Turnaround Table'!$D$5:$D$231,0)),"not in table"))</f>
        <v/>
      </c>
      <c r="F12" s="44">
        <f>IF(ISNUMBER(E12),2*E12,"")</f>
        <v/>
      </c>
      <c r="G12" s="8">
        <f>IF(ISNUMBER(F12),MAX(1,INT('Truck Requirement'!$B$4/F12)),"")</f>
        <v/>
      </c>
      <c r="H12" s="45">
        <f>IF(AND(ISNUMBER(G12),C12&lt;&gt;""),C12/G12,"")</f>
        <v/>
      </c>
      <c r="I12" s="9">
        <f>IF(ISNUMBER(H12),ROUNDUP(H12,0),"")</f>
        <v/>
      </c>
      <c r="J12" s="48">
        <f>IF(AND(C12&lt;&gt;"",D12&lt;&gt;""),C12*D12,"")</f>
        <v/>
      </c>
      <c r="K12" s="12">
        <f>IF(AND(ISNUMBER(J12),ISNUMBER(I12)),IF(I12=0,"",J12/I12),"")</f>
        <v/>
      </c>
      <c r="L12" s="48">
        <f>IF(AND(ISNUMBER(D12),ISNUMBER(F12)),D12/F12,"")</f>
        <v/>
      </c>
      <c r="M12" s="8">
        <f>IF(ISNUMBER(I12),I12*G12-C12,"")</f>
        <v/>
      </c>
      <c r="N12" s="12">
        <f>IF(B12="","",IFERROR(INDEX('Route Prices'!$F$5:$F$103,MATCH(B12,'Route Prices'!$A$5:$A$103,0)),""))</f>
        <v/>
      </c>
      <c r="O12" s="12">
        <f>IF(B12="","",IFERROR(INDEX('Route Prices'!$G$5:$G$103,MATCH(B12,'Route Prices'!$A$5:$A$103,0)),""))</f>
        <v/>
      </c>
      <c r="P12" s="49">
        <f>IF(AND(ISNUMBER(D12),ISNUMBER(N12)),IF(N12=0,"",D12/N12-1),"")</f>
        <v/>
      </c>
      <c r="R12" s="43" t="n"/>
      <c r="S12" s="8">
        <f>IF(R12="","",SUMIF($A$5:$A$34,R12,$C$5:$C$34))</f>
        <v/>
      </c>
      <c r="T12" s="8">
        <f>IF(R12="","",ROUNDUP(SUMIF($A$5:$A$34,R12,$H$5:$H$34),0))</f>
        <v/>
      </c>
      <c r="U12" s="12">
        <f>IF(R12="","",SUMIF($A$5:$A$34,R12,$J$5:$J$34))</f>
        <v/>
      </c>
      <c r="V12" s="12">
        <f>IF(OR(R12="",T12=0),"",U12/T12)</f>
        <v/>
      </c>
      <c r="W12" s="12">
        <f>IF(R12="","",U12*12)</f>
        <v/>
      </c>
    </row>
    <row r="13">
      <c r="A13" s="43" t="n"/>
      <c r="B13" s="43" t="n"/>
      <c r="C13" s="43" t="n"/>
      <c r="D13" s="47" t="n"/>
      <c r="E13" s="44">
        <f>IF(B13="","",IFERROR(INDEX('Turnaround Table'!$C$5:$C$231,MATCH(B13,'Turnaround Table'!$D$5:$D$231,0)),"not in table"))</f>
        <v/>
      </c>
      <c r="F13" s="44">
        <f>IF(ISNUMBER(E13),2*E13,"")</f>
        <v/>
      </c>
      <c r="G13" s="8">
        <f>IF(ISNUMBER(F13),MAX(1,INT('Truck Requirement'!$B$4/F13)),"")</f>
        <v/>
      </c>
      <c r="H13" s="45">
        <f>IF(AND(ISNUMBER(G13),C13&lt;&gt;""),C13/G13,"")</f>
        <v/>
      </c>
      <c r="I13" s="9">
        <f>IF(ISNUMBER(H13),ROUNDUP(H13,0),"")</f>
        <v/>
      </c>
      <c r="J13" s="48">
        <f>IF(AND(C13&lt;&gt;"",D13&lt;&gt;""),C13*D13,"")</f>
        <v/>
      </c>
      <c r="K13" s="12">
        <f>IF(AND(ISNUMBER(J13),ISNUMBER(I13)),IF(I13=0,"",J13/I13),"")</f>
        <v/>
      </c>
      <c r="L13" s="48">
        <f>IF(AND(ISNUMBER(D13),ISNUMBER(F13)),D13/F13,"")</f>
        <v/>
      </c>
      <c r="M13" s="8">
        <f>IF(ISNUMBER(I13),I13*G13-C13,"")</f>
        <v/>
      </c>
      <c r="N13" s="12">
        <f>IF(B13="","",IFERROR(INDEX('Route Prices'!$F$5:$F$103,MATCH(B13,'Route Prices'!$A$5:$A$103,0)),""))</f>
        <v/>
      </c>
      <c r="O13" s="12">
        <f>IF(B13="","",IFERROR(INDEX('Route Prices'!$G$5:$G$103,MATCH(B13,'Route Prices'!$A$5:$A$103,0)),""))</f>
        <v/>
      </c>
      <c r="P13" s="49">
        <f>IF(AND(ISNUMBER(D13),ISNUMBER(N13)),IF(N13=0,"",D13/N13-1),"")</f>
        <v/>
      </c>
      <c r="R13" s="43" t="n"/>
      <c r="S13" s="8">
        <f>IF(R13="","",SUMIF($A$5:$A$34,R13,$C$5:$C$34))</f>
        <v/>
      </c>
      <c r="T13" s="8">
        <f>IF(R13="","",ROUNDUP(SUMIF($A$5:$A$34,R13,$H$5:$H$34),0))</f>
        <v/>
      </c>
      <c r="U13" s="12">
        <f>IF(R13="","",SUMIF($A$5:$A$34,R13,$J$5:$J$34))</f>
        <v/>
      </c>
      <c r="V13" s="12">
        <f>IF(OR(R13="",T13=0),"",U13/T13)</f>
        <v/>
      </c>
      <c r="W13" s="12">
        <f>IF(R13="","",U13*12)</f>
        <v/>
      </c>
    </row>
    <row r="14">
      <c r="A14" s="43" t="n"/>
      <c r="B14" s="43" t="n"/>
      <c r="C14" s="43" t="n"/>
      <c r="D14" s="47" t="n"/>
      <c r="E14" s="44">
        <f>IF(B14="","",IFERROR(INDEX('Turnaround Table'!$C$5:$C$231,MATCH(B14,'Turnaround Table'!$D$5:$D$231,0)),"not in table"))</f>
        <v/>
      </c>
      <c r="F14" s="44">
        <f>IF(ISNUMBER(E14),2*E14,"")</f>
        <v/>
      </c>
      <c r="G14" s="8">
        <f>IF(ISNUMBER(F14),MAX(1,INT('Truck Requirement'!$B$4/F14)),"")</f>
        <v/>
      </c>
      <c r="H14" s="45">
        <f>IF(AND(ISNUMBER(G14),C14&lt;&gt;""),C14/G14,"")</f>
        <v/>
      </c>
      <c r="I14" s="9">
        <f>IF(ISNUMBER(H14),ROUNDUP(H14,0),"")</f>
        <v/>
      </c>
      <c r="J14" s="48">
        <f>IF(AND(C14&lt;&gt;"",D14&lt;&gt;""),C14*D14,"")</f>
        <v/>
      </c>
      <c r="K14" s="12">
        <f>IF(AND(ISNUMBER(J14),ISNUMBER(I14)),IF(I14=0,"",J14/I14),"")</f>
        <v/>
      </c>
      <c r="L14" s="48">
        <f>IF(AND(ISNUMBER(D14),ISNUMBER(F14)),D14/F14,"")</f>
        <v/>
      </c>
      <c r="M14" s="8">
        <f>IF(ISNUMBER(I14),I14*G14-C14,"")</f>
        <v/>
      </c>
      <c r="N14" s="12">
        <f>IF(B14="","",IFERROR(INDEX('Route Prices'!$F$5:$F$103,MATCH(B14,'Route Prices'!$A$5:$A$103,0)),""))</f>
        <v/>
      </c>
      <c r="O14" s="12">
        <f>IF(B14="","",IFERROR(INDEX('Route Prices'!$G$5:$G$103,MATCH(B14,'Route Prices'!$A$5:$A$103,0)),""))</f>
        <v/>
      </c>
      <c r="P14" s="49">
        <f>IF(AND(ISNUMBER(D14),ISNUMBER(N14)),IF(N14=0,"",D14/N14-1),"")</f>
        <v/>
      </c>
      <c r="R14" s="43" t="n"/>
      <c r="S14" s="8">
        <f>IF(R14="","",SUMIF($A$5:$A$34,R14,$C$5:$C$34))</f>
        <v/>
      </c>
      <c r="T14" s="8">
        <f>IF(R14="","",ROUNDUP(SUMIF($A$5:$A$34,R14,$H$5:$H$34),0))</f>
        <v/>
      </c>
      <c r="U14" s="12">
        <f>IF(R14="","",SUMIF($A$5:$A$34,R14,$J$5:$J$34))</f>
        <v/>
      </c>
      <c r="V14" s="12">
        <f>IF(OR(R14="",T14=0),"",U14/T14)</f>
        <v/>
      </c>
      <c r="W14" s="12">
        <f>IF(R14="","",U14*12)</f>
        <v/>
      </c>
    </row>
    <row r="15">
      <c r="A15" s="43" t="n"/>
      <c r="B15" s="43" t="n"/>
      <c r="C15" s="43" t="n"/>
      <c r="D15" s="47" t="n"/>
      <c r="E15" s="44">
        <f>IF(B15="","",IFERROR(INDEX('Turnaround Table'!$C$5:$C$231,MATCH(B15,'Turnaround Table'!$D$5:$D$231,0)),"not in table"))</f>
        <v/>
      </c>
      <c r="F15" s="44">
        <f>IF(ISNUMBER(E15),2*E15,"")</f>
        <v/>
      </c>
      <c r="G15" s="8">
        <f>IF(ISNUMBER(F15),MAX(1,INT('Truck Requirement'!$B$4/F15)),"")</f>
        <v/>
      </c>
      <c r="H15" s="45">
        <f>IF(AND(ISNUMBER(G15),C15&lt;&gt;""),C15/G15,"")</f>
        <v/>
      </c>
      <c r="I15" s="9">
        <f>IF(ISNUMBER(H15),ROUNDUP(H15,0),"")</f>
        <v/>
      </c>
      <c r="J15" s="48">
        <f>IF(AND(C15&lt;&gt;"",D15&lt;&gt;""),C15*D15,"")</f>
        <v/>
      </c>
      <c r="K15" s="12">
        <f>IF(AND(ISNUMBER(J15),ISNUMBER(I15)),IF(I15=0,"",J15/I15),"")</f>
        <v/>
      </c>
      <c r="L15" s="48">
        <f>IF(AND(ISNUMBER(D15),ISNUMBER(F15)),D15/F15,"")</f>
        <v/>
      </c>
      <c r="M15" s="8">
        <f>IF(ISNUMBER(I15),I15*G15-C15,"")</f>
        <v/>
      </c>
      <c r="N15" s="12">
        <f>IF(B15="","",IFERROR(INDEX('Route Prices'!$F$5:$F$103,MATCH(B15,'Route Prices'!$A$5:$A$103,0)),""))</f>
        <v/>
      </c>
      <c r="O15" s="12">
        <f>IF(B15="","",IFERROR(INDEX('Route Prices'!$G$5:$G$103,MATCH(B15,'Route Prices'!$A$5:$A$103,0)),""))</f>
        <v/>
      </c>
      <c r="P15" s="49">
        <f>IF(AND(ISNUMBER(D15),ISNUMBER(N15)),IF(N15=0,"",D15/N15-1),"")</f>
        <v/>
      </c>
      <c r="R15" s="43" t="n"/>
      <c r="S15" s="8">
        <f>IF(R15="","",SUMIF($A$5:$A$34,R15,$C$5:$C$34))</f>
        <v/>
      </c>
      <c r="T15" s="8">
        <f>IF(R15="","",ROUNDUP(SUMIF($A$5:$A$34,R15,$H$5:$H$34),0))</f>
        <v/>
      </c>
      <c r="U15" s="12">
        <f>IF(R15="","",SUMIF($A$5:$A$34,R15,$J$5:$J$34))</f>
        <v/>
      </c>
      <c r="V15" s="12">
        <f>IF(OR(R15="",T15=0),"",U15/T15)</f>
        <v/>
      </c>
      <c r="W15" s="12">
        <f>IF(R15="","",U15*12)</f>
        <v/>
      </c>
    </row>
    <row r="16">
      <c r="A16" s="43" t="n"/>
      <c r="B16" s="43" t="n"/>
      <c r="C16" s="43" t="n"/>
      <c r="D16" s="47" t="n"/>
      <c r="E16" s="44">
        <f>IF(B16="","",IFERROR(INDEX('Turnaround Table'!$C$5:$C$231,MATCH(B16,'Turnaround Table'!$D$5:$D$231,0)),"not in table"))</f>
        <v/>
      </c>
      <c r="F16" s="44">
        <f>IF(ISNUMBER(E16),2*E16,"")</f>
        <v/>
      </c>
      <c r="G16" s="8">
        <f>IF(ISNUMBER(F16),MAX(1,INT('Truck Requirement'!$B$4/F16)),"")</f>
        <v/>
      </c>
      <c r="H16" s="45">
        <f>IF(AND(ISNUMBER(G16),C16&lt;&gt;""),C16/G16,"")</f>
        <v/>
      </c>
      <c r="I16" s="9">
        <f>IF(ISNUMBER(H16),ROUNDUP(H16,0),"")</f>
        <v/>
      </c>
      <c r="J16" s="48">
        <f>IF(AND(C16&lt;&gt;"",D16&lt;&gt;""),C16*D16,"")</f>
        <v/>
      </c>
      <c r="K16" s="12">
        <f>IF(AND(ISNUMBER(J16),ISNUMBER(I16)),IF(I16=0,"",J16/I16),"")</f>
        <v/>
      </c>
      <c r="L16" s="48">
        <f>IF(AND(ISNUMBER(D16),ISNUMBER(F16)),D16/F16,"")</f>
        <v/>
      </c>
      <c r="M16" s="8">
        <f>IF(ISNUMBER(I16),I16*G16-C16,"")</f>
        <v/>
      </c>
      <c r="N16" s="12">
        <f>IF(B16="","",IFERROR(INDEX('Route Prices'!$F$5:$F$103,MATCH(B16,'Route Prices'!$A$5:$A$103,0)),""))</f>
        <v/>
      </c>
      <c r="O16" s="12">
        <f>IF(B16="","",IFERROR(INDEX('Route Prices'!$G$5:$G$103,MATCH(B16,'Route Prices'!$A$5:$A$103,0)),""))</f>
        <v/>
      </c>
      <c r="P16" s="49">
        <f>IF(AND(ISNUMBER(D16),ISNUMBER(N16)),IF(N16=0,"",D16/N16-1),"")</f>
        <v/>
      </c>
      <c r="R16" s="43" t="n"/>
      <c r="S16" s="8">
        <f>IF(R16="","",SUMIF($A$5:$A$34,R16,$C$5:$C$34))</f>
        <v/>
      </c>
      <c r="T16" s="8">
        <f>IF(R16="","",ROUNDUP(SUMIF($A$5:$A$34,R16,$H$5:$H$34),0))</f>
        <v/>
      </c>
      <c r="U16" s="12">
        <f>IF(R16="","",SUMIF($A$5:$A$34,R16,$J$5:$J$34))</f>
        <v/>
      </c>
      <c r="V16" s="12">
        <f>IF(OR(R16="",T16=0),"",U16/T16)</f>
        <v/>
      </c>
      <c r="W16" s="12">
        <f>IF(R16="","",U16*12)</f>
        <v/>
      </c>
    </row>
    <row r="17">
      <c r="A17" s="43" t="n"/>
      <c r="B17" s="43" t="n"/>
      <c r="C17" s="43" t="n"/>
      <c r="D17" s="47" t="n"/>
      <c r="E17" s="44">
        <f>IF(B17="","",IFERROR(INDEX('Turnaround Table'!$C$5:$C$231,MATCH(B17,'Turnaround Table'!$D$5:$D$231,0)),"not in table"))</f>
        <v/>
      </c>
      <c r="F17" s="44">
        <f>IF(ISNUMBER(E17),2*E17,"")</f>
        <v/>
      </c>
      <c r="G17" s="8">
        <f>IF(ISNUMBER(F17),MAX(1,INT('Truck Requirement'!$B$4/F17)),"")</f>
        <v/>
      </c>
      <c r="H17" s="45">
        <f>IF(AND(ISNUMBER(G17),C17&lt;&gt;""),C17/G17,"")</f>
        <v/>
      </c>
      <c r="I17" s="9">
        <f>IF(ISNUMBER(H17),ROUNDUP(H17,0),"")</f>
        <v/>
      </c>
      <c r="J17" s="48">
        <f>IF(AND(C17&lt;&gt;"",D17&lt;&gt;""),C17*D17,"")</f>
        <v/>
      </c>
      <c r="K17" s="12">
        <f>IF(AND(ISNUMBER(J17),ISNUMBER(I17)),IF(I17=0,"",J17/I17),"")</f>
        <v/>
      </c>
      <c r="L17" s="48">
        <f>IF(AND(ISNUMBER(D17),ISNUMBER(F17)),D17/F17,"")</f>
        <v/>
      </c>
      <c r="M17" s="8">
        <f>IF(ISNUMBER(I17),I17*G17-C17,"")</f>
        <v/>
      </c>
      <c r="N17" s="12">
        <f>IF(B17="","",IFERROR(INDEX('Route Prices'!$F$5:$F$103,MATCH(B17,'Route Prices'!$A$5:$A$103,0)),""))</f>
        <v/>
      </c>
      <c r="O17" s="12">
        <f>IF(B17="","",IFERROR(INDEX('Route Prices'!$G$5:$G$103,MATCH(B17,'Route Prices'!$A$5:$A$103,0)),""))</f>
        <v/>
      </c>
      <c r="P17" s="49">
        <f>IF(AND(ISNUMBER(D17),ISNUMBER(N17)),IF(N17=0,"",D17/N17-1),"")</f>
        <v/>
      </c>
      <c r="R17" s="43" t="n"/>
      <c r="S17" s="8">
        <f>IF(R17="","",SUMIF($A$5:$A$34,R17,$C$5:$C$34))</f>
        <v/>
      </c>
      <c r="T17" s="8">
        <f>IF(R17="","",ROUNDUP(SUMIF($A$5:$A$34,R17,$H$5:$H$34),0))</f>
        <v/>
      </c>
      <c r="U17" s="12">
        <f>IF(R17="","",SUMIF($A$5:$A$34,R17,$J$5:$J$34))</f>
        <v/>
      </c>
      <c r="V17" s="12">
        <f>IF(OR(R17="",T17=0),"",U17/T17)</f>
        <v/>
      </c>
      <c r="W17" s="12">
        <f>IF(R17="","",U17*12)</f>
        <v/>
      </c>
    </row>
    <row r="18">
      <c r="A18" s="43" t="n"/>
      <c r="B18" s="43" t="n"/>
      <c r="C18" s="43" t="n"/>
      <c r="D18" s="47" t="n"/>
      <c r="E18" s="44">
        <f>IF(B18="","",IFERROR(INDEX('Turnaround Table'!$C$5:$C$231,MATCH(B18,'Turnaround Table'!$D$5:$D$231,0)),"not in table"))</f>
        <v/>
      </c>
      <c r="F18" s="44">
        <f>IF(ISNUMBER(E18),2*E18,"")</f>
        <v/>
      </c>
      <c r="G18" s="8">
        <f>IF(ISNUMBER(F18),MAX(1,INT('Truck Requirement'!$B$4/F18)),"")</f>
        <v/>
      </c>
      <c r="H18" s="45">
        <f>IF(AND(ISNUMBER(G18),C18&lt;&gt;""),C18/G18,"")</f>
        <v/>
      </c>
      <c r="I18" s="9">
        <f>IF(ISNUMBER(H18),ROUNDUP(H18,0),"")</f>
        <v/>
      </c>
      <c r="J18" s="48">
        <f>IF(AND(C18&lt;&gt;"",D18&lt;&gt;""),C18*D18,"")</f>
        <v/>
      </c>
      <c r="K18" s="12">
        <f>IF(AND(ISNUMBER(J18),ISNUMBER(I18)),IF(I18=0,"",J18/I18),"")</f>
        <v/>
      </c>
      <c r="L18" s="48">
        <f>IF(AND(ISNUMBER(D18),ISNUMBER(F18)),D18/F18,"")</f>
        <v/>
      </c>
      <c r="M18" s="8">
        <f>IF(ISNUMBER(I18),I18*G18-C18,"")</f>
        <v/>
      </c>
      <c r="N18" s="12">
        <f>IF(B18="","",IFERROR(INDEX('Route Prices'!$F$5:$F$103,MATCH(B18,'Route Prices'!$A$5:$A$103,0)),""))</f>
        <v/>
      </c>
      <c r="O18" s="12">
        <f>IF(B18="","",IFERROR(INDEX('Route Prices'!$G$5:$G$103,MATCH(B18,'Route Prices'!$A$5:$A$103,0)),""))</f>
        <v/>
      </c>
      <c r="P18" s="49">
        <f>IF(AND(ISNUMBER(D18),ISNUMBER(N18)),IF(N18=0,"",D18/N18-1),"")</f>
        <v/>
      </c>
      <c r="R18" s="43" t="n"/>
      <c r="S18" s="8">
        <f>IF(R18="","",SUMIF($A$5:$A$34,R18,$C$5:$C$34))</f>
        <v/>
      </c>
      <c r="T18" s="8">
        <f>IF(R18="","",ROUNDUP(SUMIF($A$5:$A$34,R18,$H$5:$H$34),0))</f>
        <v/>
      </c>
      <c r="U18" s="12">
        <f>IF(R18="","",SUMIF($A$5:$A$34,R18,$J$5:$J$34))</f>
        <v/>
      </c>
      <c r="V18" s="12">
        <f>IF(OR(R18="",T18=0),"",U18/T18)</f>
        <v/>
      </c>
      <c r="W18" s="12">
        <f>IF(R18="","",U18*12)</f>
        <v/>
      </c>
    </row>
    <row r="19">
      <c r="A19" s="43" t="n"/>
      <c r="B19" s="43" t="n"/>
      <c r="C19" s="43" t="n"/>
      <c r="D19" s="47" t="n"/>
      <c r="E19" s="44">
        <f>IF(B19="","",IFERROR(INDEX('Turnaround Table'!$C$5:$C$231,MATCH(B19,'Turnaround Table'!$D$5:$D$231,0)),"not in table"))</f>
        <v/>
      </c>
      <c r="F19" s="44">
        <f>IF(ISNUMBER(E19),2*E19,"")</f>
        <v/>
      </c>
      <c r="G19" s="8">
        <f>IF(ISNUMBER(F19),MAX(1,INT('Truck Requirement'!$B$4/F19)),"")</f>
        <v/>
      </c>
      <c r="H19" s="45">
        <f>IF(AND(ISNUMBER(G19),C19&lt;&gt;""),C19/G19,"")</f>
        <v/>
      </c>
      <c r="I19" s="9">
        <f>IF(ISNUMBER(H19),ROUNDUP(H19,0),"")</f>
        <v/>
      </c>
      <c r="J19" s="48">
        <f>IF(AND(C19&lt;&gt;"",D19&lt;&gt;""),C19*D19,"")</f>
        <v/>
      </c>
      <c r="K19" s="12">
        <f>IF(AND(ISNUMBER(J19),ISNUMBER(I19)),IF(I19=0,"",J19/I19),"")</f>
        <v/>
      </c>
      <c r="L19" s="48">
        <f>IF(AND(ISNUMBER(D19),ISNUMBER(F19)),D19/F19,"")</f>
        <v/>
      </c>
      <c r="M19" s="8">
        <f>IF(ISNUMBER(I19),I19*G19-C19,"")</f>
        <v/>
      </c>
      <c r="N19" s="12">
        <f>IF(B19="","",IFERROR(INDEX('Route Prices'!$F$5:$F$103,MATCH(B19,'Route Prices'!$A$5:$A$103,0)),""))</f>
        <v/>
      </c>
      <c r="O19" s="12">
        <f>IF(B19="","",IFERROR(INDEX('Route Prices'!$G$5:$G$103,MATCH(B19,'Route Prices'!$A$5:$A$103,0)),""))</f>
        <v/>
      </c>
      <c r="P19" s="49">
        <f>IF(AND(ISNUMBER(D19),ISNUMBER(N19)),IF(N19=0,"",D19/N19-1),"")</f>
        <v/>
      </c>
      <c r="R19" s="43" t="n"/>
      <c r="S19" s="8">
        <f>IF(R19="","",SUMIF($A$5:$A$34,R19,$C$5:$C$34))</f>
        <v/>
      </c>
      <c r="T19" s="8">
        <f>IF(R19="","",ROUNDUP(SUMIF($A$5:$A$34,R19,$H$5:$H$34),0))</f>
        <v/>
      </c>
      <c r="U19" s="12">
        <f>IF(R19="","",SUMIF($A$5:$A$34,R19,$J$5:$J$34))</f>
        <v/>
      </c>
      <c r="V19" s="12">
        <f>IF(OR(R19="",T19=0),"",U19/T19)</f>
        <v/>
      </c>
      <c r="W19" s="12">
        <f>IF(R19="","",U19*12)</f>
        <v/>
      </c>
    </row>
    <row r="20">
      <c r="A20" s="43" t="n"/>
      <c r="B20" s="43" t="n"/>
      <c r="C20" s="43" t="n"/>
      <c r="D20" s="47" t="n"/>
      <c r="E20" s="44">
        <f>IF(B20="","",IFERROR(INDEX('Turnaround Table'!$C$5:$C$231,MATCH(B20,'Turnaround Table'!$D$5:$D$231,0)),"not in table"))</f>
        <v/>
      </c>
      <c r="F20" s="44">
        <f>IF(ISNUMBER(E20),2*E20,"")</f>
        <v/>
      </c>
      <c r="G20" s="8">
        <f>IF(ISNUMBER(F20),MAX(1,INT('Truck Requirement'!$B$4/F20)),"")</f>
        <v/>
      </c>
      <c r="H20" s="45">
        <f>IF(AND(ISNUMBER(G20),C20&lt;&gt;""),C20/G20,"")</f>
        <v/>
      </c>
      <c r="I20" s="9">
        <f>IF(ISNUMBER(H20),ROUNDUP(H20,0),"")</f>
        <v/>
      </c>
      <c r="J20" s="48">
        <f>IF(AND(C20&lt;&gt;"",D20&lt;&gt;""),C20*D20,"")</f>
        <v/>
      </c>
      <c r="K20" s="12">
        <f>IF(AND(ISNUMBER(J20),ISNUMBER(I20)),IF(I20=0,"",J20/I20),"")</f>
        <v/>
      </c>
      <c r="L20" s="48">
        <f>IF(AND(ISNUMBER(D20),ISNUMBER(F20)),D20/F20,"")</f>
        <v/>
      </c>
      <c r="M20" s="8">
        <f>IF(ISNUMBER(I20),I20*G20-C20,"")</f>
        <v/>
      </c>
      <c r="N20" s="12">
        <f>IF(B20="","",IFERROR(INDEX('Route Prices'!$F$5:$F$103,MATCH(B20,'Route Prices'!$A$5:$A$103,0)),""))</f>
        <v/>
      </c>
      <c r="O20" s="12">
        <f>IF(B20="","",IFERROR(INDEX('Route Prices'!$G$5:$G$103,MATCH(B20,'Route Prices'!$A$5:$A$103,0)),""))</f>
        <v/>
      </c>
      <c r="P20" s="49">
        <f>IF(AND(ISNUMBER(D20),ISNUMBER(N20)),IF(N20=0,"",D20/N20-1),"")</f>
        <v/>
      </c>
      <c r="R20" s="43" t="n"/>
      <c r="S20" s="8">
        <f>IF(R20="","",SUMIF($A$5:$A$34,R20,$C$5:$C$34))</f>
        <v/>
      </c>
      <c r="T20" s="8">
        <f>IF(R20="","",ROUNDUP(SUMIF($A$5:$A$34,R20,$H$5:$H$34),0))</f>
        <v/>
      </c>
      <c r="U20" s="12">
        <f>IF(R20="","",SUMIF($A$5:$A$34,R20,$J$5:$J$34))</f>
        <v/>
      </c>
      <c r="V20" s="12">
        <f>IF(OR(R20="",T20=0),"",U20/T20)</f>
        <v/>
      </c>
      <c r="W20" s="12">
        <f>IF(R20="","",U20*12)</f>
        <v/>
      </c>
    </row>
    <row r="21">
      <c r="A21" s="43" t="n"/>
      <c r="B21" s="43" t="n"/>
      <c r="C21" s="43" t="n"/>
      <c r="D21" s="47" t="n"/>
      <c r="E21" s="44">
        <f>IF(B21="","",IFERROR(INDEX('Turnaround Table'!$C$5:$C$231,MATCH(B21,'Turnaround Table'!$D$5:$D$231,0)),"not in table"))</f>
        <v/>
      </c>
      <c r="F21" s="44">
        <f>IF(ISNUMBER(E21),2*E21,"")</f>
        <v/>
      </c>
      <c r="G21" s="8">
        <f>IF(ISNUMBER(F21),MAX(1,INT('Truck Requirement'!$B$4/F21)),"")</f>
        <v/>
      </c>
      <c r="H21" s="45">
        <f>IF(AND(ISNUMBER(G21),C21&lt;&gt;""),C21/G21,"")</f>
        <v/>
      </c>
      <c r="I21" s="9">
        <f>IF(ISNUMBER(H21),ROUNDUP(H21,0),"")</f>
        <v/>
      </c>
      <c r="J21" s="48">
        <f>IF(AND(C21&lt;&gt;"",D21&lt;&gt;""),C21*D21,"")</f>
        <v/>
      </c>
      <c r="K21" s="12">
        <f>IF(AND(ISNUMBER(J21),ISNUMBER(I21)),IF(I21=0,"",J21/I21),"")</f>
        <v/>
      </c>
      <c r="L21" s="48">
        <f>IF(AND(ISNUMBER(D21),ISNUMBER(F21)),D21/F21,"")</f>
        <v/>
      </c>
      <c r="M21" s="8">
        <f>IF(ISNUMBER(I21),I21*G21-C21,"")</f>
        <v/>
      </c>
      <c r="N21" s="12">
        <f>IF(B21="","",IFERROR(INDEX('Route Prices'!$F$5:$F$103,MATCH(B21,'Route Prices'!$A$5:$A$103,0)),""))</f>
        <v/>
      </c>
      <c r="O21" s="12">
        <f>IF(B21="","",IFERROR(INDEX('Route Prices'!$G$5:$G$103,MATCH(B21,'Route Prices'!$A$5:$A$103,0)),""))</f>
        <v/>
      </c>
      <c r="P21" s="49">
        <f>IF(AND(ISNUMBER(D21),ISNUMBER(N21)),IF(N21=0,"",D21/N21-1),"")</f>
        <v/>
      </c>
    </row>
    <row r="22">
      <c r="A22" s="43" t="n"/>
      <c r="B22" s="43" t="n"/>
      <c r="C22" s="43" t="n"/>
      <c r="D22" s="47" t="n"/>
      <c r="E22" s="44">
        <f>IF(B22="","",IFERROR(INDEX('Turnaround Table'!$C$5:$C$231,MATCH(B22,'Turnaround Table'!$D$5:$D$231,0)),"not in table"))</f>
        <v/>
      </c>
      <c r="F22" s="44">
        <f>IF(ISNUMBER(E22),2*E22,"")</f>
        <v/>
      </c>
      <c r="G22" s="8">
        <f>IF(ISNUMBER(F22),MAX(1,INT('Truck Requirement'!$B$4/F22)),"")</f>
        <v/>
      </c>
      <c r="H22" s="45">
        <f>IF(AND(ISNUMBER(G22),C22&lt;&gt;""),C22/G22,"")</f>
        <v/>
      </c>
      <c r="I22" s="9">
        <f>IF(ISNUMBER(H22),ROUNDUP(H22,0),"")</f>
        <v/>
      </c>
      <c r="J22" s="48">
        <f>IF(AND(C22&lt;&gt;"",D22&lt;&gt;""),C22*D22,"")</f>
        <v/>
      </c>
      <c r="K22" s="12">
        <f>IF(AND(ISNUMBER(J22),ISNUMBER(I22)),IF(I22=0,"",J22/I22),"")</f>
        <v/>
      </c>
      <c r="L22" s="48">
        <f>IF(AND(ISNUMBER(D22),ISNUMBER(F22)),D22/F22,"")</f>
        <v/>
      </c>
      <c r="M22" s="8">
        <f>IF(ISNUMBER(I22),I22*G22-C22,"")</f>
        <v/>
      </c>
      <c r="N22" s="12">
        <f>IF(B22="","",IFERROR(INDEX('Route Prices'!$F$5:$F$103,MATCH(B22,'Route Prices'!$A$5:$A$103,0)),""))</f>
        <v/>
      </c>
      <c r="O22" s="12">
        <f>IF(B22="","",IFERROR(INDEX('Route Prices'!$G$5:$G$103,MATCH(B22,'Route Prices'!$A$5:$A$103,0)),""))</f>
        <v/>
      </c>
      <c r="P22" s="49">
        <f>IF(AND(ISNUMBER(D22),ISNUMBER(N22)),IF(N22=0,"",D22/N22-1),"")</f>
        <v/>
      </c>
    </row>
    <row r="23">
      <c r="A23" s="43" t="n"/>
      <c r="B23" s="43" t="n"/>
      <c r="C23" s="43" t="n"/>
      <c r="D23" s="47" t="n"/>
      <c r="E23" s="44">
        <f>IF(B23="","",IFERROR(INDEX('Turnaround Table'!$C$5:$C$231,MATCH(B23,'Turnaround Table'!$D$5:$D$231,0)),"not in table"))</f>
        <v/>
      </c>
      <c r="F23" s="44">
        <f>IF(ISNUMBER(E23),2*E23,"")</f>
        <v/>
      </c>
      <c r="G23" s="8">
        <f>IF(ISNUMBER(F23),MAX(1,INT('Truck Requirement'!$B$4/F23)),"")</f>
        <v/>
      </c>
      <c r="H23" s="45">
        <f>IF(AND(ISNUMBER(G23),C23&lt;&gt;""),C23/G23,"")</f>
        <v/>
      </c>
      <c r="I23" s="9">
        <f>IF(ISNUMBER(H23),ROUNDUP(H23,0),"")</f>
        <v/>
      </c>
      <c r="J23" s="48">
        <f>IF(AND(C23&lt;&gt;"",D23&lt;&gt;""),C23*D23,"")</f>
        <v/>
      </c>
      <c r="K23" s="12">
        <f>IF(AND(ISNUMBER(J23),ISNUMBER(I23)),IF(I23=0,"",J23/I23),"")</f>
        <v/>
      </c>
      <c r="L23" s="48">
        <f>IF(AND(ISNUMBER(D23),ISNUMBER(F23)),D23/F23,"")</f>
        <v/>
      </c>
      <c r="M23" s="8">
        <f>IF(ISNUMBER(I23),I23*G23-C23,"")</f>
        <v/>
      </c>
      <c r="N23" s="12">
        <f>IF(B23="","",IFERROR(INDEX('Route Prices'!$F$5:$F$103,MATCH(B23,'Route Prices'!$A$5:$A$103,0)),""))</f>
        <v/>
      </c>
      <c r="O23" s="12">
        <f>IF(B23="","",IFERROR(INDEX('Route Prices'!$G$5:$G$103,MATCH(B23,'Route Prices'!$A$5:$A$103,0)),""))</f>
        <v/>
      </c>
      <c r="P23" s="49">
        <f>IF(AND(ISNUMBER(D23),ISNUMBER(N23)),IF(N23=0,"",D23/N23-1),"")</f>
        <v/>
      </c>
    </row>
    <row r="24">
      <c r="A24" s="43" t="n"/>
      <c r="B24" s="43" t="n"/>
      <c r="C24" s="43" t="n"/>
      <c r="D24" s="47" t="n"/>
      <c r="E24" s="44">
        <f>IF(B24="","",IFERROR(INDEX('Turnaround Table'!$C$5:$C$231,MATCH(B24,'Turnaround Table'!$D$5:$D$231,0)),"not in table"))</f>
        <v/>
      </c>
      <c r="F24" s="44">
        <f>IF(ISNUMBER(E24),2*E24,"")</f>
        <v/>
      </c>
      <c r="G24" s="8">
        <f>IF(ISNUMBER(F24),MAX(1,INT('Truck Requirement'!$B$4/F24)),"")</f>
        <v/>
      </c>
      <c r="H24" s="45">
        <f>IF(AND(ISNUMBER(G24),C24&lt;&gt;""),C24/G24,"")</f>
        <v/>
      </c>
      <c r="I24" s="9">
        <f>IF(ISNUMBER(H24),ROUNDUP(H24,0),"")</f>
        <v/>
      </c>
      <c r="J24" s="48">
        <f>IF(AND(C24&lt;&gt;"",D24&lt;&gt;""),C24*D24,"")</f>
        <v/>
      </c>
      <c r="K24" s="12">
        <f>IF(AND(ISNUMBER(J24),ISNUMBER(I24)),IF(I24=0,"",J24/I24),"")</f>
        <v/>
      </c>
      <c r="L24" s="48">
        <f>IF(AND(ISNUMBER(D24),ISNUMBER(F24)),D24/F24,"")</f>
        <v/>
      </c>
      <c r="M24" s="8">
        <f>IF(ISNUMBER(I24),I24*G24-C24,"")</f>
        <v/>
      </c>
      <c r="N24" s="12">
        <f>IF(B24="","",IFERROR(INDEX('Route Prices'!$F$5:$F$103,MATCH(B24,'Route Prices'!$A$5:$A$103,0)),""))</f>
        <v/>
      </c>
      <c r="O24" s="12">
        <f>IF(B24="","",IFERROR(INDEX('Route Prices'!$G$5:$G$103,MATCH(B24,'Route Prices'!$A$5:$A$103,0)),""))</f>
        <v/>
      </c>
      <c r="P24" s="49">
        <f>IF(AND(ISNUMBER(D24),ISNUMBER(N24)),IF(N24=0,"",D24/N24-1),"")</f>
        <v/>
      </c>
    </row>
    <row r="25">
      <c r="A25" s="43" t="n"/>
      <c r="B25" s="43" t="n"/>
      <c r="C25" s="43" t="n"/>
      <c r="D25" s="47" t="n"/>
      <c r="E25" s="44">
        <f>IF(B25="","",IFERROR(INDEX('Turnaround Table'!$C$5:$C$231,MATCH(B25,'Turnaround Table'!$D$5:$D$231,0)),"not in table"))</f>
        <v/>
      </c>
      <c r="F25" s="44">
        <f>IF(ISNUMBER(E25),2*E25,"")</f>
        <v/>
      </c>
      <c r="G25" s="8">
        <f>IF(ISNUMBER(F25),MAX(1,INT('Truck Requirement'!$B$4/F25)),"")</f>
        <v/>
      </c>
      <c r="H25" s="45">
        <f>IF(AND(ISNUMBER(G25),C25&lt;&gt;""),C25/G25,"")</f>
        <v/>
      </c>
      <c r="I25" s="9">
        <f>IF(ISNUMBER(H25),ROUNDUP(H25,0),"")</f>
        <v/>
      </c>
      <c r="J25" s="48">
        <f>IF(AND(C25&lt;&gt;"",D25&lt;&gt;""),C25*D25,"")</f>
        <v/>
      </c>
      <c r="K25" s="12">
        <f>IF(AND(ISNUMBER(J25),ISNUMBER(I25)),IF(I25=0,"",J25/I25),"")</f>
        <v/>
      </c>
      <c r="L25" s="48">
        <f>IF(AND(ISNUMBER(D25),ISNUMBER(F25)),D25/F25,"")</f>
        <v/>
      </c>
      <c r="M25" s="8">
        <f>IF(ISNUMBER(I25),I25*G25-C25,"")</f>
        <v/>
      </c>
      <c r="N25" s="12">
        <f>IF(B25="","",IFERROR(INDEX('Route Prices'!$F$5:$F$103,MATCH(B25,'Route Prices'!$A$5:$A$103,0)),""))</f>
        <v/>
      </c>
      <c r="O25" s="12">
        <f>IF(B25="","",IFERROR(INDEX('Route Prices'!$G$5:$G$103,MATCH(B25,'Route Prices'!$A$5:$A$103,0)),""))</f>
        <v/>
      </c>
      <c r="P25" s="49">
        <f>IF(AND(ISNUMBER(D25),ISNUMBER(N25)),IF(N25=0,"",D25/N25-1),"")</f>
        <v/>
      </c>
    </row>
    <row r="26">
      <c r="A26" s="43" t="n"/>
      <c r="B26" s="43" t="n"/>
      <c r="C26" s="43" t="n"/>
      <c r="D26" s="47" t="n"/>
      <c r="E26" s="44">
        <f>IF(B26="","",IFERROR(INDEX('Turnaround Table'!$C$5:$C$231,MATCH(B26,'Turnaround Table'!$D$5:$D$231,0)),"not in table"))</f>
        <v/>
      </c>
      <c r="F26" s="44">
        <f>IF(ISNUMBER(E26),2*E26,"")</f>
        <v/>
      </c>
      <c r="G26" s="8">
        <f>IF(ISNUMBER(F26),MAX(1,INT('Truck Requirement'!$B$4/F26)),"")</f>
        <v/>
      </c>
      <c r="H26" s="45">
        <f>IF(AND(ISNUMBER(G26),C26&lt;&gt;""),C26/G26,"")</f>
        <v/>
      </c>
      <c r="I26" s="9">
        <f>IF(ISNUMBER(H26),ROUNDUP(H26,0),"")</f>
        <v/>
      </c>
      <c r="J26" s="48">
        <f>IF(AND(C26&lt;&gt;"",D26&lt;&gt;""),C26*D26,"")</f>
        <v/>
      </c>
      <c r="K26" s="12">
        <f>IF(AND(ISNUMBER(J26),ISNUMBER(I26)),IF(I26=0,"",J26/I26),"")</f>
        <v/>
      </c>
      <c r="L26" s="48">
        <f>IF(AND(ISNUMBER(D26),ISNUMBER(F26)),D26/F26,"")</f>
        <v/>
      </c>
      <c r="M26" s="8">
        <f>IF(ISNUMBER(I26),I26*G26-C26,"")</f>
        <v/>
      </c>
      <c r="N26" s="12">
        <f>IF(B26="","",IFERROR(INDEX('Route Prices'!$F$5:$F$103,MATCH(B26,'Route Prices'!$A$5:$A$103,0)),""))</f>
        <v/>
      </c>
      <c r="O26" s="12">
        <f>IF(B26="","",IFERROR(INDEX('Route Prices'!$G$5:$G$103,MATCH(B26,'Route Prices'!$A$5:$A$103,0)),""))</f>
        <v/>
      </c>
      <c r="P26" s="49">
        <f>IF(AND(ISNUMBER(D26),ISNUMBER(N26)),IF(N26=0,"",D26/N26-1),"")</f>
        <v/>
      </c>
    </row>
    <row r="27">
      <c r="A27" s="43" t="n"/>
      <c r="B27" s="43" t="n"/>
      <c r="C27" s="43" t="n"/>
      <c r="D27" s="47" t="n"/>
      <c r="E27" s="44">
        <f>IF(B27="","",IFERROR(INDEX('Turnaround Table'!$C$5:$C$231,MATCH(B27,'Turnaround Table'!$D$5:$D$231,0)),"not in table"))</f>
        <v/>
      </c>
      <c r="F27" s="44">
        <f>IF(ISNUMBER(E27),2*E27,"")</f>
        <v/>
      </c>
      <c r="G27" s="8">
        <f>IF(ISNUMBER(F27),MAX(1,INT('Truck Requirement'!$B$4/F27)),"")</f>
        <v/>
      </c>
      <c r="H27" s="45">
        <f>IF(AND(ISNUMBER(G27),C27&lt;&gt;""),C27/G27,"")</f>
        <v/>
      </c>
      <c r="I27" s="9">
        <f>IF(ISNUMBER(H27),ROUNDUP(H27,0),"")</f>
        <v/>
      </c>
      <c r="J27" s="48">
        <f>IF(AND(C27&lt;&gt;"",D27&lt;&gt;""),C27*D27,"")</f>
        <v/>
      </c>
      <c r="K27" s="12">
        <f>IF(AND(ISNUMBER(J27),ISNUMBER(I27)),IF(I27=0,"",J27/I27),"")</f>
        <v/>
      </c>
      <c r="L27" s="48">
        <f>IF(AND(ISNUMBER(D27),ISNUMBER(F27)),D27/F27,"")</f>
        <v/>
      </c>
      <c r="M27" s="8">
        <f>IF(ISNUMBER(I27),I27*G27-C27,"")</f>
        <v/>
      </c>
      <c r="N27" s="12">
        <f>IF(B27="","",IFERROR(INDEX('Route Prices'!$F$5:$F$103,MATCH(B27,'Route Prices'!$A$5:$A$103,0)),""))</f>
        <v/>
      </c>
      <c r="O27" s="12">
        <f>IF(B27="","",IFERROR(INDEX('Route Prices'!$G$5:$G$103,MATCH(B27,'Route Prices'!$A$5:$A$103,0)),""))</f>
        <v/>
      </c>
      <c r="P27" s="49">
        <f>IF(AND(ISNUMBER(D27),ISNUMBER(N27)),IF(N27=0,"",D27/N27-1),"")</f>
        <v/>
      </c>
    </row>
    <row r="28">
      <c r="A28" s="43" t="n"/>
      <c r="B28" s="43" t="n"/>
      <c r="C28" s="43" t="n"/>
      <c r="D28" s="47" t="n"/>
      <c r="E28" s="44">
        <f>IF(B28="","",IFERROR(INDEX('Turnaround Table'!$C$5:$C$231,MATCH(B28,'Turnaround Table'!$D$5:$D$231,0)),"not in table"))</f>
        <v/>
      </c>
      <c r="F28" s="44">
        <f>IF(ISNUMBER(E28),2*E28,"")</f>
        <v/>
      </c>
      <c r="G28" s="8">
        <f>IF(ISNUMBER(F28),MAX(1,INT('Truck Requirement'!$B$4/F28)),"")</f>
        <v/>
      </c>
      <c r="H28" s="45">
        <f>IF(AND(ISNUMBER(G28),C28&lt;&gt;""),C28/G28,"")</f>
        <v/>
      </c>
      <c r="I28" s="9">
        <f>IF(ISNUMBER(H28),ROUNDUP(H28,0),"")</f>
        <v/>
      </c>
      <c r="J28" s="48">
        <f>IF(AND(C28&lt;&gt;"",D28&lt;&gt;""),C28*D28,"")</f>
        <v/>
      </c>
      <c r="K28" s="12">
        <f>IF(AND(ISNUMBER(J28),ISNUMBER(I28)),IF(I28=0,"",J28/I28),"")</f>
        <v/>
      </c>
      <c r="L28" s="48">
        <f>IF(AND(ISNUMBER(D28),ISNUMBER(F28)),D28/F28,"")</f>
        <v/>
      </c>
      <c r="M28" s="8">
        <f>IF(ISNUMBER(I28),I28*G28-C28,"")</f>
        <v/>
      </c>
      <c r="N28" s="12">
        <f>IF(B28="","",IFERROR(INDEX('Route Prices'!$F$5:$F$103,MATCH(B28,'Route Prices'!$A$5:$A$103,0)),""))</f>
        <v/>
      </c>
      <c r="O28" s="12">
        <f>IF(B28="","",IFERROR(INDEX('Route Prices'!$G$5:$G$103,MATCH(B28,'Route Prices'!$A$5:$A$103,0)),""))</f>
        <v/>
      </c>
      <c r="P28" s="49">
        <f>IF(AND(ISNUMBER(D28),ISNUMBER(N28)),IF(N28=0,"",D28/N28-1),"")</f>
        <v/>
      </c>
    </row>
    <row r="29">
      <c r="A29" s="43" t="n"/>
      <c r="B29" s="43" t="n"/>
      <c r="C29" s="43" t="n"/>
      <c r="D29" s="47" t="n"/>
      <c r="E29" s="44">
        <f>IF(B29="","",IFERROR(INDEX('Turnaround Table'!$C$5:$C$231,MATCH(B29,'Turnaround Table'!$D$5:$D$231,0)),"not in table"))</f>
        <v/>
      </c>
      <c r="F29" s="44">
        <f>IF(ISNUMBER(E29),2*E29,"")</f>
        <v/>
      </c>
      <c r="G29" s="8">
        <f>IF(ISNUMBER(F29),MAX(1,INT('Truck Requirement'!$B$4/F29)),"")</f>
        <v/>
      </c>
      <c r="H29" s="45">
        <f>IF(AND(ISNUMBER(G29),C29&lt;&gt;""),C29/G29,"")</f>
        <v/>
      </c>
      <c r="I29" s="9">
        <f>IF(ISNUMBER(H29),ROUNDUP(H29,0),"")</f>
        <v/>
      </c>
      <c r="J29" s="48">
        <f>IF(AND(C29&lt;&gt;"",D29&lt;&gt;""),C29*D29,"")</f>
        <v/>
      </c>
      <c r="K29" s="12">
        <f>IF(AND(ISNUMBER(J29),ISNUMBER(I29)),IF(I29=0,"",J29/I29),"")</f>
        <v/>
      </c>
      <c r="L29" s="48">
        <f>IF(AND(ISNUMBER(D29),ISNUMBER(F29)),D29/F29,"")</f>
        <v/>
      </c>
      <c r="M29" s="8">
        <f>IF(ISNUMBER(I29),I29*G29-C29,"")</f>
        <v/>
      </c>
      <c r="N29" s="12">
        <f>IF(B29="","",IFERROR(INDEX('Route Prices'!$F$5:$F$103,MATCH(B29,'Route Prices'!$A$5:$A$103,0)),""))</f>
        <v/>
      </c>
      <c r="O29" s="12">
        <f>IF(B29="","",IFERROR(INDEX('Route Prices'!$G$5:$G$103,MATCH(B29,'Route Prices'!$A$5:$A$103,0)),""))</f>
        <v/>
      </c>
      <c r="P29" s="49">
        <f>IF(AND(ISNUMBER(D29),ISNUMBER(N29)),IF(N29=0,"",D29/N29-1),"")</f>
        <v/>
      </c>
    </row>
    <row r="30">
      <c r="A30" s="43" t="n"/>
      <c r="B30" s="43" t="n"/>
      <c r="C30" s="43" t="n"/>
      <c r="D30" s="47" t="n"/>
      <c r="E30" s="44">
        <f>IF(B30="","",IFERROR(INDEX('Turnaround Table'!$C$5:$C$231,MATCH(B30,'Turnaround Table'!$D$5:$D$231,0)),"not in table"))</f>
        <v/>
      </c>
      <c r="F30" s="44">
        <f>IF(ISNUMBER(E30),2*E30,"")</f>
        <v/>
      </c>
      <c r="G30" s="8">
        <f>IF(ISNUMBER(F30),MAX(1,INT('Truck Requirement'!$B$4/F30)),"")</f>
        <v/>
      </c>
      <c r="H30" s="45">
        <f>IF(AND(ISNUMBER(G30),C30&lt;&gt;""),C30/G30,"")</f>
        <v/>
      </c>
      <c r="I30" s="9">
        <f>IF(ISNUMBER(H30),ROUNDUP(H30,0),"")</f>
        <v/>
      </c>
      <c r="J30" s="48">
        <f>IF(AND(C30&lt;&gt;"",D30&lt;&gt;""),C30*D30,"")</f>
        <v/>
      </c>
      <c r="K30" s="12">
        <f>IF(AND(ISNUMBER(J30),ISNUMBER(I30)),IF(I30=0,"",J30/I30),"")</f>
        <v/>
      </c>
      <c r="L30" s="48">
        <f>IF(AND(ISNUMBER(D30),ISNUMBER(F30)),D30/F30,"")</f>
        <v/>
      </c>
      <c r="M30" s="8">
        <f>IF(ISNUMBER(I30),I30*G30-C30,"")</f>
        <v/>
      </c>
      <c r="N30" s="12">
        <f>IF(B30="","",IFERROR(INDEX('Route Prices'!$F$5:$F$103,MATCH(B30,'Route Prices'!$A$5:$A$103,0)),""))</f>
        <v/>
      </c>
      <c r="O30" s="12">
        <f>IF(B30="","",IFERROR(INDEX('Route Prices'!$G$5:$G$103,MATCH(B30,'Route Prices'!$A$5:$A$103,0)),""))</f>
        <v/>
      </c>
      <c r="P30" s="49">
        <f>IF(AND(ISNUMBER(D30),ISNUMBER(N30)),IF(N30=0,"",D30/N30-1),"")</f>
        <v/>
      </c>
    </row>
    <row r="31">
      <c r="A31" s="43" t="n"/>
      <c r="B31" s="43" t="n"/>
      <c r="C31" s="43" t="n"/>
      <c r="D31" s="47" t="n"/>
      <c r="E31" s="44">
        <f>IF(B31="","",IFERROR(INDEX('Turnaround Table'!$C$5:$C$231,MATCH(B31,'Turnaround Table'!$D$5:$D$231,0)),"not in table"))</f>
        <v/>
      </c>
      <c r="F31" s="44">
        <f>IF(ISNUMBER(E31),2*E31,"")</f>
        <v/>
      </c>
      <c r="G31" s="8">
        <f>IF(ISNUMBER(F31),MAX(1,INT('Truck Requirement'!$B$4/F31)),"")</f>
        <v/>
      </c>
      <c r="H31" s="45">
        <f>IF(AND(ISNUMBER(G31),C31&lt;&gt;""),C31/G31,"")</f>
        <v/>
      </c>
      <c r="I31" s="9">
        <f>IF(ISNUMBER(H31),ROUNDUP(H31,0),"")</f>
        <v/>
      </c>
      <c r="J31" s="48">
        <f>IF(AND(C31&lt;&gt;"",D31&lt;&gt;""),C31*D31,"")</f>
        <v/>
      </c>
      <c r="K31" s="12">
        <f>IF(AND(ISNUMBER(J31),ISNUMBER(I31)),IF(I31=0,"",J31/I31),"")</f>
        <v/>
      </c>
      <c r="L31" s="48">
        <f>IF(AND(ISNUMBER(D31),ISNUMBER(F31)),D31/F31,"")</f>
        <v/>
      </c>
      <c r="M31" s="8">
        <f>IF(ISNUMBER(I31),I31*G31-C31,"")</f>
        <v/>
      </c>
      <c r="N31" s="12">
        <f>IF(B31="","",IFERROR(INDEX('Route Prices'!$F$5:$F$103,MATCH(B31,'Route Prices'!$A$5:$A$103,0)),""))</f>
        <v/>
      </c>
      <c r="O31" s="12">
        <f>IF(B31="","",IFERROR(INDEX('Route Prices'!$G$5:$G$103,MATCH(B31,'Route Prices'!$A$5:$A$103,0)),""))</f>
        <v/>
      </c>
      <c r="P31" s="49">
        <f>IF(AND(ISNUMBER(D31),ISNUMBER(N31)),IF(N31=0,"",D31/N31-1),"")</f>
        <v/>
      </c>
    </row>
    <row r="32">
      <c r="A32" s="43" t="n"/>
      <c r="B32" s="43" t="n"/>
      <c r="C32" s="43" t="n"/>
      <c r="D32" s="47" t="n"/>
      <c r="E32" s="44">
        <f>IF(B32="","",IFERROR(INDEX('Turnaround Table'!$C$5:$C$231,MATCH(B32,'Turnaround Table'!$D$5:$D$231,0)),"not in table"))</f>
        <v/>
      </c>
      <c r="F32" s="44">
        <f>IF(ISNUMBER(E32),2*E32,"")</f>
        <v/>
      </c>
      <c r="G32" s="8">
        <f>IF(ISNUMBER(F32),MAX(1,INT('Truck Requirement'!$B$4/F32)),"")</f>
        <v/>
      </c>
      <c r="H32" s="45">
        <f>IF(AND(ISNUMBER(G32),C32&lt;&gt;""),C32/G32,"")</f>
        <v/>
      </c>
      <c r="I32" s="9">
        <f>IF(ISNUMBER(H32),ROUNDUP(H32,0),"")</f>
        <v/>
      </c>
      <c r="J32" s="48">
        <f>IF(AND(C32&lt;&gt;"",D32&lt;&gt;""),C32*D32,"")</f>
        <v/>
      </c>
      <c r="K32" s="12">
        <f>IF(AND(ISNUMBER(J32),ISNUMBER(I32)),IF(I32=0,"",J32/I32),"")</f>
        <v/>
      </c>
      <c r="L32" s="48">
        <f>IF(AND(ISNUMBER(D32),ISNUMBER(F32)),D32/F32,"")</f>
        <v/>
      </c>
      <c r="M32" s="8">
        <f>IF(ISNUMBER(I32),I32*G32-C32,"")</f>
        <v/>
      </c>
      <c r="N32" s="12">
        <f>IF(B32="","",IFERROR(INDEX('Route Prices'!$F$5:$F$103,MATCH(B32,'Route Prices'!$A$5:$A$103,0)),""))</f>
        <v/>
      </c>
      <c r="O32" s="12">
        <f>IF(B32="","",IFERROR(INDEX('Route Prices'!$G$5:$G$103,MATCH(B32,'Route Prices'!$A$5:$A$103,0)),""))</f>
        <v/>
      </c>
      <c r="P32" s="49">
        <f>IF(AND(ISNUMBER(D32),ISNUMBER(N32)),IF(N32=0,"",D32/N32-1),"")</f>
        <v/>
      </c>
    </row>
    <row r="33">
      <c r="A33" s="43" t="n"/>
      <c r="B33" s="43" t="n"/>
      <c r="C33" s="43" t="n"/>
      <c r="D33" s="47" t="n"/>
      <c r="E33" s="44">
        <f>IF(B33="","",IFERROR(INDEX('Turnaround Table'!$C$5:$C$231,MATCH(B33,'Turnaround Table'!$D$5:$D$231,0)),"not in table"))</f>
        <v/>
      </c>
      <c r="F33" s="44">
        <f>IF(ISNUMBER(E33),2*E33,"")</f>
        <v/>
      </c>
      <c r="G33" s="8">
        <f>IF(ISNUMBER(F33),MAX(1,INT('Truck Requirement'!$B$4/F33)),"")</f>
        <v/>
      </c>
      <c r="H33" s="45">
        <f>IF(AND(ISNUMBER(G33),C33&lt;&gt;""),C33/G33,"")</f>
        <v/>
      </c>
      <c r="I33" s="9">
        <f>IF(ISNUMBER(H33),ROUNDUP(H33,0),"")</f>
        <v/>
      </c>
      <c r="J33" s="48">
        <f>IF(AND(C33&lt;&gt;"",D33&lt;&gt;""),C33*D33,"")</f>
        <v/>
      </c>
      <c r="K33" s="12">
        <f>IF(AND(ISNUMBER(J33),ISNUMBER(I33)),IF(I33=0,"",J33/I33),"")</f>
        <v/>
      </c>
      <c r="L33" s="48">
        <f>IF(AND(ISNUMBER(D33),ISNUMBER(F33)),D33/F33,"")</f>
        <v/>
      </c>
      <c r="M33" s="8">
        <f>IF(ISNUMBER(I33),I33*G33-C33,"")</f>
        <v/>
      </c>
      <c r="N33" s="12">
        <f>IF(B33="","",IFERROR(INDEX('Route Prices'!$F$5:$F$103,MATCH(B33,'Route Prices'!$A$5:$A$103,0)),""))</f>
        <v/>
      </c>
      <c r="O33" s="12">
        <f>IF(B33="","",IFERROR(INDEX('Route Prices'!$G$5:$G$103,MATCH(B33,'Route Prices'!$A$5:$A$103,0)),""))</f>
        <v/>
      </c>
      <c r="P33" s="49">
        <f>IF(AND(ISNUMBER(D33),ISNUMBER(N33)),IF(N33=0,"",D33/N33-1),"")</f>
        <v/>
      </c>
    </row>
    <row r="34">
      <c r="A34" s="43" t="n"/>
      <c r="B34" s="43" t="n"/>
      <c r="C34" s="43" t="n"/>
      <c r="D34" s="47" t="n"/>
      <c r="E34" s="44">
        <f>IF(B34="","",IFERROR(INDEX('Turnaround Table'!$C$5:$C$231,MATCH(B34,'Turnaround Table'!$D$5:$D$231,0)),"not in table"))</f>
        <v/>
      </c>
      <c r="F34" s="44">
        <f>IF(ISNUMBER(E34),2*E34,"")</f>
        <v/>
      </c>
      <c r="G34" s="8">
        <f>IF(ISNUMBER(F34),MAX(1,INT('Truck Requirement'!$B$4/F34)),"")</f>
        <v/>
      </c>
      <c r="H34" s="45">
        <f>IF(AND(ISNUMBER(G34),C34&lt;&gt;""),C34/G34,"")</f>
        <v/>
      </c>
      <c r="I34" s="9">
        <f>IF(ISNUMBER(H34),ROUNDUP(H34,0),"")</f>
        <v/>
      </c>
      <c r="J34" s="48">
        <f>IF(AND(C34&lt;&gt;"",D34&lt;&gt;""),C34*D34,"")</f>
        <v/>
      </c>
      <c r="K34" s="12">
        <f>IF(AND(ISNUMBER(J34),ISNUMBER(I34)),IF(I34=0,"",J34/I34),"")</f>
        <v/>
      </c>
      <c r="L34" s="48">
        <f>IF(AND(ISNUMBER(D34),ISNUMBER(F34)),D34/F34,"")</f>
        <v/>
      </c>
      <c r="M34" s="8">
        <f>IF(ISNUMBER(I34),I34*G34-C34,"")</f>
        <v/>
      </c>
      <c r="N34" s="12">
        <f>IF(B34="","",IFERROR(INDEX('Route Prices'!$F$5:$F$103,MATCH(B34,'Route Prices'!$A$5:$A$103,0)),""))</f>
        <v/>
      </c>
      <c r="O34" s="12">
        <f>IF(B34="","",IFERROR(INDEX('Route Prices'!$G$5:$G$103,MATCH(B34,'Route Prices'!$A$5:$A$103,0)),""))</f>
        <v/>
      </c>
      <c r="P34" s="49">
        <f>IF(AND(ISNUMBER(D34),ISNUMBER(N34)),IF(N34=0,"",D34/N34-1),"")</f>
        <v/>
      </c>
    </row>
    <row r="35">
      <c r="A35" s="17" t="inlineStr">
        <is>
          <t>Total</t>
        </is>
      </c>
      <c r="C35" s="38">
        <f>SUM(C5:C34)</f>
        <v/>
      </c>
      <c r="H35" s="50">
        <f>SUM(H5:H34)</f>
        <v/>
      </c>
      <c r="I35" s="38">
        <f>SUM(I5:I34)</f>
        <v/>
      </c>
      <c r="J35" s="25">
        <f>SUM(J5:J34)</f>
        <v/>
      </c>
      <c r="K35" s="25">
        <f>IF(I35=0,"",J35/I35)</f>
        <v/>
      </c>
      <c r="M35" s="38">
        <f>SUM(M5:M34)</f>
        <v/>
      </c>
    </row>
    <row r="36">
      <c r="A36" s="17" t="inlineStr">
        <is>
          <t>Yearly revenue at this plan (× 12)</t>
        </is>
      </c>
      <c r="J36" s="18">
        <f>J35*12</f>
        <v/>
      </c>
    </row>
  </sheetData>
  <conditionalFormatting sqref="L5:L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B5:B34" showDropDown="0" showInputMessage="0" showErrorMessage="0" allowBlank="1" type="list">
      <formula1>='Turnaround Table'!$D$5:$D$231</formula1>
    </dataValidation>
    <dataValidation sqref="A5:A34 R6:R20" showDropDown="0" showInputMessage="0" showErrorMessage="1" allowBlank="1" errorTitle="Client not in list" error="This client is not on the Client List sheet. Add it there to keep the dropdown complete." type="list" errorStyle="warning">
      <formula1>='Client List'!$A$4:$A$63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18" customWidth="1" min="3" max="3"/>
    <col width="22" customWidth="1" min="4" max="4"/>
    <col width="44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" t="inlineStr">
        <is>
          <t>Truck requirement by client and route — monthly rotation</t>
        </is>
      </c>
    </row>
    <row r="2">
      <c r="A2" s="6" t="inlineStr">
        <is>
          <t>Days come from the Turnaround Table via the Key. Type a value in "Override days" to replace it for one route. Red rows have no match in your table and use the default; please check them.</t>
        </is>
      </c>
    </row>
    <row r="4" ht="45" customHeight="1">
      <c r="A4" s="7" t="inlineStr">
        <is>
          <t>Client</t>
        </is>
      </c>
      <c r="B4" s="7" t="inlineStr">
        <is>
          <t>Vehicle type</t>
        </is>
      </c>
      <c r="C4" s="7" t="inlineStr">
        <is>
          <t>Loading from (area)</t>
        </is>
      </c>
      <c r="D4" s="7" t="inlineStr">
        <is>
          <t>Destination</t>
        </is>
      </c>
      <c r="E4" s="7" t="inlineStr">
        <is>
          <t>Turnaround key used</t>
        </is>
      </c>
      <c r="F4" s="7" t="inlineStr">
        <is>
          <t>How matched</t>
        </is>
      </c>
      <c r="G4" s="7" t="inlineStr">
        <is>
          <t>One-leg days (table)</t>
        </is>
      </c>
      <c r="H4" s="7" t="inlineStr">
        <is>
          <t>Override days</t>
        </is>
      </c>
      <c r="I4" s="7" t="inlineStr">
        <is>
          <t>One-leg days used</t>
        </is>
      </c>
      <c r="J4" s="7" t="inlineStr">
        <is>
          <t>Round-trip days</t>
        </is>
      </c>
      <c r="K4" s="7" t="inlineStr">
        <is>
          <t>Trips one truck can do per month</t>
        </is>
      </c>
      <c r="L4" s="7" t="inlineStr">
        <is>
          <t>Trips Jan–Sep</t>
        </is>
      </c>
      <c r="M4" s="7" t="inlineStr">
        <is>
          <t>Trips Jan</t>
        </is>
      </c>
      <c r="N4" s="7" t="inlineStr">
        <is>
          <t>Trips Feb</t>
        </is>
      </c>
      <c r="O4" s="7" t="inlineStr">
        <is>
          <t>Trips Mar</t>
        </is>
      </c>
      <c r="P4" s="7" t="inlineStr">
        <is>
          <t>Trips Apr</t>
        </is>
      </c>
      <c r="Q4" s="7" t="inlineStr">
        <is>
          <t>Trips May</t>
        </is>
      </c>
      <c r="R4" s="7" t="inlineStr">
        <is>
          <t>Trips Jun</t>
        </is>
      </c>
      <c r="S4" s="7" t="inlineStr">
        <is>
          <t>Trips Jul</t>
        </is>
      </c>
      <c r="T4" s="7" t="inlineStr">
        <is>
          <t>Trips Aug</t>
        </is>
      </c>
      <c r="U4" s="7" t="inlineStr">
        <is>
          <t>Trips Sep</t>
        </is>
      </c>
      <c r="V4" s="7" t="inlineStr">
        <is>
          <t>Trucks Jan</t>
        </is>
      </c>
      <c r="W4" s="7" t="inlineStr">
        <is>
          <t>Trucks Feb</t>
        </is>
      </c>
      <c r="X4" s="7" t="inlineStr">
        <is>
          <t>Trucks Mar</t>
        </is>
      </c>
      <c r="Y4" s="7" t="inlineStr">
        <is>
          <t>Trucks Apr</t>
        </is>
      </c>
      <c r="Z4" s="7" t="inlineStr">
        <is>
          <t>Trucks May</t>
        </is>
      </c>
      <c r="AA4" s="7" t="inlineStr">
        <is>
          <t>Trucks Jun</t>
        </is>
      </c>
      <c r="AB4" s="7" t="inlineStr">
        <is>
          <t>Trucks Jul</t>
        </is>
      </c>
      <c r="AC4" s="7" t="inlineStr">
        <is>
          <t>Trucks Aug</t>
        </is>
      </c>
      <c r="AD4" s="7" t="inlineStr">
        <is>
          <t>Trucks Sep</t>
        </is>
      </c>
    </row>
    <row r="5">
      <c r="A5" s="8" t="inlineStr">
        <is>
          <t>AB-INBEV</t>
        </is>
      </c>
      <c r="B5" s="8" t="inlineStr">
        <is>
          <t>Haulage</t>
        </is>
      </c>
      <c r="C5" s="8" t="inlineStr">
        <is>
          <t>Ilesa</t>
        </is>
      </c>
      <c r="D5" s="8" t="inlineStr">
        <is>
          <t>Yola</t>
        </is>
      </c>
      <c r="E5" s="8" t="inlineStr">
        <is>
          <t>YOLA&gt;IBADAN</t>
        </is>
      </c>
      <c r="F5" s="8" t="inlineStr">
        <is>
          <t>Nearest bay (Ibadan)</t>
        </is>
      </c>
      <c r="G5" s="44">
        <f>IFERROR(INDEX('Turnaround Table'!$C$5:$C$231,MATCH(E5,'Turnaround Table'!$D$5:$D$231,0)),"")</f>
        <v/>
      </c>
      <c r="H5" s="43" t="n"/>
      <c r="I5" s="44">
        <f>IF(H5&lt;&gt;"",H5,IF(G5&lt;&gt;"",G5,'Truck Requirement'!$B$5))</f>
        <v/>
      </c>
      <c r="J5" s="44">
        <f>2*I5</f>
        <v/>
      </c>
      <c r="K5" s="8">
        <f>MAX(1,INT('Truck Requirement'!$B$4/J5))</f>
        <v/>
      </c>
      <c r="L5" s="8">
        <f>SUM(M5:U5)</f>
        <v/>
      </c>
      <c r="M5" s="8" t="n"/>
      <c r="N5" s="8" t="n"/>
      <c r="O5" s="8" t="n">
        <v>1</v>
      </c>
      <c r="P5" s="8" t="n">
        <v>1</v>
      </c>
      <c r="Q5" s="8" t="n">
        <v>4</v>
      </c>
      <c r="R5" s="8" t="n"/>
      <c r="S5" s="8" t="n"/>
      <c r="T5" s="8" t="n"/>
      <c r="U5" s="8" t="n"/>
      <c r="V5" s="45">
        <f>IF(M5="","",M5/$K5)</f>
        <v/>
      </c>
      <c r="W5" s="45">
        <f>IF(N5="","",N5/$K5)</f>
        <v/>
      </c>
      <c r="X5" s="45">
        <f>IF(O5="","",O5/$K5)</f>
        <v/>
      </c>
      <c r="Y5" s="45">
        <f>IF(P5="","",P5/$K5)</f>
        <v/>
      </c>
      <c r="Z5" s="45">
        <f>IF(Q5="","",Q5/$K5)</f>
        <v/>
      </c>
      <c r="AA5" s="45">
        <f>IF(R5="","",R5/$K5)</f>
        <v/>
      </c>
      <c r="AB5" s="45">
        <f>IF(S5="","",S5/$K5)</f>
        <v/>
      </c>
      <c r="AC5" s="45">
        <f>IF(T5="","",T5/$K5)</f>
        <v/>
      </c>
      <c r="AD5" s="45">
        <f>IF(U5="","",U5/$K5)</f>
        <v/>
      </c>
    </row>
    <row r="6">
      <c r="A6" s="8" t="inlineStr">
        <is>
          <t>AB-INBEV</t>
        </is>
      </c>
      <c r="B6" s="8" t="inlineStr">
        <is>
          <t>Haulage</t>
        </is>
      </c>
      <c r="C6" s="8" t="inlineStr">
        <is>
          <t>Ilesa</t>
        </is>
      </c>
      <c r="D6" s="8" t="inlineStr">
        <is>
          <t>Kaduna</t>
        </is>
      </c>
      <c r="E6" s="8" t="inlineStr">
        <is>
          <t>KADUNA&gt;IBADAN</t>
        </is>
      </c>
      <c r="F6" s="8" t="inlineStr">
        <is>
          <t>Nearest bay (Ibadan)</t>
        </is>
      </c>
      <c r="G6" s="44">
        <f>IFERROR(INDEX('Turnaround Table'!$C$5:$C$231,MATCH(E6,'Turnaround Table'!$D$5:$D$231,0)),"")</f>
        <v/>
      </c>
      <c r="H6" s="43" t="n"/>
      <c r="I6" s="44">
        <f>IF(H6&lt;&gt;"",H6,IF(G6&lt;&gt;"",G6,'Truck Requirement'!$B$5))</f>
        <v/>
      </c>
      <c r="J6" s="44">
        <f>2*I6</f>
        <v/>
      </c>
      <c r="K6" s="8">
        <f>MAX(1,INT('Truck Requirement'!$B$4/J6))</f>
        <v/>
      </c>
      <c r="L6" s="8">
        <f>SUM(M6:U6)</f>
        <v/>
      </c>
      <c r="M6" s="8" t="n"/>
      <c r="N6" s="8" t="n"/>
      <c r="O6" s="8" t="n">
        <v>1</v>
      </c>
      <c r="P6" s="8" t="n">
        <v>2</v>
      </c>
      <c r="Q6" s="8" t="n">
        <v>2</v>
      </c>
      <c r="R6" s="8" t="n"/>
      <c r="S6" s="8" t="n"/>
      <c r="T6" s="8" t="n"/>
      <c r="U6" s="8" t="n"/>
      <c r="V6" s="45">
        <f>IF(M6="","",M6/$K6)</f>
        <v/>
      </c>
      <c r="W6" s="45">
        <f>IF(N6="","",N6/$K6)</f>
        <v/>
      </c>
      <c r="X6" s="45">
        <f>IF(O6="","",O6/$K6)</f>
        <v/>
      </c>
      <c r="Y6" s="45">
        <f>IF(P6="","",P6/$K6)</f>
        <v/>
      </c>
      <c r="Z6" s="45">
        <f>IF(Q6="","",Q6/$K6)</f>
        <v/>
      </c>
      <c r="AA6" s="45">
        <f>IF(R6="","",R6/$K6)</f>
        <v/>
      </c>
      <c r="AB6" s="45">
        <f>IF(S6="","",S6/$K6)</f>
        <v/>
      </c>
      <c r="AC6" s="45">
        <f>IF(T6="","",T6/$K6)</f>
        <v/>
      </c>
      <c r="AD6" s="45">
        <f>IF(U6="","",U6/$K6)</f>
        <v/>
      </c>
    </row>
    <row r="7">
      <c r="A7" s="8" t="inlineStr">
        <is>
          <t>AB-INBEV</t>
        </is>
      </c>
      <c r="B7" s="8" t="inlineStr">
        <is>
          <t>Haulage</t>
        </is>
      </c>
      <c r="C7" s="8" t="inlineStr">
        <is>
          <t>Ilesa</t>
        </is>
      </c>
      <c r="D7" s="8" t="inlineStr">
        <is>
          <t>Maiduguri</t>
        </is>
      </c>
      <c r="E7" s="8" t="inlineStr">
        <is>
          <t>MAIDUGURI&gt;IBADAN</t>
        </is>
      </c>
      <c r="F7" s="8" t="inlineStr">
        <is>
          <t>Nearest bay (Ibadan)</t>
        </is>
      </c>
      <c r="G7" s="44">
        <f>IFERROR(INDEX('Turnaround Table'!$C$5:$C$231,MATCH(E7,'Turnaround Table'!$D$5:$D$231,0)),"")</f>
        <v/>
      </c>
      <c r="H7" s="43" t="n"/>
      <c r="I7" s="44">
        <f>IF(H7&lt;&gt;"",H7,IF(G7&lt;&gt;"",G7,'Truck Requirement'!$B$5))</f>
        <v/>
      </c>
      <c r="J7" s="44">
        <f>2*I7</f>
        <v/>
      </c>
      <c r="K7" s="8">
        <f>MAX(1,INT('Truck Requirement'!$B$4/J7))</f>
        <v/>
      </c>
      <c r="L7" s="8">
        <f>SUM(M7:U7)</f>
        <v/>
      </c>
      <c r="M7" s="8" t="n"/>
      <c r="N7" s="8" t="n"/>
      <c r="O7" s="8" t="n"/>
      <c r="P7" s="8" t="n">
        <v>3</v>
      </c>
      <c r="Q7" s="8" t="n">
        <v>1</v>
      </c>
      <c r="R7" s="8" t="n"/>
      <c r="S7" s="8" t="n"/>
      <c r="T7" s="8" t="n"/>
      <c r="U7" s="8" t="n"/>
      <c r="V7" s="45">
        <f>IF(M7="","",M7/$K7)</f>
        <v/>
      </c>
      <c r="W7" s="45">
        <f>IF(N7="","",N7/$K7)</f>
        <v/>
      </c>
      <c r="X7" s="45">
        <f>IF(O7="","",O7/$K7)</f>
        <v/>
      </c>
      <c r="Y7" s="45">
        <f>IF(P7="","",P7/$K7)</f>
        <v/>
      </c>
      <c r="Z7" s="45">
        <f>IF(Q7="","",Q7/$K7)</f>
        <v/>
      </c>
      <c r="AA7" s="45">
        <f>IF(R7="","",R7/$K7)</f>
        <v/>
      </c>
      <c r="AB7" s="45">
        <f>IF(S7="","",S7/$K7)</f>
        <v/>
      </c>
      <c r="AC7" s="45">
        <f>IF(T7="","",T7/$K7)</f>
        <v/>
      </c>
      <c r="AD7" s="45">
        <f>IF(U7="","",U7/$K7)</f>
        <v/>
      </c>
    </row>
    <row r="8">
      <c r="A8" s="8" t="inlineStr">
        <is>
          <t>AB-INBEV</t>
        </is>
      </c>
      <c r="B8" s="8" t="inlineStr">
        <is>
          <t>Haulage</t>
        </is>
      </c>
      <c r="C8" s="8" t="inlineStr">
        <is>
          <t>Ilesa</t>
        </is>
      </c>
      <c r="D8" s="8" t="inlineStr">
        <is>
          <t>Bauchi</t>
        </is>
      </c>
      <c r="E8" s="8" t="inlineStr">
        <is>
          <t>BAUCHI&gt;IBADAN</t>
        </is>
      </c>
      <c r="F8" s="8" t="inlineStr">
        <is>
          <t>Nearest bay (Ibadan)</t>
        </is>
      </c>
      <c r="G8" s="44">
        <f>IFERROR(INDEX('Turnaround Table'!$C$5:$C$231,MATCH(E8,'Turnaround Table'!$D$5:$D$231,0)),"")</f>
        <v/>
      </c>
      <c r="H8" s="43" t="n"/>
      <c r="I8" s="44">
        <f>IF(H8&lt;&gt;"",H8,IF(G8&lt;&gt;"",G8,'Truck Requirement'!$B$5))</f>
        <v/>
      </c>
      <c r="J8" s="44">
        <f>2*I8</f>
        <v/>
      </c>
      <c r="K8" s="8">
        <f>MAX(1,INT('Truck Requirement'!$B$4/J8))</f>
        <v/>
      </c>
      <c r="L8" s="8">
        <f>SUM(M8:U8)</f>
        <v/>
      </c>
      <c r="M8" s="8" t="n"/>
      <c r="N8" s="8" t="n"/>
      <c r="O8" s="8" t="n">
        <v>1</v>
      </c>
      <c r="P8" s="8" t="n">
        <v>2</v>
      </c>
      <c r="Q8" s="8" t="n"/>
      <c r="R8" s="8" t="n"/>
      <c r="S8" s="8" t="n"/>
      <c r="T8" s="8" t="n"/>
      <c r="U8" s="8" t="n"/>
      <c r="V8" s="45">
        <f>IF(M8="","",M8/$K8)</f>
        <v/>
      </c>
      <c r="W8" s="45">
        <f>IF(N8="","",N8/$K8)</f>
        <v/>
      </c>
      <c r="X8" s="45">
        <f>IF(O8="","",O8/$K8)</f>
        <v/>
      </c>
      <c r="Y8" s="45">
        <f>IF(P8="","",P8/$K8)</f>
        <v/>
      </c>
      <c r="Z8" s="45">
        <f>IF(Q8="","",Q8/$K8)</f>
        <v/>
      </c>
      <c r="AA8" s="45">
        <f>IF(R8="","",R8/$K8)</f>
        <v/>
      </c>
      <c r="AB8" s="45">
        <f>IF(S8="","",S8/$K8)</f>
        <v/>
      </c>
      <c r="AC8" s="45">
        <f>IF(T8="","",T8/$K8)</f>
        <v/>
      </c>
      <c r="AD8" s="45">
        <f>IF(U8="","",U8/$K8)</f>
        <v/>
      </c>
    </row>
    <row r="9">
      <c r="A9" s="8" t="inlineStr">
        <is>
          <t>AB-INBEV</t>
        </is>
      </c>
      <c r="B9" s="8" t="inlineStr">
        <is>
          <t>Haulage</t>
        </is>
      </c>
      <c r="C9" s="8" t="inlineStr">
        <is>
          <t>Ilesa</t>
        </is>
      </c>
      <c r="D9" s="8" t="inlineStr">
        <is>
          <t>Gombe</t>
        </is>
      </c>
      <c r="E9" s="8" t="inlineStr">
        <is>
          <t>GOMBE&gt;IBADAN</t>
        </is>
      </c>
      <c r="F9" s="8" t="inlineStr">
        <is>
          <t>Nearest bay (Ibadan)</t>
        </is>
      </c>
      <c r="G9" s="44">
        <f>IFERROR(INDEX('Turnaround Table'!$C$5:$C$231,MATCH(E9,'Turnaround Table'!$D$5:$D$231,0)),"")</f>
        <v/>
      </c>
      <c r="H9" s="43" t="n"/>
      <c r="I9" s="44">
        <f>IF(H9&lt;&gt;"",H9,IF(G9&lt;&gt;"",G9,'Truck Requirement'!$B$5))</f>
        <v/>
      </c>
      <c r="J9" s="44">
        <f>2*I9</f>
        <v/>
      </c>
      <c r="K9" s="8">
        <f>MAX(1,INT('Truck Requirement'!$B$4/J9))</f>
        <v/>
      </c>
      <c r="L9" s="8">
        <f>SUM(M9:U9)</f>
        <v/>
      </c>
      <c r="M9" s="8" t="n"/>
      <c r="N9" s="8" t="n"/>
      <c r="O9" s="8" t="n"/>
      <c r="P9" s="8" t="n">
        <v>3</v>
      </c>
      <c r="Q9" s="8" t="n"/>
      <c r="R9" s="8" t="n"/>
      <c r="S9" s="8" t="n"/>
      <c r="T9" s="8" t="n"/>
      <c r="U9" s="8" t="n"/>
      <c r="V9" s="45">
        <f>IF(M9="","",M9/$K9)</f>
        <v/>
      </c>
      <c r="W9" s="45">
        <f>IF(N9="","",N9/$K9)</f>
        <v/>
      </c>
      <c r="X9" s="45">
        <f>IF(O9="","",O9/$K9)</f>
        <v/>
      </c>
      <c r="Y9" s="45">
        <f>IF(P9="","",P9/$K9)</f>
        <v/>
      </c>
      <c r="Z9" s="45">
        <f>IF(Q9="","",Q9/$K9)</f>
        <v/>
      </c>
      <c r="AA9" s="45">
        <f>IF(R9="","",R9/$K9)</f>
        <v/>
      </c>
      <c r="AB9" s="45">
        <f>IF(S9="","",S9/$K9)</f>
        <v/>
      </c>
      <c r="AC9" s="45">
        <f>IF(T9="","",T9/$K9)</f>
        <v/>
      </c>
      <c r="AD9" s="45">
        <f>IF(U9="","",U9/$K9)</f>
        <v/>
      </c>
    </row>
    <row r="10">
      <c r="A10" s="8" t="inlineStr">
        <is>
          <t>AB-INBEV</t>
        </is>
      </c>
      <c r="B10" s="8" t="inlineStr">
        <is>
          <t>Haulage</t>
        </is>
      </c>
      <c r="C10" s="8" t="inlineStr">
        <is>
          <t>Ilesa</t>
        </is>
      </c>
      <c r="D10" s="8" t="inlineStr">
        <is>
          <t>Jos</t>
        </is>
      </c>
      <c r="E10" s="8" t="inlineStr">
        <is>
          <t>JOS&gt;IBADAN</t>
        </is>
      </c>
      <c r="F10" s="8" t="inlineStr">
        <is>
          <t>Nearest bay (Ibadan)</t>
        </is>
      </c>
      <c r="G10" s="44">
        <f>IFERROR(INDEX('Turnaround Table'!$C$5:$C$231,MATCH(E10,'Turnaround Table'!$D$5:$D$231,0)),"")</f>
        <v/>
      </c>
      <c r="H10" s="43" t="n"/>
      <c r="I10" s="44">
        <f>IF(H10&lt;&gt;"",H10,IF(G10&lt;&gt;"",G10,'Truck Requirement'!$B$5))</f>
        <v/>
      </c>
      <c r="J10" s="44">
        <f>2*I10</f>
        <v/>
      </c>
      <c r="K10" s="8">
        <f>MAX(1,INT('Truck Requirement'!$B$4/J10))</f>
        <v/>
      </c>
      <c r="L10" s="8">
        <f>SUM(M10:U10)</f>
        <v/>
      </c>
      <c r="M10" s="8" t="n"/>
      <c r="N10" s="8" t="n"/>
      <c r="O10" s="8" t="n">
        <v>2</v>
      </c>
      <c r="P10" s="8" t="n">
        <v>1</v>
      </c>
      <c r="Q10" s="8" t="n"/>
      <c r="R10" s="8" t="n"/>
      <c r="S10" s="8" t="n"/>
      <c r="T10" s="8" t="n"/>
      <c r="U10" s="8" t="n"/>
      <c r="V10" s="45">
        <f>IF(M10="","",M10/$K10)</f>
        <v/>
      </c>
      <c r="W10" s="45">
        <f>IF(N10="","",N10/$K10)</f>
        <v/>
      </c>
      <c r="X10" s="45">
        <f>IF(O10="","",O10/$K10)</f>
        <v/>
      </c>
      <c r="Y10" s="45">
        <f>IF(P10="","",P10/$K10)</f>
        <v/>
      </c>
      <c r="Z10" s="45">
        <f>IF(Q10="","",Q10/$K10)</f>
        <v/>
      </c>
      <c r="AA10" s="45">
        <f>IF(R10="","",R10/$K10)</f>
        <v/>
      </c>
      <c r="AB10" s="45">
        <f>IF(S10="","",S10/$K10)</f>
        <v/>
      </c>
      <c r="AC10" s="45">
        <f>IF(T10="","",T10/$K10)</f>
        <v/>
      </c>
      <c r="AD10" s="45">
        <f>IF(U10="","",U10/$K10)</f>
        <v/>
      </c>
    </row>
    <row r="11">
      <c r="A11" s="8" t="inlineStr">
        <is>
          <t>AB-INBEV</t>
        </is>
      </c>
      <c r="B11" s="8" t="inlineStr">
        <is>
          <t>Haulage</t>
        </is>
      </c>
      <c r="C11" s="8" t="inlineStr">
        <is>
          <t>Ilesa</t>
        </is>
      </c>
      <c r="D11" s="8" t="inlineStr">
        <is>
          <t>Abia</t>
        </is>
      </c>
      <c r="E11" s="8" t="inlineStr">
        <is>
          <t>UMUAHIA&gt;LAGOS</t>
        </is>
      </c>
      <c r="F11" s="8" t="inlineStr">
        <is>
          <t>Lagos bay used</t>
        </is>
      </c>
      <c r="G11" s="44">
        <f>IFERROR(INDEX('Turnaround Table'!$C$5:$C$231,MATCH(E11,'Turnaround Table'!$D$5:$D$231,0)),"")</f>
        <v/>
      </c>
      <c r="H11" s="43" t="n"/>
      <c r="I11" s="44">
        <f>IF(H11&lt;&gt;"",H11,IF(G11&lt;&gt;"",G11,'Truck Requirement'!$B$5))</f>
        <v/>
      </c>
      <c r="J11" s="44">
        <f>2*I11</f>
        <v/>
      </c>
      <c r="K11" s="8">
        <f>MAX(1,INT('Truck Requirement'!$B$4/J11))</f>
        <v/>
      </c>
      <c r="L11" s="8">
        <f>SUM(M11:U11)</f>
        <v/>
      </c>
      <c r="M11" s="8" t="n"/>
      <c r="N11" s="8" t="n"/>
      <c r="O11" s="8" t="n"/>
      <c r="P11" s="8" t="n">
        <v>1</v>
      </c>
      <c r="Q11" s="8" t="n">
        <v>1</v>
      </c>
      <c r="R11" s="8" t="n"/>
      <c r="S11" s="8" t="n"/>
      <c r="T11" s="8" t="n"/>
      <c r="U11" s="8" t="n"/>
      <c r="V11" s="45">
        <f>IF(M11="","",M11/$K11)</f>
        <v/>
      </c>
      <c r="W11" s="45">
        <f>IF(N11="","",N11/$K11)</f>
        <v/>
      </c>
      <c r="X11" s="45">
        <f>IF(O11="","",O11/$K11)</f>
        <v/>
      </c>
      <c r="Y11" s="45">
        <f>IF(P11="","",P11/$K11)</f>
        <v/>
      </c>
      <c r="Z11" s="45">
        <f>IF(Q11="","",Q11/$K11)</f>
        <v/>
      </c>
      <c r="AA11" s="45">
        <f>IF(R11="","",R11/$K11)</f>
        <v/>
      </c>
      <c r="AB11" s="45">
        <f>IF(S11="","",S11/$K11)</f>
        <v/>
      </c>
      <c r="AC11" s="45">
        <f>IF(T11="","",T11/$K11)</f>
        <v/>
      </c>
      <c r="AD11" s="45">
        <f>IF(U11="","",U11/$K11)</f>
        <v/>
      </c>
    </row>
    <row r="12">
      <c r="A12" s="8" t="inlineStr">
        <is>
          <t>AB-INBEV</t>
        </is>
      </c>
      <c r="B12" s="8" t="inlineStr">
        <is>
          <t>Haulage</t>
        </is>
      </c>
      <c r="C12" s="8" t="inlineStr">
        <is>
          <t>Ilesa</t>
        </is>
      </c>
      <c r="D12" s="8" t="inlineStr">
        <is>
          <t>Minna</t>
        </is>
      </c>
      <c r="E12" s="8" t="inlineStr">
        <is>
          <t>MINNA&gt;IBADAN</t>
        </is>
      </c>
      <c r="F12" s="8" t="inlineStr">
        <is>
          <t>Nearest bay (Ibadan)</t>
        </is>
      </c>
      <c r="G12" s="44">
        <f>IFERROR(INDEX('Turnaround Table'!$C$5:$C$231,MATCH(E12,'Turnaround Table'!$D$5:$D$231,0)),"")</f>
        <v/>
      </c>
      <c r="H12" s="43" t="n"/>
      <c r="I12" s="44">
        <f>IF(H12&lt;&gt;"",H12,IF(G12&lt;&gt;"",G12,'Truck Requirement'!$B$5))</f>
        <v/>
      </c>
      <c r="J12" s="44">
        <f>2*I12</f>
        <v/>
      </c>
      <c r="K12" s="8">
        <f>MAX(1,INT('Truck Requirement'!$B$4/J12))</f>
        <v/>
      </c>
      <c r="L12" s="8">
        <f>SUM(M12:U12)</f>
        <v/>
      </c>
      <c r="M12" s="8" t="n"/>
      <c r="N12" s="8" t="n"/>
      <c r="O12" s="8" t="n"/>
      <c r="P12" s="8" t="n">
        <v>2</v>
      </c>
      <c r="Q12" s="8" t="n"/>
      <c r="R12" s="8" t="n"/>
      <c r="S12" s="8" t="n"/>
      <c r="T12" s="8" t="n"/>
      <c r="U12" s="8" t="n"/>
      <c r="V12" s="45">
        <f>IF(M12="","",M12/$K12)</f>
        <v/>
      </c>
      <c r="W12" s="45">
        <f>IF(N12="","",N12/$K12)</f>
        <v/>
      </c>
      <c r="X12" s="45">
        <f>IF(O12="","",O12/$K12)</f>
        <v/>
      </c>
      <c r="Y12" s="45">
        <f>IF(P12="","",P12/$K12)</f>
        <v/>
      </c>
      <c r="Z12" s="45">
        <f>IF(Q12="","",Q12/$K12)</f>
        <v/>
      </c>
      <c r="AA12" s="45">
        <f>IF(R12="","",R12/$K12)</f>
        <v/>
      </c>
      <c r="AB12" s="45">
        <f>IF(S12="","",S12/$K12)</f>
        <v/>
      </c>
      <c r="AC12" s="45">
        <f>IF(T12="","",T12/$K12)</f>
        <v/>
      </c>
      <c r="AD12" s="45">
        <f>IF(U12="","",U12/$K12)</f>
        <v/>
      </c>
    </row>
    <row r="13">
      <c r="A13" s="8" t="inlineStr">
        <is>
          <t>AB-INBEV</t>
        </is>
      </c>
      <c r="B13" s="8" t="inlineStr">
        <is>
          <t>Haulage</t>
        </is>
      </c>
      <c r="C13" s="8" t="inlineStr">
        <is>
          <t>Ilesa</t>
        </is>
      </c>
      <c r="D13" s="8" t="inlineStr">
        <is>
          <t>Shendam</t>
        </is>
      </c>
      <c r="E13" s="8" t="inlineStr">
        <is>
          <t>SHENDAM&gt;LAGOS</t>
        </is>
      </c>
      <c r="F13" s="8" t="inlineStr">
        <is>
          <t>Lagos bay used</t>
        </is>
      </c>
      <c r="G13" s="44">
        <f>IFERROR(INDEX('Turnaround Table'!$C$5:$C$231,MATCH(E13,'Turnaround Table'!$D$5:$D$231,0)),"")</f>
        <v/>
      </c>
      <c r="H13" s="43" t="n"/>
      <c r="I13" s="44">
        <f>IF(H13&lt;&gt;"",H13,IF(G13&lt;&gt;"",G13,'Truck Requirement'!$B$5))</f>
        <v/>
      </c>
      <c r="J13" s="44">
        <f>2*I13</f>
        <v/>
      </c>
      <c r="K13" s="8">
        <f>MAX(1,INT('Truck Requirement'!$B$4/J13))</f>
        <v/>
      </c>
      <c r="L13" s="8">
        <f>SUM(M13:U13)</f>
        <v/>
      </c>
      <c r="M13" s="8" t="n"/>
      <c r="N13" s="8" t="n"/>
      <c r="O13" s="8" t="n">
        <v>1</v>
      </c>
      <c r="P13" s="8" t="n"/>
      <c r="Q13" s="8" t="n">
        <v>1</v>
      </c>
      <c r="R13" s="8" t="n"/>
      <c r="S13" s="8" t="n"/>
      <c r="T13" s="8" t="n"/>
      <c r="U13" s="8" t="n"/>
      <c r="V13" s="45">
        <f>IF(M13="","",M13/$K13)</f>
        <v/>
      </c>
      <c r="W13" s="45">
        <f>IF(N13="","",N13/$K13)</f>
        <v/>
      </c>
      <c r="X13" s="45">
        <f>IF(O13="","",O13/$K13)</f>
        <v/>
      </c>
      <c r="Y13" s="45">
        <f>IF(P13="","",P13/$K13)</f>
        <v/>
      </c>
      <c r="Z13" s="45">
        <f>IF(Q13="","",Q13/$K13)</f>
        <v/>
      </c>
      <c r="AA13" s="45">
        <f>IF(R13="","",R13/$K13)</f>
        <v/>
      </c>
      <c r="AB13" s="45">
        <f>IF(S13="","",S13/$K13)</f>
        <v/>
      </c>
      <c r="AC13" s="45">
        <f>IF(T13="","",T13/$K13)</f>
        <v/>
      </c>
      <c r="AD13" s="45">
        <f>IF(U13="","",U13/$K13)</f>
        <v/>
      </c>
    </row>
    <row r="14">
      <c r="A14" s="8" t="inlineStr">
        <is>
          <t>AB-INBEV</t>
        </is>
      </c>
      <c r="B14" s="8" t="inlineStr">
        <is>
          <t>Haulage</t>
        </is>
      </c>
      <c r="C14" s="8" t="inlineStr">
        <is>
          <t>Ilesa</t>
        </is>
      </c>
      <c r="D14" s="8" t="inlineStr">
        <is>
          <t>Sokoto</t>
        </is>
      </c>
      <c r="E14" s="8" t="inlineStr">
        <is>
          <t>SOKOTO&gt;IBADAN</t>
        </is>
      </c>
      <c r="F14" s="8" t="inlineStr">
        <is>
          <t>Nearest bay (Ibadan)</t>
        </is>
      </c>
      <c r="G14" s="44">
        <f>IFERROR(INDEX('Turnaround Table'!$C$5:$C$231,MATCH(E14,'Turnaround Table'!$D$5:$D$231,0)),"")</f>
        <v/>
      </c>
      <c r="H14" s="43" t="n"/>
      <c r="I14" s="44">
        <f>IF(H14&lt;&gt;"",H14,IF(G14&lt;&gt;"",G14,'Truck Requirement'!$B$5))</f>
        <v/>
      </c>
      <c r="J14" s="44">
        <f>2*I14</f>
        <v/>
      </c>
      <c r="K14" s="8">
        <f>MAX(1,INT('Truck Requirement'!$B$4/J14))</f>
        <v/>
      </c>
      <c r="L14" s="8">
        <f>SUM(M14:U14)</f>
        <v/>
      </c>
      <c r="M14" s="8" t="n"/>
      <c r="N14" s="8" t="n"/>
      <c r="O14" s="8" t="n"/>
      <c r="P14" s="8" t="n">
        <v>2</v>
      </c>
      <c r="Q14" s="8" t="n"/>
      <c r="R14" s="8" t="n"/>
      <c r="S14" s="8" t="n"/>
      <c r="T14" s="8" t="n"/>
      <c r="U14" s="8" t="n"/>
      <c r="V14" s="45">
        <f>IF(M14="","",M14/$K14)</f>
        <v/>
      </c>
      <c r="W14" s="45">
        <f>IF(N14="","",N14/$K14)</f>
        <v/>
      </c>
      <c r="X14" s="45">
        <f>IF(O14="","",O14/$K14)</f>
        <v/>
      </c>
      <c r="Y14" s="45">
        <f>IF(P14="","",P14/$K14)</f>
        <v/>
      </c>
      <c r="Z14" s="45">
        <f>IF(Q14="","",Q14/$K14)</f>
        <v/>
      </c>
      <c r="AA14" s="45">
        <f>IF(R14="","",R14/$K14)</f>
        <v/>
      </c>
      <c r="AB14" s="45">
        <f>IF(S14="","",S14/$K14)</f>
        <v/>
      </c>
      <c r="AC14" s="45">
        <f>IF(T14="","",T14/$K14)</f>
        <v/>
      </c>
      <c r="AD14" s="45">
        <f>IF(U14="","",U14/$K14)</f>
        <v/>
      </c>
    </row>
    <row r="15">
      <c r="A15" s="8" t="inlineStr">
        <is>
          <t>AB-INBEV</t>
        </is>
      </c>
      <c r="B15" s="8" t="inlineStr">
        <is>
          <t>Haulage</t>
        </is>
      </c>
      <c r="C15" s="8" t="inlineStr">
        <is>
          <t>Ilesa</t>
        </is>
      </c>
      <c r="D15" s="8" t="inlineStr">
        <is>
          <t>Abakaliki</t>
        </is>
      </c>
      <c r="E15" s="8" t="inlineStr">
        <is>
          <t>ABAKALIKI&gt;LAGOS</t>
        </is>
      </c>
      <c r="F15" s="8" t="inlineStr">
        <is>
          <t>Lagos bay used</t>
        </is>
      </c>
      <c r="G15" s="44">
        <f>IFERROR(INDEX('Turnaround Table'!$C$5:$C$231,MATCH(E15,'Turnaround Table'!$D$5:$D$231,0)),"")</f>
        <v/>
      </c>
      <c r="H15" s="43" t="n"/>
      <c r="I15" s="44">
        <f>IF(H15&lt;&gt;"",H15,IF(G15&lt;&gt;"",G15,'Truck Requirement'!$B$5))</f>
        <v/>
      </c>
      <c r="J15" s="44">
        <f>2*I15</f>
        <v/>
      </c>
      <c r="K15" s="8">
        <f>MAX(1,INT('Truck Requirement'!$B$4/J15))</f>
        <v/>
      </c>
      <c r="L15" s="8">
        <f>SUM(M15:U15)</f>
        <v/>
      </c>
      <c r="M15" s="8" t="n"/>
      <c r="N15" s="8" t="n"/>
      <c r="O15" s="8" t="n"/>
      <c r="P15" s="8" t="n">
        <v>1</v>
      </c>
      <c r="Q15" s="8" t="n"/>
      <c r="R15" s="8" t="n"/>
      <c r="S15" s="8" t="n"/>
      <c r="T15" s="8" t="n"/>
      <c r="U15" s="8" t="n"/>
      <c r="V15" s="45">
        <f>IF(M15="","",M15/$K15)</f>
        <v/>
      </c>
      <c r="W15" s="45">
        <f>IF(N15="","",N15/$K15)</f>
        <v/>
      </c>
      <c r="X15" s="45">
        <f>IF(O15="","",O15/$K15)</f>
        <v/>
      </c>
      <c r="Y15" s="45">
        <f>IF(P15="","",P15/$K15)</f>
        <v/>
      </c>
      <c r="Z15" s="45">
        <f>IF(Q15="","",Q15/$K15)</f>
        <v/>
      </c>
      <c r="AA15" s="45">
        <f>IF(R15="","",R15/$K15)</f>
        <v/>
      </c>
      <c r="AB15" s="45">
        <f>IF(S15="","",S15/$K15)</f>
        <v/>
      </c>
      <c r="AC15" s="45">
        <f>IF(T15="","",T15/$K15)</f>
        <v/>
      </c>
      <c r="AD15" s="45">
        <f>IF(U15="","",U15/$K15)</f>
        <v/>
      </c>
    </row>
    <row r="16">
      <c r="A16" s="8" t="inlineStr">
        <is>
          <t>AB-INBEV</t>
        </is>
      </c>
      <c r="B16" s="8" t="inlineStr">
        <is>
          <t>Haulage</t>
        </is>
      </c>
      <c r="C16" s="8" t="inlineStr">
        <is>
          <t>Ilesa</t>
        </is>
      </c>
      <c r="D16" s="8" t="inlineStr">
        <is>
          <t>Abuja</t>
        </is>
      </c>
      <c r="E16" s="8" t="inlineStr">
        <is>
          <t>ABUJA&gt;IBADAN</t>
        </is>
      </c>
      <c r="F16" s="8" t="inlineStr">
        <is>
          <t>Nearest bay (Ibadan)</t>
        </is>
      </c>
      <c r="G16" s="44">
        <f>IFERROR(INDEX('Turnaround Table'!$C$5:$C$231,MATCH(E16,'Turnaround Table'!$D$5:$D$231,0)),"")</f>
        <v/>
      </c>
      <c r="H16" s="43" t="n"/>
      <c r="I16" s="44">
        <f>IF(H16&lt;&gt;"",H16,IF(G16&lt;&gt;"",G16,'Truck Requirement'!$B$5))</f>
        <v/>
      </c>
      <c r="J16" s="44">
        <f>2*I16</f>
        <v/>
      </c>
      <c r="K16" s="8">
        <f>MAX(1,INT('Truck Requirement'!$B$4/J16))</f>
        <v/>
      </c>
      <c r="L16" s="8">
        <f>SUM(M16:U16)</f>
        <v/>
      </c>
      <c r="M16" s="8" t="n"/>
      <c r="N16" s="8" t="n"/>
      <c r="O16" s="8" t="n">
        <v>1</v>
      </c>
      <c r="P16" s="8" t="n"/>
      <c r="Q16" s="8" t="n"/>
      <c r="R16" s="8" t="n"/>
      <c r="S16" s="8" t="n"/>
      <c r="T16" s="8" t="n"/>
      <c r="U16" s="8" t="n"/>
      <c r="V16" s="45">
        <f>IF(M16="","",M16/$K16)</f>
        <v/>
      </c>
      <c r="W16" s="45">
        <f>IF(N16="","",N16/$K16)</f>
        <v/>
      </c>
      <c r="X16" s="45">
        <f>IF(O16="","",O16/$K16)</f>
        <v/>
      </c>
      <c r="Y16" s="45">
        <f>IF(P16="","",P16/$K16)</f>
        <v/>
      </c>
      <c r="Z16" s="45">
        <f>IF(Q16="","",Q16/$K16)</f>
        <v/>
      </c>
      <c r="AA16" s="45">
        <f>IF(R16="","",R16/$K16)</f>
        <v/>
      </c>
      <c r="AB16" s="45">
        <f>IF(S16="","",S16/$K16)</f>
        <v/>
      </c>
      <c r="AC16" s="45">
        <f>IF(T16="","",T16/$K16)</f>
        <v/>
      </c>
      <c r="AD16" s="45">
        <f>IF(U16="","",U16/$K16)</f>
        <v/>
      </c>
    </row>
    <row r="17">
      <c r="A17" s="8" t="inlineStr">
        <is>
          <t>AB-INBEV</t>
        </is>
      </c>
      <c r="B17" s="8" t="inlineStr">
        <is>
          <t>Haulage</t>
        </is>
      </c>
      <c r="C17" s="8" t="inlineStr">
        <is>
          <t>Ilesa</t>
        </is>
      </c>
      <c r="D17" s="8" t="inlineStr">
        <is>
          <t>Benue</t>
        </is>
      </c>
      <c r="E17" s="8" t="inlineStr">
        <is>
          <t>MAKURDI&gt;IBADAN</t>
        </is>
      </c>
      <c r="F17" s="8" t="inlineStr">
        <is>
          <t>Nearest bay (Ibadan)</t>
        </is>
      </c>
      <c r="G17" s="44">
        <f>IFERROR(INDEX('Turnaround Table'!$C$5:$C$231,MATCH(E17,'Turnaround Table'!$D$5:$D$231,0)),"")</f>
        <v/>
      </c>
      <c r="H17" s="43" t="n"/>
      <c r="I17" s="44">
        <f>IF(H17&lt;&gt;"",H17,IF(G17&lt;&gt;"",G17,'Truck Requirement'!$B$5))</f>
        <v/>
      </c>
      <c r="J17" s="44">
        <f>2*I17</f>
        <v/>
      </c>
      <c r="K17" s="8">
        <f>MAX(1,INT('Truck Requirement'!$B$4/J17))</f>
        <v/>
      </c>
      <c r="L17" s="8">
        <f>SUM(M17:U17)</f>
        <v/>
      </c>
      <c r="M17" s="8" t="n"/>
      <c r="N17" s="8" t="n"/>
      <c r="O17" s="8" t="n"/>
      <c r="P17" s="8" t="n">
        <v>1</v>
      </c>
      <c r="Q17" s="8" t="n"/>
      <c r="R17" s="8" t="n"/>
      <c r="S17" s="8" t="n"/>
      <c r="T17" s="8" t="n"/>
      <c r="U17" s="8" t="n"/>
      <c r="V17" s="45">
        <f>IF(M17="","",M17/$K17)</f>
        <v/>
      </c>
      <c r="W17" s="45">
        <f>IF(N17="","",N17/$K17)</f>
        <v/>
      </c>
      <c r="X17" s="45">
        <f>IF(O17="","",O17/$K17)</f>
        <v/>
      </c>
      <c r="Y17" s="45">
        <f>IF(P17="","",P17/$K17)</f>
        <v/>
      </c>
      <c r="Z17" s="45">
        <f>IF(Q17="","",Q17/$K17)</f>
        <v/>
      </c>
      <c r="AA17" s="45">
        <f>IF(R17="","",R17/$K17)</f>
        <v/>
      </c>
      <c r="AB17" s="45">
        <f>IF(S17="","",S17/$K17)</f>
        <v/>
      </c>
      <c r="AC17" s="45">
        <f>IF(T17="","",T17/$K17)</f>
        <v/>
      </c>
      <c r="AD17" s="45">
        <f>IF(U17="","",U17/$K17)</f>
        <v/>
      </c>
    </row>
    <row r="18">
      <c r="A18" s="8" t="inlineStr">
        <is>
          <t>AB-INBEV</t>
        </is>
      </c>
      <c r="B18" s="8" t="inlineStr">
        <is>
          <t>Haulage</t>
        </is>
      </c>
      <c r="C18" s="8" t="inlineStr">
        <is>
          <t>Ilesa</t>
        </is>
      </c>
      <c r="D18" s="8" t="inlineStr">
        <is>
          <t>Gboko</t>
        </is>
      </c>
      <c r="E18" s="8" t="inlineStr">
        <is>
          <t>GBOKO&gt;IBADAN</t>
        </is>
      </c>
      <c r="F18" s="8" t="inlineStr">
        <is>
          <t>Nearest bay (Ibadan)</t>
        </is>
      </c>
      <c r="G18" s="44">
        <f>IFERROR(INDEX('Turnaround Table'!$C$5:$C$231,MATCH(E18,'Turnaround Table'!$D$5:$D$231,0)),"")</f>
        <v/>
      </c>
      <c r="H18" s="43" t="n"/>
      <c r="I18" s="44">
        <f>IF(H18&lt;&gt;"",H18,IF(G18&lt;&gt;"",G18,'Truck Requirement'!$B$5))</f>
        <v/>
      </c>
      <c r="J18" s="44">
        <f>2*I18</f>
        <v/>
      </c>
      <c r="K18" s="8">
        <f>MAX(1,INT('Truck Requirement'!$B$4/J18))</f>
        <v/>
      </c>
      <c r="L18" s="8">
        <f>SUM(M18:U18)</f>
        <v/>
      </c>
      <c r="M18" s="8" t="n"/>
      <c r="N18" s="8" t="n"/>
      <c r="O18" s="8" t="n"/>
      <c r="P18" s="8" t="n">
        <v>1</v>
      </c>
      <c r="Q18" s="8" t="n"/>
      <c r="R18" s="8" t="n"/>
      <c r="S18" s="8" t="n"/>
      <c r="T18" s="8" t="n"/>
      <c r="U18" s="8" t="n"/>
      <c r="V18" s="45">
        <f>IF(M18="","",M18/$K18)</f>
        <v/>
      </c>
      <c r="W18" s="45">
        <f>IF(N18="","",N18/$K18)</f>
        <v/>
      </c>
      <c r="X18" s="45">
        <f>IF(O18="","",O18/$K18)</f>
        <v/>
      </c>
      <c r="Y18" s="45">
        <f>IF(P18="","",P18/$K18)</f>
        <v/>
      </c>
      <c r="Z18" s="45">
        <f>IF(Q18="","",Q18/$K18)</f>
        <v/>
      </c>
      <c r="AA18" s="45">
        <f>IF(R18="","",R18/$K18)</f>
        <v/>
      </c>
      <c r="AB18" s="45">
        <f>IF(S18="","",S18/$K18)</f>
        <v/>
      </c>
      <c r="AC18" s="45">
        <f>IF(T18="","",T18/$K18)</f>
        <v/>
      </c>
      <c r="AD18" s="45">
        <f>IF(U18="","",U18/$K18)</f>
        <v/>
      </c>
    </row>
    <row r="19">
      <c r="A19" s="8" t="inlineStr">
        <is>
          <t>AB-INBEV</t>
        </is>
      </c>
      <c r="B19" s="8" t="inlineStr">
        <is>
          <t>Haulage</t>
        </is>
      </c>
      <c r="C19" s="8" t="inlineStr">
        <is>
          <t>Ilesa</t>
        </is>
      </c>
      <c r="D19" s="8" t="inlineStr">
        <is>
          <t>Imo-Orlu</t>
        </is>
      </c>
      <c r="E19" s="8" t="inlineStr">
        <is>
          <t>OWERRI&gt;LAGOS</t>
        </is>
      </c>
      <c r="F19" s="8" t="inlineStr">
        <is>
          <t>Lagos bay used</t>
        </is>
      </c>
      <c r="G19" s="44">
        <f>IFERROR(INDEX('Turnaround Table'!$C$5:$C$231,MATCH(E19,'Turnaround Table'!$D$5:$D$231,0)),"")</f>
        <v/>
      </c>
      <c r="H19" s="43" t="n"/>
      <c r="I19" s="44">
        <f>IF(H19&lt;&gt;"",H19,IF(G19&lt;&gt;"",G19,'Truck Requirement'!$B$5))</f>
        <v/>
      </c>
      <c r="J19" s="44">
        <f>2*I19</f>
        <v/>
      </c>
      <c r="K19" s="8">
        <f>MAX(1,INT('Truck Requirement'!$B$4/J19))</f>
        <v/>
      </c>
      <c r="L19" s="8">
        <f>SUM(M19:U19)</f>
        <v/>
      </c>
      <c r="M19" s="8" t="n"/>
      <c r="N19" s="8" t="n"/>
      <c r="O19" s="8" t="n"/>
      <c r="P19" s="8" t="n">
        <v>1</v>
      </c>
      <c r="Q19" s="8" t="n"/>
      <c r="R19" s="8" t="n"/>
      <c r="S19" s="8" t="n"/>
      <c r="T19" s="8" t="n"/>
      <c r="U19" s="8" t="n"/>
      <c r="V19" s="45">
        <f>IF(M19="","",M19/$K19)</f>
        <v/>
      </c>
      <c r="W19" s="45">
        <f>IF(N19="","",N19/$K19)</f>
        <v/>
      </c>
      <c r="X19" s="45">
        <f>IF(O19="","",O19/$K19)</f>
        <v/>
      </c>
      <c r="Y19" s="45">
        <f>IF(P19="","",P19/$K19)</f>
        <v/>
      </c>
      <c r="Z19" s="45">
        <f>IF(Q19="","",Q19/$K19)</f>
        <v/>
      </c>
      <c r="AA19" s="45">
        <f>IF(R19="","",R19/$K19)</f>
        <v/>
      </c>
      <c r="AB19" s="45">
        <f>IF(S19="","",S19/$K19)</f>
        <v/>
      </c>
      <c r="AC19" s="45">
        <f>IF(T19="","",T19/$K19)</f>
        <v/>
      </c>
      <c r="AD19" s="45">
        <f>IF(U19="","",U19/$K19)</f>
        <v/>
      </c>
    </row>
    <row r="20">
      <c r="A20" s="8" t="inlineStr">
        <is>
          <t>AB-INBEV</t>
        </is>
      </c>
      <c r="B20" s="8" t="inlineStr">
        <is>
          <t>Haulage</t>
        </is>
      </c>
      <c r="C20" s="8" t="inlineStr">
        <is>
          <t>Ilesa</t>
        </is>
      </c>
      <c r="D20" s="8" t="inlineStr">
        <is>
          <t>Kanfanchan, Kaduna</t>
        </is>
      </c>
      <c r="E20" s="8" t="inlineStr">
        <is>
          <t>KADUNA&gt;IBADAN</t>
        </is>
      </c>
      <c r="F20" s="8" t="inlineStr">
        <is>
          <t>Nearest bay (Ibadan)</t>
        </is>
      </c>
      <c r="G20" s="44">
        <f>IFERROR(INDEX('Turnaround Table'!$C$5:$C$231,MATCH(E20,'Turnaround Table'!$D$5:$D$231,0)),"")</f>
        <v/>
      </c>
      <c r="H20" s="43" t="n"/>
      <c r="I20" s="44">
        <f>IF(H20&lt;&gt;"",H20,IF(G20&lt;&gt;"",G20,'Truck Requirement'!$B$5))</f>
        <v/>
      </c>
      <c r="J20" s="44">
        <f>2*I20</f>
        <v/>
      </c>
      <c r="K20" s="8">
        <f>MAX(1,INT('Truck Requirement'!$B$4/J20))</f>
        <v/>
      </c>
      <c r="L20" s="8">
        <f>SUM(M20:U20)</f>
        <v/>
      </c>
      <c r="M20" s="8" t="n"/>
      <c r="N20" s="8" t="n"/>
      <c r="O20" s="8" t="n"/>
      <c r="P20" s="8" t="n">
        <v>1</v>
      </c>
      <c r="Q20" s="8" t="n"/>
      <c r="R20" s="8" t="n"/>
      <c r="S20" s="8" t="n"/>
      <c r="T20" s="8" t="n"/>
      <c r="U20" s="8" t="n"/>
      <c r="V20" s="45">
        <f>IF(M20="","",M20/$K20)</f>
        <v/>
      </c>
      <c r="W20" s="45">
        <f>IF(N20="","",N20/$K20)</f>
        <v/>
      </c>
      <c r="X20" s="45">
        <f>IF(O20="","",O20/$K20)</f>
        <v/>
      </c>
      <c r="Y20" s="45">
        <f>IF(P20="","",P20/$K20)</f>
        <v/>
      </c>
      <c r="Z20" s="45">
        <f>IF(Q20="","",Q20/$K20)</f>
        <v/>
      </c>
      <c r="AA20" s="45">
        <f>IF(R20="","",R20/$K20)</f>
        <v/>
      </c>
      <c r="AB20" s="45">
        <f>IF(S20="","",S20/$K20)</f>
        <v/>
      </c>
      <c r="AC20" s="45">
        <f>IF(T20="","",T20/$K20)</f>
        <v/>
      </c>
      <c r="AD20" s="45">
        <f>IF(U20="","",U20/$K20)</f>
        <v/>
      </c>
    </row>
    <row r="21">
      <c r="A21" s="8" t="inlineStr">
        <is>
          <t>AB-INBEV</t>
        </is>
      </c>
      <c r="B21" s="8" t="inlineStr">
        <is>
          <t>Haulage</t>
        </is>
      </c>
      <c r="C21" s="8" t="inlineStr">
        <is>
          <t>Ilesa</t>
        </is>
      </c>
      <c r="D21" s="8" t="inlineStr">
        <is>
          <t>Katsina</t>
        </is>
      </c>
      <c r="E21" s="8" t="inlineStr">
        <is>
          <t>KATSINA&gt;LAGOS</t>
        </is>
      </c>
      <c r="F21" s="8" t="inlineStr">
        <is>
          <t>Lagos bay used</t>
        </is>
      </c>
      <c r="G21" s="44">
        <f>IFERROR(INDEX('Turnaround Table'!$C$5:$C$231,MATCH(E21,'Turnaround Table'!$D$5:$D$231,0)),"")</f>
        <v/>
      </c>
      <c r="H21" s="43" t="n"/>
      <c r="I21" s="44">
        <f>IF(H21&lt;&gt;"",H21,IF(G21&lt;&gt;"",G21,'Truck Requirement'!$B$5))</f>
        <v/>
      </c>
      <c r="J21" s="44">
        <f>2*I21</f>
        <v/>
      </c>
      <c r="K21" s="8">
        <f>MAX(1,INT('Truck Requirement'!$B$4/J21))</f>
        <v/>
      </c>
      <c r="L21" s="8">
        <f>SUM(M21:U21)</f>
        <v/>
      </c>
      <c r="M21" s="8" t="n"/>
      <c r="N21" s="8" t="n"/>
      <c r="O21" s="8" t="n"/>
      <c r="P21" s="8" t="n"/>
      <c r="Q21" s="8" t="n">
        <v>1</v>
      </c>
      <c r="R21" s="8" t="n"/>
      <c r="S21" s="8" t="n"/>
      <c r="T21" s="8" t="n"/>
      <c r="U21" s="8" t="n"/>
      <c r="V21" s="45">
        <f>IF(M21="","",M21/$K21)</f>
        <v/>
      </c>
      <c r="W21" s="45">
        <f>IF(N21="","",N21/$K21)</f>
        <v/>
      </c>
      <c r="X21" s="45">
        <f>IF(O21="","",O21/$K21)</f>
        <v/>
      </c>
      <c r="Y21" s="45">
        <f>IF(P21="","",P21/$K21)</f>
        <v/>
      </c>
      <c r="Z21" s="45">
        <f>IF(Q21="","",Q21/$K21)</f>
        <v/>
      </c>
      <c r="AA21" s="45">
        <f>IF(R21="","",R21/$K21)</f>
        <v/>
      </c>
      <c r="AB21" s="45">
        <f>IF(S21="","",S21/$K21)</f>
        <v/>
      </c>
      <c r="AC21" s="45">
        <f>IF(T21="","",T21/$K21)</f>
        <v/>
      </c>
      <c r="AD21" s="45">
        <f>IF(U21="","",U21/$K21)</f>
        <v/>
      </c>
    </row>
    <row r="22">
      <c r="A22" s="8" t="inlineStr">
        <is>
          <t>AB-INBEV</t>
        </is>
      </c>
      <c r="B22" s="8" t="inlineStr">
        <is>
          <t>Haulage</t>
        </is>
      </c>
      <c r="C22" s="8" t="inlineStr">
        <is>
          <t>Ilesa</t>
        </is>
      </c>
      <c r="D22" s="8" t="inlineStr">
        <is>
          <t>Lafia</t>
        </is>
      </c>
      <c r="E22" s="8" t="inlineStr">
        <is>
          <t>LAFIA&gt;IBADAN</t>
        </is>
      </c>
      <c r="F22" s="8" t="inlineStr">
        <is>
          <t>Nearest bay (Ibadan)</t>
        </is>
      </c>
      <c r="G22" s="44">
        <f>IFERROR(INDEX('Turnaround Table'!$C$5:$C$231,MATCH(E22,'Turnaround Table'!$D$5:$D$231,0)),"")</f>
        <v/>
      </c>
      <c r="H22" s="43" t="n"/>
      <c r="I22" s="44">
        <f>IF(H22&lt;&gt;"",H22,IF(G22&lt;&gt;"",G22,'Truck Requirement'!$B$5))</f>
        <v/>
      </c>
      <c r="J22" s="44">
        <f>2*I22</f>
        <v/>
      </c>
      <c r="K22" s="8">
        <f>MAX(1,INT('Truck Requirement'!$B$4/J22))</f>
        <v/>
      </c>
      <c r="L22" s="8">
        <f>SUM(M22:U22)</f>
        <v/>
      </c>
      <c r="M22" s="8" t="n"/>
      <c r="N22" s="8" t="n"/>
      <c r="O22" s="8" t="n"/>
      <c r="P22" s="8" t="n"/>
      <c r="Q22" s="8" t="n">
        <v>1</v>
      </c>
      <c r="R22" s="8" t="n"/>
      <c r="S22" s="8" t="n"/>
      <c r="T22" s="8" t="n"/>
      <c r="U22" s="8" t="n"/>
      <c r="V22" s="45">
        <f>IF(M22="","",M22/$K22)</f>
        <v/>
      </c>
      <c r="W22" s="45">
        <f>IF(N22="","",N22/$K22)</f>
        <v/>
      </c>
      <c r="X22" s="45">
        <f>IF(O22="","",O22/$K22)</f>
        <v/>
      </c>
      <c r="Y22" s="45">
        <f>IF(P22="","",P22/$K22)</f>
        <v/>
      </c>
      <c r="Z22" s="45">
        <f>IF(Q22="","",Q22/$K22)</f>
        <v/>
      </c>
      <c r="AA22" s="45">
        <f>IF(R22="","",R22/$K22)</f>
        <v/>
      </c>
      <c r="AB22" s="45">
        <f>IF(S22="","",S22/$K22)</f>
        <v/>
      </c>
      <c r="AC22" s="45">
        <f>IF(T22="","",T22/$K22)</f>
        <v/>
      </c>
      <c r="AD22" s="45">
        <f>IF(U22="","",U22/$K22)</f>
        <v/>
      </c>
    </row>
    <row r="23">
      <c r="A23" s="8" t="inlineStr">
        <is>
          <t>AB-INBEV</t>
        </is>
      </c>
      <c r="B23" s="8" t="inlineStr">
        <is>
          <t>Haulage</t>
        </is>
      </c>
      <c r="C23" s="8" t="inlineStr">
        <is>
          <t>Ilesa</t>
        </is>
      </c>
      <c r="D23" s="8" t="inlineStr">
        <is>
          <t>Lantang, Plateau</t>
        </is>
      </c>
      <c r="E23" s="8" t="inlineStr">
        <is>
          <t>SHENDAM&gt;LAGOS</t>
        </is>
      </c>
      <c r="F23" s="8" t="inlineStr">
        <is>
          <t>Lagos bay used</t>
        </is>
      </c>
      <c r="G23" s="44">
        <f>IFERROR(INDEX('Turnaround Table'!$C$5:$C$231,MATCH(E23,'Turnaround Table'!$D$5:$D$231,0)),"")</f>
        <v/>
      </c>
      <c r="H23" s="43" t="n"/>
      <c r="I23" s="44">
        <f>IF(H23&lt;&gt;"",H23,IF(G23&lt;&gt;"",G23,'Truck Requirement'!$B$5))</f>
        <v/>
      </c>
      <c r="J23" s="44">
        <f>2*I23</f>
        <v/>
      </c>
      <c r="K23" s="8">
        <f>MAX(1,INT('Truck Requirement'!$B$4/J23))</f>
        <v/>
      </c>
      <c r="L23" s="8">
        <f>SUM(M23:U23)</f>
        <v/>
      </c>
      <c r="M23" s="8" t="n"/>
      <c r="N23" s="8" t="n"/>
      <c r="O23" s="8" t="n"/>
      <c r="P23" s="8" t="n">
        <v>1</v>
      </c>
      <c r="Q23" s="8" t="n"/>
      <c r="R23" s="8" t="n"/>
      <c r="S23" s="8" t="n"/>
      <c r="T23" s="8" t="n"/>
      <c r="U23" s="8" t="n"/>
      <c r="V23" s="45">
        <f>IF(M23="","",M23/$K23)</f>
        <v/>
      </c>
      <c r="W23" s="45">
        <f>IF(N23="","",N23/$K23)</f>
        <v/>
      </c>
      <c r="X23" s="45">
        <f>IF(O23="","",O23/$K23)</f>
        <v/>
      </c>
      <c r="Y23" s="45">
        <f>IF(P23="","",P23/$K23)</f>
        <v/>
      </c>
      <c r="Z23" s="45">
        <f>IF(Q23="","",Q23/$K23)</f>
        <v/>
      </c>
      <c r="AA23" s="45">
        <f>IF(R23="","",R23/$K23)</f>
        <v/>
      </c>
      <c r="AB23" s="45">
        <f>IF(S23="","",S23/$K23)</f>
        <v/>
      </c>
      <c r="AC23" s="45">
        <f>IF(T23="","",T23/$K23)</f>
        <v/>
      </c>
      <c r="AD23" s="45">
        <f>IF(U23="","",U23/$K23)</f>
        <v/>
      </c>
    </row>
    <row r="24">
      <c r="A24" s="8" t="inlineStr">
        <is>
          <t>AB-INBEV</t>
        </is>
      </c>
      <c r="B24" s="8" t="inlineStr">
        <is>
          <t>Haulage</t>
        </is>
      </c>
      <c r="C24" s="8" t="inlineStr">
        <is>
          <t>Ilesa</t>
        </is>
      </c>
      <c r="D24" s="8" t="inlineStr">
        <is>
          <t>Mangu</t>
        </is>
      </c>
      <c r="E24" s="8" t="inlineStr">
        <is>
          <t>JOS&gt;IBADAN</t>
        </is>
      </c>
      <c r="F24" s="8" t="inlineStr">
        <is>
          <t>Nearest bay (Ibadan)</t>
        </is>
      </c>
      <c r="G24" s="44">
        <f>IFERROR(INDEX('Turnaround Table'!$C$5:$C$231,MATCH(E24,'Turnaround Table'!$D$5:$D$231,0)),"")</f>
        <v/>
      </c>
      <c r="H24" s="43" t="n"/>
      <c r="I24" s="44">
        <f>IF(H24&lt;&gt;"",H24,IF(G24&lt;&gt;"",G24,'Truck Requirement'!$B$5))</f>
        <v/>
      </c>
      <c r="J24" s="44">
        <f>2*I24</f>
        <v/>
      </c>
      <c r="K24" s="8">
        <f>MAX(1,INT('Truck Requirement'!$B$4/J24))</f>
        <v/>
      </c>
      <c r="L24" s="8">
        <f>SUM(M24:U24)</f>
        <v/>
      </c>
      <c r="M24" s="8" t="n"/>
      <c r="N24" s="8" t="n"/>
      <c r="O24" s="8" t="n"/>
      <c r="P24" s="8" t="n">
        <v>1</v>
      </c>
      <c r="Q24" s="8" t="n"/>
      <c r="R24" s="8" t="n"/>
      <c r="S24" s="8" t="n"/>
      <c r="T24" s="8" t="n"/>
      <c r="U24" s="8" t="n"/>
      <c r="V24" s="45">
        <f>IF(M24="","",M24/$K24)</f>
        <v/>
      </c>
      <c r="W24" s="45">
        <f>IF(N24="","",N24/$K24)</f>
        <v/>
      </c>
      <c r="X24" s="45">
        <f>IF(O24="","",O24/$K24)</f>
        <v/>
      </c>
      <c r="Y24" s="45">
        <f>IF(P24="","",P24/$K24)</f>
        <v/>
      </c>
      <c r="Z24" s="45">
        <f>IF(Q24="","",Q24/$K24)</f>
        <v/>
      </c>
      <c r="AA24" s="45">
        <f>IF(R24="","",R24/$K24)</f>
        <v/>
      </c>
      <c r="AB24" s="45">
        <f>IF(S24="","",S24/$K24)</f>
        <v/>
      </c>
      <c r="AC24" s="45">
        <f>IF(T24="","",T24/$K24)</f>
        <v/>
      </c>
      <c r="AD24" s="45">
        <f>IF(U24="","",U24/$K24)</f>
        <v/>
      </c>
    </row>
    <row r="25">
      <c r="A25" s="8" t="inlineStr">
        <is>
          <t>AB-INBEV</t>
        </is>
      </c>
      <c r="B25" s="8" t="inlineStr">
        <is>
          <t>Haulage</t>
        </is>
      </c>
      <c r="C25" s="8" t="inlineStr">
        <is>
          <t>Ilesa</t>
        </is>
      </c>
      <c r="D25" s="8" t="inlineStr">
        <is>
          <t>Nasarawa</t>
        </is>
      </c>
      <c r="E25" s="8" t="inlineStr">
        <is>
          <t>LAFIA&gt;IBADAN</t>
        </is>
      </c>
      <c r="F25" s="8" t="inlineStr">
        <is>
          <t>Nearest bay (Ibadan)</t>
        </is>
      </c>
      <c r="G25" s="44">
        <f>IFERROR(INDEX('Turnaround Table'!$C$5:$C$231,MATCH(E25,'Turnaround Table'!$D$5:$D$231,0)),"")</f>
        <v/>
      </c>
      <c r="H25" s="43" t="n"/>
      <c r="I25" s="44">
        <f>IF(H25&lt;&gt;"",H25,IF(G25&lt;&gt;"",G25,'Truck Requirement'!$B$5))</f>
        <v/>
      </c>
      <c r="J25" s="44">
        <f>2*I25</f>
        <v/>
      </c>
      <c r="K25" s="8">
        <f>MAX(1,INT('Truck Requirement'!$B$4/J25))</f>
        <v/>
      </c>
      <c r="L25" s="8">
        <f>SUM(M25:U25)</f>
        <v/>
      </c>
      <c r="M25" s="8" t="n"/>
      <c r="N25" s="8" t="n"/>
      <c r="O25" s="8" t="n"/>
      <c r="P25" s="8" t="n">
        <v>1</v>
      </c>
      <c r="Q25" s="8" t="n"/>
      <c r="R25" s="8" t="n"/>
      <c r="S25" s="8" t="n"/>
      <c r="T25" s="8" t="n"/>
      <c r="U25" s="8" t="n"/>
      <c r="V25" s="45">
        <f>IF(M25="","",M25/$K25)</f>
        <v/>
      </c>
      <c r="W25" s="45">
        <f>IF(N25="","",N25/$K25)</f>
        <v/>
      </c>
      <c r="X25" s="45">
        <f>IF(O25="","",O25/$K25)</f>
        <v/>
      </c>
      <c r="Y25" s="45">
        <f>IF(P25="","",P25/$K25)</f>
        <v/>
      </c>
      <c r="Z25" s="45">
        <f>IF(Q25="","",Q25/$K25)</f>
        <v/>
      </c>
      <c r="AA25" s="45">
        <f>IF(R25="","",R25/$K25)</f>
        <v/>
      </c>
      <c r="AB25" s="45">
        <f>IF(S25="","",S25/$K25)</f>
        <v/>
      </c>
      <c r="AC25" s="45">
        <f>IF(T25="","",T25/$K25)</f>
        <v/>
      </c>
      <c r="AD25" s="45">
        <f>IF(U25="","",U25/$K25)</f>
        <v/>
      </c>
    </row>
    <row r="26">
      <c r="A26" s="51" t="inlineStr">
        <is>
          <t>AB-INBEV</t>
        </is>
      </c>
      <c r="B26" s="51" t="inlineStr">
        <is>
          <t>Haulage</t>
        </is>
      </c>
      <c r="C26" s="51" t="inlineStr">
        <is>
          <t>Ilesa</t>
        </is>
      </c>
      <c r="D26" s="51" t="inlineStr">
        <is>
          <t>Rivers State</t>
        </is>
      </c>
      <c r="E26" s="51" t="n">
        <v/>
      </c>
      <c r="F26" s="51" t="inlineStr">
        <is>
          <t>Not in table</t>
        </is>
      </c>
      <c r="G26" s="44">
        <f>IFERROR(INDEX('Turnaround Table'!$C$5:$C$231,MATCH(E26,'Turnaround Table'!$D$5:$D$231,0)),"")</f>
        <v/>
      </c>
      <c r="H26" s="43" t="n"/>
      <c r="I26" s="44">
        <f>IF(H26&lt;&gt;"",H26,IF(G26&lt;&gt;"",G26,'Truck Requirement'!$B$5))</f>
        <v/>
      </c>
      <c r="J26" s="44">
        <f>2*I26</f>
        <v/>
      </c>
      <c r="K26" s="8">
        <f>MAX(1,INT('Truck Requirement'!$B$4/J26))</f>
        <v/>
      </c>
      <c r="L26" s="8">
        <f>SUM(M26:U26)</f>
        <v/>
      </c>
      <c r="M26" s="8" t="n"/>
      <c r="N26" s="8" t="n"/>
      <c r="O26" s="8" t="n"/>
      <c r="P26" s="8" t="n">
        <v>1</v>
      </c>
      <c r="Q26" s="8" t="n"/>
      <c r="R26" s="8" t="n"/>
      <c r="S26" s="8" t="n"/>
      <c r="T26" s="8" t="n"/>
      <c r="U26" s="8" t="n"/>
      <c r="V26" s="45">
        <f>IF(M26="","",M26/$K26)</f>
        <v/>
      </c>
      <c r="W26" s="45">
        <f>IF(N26="","",N26/$K26)</f>
        <v/>
      </c>
      <c r="X26" s="45">
        <f>IF(O26="","",O26/$K26)</f>
        <v/>
      </c>
      <c r="Y26" s="45">
        <f>IF(P26="","",P26/$K26)</f>
        <v/>
      </c>
      <c r="Z26" s="45">
        <f>IF(Q26="","",Q26/$K26)</f>
        <v/>
      </c>
      <c r="AA26" s="45">
        <f>IF(R26="","",R26/$K26)</f>
        <v/>
      </c>
      <c r="AB26" s="45">
        <f>IF(S26="","",S26/$K26)</f>
        <v/>
      </c>
      <c r="AC26" s="45">
        <f>IF(T26="","",T26/$K26)</f>
        <v/>
      </c>
      <c r="AD26" s="45">
        <f>IF(U26="","",U26/$K26)</f>
        <v/>
      </c>
    </row>
    <row r="27">
      <c r="A27" s="8" t="inlineStr">
        <is>
          <t>AB-INBEV</t>
        </is>
      </c>
      <c r="B27" s="8" t="inlineStr">
        <is>
          <t>Haulage</t>
        </is>
      </c>
      <c r="C27" s="8" t="inlineStr">
        <is>
          <t>Ilesa</t>
        </is>
      </c>
      <c r="D27" s="8" t="inlineStr">
        <is>
          <t>Tundun Wada, Plateau</t>
        </is>
      </c>
      <c r="E27" s="8" t="inlineStr">
        <is>
          <t>SHENDAM&gt;LAGOS</t>
        </is>
      </c>
      <c r="F27" s="8" t="inlineStr">
        <is>
          <t>Lagos bay used</t>
        </is>
      </c>
      <c r="G27" s="44">
        <f>IFERROR(INDEX('Turnaround Table'!$C$5:$C$231,MATCH(E27,'Turnaround Table'!$D$5:$D$231,0)),"")</f>
        <v/>
      </c>
      <c r="H27" s="43" t="n"/>
      <c r="I27" s="44">
        <f>IF(H27&lt;&gt;"",H27,IF(G27&lt;&gt;"",G27,'Truck Requirement'!$B$5))</f>
        <v/>
      </c>
      <c r="J27" s="44">
        <f>2*I27</f>
        <v/>
      </c>
      <c r="K27" s="8">
        <f>MAX(1,INT('Truck Requirement'!$B$4/J27))</f>
        <v/>
      </c>
      <c r="L27" s="8">
        <f>SUM(M27:U27)</f>
        <v/>
      </c>
      <c r="M27" s="8" t="n"/>
      <c r="N27" s="8" t="n"/>
      <c r="O27" s="8" t="n"/>
      <c r="P27" s="8" t="n">
        <v>1</v>
      </c>
      <c r="Q27" s="8" t="n"/>
      <c r="R27" s="8" t="n"/>
      <c r="S27" s="8" t="n"/>
      <c r="T27" s="8" t="n"/>
      <c r="U27" s="8" t="n"/>
      <c r="V27" s="45">
        <f>IF(M27="","",M27/$K27)</f>
        <v/>
      </c>
      <c r="W27" s="45">
        <f>IF(N27="","",N27/$K27)</f>
        <v/>
      </c>
      <c r="X27" s="45">
        <f>IF(O27="","",O27/$K27)</f>
        <v/>
      </c>
      <c r="Y27" s="45">
        <f>IF(P27="","",P27/$K27)</f>
        <v/>
      </c>
      <c r="Z27" s="45">
        <f>IF(Q27="","",Q27/$K27)</f>
        <v/>
      </c>
      <c r="AA27" s="45">
        <f>IF(R27="","",R27/$K27)</f>
        <v/>
      </c>
      <c r="AB27" s="45">
        <f>IF(S27="","",S27/$K27)</f>
        <v/>
      </c>
      <c r="AC27" s="45">
        <f>IF(T27="","",T27/$K27)</f>
        <v/>
      </c>
      <c r="AD27" s="45">
        <f>IF(U27="","",U27/$K27)</f>
        <v/>
      </c>
    </row>
    <row r="28">
      <c r="A28" s="8" t="inlineStr">
        <is>
          <t>AB-INBEV</t>
        </is>
      </c>
      <c r="B28" s="8" t="inlineStr">
        <is>
          <t>Haulage</t>
        </is>
      </c>
      <c r="C28" s="8" t="inlineStr">
        <is>
          <t>Ilesa</t>
        </is>
      </c>
      <c r="D28" s="8" t="inlineStr">
        <is>
          <t>Uli</t>
        </is>
      </c>
      <c r="E28" s="8" t="inlineStr">
        <is>
          <t>ONITSHA&gt;IBADAN</t>
        </is>
      </c>
      <c r="F28" s="8" t="inlineStr">
        <is>
          <t>Nearest bay (Ibadan)</t>
        </is>
      </c>
      <c r="G28" s="44">
        <f>IFERROR(INDEX('Turnaround Table'!$C$5:$C$231,MATCH(E28,'Turnaround Table'!$D$5:$D$231,0)),"")</f>
        <v/>
      </c>
      <c r="H28" s="43" t="n"/>
      <c r="I28" s="44">
        <f>IF(H28&lt;&gt;"",H28,IF(G28&lt;&gt;"",G28,'Truck Requirement'!$B$5))</f>
        <v/>
      </c>
      <c r="J28" s="44">
        <f>2*I28</f>
        <v/>
      </c>
      <c r="K28" s="8">
        <f>MAX(1,INT('Truck Requirement'!$B$4/J28))</f>
        <v/>
      </c>
      <c r="L28" s="8">
        <f>SUM(M28:U28)</f>
        <v/>
      </c>
      <c r="M28" s="8" t="n"/>
      <c r="N28" s="8" t="n"/>
      <c r="O28" s="8" t="n"/>
      <c r="P28" s="8" t="n">
        <v>1</v>
      </c>
      <c r="Q28" s="8" t="n"/>
      <c r="R28" s="8" t="n"/>
      <c r="S28" s="8" t="n"/>
      <c r="T28" s="8" t="n"/>
      <c r="U28" s="8" t="n"/>
      <c r="V28" s="45">
        <f>IF(M28="","",M28/$K28)</f>
        <v/>
      </c>
      <c r="W28" s="45">
        <f>IF(N28="","",N28/$K28)</f>
        <v/>
      </c>
      <c r="X28" s="45">
        <f>IF(O28="","",O28/$K28)</f>
        <v/>
      </c>
      <c r="Y28" s="45">
        <f>IF(P28="","",P28/$K28)</f>
        <v/>
      </c>
      <c r="Z28" s="45">
        <f>IF(Q28="","",Q28/$K28)</f>
        <v/>
      </c>
      <c r="AA28" s="45">
        <f>IF(R28="","",R28/$K28)</f>
        <v/>
      </c>
      <c r="AB28" s="45">
        <f>IF(S28="","",S28/$K28)</f>
        <v/>
      </c>
      <c r="AC28" s="45">
        <f>IF(T28="","",T28/$K28)</f>
        <v/>
      </c>
      <c r="AD28" s="45">
        <f>IF(U28="","",U28/$K28)</f>
        <v/>
      </c>
    </row>
    <row r="29">
      <c r="A29" s="8" t="inlineStr">
        <is>
          <t>ABBA ABASS</t>
        </is>
      </c>
      <c r="B29" s="8" t="inlineStr">
        <is>
          <t>Haulage</t>
        </is>
      </c>
      <c r="C29" s="8" t="inlineStr">
        <is>
          <t>Nasarawa</t>
        </is>
      </c>
      <c r="D29" s="8" t="inlineStr">
        <is>
          <t>Ogere</t>
        </is>
      </c>
      <c r="E29" s="8" t="inlineStr">
        <is>
          <t>LAFIA&gt;LAGOS</t>
        </is>
      </c>
      <c r="F29" s="8" t="inlineStr">
        <is>
          <t>Reverse</t>
        </is>
      </c>
      <c r="G29" s="44">
        <f>IFERROR(INDEX('Turnaround Table'!$C$5:$C$231,MATCH(E29,'Turnaround Table'!$D$5:$D$231,0)),"")</f>
        <v/>
      </c>
      <c r="H29" s="43" t="n"/>
      <c r="I29" s="44">
        <f>IF(H29&lt;&gt;"",H29,IF(G29&lt;&gt;"",G29,'Truck Requirement'!$B$5))</f>
        <v/>
      </c>
      <c r="J29" s="44">
        <f>2*I29</f>
        <v/>
      </c>
      <c r="K29" s="8">
        <f>MAX(1,INT('Truck Requirement'!$B$4/J29))</f>
        <v/>
      </c>
      <c r="L29" s="8">
        <f>SUM(M29:U29)</f>
        <v/>
      </c>
      <c r="M29" s="8" t="n"/>
      <c r="N29" s="8" t="n"/>
      <c r="O29" s="8" t="n"/>
      <c r="P29" s="8" t="n"/>
      <c r="Q29" s="8" t="n"/>
      <c r="R29" s="8" t="n">
        <v>8</v>
      </c>
      <c r="S29" s="8" t="n">
        <v>9</v>
      </c>
      <c r="T29" s="8" t="n">
        <v>3</v>
      </c>
      <c r="U29" s="8" t="n">
        <v>11</v>
      </c>
      <c r="V29" s="45">
        <f>IF(M29="","",M29/$K29)</f>
        <v/>
      </c>
      <c r="W29" s="45">
        <f>IF(N29="","",N29/$K29)</f>
        <v/>
      </c>
      <c r="X29" s="45">
        <f>IF(O29="","",O29/$K29)</f>
        <v/>
      </c>
      <c r="Y29" s="45">
        <f>IF(P29="","",P29/$K29)</f>
        <v/>
      </c>
      <c r="Z29" s="45">
        <f>IF(Q29="","",Q29/$K29)</f>
        <v/>
      </c>
      <c r="AA29" s="45">
        <f>IF(R29="","",R29/$K29)</f>
        <v/>
      </c>
      <c r="AB29" s="45">
        <f>IF(S29="","",S29/$K29)</f>
        <v/>
      </c>
      <c r="AC29" s="45">
        <f>IF(T29="","",T29/$K29)</f>
        <v/>
      </c>
      <c r="AD29" s="45">
        <f>IF(U29="","",U29/$K29)</f>
        <v/>
      </c>
    </row>
    <row r="30">
      <c r="A30" s="8" t="inlineStr">
        <is>
          <t>ABBA ABASS</t>
        </is>
      </c>
      <c r="B30" s="8" t="inlineStr">
        <is>
          <t>Haulage</t>
        </is>
      </c>
      <c r="C30" s="8" t="inlineStr">
        <is>
          <t>Ogere</t>
        </is>
      </c>
      <c r="D30" s="8" t="inlineStr">
        <is>
          <t>Nasarawa</t>
        </is>
      </c>
      <c r="E30" s="8" t="inlineStr">
        <is>
          <t>LAFIA&gt;LAGOS</t>
        </is>
      </c>
      <c r="F30" s="8" t="inlineStr">
        <is>
          <t>Nearest bay (Lagos)</t>
        </is>
      </c>
      <c r="G30" s="44">
        <f>IFERROR(INDEX('Turnaround Table'!$C$5:$C$231,MATCH(E30,'Turnaround Table'!$D$5:$D$231,0)),"")</f>
        <v/>
      </c>
      <c r="H30" s="43" t="n"/>
      <c r="I30" s="44">
        <f>IF(H30&lt;&gt;"",H30,IF(G30&lt;&gt;"",G30,'Truck Requirement'!$B$5))</f>
        <v/>
      </c>
      <c r="J30" s="44">
        <f>2*I30</f>
        <v/>
      </c>
      <c r="K30" s="8">
        <f>MAX(1,INT('Truck Requirement'!$B$4/J30))</f>
        <v/>
      </c>
      <c r="L30" s="8">
        <f>SUM(M30:U30)</f>
        <v/>
      </c>
      <c r="M30" s="8" t="n"/>
      <c r="N30" s="8" t="n"/>
      <c r="O30" s="8" t="n"/>
      <c r="P30" s="8" t="n"/>
      <c r="Q30" s="8" t="n"/>
      <c r="R30" s="8" t="n"/>
      <c r="S30" s="8" t="n"/>
      <c r="T30" s="8" t="n">
        <v>2</v>
      </c>
      <c r="U30" s="8" t="n">
        <v>1</v>
      </c>
      <c r="V30" s="45">
        <f>IF(M30="","",M30/$K30)</f>
        <v/>
      </c>
      <c r="W30" s="45">
        <f>IF(N30="","",N30/$K30)</f>
        <v/>
      </c>
      <c r="X30" s="45">
        <f>IF(O30="","",O30/$K30)</f>
        <v/>
      </c>
      <c r="Y30" s="45">
        <f>IF(P30="","",P30/$K30)</f>
        <v/>
      </c>
      <c r="Z30" s="45">
        <f>IF(Q30="","",Q30/$K30)</f>
        <v/>
      </c>
      <c r="AA30" s="45">
        <f>IF(R30="","",R30/$K30)</f>
        <v/>
      </c>
      <c r="AB30" s="45">
        <f>IF(S30="","",S30/$K30)</f>
        <v/>
      </c>
      <c r="AC30" s="45">
        <f>IF(T30="","",T30/$K30)</f>
        <v/>
      </c>
      <c r="AD30" s="45">
        <f>IF(U30="","",U30/$K30)</f>
        <v/>
      </c>
    </row>
    <row r="31">
      <c r="A31" s="8" t="inlineStr">
        <is>
          <t>B2B-ORCA DECO LIMITED (MR LEKAN)</t>
        </is>
      </c>
      <c r="B31" s="8" t="inlineStr">
        <is>
          <t>Haulage</t>
        </is>
      </c>
      <c r="C31" s="8" t="inlineStr">
        <is>
          <t>Lagos</t>
        </is>
      </c>
      <c r="D31" s="8" t="inlineStr">
        <is>
          <t>Lekki</t>
        </is>
      </c>
      <c r="E31" s="8" t="inlineStr">
        <is>
          <t>LEKKI&gt;LAGOS</t>
        </is>
      </c>
      <c r="F31" s="8" t="inlineStr">
        <is>
          <t>Exact</t>
        </is>
      </c>
      <c r="G31" s="44">
        <f>IFERROR(INDEX('Turnaround Table'!$C$5:$C$231,MATCH(E31,'Turnaround Table'!$D$5:$D$231,0)),"")</f>
        <v/>
      </c>
      <c r="H31" s="43" t="n"/>
      <c r="I31" s="44">
        <f>IF(H31&lt;&gt;"",H31,IF(G31&lt;&gt;"",G31,'Truck Requirement'!$B$5))</f>
        <v/>
      </c>
      <c r="J31" s="44">
        <f>2*I31</f>
        <v/>
      </c>
      <c r="K31" s="8">
        <f>MAX(1,INT('Truck Requirement'!$B$4/J31))</f>
        <v/>
      </c>
      <c r="L31" s="8">
        <f>SUM(M31:U31)</f>
        <v/>
      </c>
      <c r="M31" s="8" t="n"/>
      <c r="N31" s="8" t="n"/>
      <c r="O31" s="8" t="n"/>
      <c r="P31" s="8" t="n">
        <v>1</v>
      </c>
      <c r="Q31" s="8" t="n"/>
      <c r="R31" s="8" t="n"/>
      <c r="S31" s="8" t="n"/>
      <c r="T31" s="8" t="n"/>
      <c r="U31" s="8" t="n"/>
      <c r="V31" s="45">
        <f>IF(M31="","",M31/$K31)</f>
        <v/>
      </c>
      <c r="W31" s="45">
        <f>IF(N31="","",N31/$K31)</f>
        <v/>
      </c>
      <c r="X31" s="45">
        <f>IF(O31="","",O31/$K31)</f>
        <v/>
      </c>
      <c r="Y31" s="45">
        <f>IF(P31="","",P31/$K31)</f>
        <v/>
      </c>
      <c r="Z31" s="45">
        <f>IF(Q31="","",Q31/$K31)</f>
        <v/>
      </c>
      <c r="AA31" s="45">
        <f>IF(R31="","",R31/$K31)</f>
        <v/>
      </c>
      <c r="AB31" s="45">
        <f>IF(S31="","",S31/$K31)</f>
        <v/>
      </c>
      <c r="AC31" s="45">
        <f>IF(T31="","",T31/$K31)</f>
        <v/>
      </c>
      <c r="AD31" s="45">
        <f>IF(U31="","",U31/$K31)</f>
        <v/>
      </c>
    </row>
    <row r="32">
      <c r="A32" s="8" t="inlineStr">
        <is>
          <t>B2B-ORCA DECO LIMITED(MR OTEGA)</t>
        </is>
      </c>
      <c r="B32" s="8" t="inlineStr">
        <is>
          <t>Haulage</t>
        </is>
      </c>
      <c r="C32" s="8" t="inlineStr">
        <is>
          <t>Lagos</t>
        </is>
      </c>
      <c r="D32" s="8" t="inlineStr">
        <is>
          <t>Asaba</t>
        </is>
      </c>
      <c r="E32" s="8" t="inlineStr">
        <is>
          <t>ASABA&gt;LAGOS</t>
        </is>
      </c>
      <c r="F32" s="8" t="inlineStr">
        <is>
          <t>Exact</t>
        </is>
      </c>
      <c r="G32" s="44">
        <f>IFERROR(INDEX('Turnaround Table'!$C$5:$C$231,MATCH(E32,'Turnaround Table'!$D$5:$D$231,0)),"")</f>
        <v/>
      </c>
      <c r="H32" s="43" t="n"/>
      <c r="I32" s="44">
        <f>IF(H32&lt;&gt;"",H32,IF(G32&lt;&gt;"",G32,'Truck Requirement'!$B$5))</f>
        <v/>
      </c>
      <c r="J32" s="44">
        <f>2*I32</f>
        <v/>
      </c>
      <c r="K32" s="8">
        <f>MAX(1,INT('Truck Requirement'!$B$4/J32))</f>
        <v/>
      </c>
      <c r="L32" s="8">
        <f>SUM(M32:U32)</f>
        <v/>
      </c>
      <c r="M32" s="8" t="n"/>
      <c r="N32" s="8" t="n"/>
      <c r="O32" s="8" t="n"/>
      <c r="P32" s="8" t="n">
        <v>1</v>
      </c>
      <c r="Q32" s="8" t="n"/>
      <c r="R32" s="8" t="n"/>
      <c r="S32" s="8" t="n"/>
      <c r="T32" s="8" t="n"/>
      <c r="U32" s="8" t="n"/>
      <c r="V32" s="45">
        <f>IF(M32="","",M32/$K32)</f>
        <v/>
      </c>
      <c r="W32" s="45">
        <f>IF(N32="","",N32/$K32)</f>
        <v/>
      </c>
      <c r="X32" s="45">
        <f>IF(O32="","",O32/$K32)</f>
        <v/>
      </c>
      <c r="Y32" s="45">
        <f>IF(P32="","",P32/$K32)</f>
        <v/>
      </c>
      <c r="Z32" s="45">
        <f>IF(Q32="","",Q32/$K32)</f>
        <v/>
      </c>
      <c r="AA32" s="45">
        <f>IF(R32="","",R32/$K32)</f>
        <v/>
      </c>
      <c r="AB32" s="45">
        <f>IF(S32="","",S32/$K32)</f>
        <v/>
      </c>
      <c r="AC32" s="45">
        <f>IF(T32="","",T32/$K32)</f>
        <v/>
      </c>
      <c r="AD32" s="45">
        <f>IF(U32="","",U32/$K32)</f>
        <v/>
      </c>
    </row>
    <row r="33">
      <c r="A33" s="8" t="inlineStr">
        <is>
          <t>B2B-ORCA DECO LIMITED(ULOMA)</t>
        </is>
      </c>
      <c r="B33" s="8" t="inlineStr">
        <is>
          <t>Haulage</t>
        </is>
      </c>
      <c r="C33" s="8" t="inlineStr">
        <is>
          <t>Lagos</t>
        </is>
      </c>
      <c r="D33" s="8" t="inlineStr">
        <is>
          <t>Abuja</t>
        </is>
      </c>
      <c r="E33" s="8" t="inlineStr">
        <is>
          <t>ABUJA&gt;LAGOS</t>
        </is>
      </c>
      <c r="F33" s="8" t="inlineStr">
        <is>
          <t>Exact</t>
        </is>
      </c>
      <c r="G33" s="44">
        <f>IFERROR(INDEX('Turnaround Table'!$C$5:$C$231,MATCH(E33,'Turnaround Table'!$D$5:$D$231,0)),"")</f>
        <v/>
      </c>
      <c r="H33" s="43" t="n"/>
      <c r="I33" s="44">
        <f>IF(H33&lt;&gt;"",H33,IF(G33&lt;&gt;"",G33,'Truck Requirement'!$B$5))</f>
        <v/>
      </c>
      <c r="J33" s="44">
        <f>2*I33</f>
        <v/>
      </c>
      <c r="K33" s="8">
        <f>MAX(1,INT('Truck Requirement'!$B$4/J33))</f>
        <v/>
      </c>
      <c r="L33" s="8">
        <f>SUM(M33:U33)</f>
        <v/>
      </c>
      <c r="M33" s="8" t="n"/>
      <c r="N33" s="8" t="n"/>
      <c r="O33" s="8" t="n"/>
      <c r="P33" s="8" t="n"/>
      <c r="Q33" s="8" t="n"/>
      <c r="R33" s="8" t="n">
        <v>1</v>
      </c>
      <c r="S33" s="8" t="n"/>
      <c r="T33" s="8" t="n"/>
      <c r="U33" s="8" t="n"/>
      <c r="V33" s="45">
        <f>IF(M33="","",M33/$K33)</f>
        <v/>
      </c>
      <c r="W33" s="45">
        <f>IF(N33="","",N33/$K33)</f>
        <v/>
      </c>
      <c r="X33" s="45">
        <f>IF(O33="","",O33/$K33)</f>
        <v/>
      </c>
      <c r="Y33" s="45">
        <f>IF(P33="","",P33/$K33)</f>
        <v/>
      </c>
      <c r="Z33" s="45">
        <f>IF(Q33="","",Q33/$K33)</f>
        <v/>
      </c>
      <c r="AA33" s="45">
        <f>IF(R33="","",R33/$K33)</f>
        <v/>
      </c>
      <c r="AB33" s="45">
        <f>IF(S33="","",S33/$K33)</f>
        <v/>
      </c>
      <c r="AC33" s="45">
        <f>IF(T33="","",T33/$K33)</f>
        <v/>
      </c>
      <c r="AD33" s="45">
        <f>IF(U33="","",U33/$K33)</f>
        <v/>
      </c>
    </row>
    <row r="34">
      <c r="A34" s="8" t="inlineStr">
        <is>
          <t>B2B-ORCA DECO LIMITED-AGR</t>
        </is>
      </c>
      <c r="B34" s="8" t="inlineStr">
        <is>
          <t>Haulage</t>
        </is>
      </c>
      <c r="C34" s="8" t="inlineStr">
        <is>
          <t>Lagos</t>
        </is>
      </c>
      <c r="D34" s="8" t="inlineStr">
        <is>
          <t>Abuja</t>
        </is>
      </c>
      <c r="E34" s="8" t="inlineStr">
        <is>
          <t>ABUJA&gt;LAGOS</t>
        </is>
      </c>
      <c r="F34" s="8" t="inlineStr">
        <is>
          <t>Exact</t>
        </is>
      </c>
      <c r="G34" s="44">
        <f>IFERROR(INDEX('Turnaround Table'!$C$5:$C$231,MATCH(E34,'Turnaround Table'!$D$5:$D$231,0)),"")</f>
        <v/>
      </c>
      <c r="H34" s="43" t="n"/>
      <c r="I34" s="44">
        <f>IF(H34&lt;&gt;"",H34,IF(G34&lt;&gt;"",G34,'Truck Requirement'!$B$5))</f>
        <v/>
      </c>
      <c r="J34" s="44">
        <f>2*I34</f>
        <v/>
      </c>
      <c r="K34" s="8">
        <f>MAX(1,INT('Truck Requirement'!$B$4/J34))</f>
        <v/>
      </c>
      <c r="L34" s="8">
        <f>SUM(M34:U34)</f>
        <v/>
      </c>
      <c r="M34" s="8" t="n"/>
      <c r="N34" s="8" t="n"/>
      <c r="O34" s="8" t="n"/>
      <c r="P34" s="8" t="n"/>
      <c r="Q34" s="8" t="n">
        <v>1</v>
      </c>
      <c r="R34" s="8" t="n"/>
      <c r="S34" s="8" t="n"/>
      <c r="T34" s="8" t="n"/>
      <c r="U34" s="8" t="n"/>
      <c r="V34" s="45">
        <f>IF(M34="","",M34/$K34)</f>
        <v/>
      </c>
      <c r="W34" s="45">
        <f>IF(N34="","",N34/$K34)</f>
        <v/>
      </c>
      <c r="X34" s="45">
        <f>IF(O34="","",O34/$K34)</f>
        <v/>
      </c>
      <c r="Y34" s="45">
        <f>IF(P34="","",P34/$K34)</f>
        <v/>
      </c>
      <c r="Z34" s="45">
        <f>IF(Q34="","",Q34/$K34)</f>
        <v/>
      </c>
      <c r="AA34" s="45">
        <f>IF(R34="","",R34/$K34)</f>
        <v/>
      </c>
      <c r="AB34" s="45">
        <f>IF(S34="","",S34/$K34)</f>
        <v/>
      </c>
      <c r="AC34" s="45">
        <f>IF(T34="","",T34/$K34)</f>
        <v/>
      </c>
      <c r="AD34" s="45">
        <f>IF(U34="","",U34/$K34)</f>
        <v/>
      </c>
    </row>
    <row r="35">
      <c r="A35" s="8" t="inlineStr">
        <is>
          <t>CRESEADA</t>
        </is>
      </c>
      <c r="B35" s="8" t="inlineStr">
        <is>
          <t>Haulage</t>
        </is>
      </c>
      <c r="C35" s="8" t="inlineStr">
        <is>
          <t>Lagos</t>
        </is>
      </c>
      <c r="D35" s="8" t="inlineStr">
        <is>
          <t>Lokoja</t>
        </is>
      </c>
      <c r="E35" s="8" t="inlineStr">
        <is>
          <t>LOKOJA&gt;LAGOS</t>
        </is>
      </c>
      <c r="F35" s="8" t="inlineStr">
        <is>
          <t>Exact</t>
        </is>
      </c>
      <c r="G35" s="44">
        <f>IFERROR(INDEX('Turnaround Table'!$C$5:$C$231,MATCH(E35,'Turnaround Table'!$D$5:$D$231,0)),"")</f>
        <v/>
      </c>
      <c r="H35" s="43" t="n"/>
      <c r="I35" s="44">
        <f>IF(H35&lt;&gt;"",H35,IF(G35&lt;&gt;"",G35,'Truck Requirement'!$B$5))</f>
        <v/>
      </c>
      <c r="J35" s="44">
        <f>2*I35</f>
        <v/>
      </c>
      <c r="K35" s="8">
        <f>MAX(1,INT('Truck Requirement'!$B$4/J35))</f>
        <v/>
      </c>
      <c r="L35" s="8">
        <f>SUM(M35:U35)</f>
        <v/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>
        <v>6</v>
      </c>
      <c r="V35" s="45">
        <f>IF(M35="","",M35/$K35)</f>
        <v/>
      </c>
      <c r="W35" s="45">
        <f>IF(N35="","",N35/$K35)</f>
        <v/>
      </c>
      <c r="X35" s="45">
        <f>IF(O35="","",O35/$K35)</f>
        <v/>
      </c>
      <c r="Y35" s="45">
        <f>IF(P35="","",P35/$K35)</f>
        <v/>
      </c>
      <c r="Z35" s="45">
        <f>IF(Q35="","",Q35/$K35)</f>
        <v/>
      </c>
      <c r="AA35" s="45">
        <f>IF(R35="","",R35/$K35)</f>
        <v/>
      </c>
      <c r="AB35" s="45">
        <f>IF(S35="","",S35/$K35)</f>
        <v/>
      </c>
      <c r="AC35" s="45">
        <f>IF(T35="","",T35/$K35)</f>
        <v/>
      </c>
      <c r="AD35" s="45">
        <f>IF(U35="","",U35/$K35)</f>
        <v/>
      </c>
    </row>
    <row r="36">
      <c r="A36" s="8" t="inlineStr">
        <is>
          <t>GIVANAS</t>
        </is>
      </c>
      <c r="B36" s="8" t="inlineStr">
        <is>
          <t>Haulage</t>
        </is>
      </c>
      <c r="C36" s="8" t="inlineStr">
        <is>
          <t>Lagos</t>
        </is>
      </c>
      <c r="D36" s="8" t="inlineStr">
        <is>
          <t>Onitsha</t>
        </is>
      </c>
      <c r="E36" s="8" t="inlineStr">
        <is>
          <t>ONITSHA&gt;LAGOS</t>
        </is>
      </c>
      <c r="F36" s="8" t="inlineStr">
        <is>
          <t>Exact</t>
        </is>
      </c>
      <c r="G36" s="44">
        <f>IFERROR(INDEX('Turnaround Table'!$C$5:$C$231,MATCH(E36,'Turnaround Table'!$D$5:$D$231,0)),"")</f>
        <v/>
      </c>
      <c r="H36" s="43" t="n"/>
      <c r="I36" s="44">
        <f>IF(H36&lt;&gt;"",H36,IF(G36&lt;&gt;"",G36,'Truck Requirement'!$B$5))</f>
        <v/>
      </c>
      <c r="J36" s="44">
        <f>2*I36</f>
        <v/>
      </c>
      <c r="K36" s="8">
        <f>MAX(1,INT('Truck Requirement'!$B$4/J36))</f>
        <v/>
      </c>
      <c r="L36" s="8">
        <f>SUM(M36:U36)</f>
        <v/>
      </c>
      <c r="M36" s="8" t="n">
        <v>3</v>
      </c>
      <c r="N36" s="8" t="n">
        <v>2</v>
      </c>
      <c r="O36" s="8" t="n">
        <v>4</v>
      </c>
      <c r="P36" s="8" t="n">
        <v>3</v>
      </c>
      <c r="Q36" s="8" t="n">
        <v>3</v>
      </c>
      <c r="R36" s="8" t="n">
        <v>1</v>
      </c>
      <c r="S36" s="8" t="n">
        <v>1</v>
      </c>
      <c r="T36" s="8" t="n">
        <v>3</v>
      </c>
      <c r="U36" s="8" t="n">
        <v>2</v>
      </c>
      <c r="V36" s="45">
        <f>IF(M36="","",M36/$K36)</f>
        <v/>
      </c>
      <c r="W36" s="45">
        <f>IF(N36="","",N36/$K36)</f>
        <v/>
      </c>
      <c r="X36" s="45">
        <f>IF(O36="","",O36/$K36)</f>
        <v/>
      </c>
      <c r="Y36" s="45">
        <f>IF(P36="","",P36/$K36)</f>
        <v/>
      </c>
      <c r="Z36" s="45">
        <f>IF(Q36="","",Q36/$K36)</f>
        <v/>
      </c>
      <c r="AA36" s="45">
        <f>IF(R36="","",R36/$K36)</f>
        <v/>
      </c>
      <c r="AB36" s="45">
        <f>IF(S36="","",S36/$K36)</f>
        <v/>
      </c>
      <c r="AC36" s="45">
        <f>IF(T36="","",T36/$K36)</f>
        <v/>
      </c>
      <c r="AD36" s="45">
        <f>IF(U36="","",U36/$K36)</f>
        <v/>
      </c>
    </row>
    <row r="37">
      <c r="A37" s="8" t="inlineStr">
        <is>
          <t>GIVANAS</t>
        </is>
      </c>
      <c r="B37" s="8" t="inlineStr">
        <is>
          <t>Haulage</t>
        </is>
      </c>
      <c r="C37" s="8" t="inlineStr">
        <is>
          <t>Lagos</t>
        </is>
      </c>
      <c r="D37" s="8" t="inlineStr">
        <is>
          <t>Phc</t>
        </is>
      </c>
      <c r="E37" s="8" t="inlineStr">
        <is>
          <t>PORT HARCOURT&gt;LAGOS</t>
        </is>
      </c>
      <c r="F37" s="8" t="inlineStr">
        <is>
          <t>Exact</t>
        </is>
      </c>
      <c r="G37" s="44">
        <f>IFERROR(INDEX('Turnaround Table'!$C$5:$C$231,MATCH(E37,'Turnaround Table'!$D$5:$D$231,0)),"")</f>
        <v/>
      </c>
      <c r="H37" s="43" t="n"/>
      <c r="I37" s="44">
        <f>IF(H37&lt;&gt;"",H37,IF(G37&lt;&gt;"",G37,'Truck Requirement'!$B$5))</f>
        <v/>
      </c>
      <c r="J37" s="44">
        <f>2*I37</f>
        <v/>
      </c>
      <c r="K37" s="8">
        <f>MAX(1,INT('Truck Requirement'!$B$4/J37))</f>
        <v/>
      </c>
      <c r="L37" s="8">
        <f>SUM(M37:U37)</f>
        <v/>
      </c>
      <c r="M37" s="8" t="n"/>
      <c r="N37" s="8" t="n"/>
      <c r="O37" s="8" t="n">
        <v>1</v>
      </c>
      <c r="P37" s="8" t="n"/>
      <c r="Q37" s="8" t="n"/>
      <c r="R37" s="8" t="n"/>
      <c r="S37" s="8" t="n"/>
      <c r="T37" s="8" t="n"/>
      <c r="U37" s="8" t="n"/>
      <c r="V37" s="45">
        <f>IF(M37="","",M37/$K37)</f>
        <v/>
      </c>
      <c r="W37" s="45">
        <f>IF(N37="","",N37/$K37)</f>
        <v/>
      </c>
      <c r="X37" s="45">
        <f>IF(O37="","",O37/$K37)</f>
        <v/>
      </c>
      <c r="Y37" s="45">
        <f>IF(P37="","",P37/$K37)</f>
        <v/>
      </c>
      <c r="Z37" s="45">
        <f>IF(Q37="","",Q37/$K37)</f>
        <v/>
      </c>
      <c r="AA37" s="45">
        <f>IF(R37="","",R37/$K37)</f>
        <v/>
      </c>
      <c r="AB37" s="45">
        <f>IF(S37="","",S37/$K37)</f>
        <v/>
      </c>
      <c r="AC37" s="45">
        <f>IF(T37="","",T37/$K37)</f>
        <v/>
      </c>
      <c r="AD37" s="45">
        <f>IF(U37="","",U37/$K37)</f>
        <v/>
      </c>
    </row>
    <row r="38">
      <c r="A38" s="8" t="inlineStr">
        <is>
          <t>INTERSTYLE</t>
        </is>
      </c>
      <c r="B38" s="8" t="inlineStr">
        <is>
          <t>Haulage</t>
        </is>
      </c>
      <c r="C38" s="8" t="inlineStr">
        <is>
          <t>Abuja</t>
        </is>
      </c>
      <c r="D38" s="8" t="inlineStr">
        <is>
          <t>Apapa</t>
        </is>
      </c>
      <c r="E38" s="8" t="inlineStr">
        <is>
          <t>ABUJA&gt;LAGOS</t>
        </is>
      </c>
      <c r="F38" s="8" t="inlineStr">
        <is>
          <t>Reverse</t>
        </is>
      </c>
      <c r="G38" s="44">
        <f>IFERROR(INDEX('Turnaround Table'!$C$5:$C$231,MATCH(E38,'Turnaround Table'!$D$5:$D$231,0)),"")</f>
        <v/>
      </c>
      <c r="H38" s="43" t="n"/>
      <c r="I38" s="44">
        <f>IF(H38&lt;&gt;"",H38,IF(G38&lt;&gt;"",G38,'Truck Requirement'!$B$5))</f>
        <v/>
      </c>
      <c r="J38" s="44">
        <f>2*I38</f>
        <v/>
      </c>
      <c r="K38" s="8">
        <f>MAX(1,INT('Truck Requirement'!$B$4/J38))</f>
        <v/>
      </c>
      <c r="L38" s="8">
        <f>SUM(M38:U38)</f>
        <v/>
      </c>
      <c r="M38" s="8" t="n">
        <v>1</v>
      </c>
      <c r="N38" s="8" t="n"/>
      <c r="O38" s="8" t="n">
        <v>1</v>
      </c>
      <c r="P38" s="8" t="n"/>
      <c r="Q38" s="8" t="n">
        <v>1</v>
      </c>
      <c r="R38" s="8" t="n">
        <v>1</v>
      </c>
      <c r="S38" s="8" t="n">
        <v>1</v>
      </c>
      <c r="T38" s="8" t="n">
        <v>1</v>
      </c>
      <c r="U38" s="8" t="n"/>
      <c r="V38" s="45">
        <f>IF(M38="","",M38/$K38)</f>
        <v/>
      </c>
      <c r="W38" s="45">
        <f>IF(N38="","",N38/$K38)</f>
        <v/>
      </c>
      <c r="X38" s="45">
        <f>IF(O38="","",O38/$K38)</f>
        <v/>
      </c>
      <c r="Y38" s="45">
        <f>IF(P38="","",P38/$K38)</f>
        <v/>
      </c>
      <c r="Z38" s="45">
        <f>IF(Q38="","",Q38/$K38)</f>
        <v/>
      </c>
      <c r="AA38" s="45">
        <f>IF(R38="","",R38/$K38)</f>
        <v/>
      </c>
      <c r="AB38" s="45">
        <f>IF(S38="","",S38/$K38)</f>
        <v/>
      </c>
      <c r="AC38" s="45">
        <f>IF(T38="","",T38/$K38)</f>
        <v/>
      </c>
      <c r="AD38" s="45">
        <f>IF(U38="","",U38/$K38)</f>
        <v/>
      </c>
    </row>
    <row r="39">
      <c r="A39" s="8" t="inlineStr">
        <is>
          <t>INTERSTYLE</t>
        </is>
      </c>
      <c r="B39" s="8" t="inlineStr">
        <is>
          <t>Haulage</t>
        </is>
      </c>
      <c r="C39" s="8" t="inlineStr">
        <is>
          <t>Lagos</t>
        </is>
      </c>
      <c r="D39" s="8" t="inlineStr">
        <is>
          <t>Abuja</t>
        </is>
      </c>
      <c r="E39" s="8" t="inlineStr">
        <is>
          <t>ABUJA&gt;APAPA</t>
        </is>
      </c>
      <c r="F39" s="8" t="inlineStr">
        <is>
          <t>Exact</t>
        </is>
      </c>
      <c r="G39" s="44">
        <f>IFERROR(INDEX('Turnaround Table'!$C$5:$C$231,MATCH(E39,'Turnaround Table'!$D$5:$D$231,0)),"")</f>
        <v/>
      </c>
      <c r="H39" s="43" t="n"/>
      <c r="I39" s="44">
        <f>IF(H39&lt;&gt;"",H39,IF(G39&lt;&gt;"",G39,'Truck Requirement'!$B$5))</f>
        <v/>
      </c>
      <c r="J39" s="44">
        <f>2*I39</f>
        <v/>
      </c>
      <c r="K39" s="8">
        <f>MAX(1,INT('Truck Requirement'!$B$4/J39))</f>
        <v/>
      </c>
      <c r="L39" s="8">
        <f>SUM(M39:U39)</f>
        <v/>
      </c>
      <c r="M39" s="8" t="n"/>
      <c r="N39" s="8" t="n"/>
      <c r="O39" s="8" t="n"/>
      <c r="P39" s="8" t="n"/>
      <c r="Q39" s="8" t="n">
        <v>1</v>
      </c>
      <c r="R39" s="8" t="n">
        <v>1</v>
      </c>
      <c r="S39" s="8" t="n">
        <v>1</v>
      </c>
      <c r="T39" s="8" t="n">
        <v>1</v>
      </c>
      <c r="U39" s="8" t="n">
        <v>1</v>
      </c>
      <c r="V39" s="45">
        <f>IF(M39="","",M39/$K39)</f>
        <v/>
      </c>
      <c r="W39" s="45">
        <f>IF(N39="","",N39/$K39)</f>
        <v/>
      </c>
      <c r="X39" s="45">
        <f>IF(O39="","",O39/$K39)</f>
        <v/>
      </c>
      <c r="Y39" s="45">
        <f>IF(P39="","",P39/$K39)</f>
        <v/>
      </c>
      <c r="Z39" s="45">
        <f>IF(Q39="","",Q39/$K39)</f>
        <v/>
      </c>
      <c r="AA39" s="45">
        <f>IF(R39="","",R39/$K39)</f>
        <v/>
      </c>
      <c r="AB39" s="45">
        <f>IF(S39="","",S39/$K39)</f>
        <v/>
      </c>
      <c r="AC39" s="45">
        <f>IF(T39="","",T39/$K39)</f>
        <v/>
      </c>
      <c r="AD39" s="45">
        <f>IF(U39="","",U39/$K39)</f>
        <v/>
      </c>
    </row>
    <row r="40">
      <c r="A40" s="8" t="inlineStr">
        <is>
          <t>INTERSTYLE</t>
        </is>
      </c>
      <c r="B40" s="8" t="inlineStr">
        <is>
          <t>Haulage</t>
        </is>
      </c>
      <c r="C40" s="8" t="inlineStr">
        <is>
          <t>Lagos</t>
        </is>
      </c>
      <c r="D40" s="8" t="inlineStr">
        <is>
          <t>Phc</t>
        </is>
      </c>
      <c r="E40" s="8" t="inlineStr">
        <is>
          <t>PORT HARCOURT&gt;LAGOS</t>
        </is>
      </c>
      <c r="F40" s="8" t="inlineStr">
        <is>
          <t>Exact</t>
        </is>
      </c>
      <c r="G40" s="44">
        <f>IFERROR(INDEX('Turnaround Table'!$C$5:$C$231,MATCH(E40,'Turnaround Table'!$D$5:$D$231,0)),"")</f>
        <v/>
      </c>
      <c r="H40" s="43" t="n"/>
      <c r="I40" s="44">
        <f>IF(H40&lt;&gt;"",H40,IF(G40&lt;&gt;"",G40,'Truck Requirement'!$B$5))</f>
        <v/>
      </c>
      <c r="J40" s="44">
        <f>2*I40</f>
        <v/>
      </c>
      <c r="K40" s="8">
        <f>MAX(1,INT('Truck Requirement'!$B$4/J40))</f>
        <v/>
      </c>
      <c r="L40" s="8">
        <f>SUM(M40:U40)</f>
        <v/>
      </c>
      <c r="M40" s="8" t="n"/>
      <c r="N40" s="8" t="n">
        <v>1</v>
      </c>
      <c r="O40" s="8" t="n"/>
      <c r="P40" s="8" t="n"/>
      <c r="Q40" s="8" t="n"/>
      <c r="R40" s="8" t="n"/>
      <c r="S40" s="8" t="n"/>
      <c r="T40" s="8" t="n"/>
      <c r="U40" s="8" t="n"/>
      <c r="V40" s="45">
        <f>IF(M40="","",M40/$K40)</f>
        <v/>
      </c>
      <c r="W40" s="45">
        <f>IF(N40="","",N40/$K40)</f>
        <v/>
      </c>
      <c r="X40" s="45">
        <f>IF(O40="","",O40/$K40)</f>
        <v/>
      </c>
      <c r="Y40" s="45">
        <f>IF(P40="","",P40/$K40)</f>
        <v/>
      </c>
      <c r="Z40" s="45">
        <f>IF(Q40="","",Q40/$K40)</f>
        <v/>
      </c>
      <c r="AA40" s="45">
        <f>IF(R40="","",R40/$K40)</f>
        <v/>
      </c>
      <c r="AB40" s="45">
        <f>IF(S40="","",S40/$K40)</f>
        <v/>
      </c>
      <c r="AC40" s="45">
        <f>IF(T40="","",T40/$K40)</f>
        <v/>
      </c>
      <c r="AD40" s="45">
        <f>IF(U40="","",U40/$K40)</f>
        <v/>
      </c>
    </row>
    <row r="41">
      <c r="A41" s="8" t="inlineStr">
        <is>
          <t>Illera Agro</t>
        </is>
      </c>
      <c r="B41" s="8" t="inlineStr">
        <is>
          <t>Haulage</t>
        </is>
      </c>
      <c r="C41" s="8" t="inlineStr">
        <is>
          <t>Kaduna (Kudenda)</t>
        </is>
      </c>
      <c r="D41" s="8" t="inlineStr">
        <is>
          <t>Ikorodu</t>
        </is>
      </c>
      <c r="E41" s="8" t="inlineStr">
        <is>
          <t>KADUNA&gt;LAGOS</t>
        </is>
      </c>
      <c r="F41" s="8" t="inlineStr">
        <is>
          <t>Reverse</t>
        </is>
      </c>
      <c r="G41" s="44">
        <f>IFERROR(INDEX('Turnaround Table'!$C$5:$C$231,MATCH(E41,'Turnaround Table'!$D$5:$D$231,0)),"")</f>
        <v/>
      </c>
      <c r="H41" s="43" t="n"/>
      <c r="I41" s="44">
        <f>IF(H41&lt;&gt;"",H41,IF(G41&lt;&gt;"",G41,'Truck Requirement'!$B$5))</f>
        <v/>
      </c>
      <c r="J41" s="44">
        <f>2*I41</f>
        <v/>
      </c>
      <c r="K41" s="8">
        <f>MAX(1,INT('Truck Requirement'!$B$4/J41))</f>
        <v/>
      </c>
      <c r="L41" s="8">
        <f>SUM(M41:U41)</f>
        <v/>
      </c>
      <c r="M41" s="8" t="n"/>
      <c r="N41" s="8" t="n"/>
      <c r="O41" s="8" t="n"/>
      <c r="P41" s="8" t="n"/>
      <c r="Q41" s="8" t="n"/>
      <c r="R41" s="8" t="n"/>
      <c r="S41" s="8" t="n">
        <v>2</v>
      </c>
      <c r="T41" s="8" t="n"/>
      <c r="U41" s="8" t="n"/>
      <c r="V41" s="45">
        <f>IF(M41="","",M41/$K41)</f>
        <v/>
      </c>
      <c r="W41" s="45">
        <f>IF(N41="","",N41/$K41)</f>
        <v/>
      </c>
      <c r="X41" s="45">
        <f>IF(O41="","",O41/$K41)</f>
        <v/>
      </c>
      <c r="Y41" s="45">
        <f>IF(P41="","",P41/$K41)</f>
        <v/>
      </c>
      <c r="Z41" s="45">
        <f>IF(Q41="","",Q41/$K41)</f>
        <v/>
      </c>
      <c r="AA41" s="45">
        <f>IF(R41="","",R41/$K41)</f>
        <v/>
      </c>
      <c r="AB41" s="45">
        <f>IF(S41="","",S41/$K41)</f>
        <v/>
      </c>
      <c r="AC41" s="45">
        <f>IF(T41="","",T41/$K41)</f>
        <v/>
      </c>
      <c r="AD41" s="45">
        <f>IF(U41="","",U41/$K41)</f>
        <v/>
      </c>
    </row>
    <row r="42">
      <c r="A42" s="8" t="inlineStr">
        <is>
          <t>JMG</t>
        </is>
      </c>
      <c r="B42" s="8" t="inlineStr">
        <is>
          <t>Haulage</t>
        </is>
      </c>
      <c r="C42" s="8" t="inlineStr">
        <is>
          <t>Lagos</t>
        </is>
      </c>
      <c r="D42" s="8" t="inlineStr">
        <is>
          <t>Abuja</t>
        </is>
      </c>
      <c r="E42" s="8" t="inlineStr">
        <is>
          <t>ABUJA&gt;LAGOS</t>
        </is>
      </c>
      <c r="F42" s="8" t="inlineStr">
        <is>
          <t>Exact</t>
        </is>
      </c>
      <c r="G42" s="44">
        <f>IFERROR(INDEX('Turnaround Table'!$C$5:$C$231,MATCH(E42,'Turnaround Table'!$D$5:$D$231,0)),"")</f>
        <v/>
      </c>
      <c r="H42" s="43" t="n"/>
      <c r="I42" s="44">
        <f>IF(H42&lt;&gt;"",H42,IF(G42&lt;&gt;"",G42,'Truck Requirement'!$B$5))</f>
        <v/>
      </c>
      <c r="J42" s="44">
        <f>2*I42</f>
        <v/>
      </c>
      <c r="K42" s="8">
        <f>MAX(1,INT('Truck Requirement'!$B$4/J42))</f>
        <v/>
      </c>
      <c r="L42" s="8">
        <f>SUM(M42:U42)</f>
        <v/>
      </c>
      <c r="M42" s="8" t="n"/>
      <c r="N42" s="8" t="n"/>
      <c r="O42" s="8" t="n"/>
      <c r="P42" s="8" t="n"/>
      <c r="Q42" s="8" t="n">
        <v>1</v>
      </c>
      <c r="R42" s="8" t="n"/>
      <c r="S42" s="8" t="n"/>
      <c r="T42" s="8" t="n"/>
      <c r="U42" s="8" t="n"/>
      <c r="V42" s="45">
        <f>IF(M42="","",M42/$K42)</f>
        <v/>
      </c>
      <c r="W42" s="45">
        <f>IF(N42="","",N42/$K42)</f>
        <v/>
      </c>
      <c r="X42" s="45">
        <f>IF(O42="","",O42/$K42)</f>
        <v/>
      </c>
      <c r="Y42" s="45">
        <f>IF(P42="","",P42/$K42)</f>
        <v/>
      </c>
      <c r="Z42" s="45">
        <f>IF(Q42="","",Q42/$K42)</f>
        <v/>
      </c>
      <c r="AA42" s="45">
        <f>IF(R42="","",R42/$K42)</f>
        <v/>
      </c>
      <c r="AB42" s="45">
        <f>IF(S42="","",S42/$K42)</f>
        <v/>
      </c>
      <c r="AC42" s="45">
        <f>IF(T42="","",T42/$K42)</f>
        <v/>
      </c>
      <c r="AD42" s="45">
        <f>IF(U42="","",U42/$K42)</f>
        <v/>
      </c>
    </row>
    <row r="43">
      <c r="A43" s="8" t="inlineStr">
        <is>
          <t>JUBAILI AGROTEC</t>
        </is>
      </c>
      <c r="B43" s="8" t="inlineStr">
        <is>
          <t>Haulage</t>
        </is>
      </c>
      <c r="C43" s="8" t="inlineStr">
        <is>
          <t>Ibadan</t>
        </is>
      </c>
      <c r="D43" s="8" t="inlineStr">
        <is>
          <t>Kabba</t>
        </is>
      </c>
      <c r="E43" s="8" t="inlineStr">
        <is>
          <t>KABBA&gt;IBADAN</t>
        </is>
      </c>
      <c r="F43" s="8" t="inlineStr">
        <is>
          <t>Exact</t>
        </is>
      </c>
      <c r="G43" s="44">
        <f>IFERROR(INDEX('Turnaround Table'!$C$5:$C$231,MATCH(E43,'Turnaround Table'!$D$5:$D$231,0)),"")</f>
        <v/>
      </c>
      <c r="H43" s="43" t="n"/>
      <c r="I43" s="44">
        <f>IF(H43&lt;&gt;"",H43,IF(G43&lt;&gt;"",G43,'Truck Requirement'!$B$5))</f>
        <v/>
      </c>
      <c r="J43" s="44">
        <f>2*I43</f>
        <v/>
      </c>
      <c r="K43" s="8">
        <f>MAX(1,INT('Truck Requirement'!$B$4/J43))</f>
        <v/>
      </c>
      <c r="L43" s="8">
        <f>SUM(M43:U43)</f>
        <v/>
      </c>
      <c r="M43" s="8" t="n"/>
      <c r="N43" s="8" t="n"/>
      <c r="O43" s="8" t="n">
        <v>1</v>
      </c>
      <c r="P43" s="8" t="n">
        <v>3</v>
      </c>
      <c r="Q43" s="8" t="n">
        <v>1</v>
      </c>
      <c r="R43" s="8" t="n">
        <v>1</v>
      </c>
      <c r="S43" s="8" t="n"/>
      <c r="T43" s="8" t="n"/>
      <c r="U43" s="8" t="n"/>
      <c r="V43" s="45">
        <f>IF(M43="","",M43/$K43)</f>
        <v/>
      </c>
      <c r="W43" s="45">
        <f>IF(N43="","",N43/$K43)</f>
        <v/>
      </c>
      <c r="X43" s="45">
        <f>IF(O43="","",O43/$K43)</f>
        <v/>
      </c>
      <c r="Y43" s="45">
        <f>IF(P43="","",P43/$K43)</f>
        <v/>
      </c>
      <c r="Z43" s="45">
        <f>IF(Q43="","",Q43/$K43)</f>
        <v/>
      </c>
      <c r="AA43" s="45">
        <f>IF(R43="","",R43/$K43)</f>
        <v/>
      </c>
      <c r="AB43" s="45">
        <f>IF(S43="","",S43/$K43)</f>
        <v/>
      </c>
      <c r="AC43" s="45">
        <f>IF(T43="","",T43/$K43)</f>
        <v/>
      </c>
      <c r="AD43" s="45">
        <f>IF(U43="","",U43/$K43)</f>
        <v/>
      </c>
    </row>
    <row r="44">
      <c r="A44" s="8" t="inlineStr">
        <is>
          <t>JUBAILI AGROTEC</t>
        </is>
      </c>
      <c r="B44" s="8" t="inlineStr">
        <is>
          <t>Haulage</t>
        </is>
      </c>
      <c r="C44" s="8" t="inlineStr">
        <is>
          <t>Ibadan</t>
        </is>
      </c>
      <c r="D44" s="8" t="inlineStr">
        <is>
          <t>Keffi</t>
        </is>
      </c>
      <c r="E44" s="8" t="inlineStr">
        <is>
          <t>KEFFI&gt;IBADAN</t>
        </is>
      </c>
      <c r="F44" s="8" t="inlineStr">
        <is>
          <t>Exact</t>
        </is>
      </c>
      <c r="G44" s="44">
        <f>IFERROR(INDEX('Turnaround Table'!$C$5:$C$231,MATCH(E44,'Turnaround Table'!$D$5:$D$231,0)),"")</f>
        <v/>
      </c>
      <c r="H44" s="43" t="n"/>
      <c r="I44" s="44">
        <f>IF(H44&lt;&gt;"",H44,IF(G44&lt;&gt;"",G44,'Truck Requirement'!$B$5))</f>
        <v/>
      </c>
      <c r="J44" s="44">
        <f>2*I44</f>
        <v/>
      </c>
      <c r="K44" s="8">
        <f>MAX(1,INT('Truck Requirement'!$B$4/J44))</f>
        <v/>
      </c>
      <c r="L44" s="8">
        <f>SUM(M44:U44)</f>
        <v/>
      </c>
      <c r="M44" s="8" t="n"/>
      <c r="N44" s="8" t="n">
        <v>1</v>
      </c>
      <c r="O44" s="8" t="n">
        <v>1</v>
      </c>
      <c r="P44" s="8" t="n">
        <v>1</v>
      </c>
      <c r="Q44" s="8" t="n"/>
      <c r="R44" s="8" t="n">
        <v>2</v>
      </c>
      <c r="S44" s="8" t="n"/>
      <c r="T44" s="8" t="n"/>
      <c r="U44" s="8" t="n">
        <v>1</v>
      </c>
      <c r="V44" s="45">
        <f>IF(M44="","",M44/$K44)</f>
        <v/>
      </c>
      <c r="W44" s="45">
        <f>IF(N44="","",N44/$K44)</f>
        <v/>
      </c>
      <c r="X44" s="45">
        <f>IF(O44="","",O44/$K44)</f>
        <v/>
      </c>
      <c r="Y44" s="45">
        <f>IF(P44="","",P44/$K44)</f>
        <v/>
      </c>
      <c r="Z44" s="45">
        <f>IF(Q44="","",Q44/$K44)</f>
        <v/>
      </c>
      <c r="AA44" s="45">
        <f>IF(R44="","",R44/$K44)</f>
        <v/>
      </c>
      <c r="AB44" s="45">
        <f>IF(S44="","",S44/$K44)</f>
        <v/>
      </c>
      <c r="AC44" s="45">
        <f>IF(T44="","",T44/$K44)</f>
        <v/>
      </c>
      <c r="AD44" s="45">
        <f>IF(U44="","",U44/$K44)</f>
        <v/>
      </c>
    </row>
    <row r="45">
      <c r="A45" s="8" t="inlineStr">
        <is>
          <t>JUBAILI AGROTEC</t>
        </is>
      </c>
      <c r="B45" s="8" t="inlineStr">
        <is>
          <t>Haulage</t>
        </is>
      </c>
      <c r="C45" s="8" t="inlineStr">
        <is>
          <t>Ibadan</t>
        </is>
      </c>
      <c r="D45" s="8" t="inlineStr">
        <is>
          <t>Kano</t>
        </is>
      </c>
      <c r="E45" s="8" t="inlineStr">
        <is>
          <t>KANO&gt;IBADAN</t>
        </is>
      </c>
      <c r="F45" s="8" t="inlineStr">
        <is>
          <t>Exact</t>
        </is>
      </c>
      <c r="G45" s="44">
        <f>IFERROR(INDEX('Turnaround Table'!$C$5:$C$231,MATCH(E45,'Turnaround Table'!$D$5:$D$231,0)),"")</f>
        <v/>
      </c>
      <c r="H45" s="43" t="n"/>
      <c r="I45" s="44">
        <f>IF(H45&lt;&gt;"",H45,IF(G45&lt;&gt;"",G45,'Truck Requirement'!$B$5))</f>
        <v/>
      </c>
      <c r="J45" s="44">
        <f>2*I45</f>
        <v/>
      </c>
      <c r="K45" s="8">
        <f>MAX(1,INT('Truck Requirement'!$B$4/J45))</f>
        <v/>
      </c>
      <c r="L45" s="8">
        <f>SUM(M45:U45)</f>
        <v/>
      </c>
      <c r="M45" s="8" t="n"/>
      <c r="N45" s="8" t="n"/>
      <c r="O45" s="8" t="n"/>
      <c r="P45" s="8" t="n"/>
      <c r="Q45" s="8" t="n"/>
      <c r="R45" s="8" t="n"/>
      <c r="S45" s="8" t="n">
        <v>3</v>
      </c>
      <c r="T45" s="8" t="n"/>
      <c r="U45" s="8" t="n"/>
      <c r="V45" s="45">
        <f>IF(M45="","",M45/$K45)</f>
        <v/>
      </c>
      <c r="W45" s="45">
        <f>IF(N45="","",N45/$K45)</f>
        <v/>
      </c>
      <c r="X45" s="45">
        <f>IF(O45="","",O45/$K45)</f>
        <v/>
      </c>
      <c r="Y45" s="45">
        <f>IF(P45="","",P45/$K45)</f>
        <v/>
      </c>
      <c r="Z45" s="45">
        <f>IF(Q45="","",Q45/$K45)</f>
        <v/>
      </c>
      <c r="AA45" s="45">
        <f>IF(R45="","",R45/$K45)</f>
        <v/>
      </c>
      <c r="AB45" s="45">
        <f>IF(S45="","",S45/$K45)</f>
        <v/>
      </c>
      <c r="AC45" s="45">
        <f>IF(T45="","",T45/$K45)</f>
        <v/>
      </c>
      <c r="AD45" s="45">
        <f>IF(U45="","",U45/$K45)</f>
        <v/>
      </c>
    </row>
    <row r="46">
      <c r="A46" s="8" t="inlineStr">
        <is>
          <t>JUBAILI AGROTEC</t>
        </is>
      </c>
      <c r="B46" s="8" t="inlineStr">
        <is>
          <t>Haulage</t>
        </is>
      </c>
      <c r="C46" s="8" t="inlineStr">
        <is>
          <t>Ibadan</t>
        </is>
      </c>
      <c r="D46" s="8" t="inlineStr">
        <is>
          <t>Minna</t>
        </is>
      </c>
      <c r="E46" s="8" t="inlineStr">
        <is>
          <t>MINNA&gt;IBADAN</t>
        </is>
      </c>
      <c r="F46" s="8" t="inlineStr">
        <is>
          <t>Exact</t>
        </is>
      </c>
      <c r="G46" s="44">
        <f>IFERROR(INDEX('Turnaround Table'!$C$5:$C$231,MATCH(E46,'Turnaround Table'!$D$5:$D$231,0)),"")</f>
        <v/>
      </c>
      <c r="H46" s="43" t="n"/>
      <c r="I46" s="44">
        <f>IF(H46&lt;&gt;"",H46,IF(G46&lt;&gt;"",G46,'Truck Requirement'!$B$5))</f>
        <v/>
      </c>
      <c r="J46" s="44">
        <f>2*I46</f>
        <v/>
      </c>
      <c r="K46" s="8">
        <f>MAX(1,INT('Truck Requirement'!$B$4/J46))</f>
        <v/>
      </c>
      <c r="L46" s="8">
        <f>SUM(M46:U46)</f>
        <v/>
      </c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3</v>
      </c>
      <c r="V46" s="45">
        <f>IF(M46="","",M46/$K46)</f>
        <v/>
      </c>
      <c r="W46" s="45">
        <f>IF(N46="","",N46/$K46)</f>
        <v/>
      </c>
      <c r="X46" s="45">
        <f>IF(O46="","",O46/$K46)</f>
        <v/>
      </c>
      <c r="Y46" s="45">
        <f>IF(P46="","",P46/$K46)</f>
        <v/>
      </c>
      <c r="Z46" s="45">
        <f>IF(Q46="","",Q46/$K46)</f>
        <v/>
      </c>
      <c r="AA46" s="45">
        <f>IF(R46="","",R46/$K46)</f>
        <v/>
      </c>
      <c r="AB46" s="45">
        <f>IF(S46="","",S46/$K46)</f>
        <v/>
      </c>
      <c r="AC46" s="45">
        <f>IF(T46="","",T46/$K46)</f>
        <v/>
      </c>
      <c r="AD46" s="45">
        <f>IF(U46="","",U46/$K46)</f>
        <v/>
      </c>
    </row>
    <row r="47">
      <c r="A47" s="8" t="inlineStr">
        <is>
          <t>JUBAILI AGROTEC</t>
        </is>
      </c>
      <c r="B47" s="8" t="inlineStr">
        <is>
          <t>Haulage</t>
        </is>
      </c>
      <c r="C47" s="8" t="inlineStr">
        <is>
          <t>Ibadan</t>
        </is>
      </c>
      <c r="D47" s="8" t="inlineStr">
        <is>
          <t>Sokoto</t>
        </is>
      </c>
      <c r="E47" s="8" t="inlineStr">
        <is>
          <t>SOKOTO&gt;IBADAN</t>
        </is>
      </c>
      <c r="F47" s="8" t="inlineStr">
        <is>
          <t>Exact</t>
        </is>
      </c>
      <c r="G47" s="44">
        <f>IFERROR(INDEX('Turnaround Table'!$C$5:$C$231,MATCH(E47,'Turnaround Table'!$D$5:$D$231,0)),"")</f>
        <v/>
      </c>
      <c r="H47" s="43" t="n"/>
      <c r="I47" s="44">
        <f>IF(H47&lt;&gt;"",H47,IF(G47&lt;&gt;"",G47,'Truck Requirement'!$B$5))</f>
        <v/>
      </c>
      <c r="J47" s="44">
        <f>2*I47</f>
        <v/>
      </c>
      <c r="K47" s="8">
        <f>MAX(1,INT('Truck Requirement'!$B$4/J47))</f>
        <v/>
      </c>
      <c r="L47" s="8">
        <f>SUM(M47:U47)</f>
        <v/>
      </c>
      <c r="M47" s="8" t="n"/>
      <c r="N47" s="8" t="n"/>
      <c r="O47" s="8" t="n"/>
      <c r="P47" s="8" t="n"/>
      <c r="Q47" s="8" t="n"/>
      <c r="R47" s="8" t="n"/>
      <c r="S47" s="8" t="n"/>
      <c r="T47" s="8" t="n"/>
      <c r="U47" s="8" t="n">
        <v>3</v>
      </c>
      <c r="V47" s="45">
        <f>IF(M47="","",M47/$K47)</f>
        <v/>
      </c>
      <c r="W47" s="45">
        <f>IF(N47="","",N47/$K47)</f>
        <v/>
      </c>
      <c r="X47" s="45">
        <f>IF(O47="","",O47/$K47)</f>
        <v/>
      </c>
      <c r="Y47" s="45">
        <f>IF(P47="","",P47/$K47)</f>
        <v/>
      </c>
      <c r="Z47" s="45">
        <f>IF(Q47="","",Q47/$K47)</f>
        <v/>
      </c>
      <c r="AA47" s="45">
        <f>IF(R47="","",R47/$K47)</f>
        <v/>
      </c>
      <c r="AB47" s="45">
        <f>IF(S47="","",S47/$K47)</f>
        <v/>
      </c>
      <c r="AC47" s="45">
        <f>IF(T47="","",T47/$K47)</f>
        <v/>
      </c>
      <c r="AD47" s="45">
        <f>IF(U47="","",U47/$K47)</f>
        <v/>
      </c>
    </row>
    <row r="48">
      <c r="A48" s="8" t="inlineStr">
        <is>
          <t>JUBAILI AGROTEC</t>
        </is>
      </c>
      <c r="B48" s="8" t="inlineStr">
        <is>
          <t>Haulage</t>
        </is>
      </c>
      <c r="C48" s="8" t="inlineStr">
        <is>
          <t>Ibadan</t>
        </is>
      </c>
      <c r="D48" s="8" t="inlineStr">
        <is>
          <t>Abakaliki</t>
        </is>
      </c>
      <c r="E48" s="8" t="inlineStr">
        <is>
          <t>ABAKALIKI&gt;LAGOS</t>
        </is>
      </c>
      <c r="F48" s="8" t="inlineStr">
        <is>
          <t>Lagos bay used</t>
        </is>
      </c>
      <c r="G48" s="44">
        <f>IFERROR(INDEX('Turnaround Table'!$C$5:$C$231,MATCH(E48,'Turnaround Table'!$D$5:$D$231,0)),"")</f>
        <v/>
      </c>
      <c r="H48" s="43" t="n"/>
      <c r="I48" s="44">
        <f>IF(H48&lt;&gt;"",H48,IF(G48&lt;&gt;"",G48,'Truck Requirement'!$B$5))</f>
        <v/>
      </c>
      <c r="J48" s="44">
        <f>2*I48</f>
        <v/>
      </c>
      <c r="K48" s="8">
        <f>MAX(1,INT('Truck Requirement'!$B$4/J48))</f>
        <v/>
      </c>
      <c r="L48" s="8">
        <f>SUM(M48:U48)</f>
        <v/>
      </c>
      <c r="M48" s="8" t="n">
        <v>1</v>
      </c>
      <c r="N48" s="8" t="n"/>
      <c r="O48" s="8" t="n">
        <v>1</v>
      </c>
      <c r="P48" s="8" t="n"/>
      <c r="Q48" s="8" t="n"/>
      <c r="R48" s="8" t="n"/>
      <c r="S48" s="8" t="n"/>
      <c r="T48" s="8" t="n"/>
      <c r="U48" s="8" t="n"/>
      <c r="V48" s="45">
        <f>IF(M48="","",M48/$K48)</f>
        <v/>
      </c>
      <c r="W48" s="45">
        <f>IF(N48="","",N48/$K48)</f>
        <v/>
      </c>
      <c r="X48" s="45">
        <f>IF(O48="","",O48/$K48)</f>
        <v/>
      </c>
      <c r="Y48" s="45">
        <f>IF(P48="","",P48/$K48)</f>
        <v/>
      </c>
      <c r="Z48" s="45">
        <f>IF(Q48="","",Q48/$K48)</f>
        <v/>
      </c>
      <c r="AA48" s="45">
        <f>IF(R48="","",R48/$K48)</f>
        <v/>
      </c>
      <c r="AB48" s="45">
        <f>IF(S48="","",S48/$K48)</f>
        <v/>
      </c>
      <c r="AC48" s="45">
        <f>IF(T48="","",T48/$K48)</f>
        <v/>
      </c>
      <c r="AD48" s="45">
        <f>IF(U48="","",U48/$K48)</f>
        <v/>
      </c>
    </row>
    <row r="49">
      <c r="A49" s="8" t="inlineStr">
        <is>
          <t>JUBAILI AGROTEC</t>
        </is>
      </c>
      <c r="B49" s="8" t="inlineStr">
        <is>
          <t>Haulage</t>
        </is>
      </c>
      <c r="C49" s="8" t="inlineStr">
        <is>
          <t>Ibadan</t>
        </is>
      </c>
      <c r="D49" s="8" t="inlineStr">
        <is>
          <t>Abuja</t>
        </is>
      </c>
      <c r="E49" s="8" t="inlineStr">
        <is>
          <t>ABUJA&gt;IBADAN</t>
        </is>
      </c>
      <c r="F49" s="8" t="inlineStr">
        <is>
          <t>Exact</t>
        </is>
      </c>
      <c r="G49" s="44">
        <f>IFERROR(INDEX('Turnaround Table'!$C$5:$C$231,MATCH(E49,'Turnaround Table'!$D$5:$D$231,0)),"")</f>
        <v/>
      </c>
      <c r="H49" s="43" t="n"/>
      <c r="I49" s="44">
        <f>IF(H49&lt;&gt;"",H49,IF(G49&lt;&gt;"",G49,'Truck Requirement'!$B$5))</f>
        <v/>
      </c>
      <c r="J49" s="44">
        <f>2*I49</f>
        <v/>
      </c>
      <c r="K49" s="8">
        <f>MAX(1,INT('Truck Requirement'!$B$4/J49))</f>
        <v/>
      </c>
      <c r="L49" s="8">
        <f>SUM(M49:U49)</f>
        <v/>
      </c>
      <c r="M49" s="8" t="n"/>
      <c r="N49" s="8" t="n"/>
      <c r="O49" s="8" t="n"/>
      <c r="P49" s="8" t="n"/>
      <c r="Q49" s="8" t="n"/>
      <c r="R49" s="8" t="n"/>
      <c r="S49" s="8" t="n"/>
      <c r="T49" s="8" t="n"/>
      <c r="U49" s="8" t="n">
        <v>2</v>
      </c>
      <c r="V49" s="45">
        <f>IF(M49="","",M49/$K49)</f>
        <v/>
      </c>
      <c r="W49" s="45">
        <f>IF(N49="","",N49/$K49)</f>
        <v/>
      </c>
      <c r="X49" s="45">
        <f>IF(O49="","",O49/$K49)</f>
        <v/>
      </c>
      <c r="Y49" s="45">
        <f>IF(P49="","",P49/$K49)</f>
        <v/>
      </c>
      <c r="Z49" s="45">
        <f>IF(Q49="","",Q49/$K49)</f>
        <v/>
      </c>
      <c r="AA49" s="45">
        <f>IF(R49="","",R49/$K49)</f>
        <v/>
      </c>
      <c r="AB49" s="45">
        <f>IF(S49="","",S49/$K49)</f>
        <v/>
      </c>
      <c r="AC49" s="45">
        <f>IF(T49="","",T49/$K49)</f>
        <v/>
      </c>
      <c r="AD49" s="45">
        <f>IF(U49="","",U49/$K49)</f>
        <v/>
      </c>
    </row>
    <row r="50">
      <c r="A50" s="8" t="inlineStr">
        <is>
          <t>JUBAILI AGROTEC</t>
        </is>
      </c>
      <c r="B50" s="8" t="inlineStr">
        <is>
          <t>Haulage</t>
        </is>
      </c>
      <c r="C50" s="8" t="inlineStr">
        <is>
          <t>Ibadan</t>
        </is>
      </c>
      <c r="D50" s="8" t="inlineStr">
        <is>
          <t>Ekpoma</t>
        </is>
      </c>
      <c r="E50" s="8" t="inlineStr">
        <is>
          <t>UROMI&gt;LAGOS</t>
        </is>
      </c>
      <c r="F50" s="8" t="inlineStr">
        <is>
          <t>Lagos bay used</t>
        </is>
      </c>
      <c r="G50" s="44">
        <f>IFERROR(INDEX('Turnaround Table'!$C$5:$C$231,MATCH(E50,'Turnaround Table'!$D$5:$D$231,0)),"")</f>
        <v/>
      </c>
      <c r="H50" s="43" t="n"/>
      <c r="I50" s="44">
        <f>IF(H50&lt;&gt;"",H50,IF(G50&lt;&gt;"",G50,'Truck Requirement'!$B$5))</f>
        <v/>
      </c>
      <c r="J50" s="44">
        <f>2*I50</f>
        <v/>
      </c>
      <c r="K50" s="8">
        <f>MAX(1,INT('Truck Requirement'!$B$4/J50))</f>
        <v/>
      </c>
      <c r="L50" s="8">
        <f>SUM(M50:U50)</f>
        <v/>
      </c>
      <c r="M50" s="8" t="n"/>
      <c r="N50" s="8" t="n">
        <v>1</v>
      </c>
      <c r="O50" s="8" t="n">
        <v>1</v>
      </c>
      <c r="P50" s="8" t="n"/>
      <c r="Q50" s="8" t="n"/>
      <c r="R50" s="8" t="n"/>
      <c r="S50" s="8" t="n"/>
      <c r="T50" s="8" t="n"/>
      <c r="U50" s="8" t="n"/>
      <c r="V50" s="45">
        <f>IF(M50="","",M50/$K50)</f>
        <v/>
      </c>
      <c r="W50" s="45">
        <f>IF(N50="","",N50/$K50)</f>
        <v/>
      </c>
      <c r="X50" s="45">
        <f>IF(O50="","",O50/$K50)</f>
        <v/>
      </c>
      <c r="Y50" s="45">
        <f>IF(P50="","",P50/$K50)</f>
        <v/>
      </c>
      <c r="Z50" s="45">
        <f>IF(Q50="","",Q50/$K50)</f>
        <v/>
      </c>
      <c r="AA50" s="45">
        <f>IF(R50="","",R50/$K50)</f>
        <v/>
      </c>
      <c r="AB50" s="45">
        <f>IF(S50="","",S50/$K50)</f>
        <v/>
      </c>
      <c r="AC50" s="45">
        <f>IF(T50="","",T50/$K50)</f>
        <v/>
      </c>
      <c r="AD50" s="45">
        <f>IF(U50="","",U50/$K50)</f>
        <v/>
      </c>
    </row>
    <row r="51">
      <c r="A51" s="8" t="inlineStr">
        <is>
          <t>JUBAILI AGROTEC</t>
        </is>
      </c>
      <c r="B51" s="8" t="inlineStr">
        <is>
          <t>Haulage</t>
        </is>
      </c>
      <c r="C51" s="8" t="inlineStr">
        <is>
          <t>Ibadan</t>
        </is>
      </c>
      <c r="D51" s="8" t="inlineStr">
        <is>
          <t>Enugu</t>
        </is>
      </c>
      <c r="E51" s="8" t="inlineStr">
        <is>
          <t>ENUGU&gt;LAGOS</t>
        </is>
      </c>
      <c r="F51" s="8" t="inlineStr">
        <is>
          <t>Lagos bay used</t>
        </is>
      </c>
      <c r="G51" s="44">
        <f>IFERROR(INDEX('Turnaround Table'!$C$5:$C$231,MATCH(E51,'Turnaround Table'!$D$5:$D$231,0)),"")</f>
        <v/>
      </c>
      <c r="H51" s="43" t="n"/>
      <c r="I51" s="44">
        <f>IF(H51&lt;&gt;"",H51,IF(G51&lt;&gt;"",G51,'Truck Requirement'!$B$5))</f>
        <v/>
      </c>
      <c r="J51" s="44">
        <f>2*I51</f>
        <v/>
      </c>
      <c r="K51" s="8">
        <f>MAX(1,INT('Truck Requirement'!$B$4/J51))</f>
        <v/>
      </c>
      <c r="L51" s="8">
        <f>SUM(M51:U51)</f>
        <v/>
      </c>
      <c r="M51" s="8" t="n"/>
      <c r="N51" s="8" t="n"/>
      <c r="O51" s="8" t="n">
        <v>2</v>
      </c>
      <c r="P51" s="8" t="n"/>
      <c r="Q51" s="8" t="n"/>
      <c r="R51" s="8" t="n"/>
      <c r="S51" s="8" t="n"/>
      <c r="T51" s="8" t="n"/>
      <c r="U51" s="8" t="n"/>
      <c r="V51" s="45">
        <f>IF(M51="","",M51/$K51)</f>
        <v/>
      </c>
      <c r="W51" s="45">
        <f>IF(N51="","",N51/$K51)</f>
        <v/>
      </c>
      <c r="X51" s="45">
        <f>IF(O51="","",O51/$K51)</f>
        <v/>
      </c>
      <c r="Y51" s="45">
        <f>IF(P51="","",P51/$K51)</f>
        <v/>
      </c>
      <c r="Z51" s="45">
        <f>IF(Q51="","",Q51/$K51)</f>
        <v/>
      </c>
      <c r="AA51" s="45">
        <f>IF(R51="","",R51/$K51)</f>
        <v/>
      </c>
      <c r="AB51" s="45">
        <f>IF(S51="","",S51/$K51)</f>
        <v/>
      </c>
      <c r="AC51" s="45">
        <f>IF(T51="","",T51/$K51)</f>
        <v/>
      </c>
      <c r="AD51" s="45">
        <f>IF(U51="","",U51/$K51)</f>
        <v/>
      </c>
    </row>
    <row r="52">
      <c r="A52" s="8" t="inlineStr">
        <is>
          <t>JUBAILI AGROTEC</t>
        </is>
      </c>
      <c r="B52" s="8" t="inlineStr">
        <is>
          <t>Haulage</t>
        </is>
      </c>
      <c r="C52" s="8" t="inlineStr">
        <is>
          <t>Ibadan</t>
        </is>
      </c>
      <c r="D52" s="8" t="inlineStr">
        <is>
          <t>Jalingo</t>
        </is>
      </c>
      <c r="E52" s="8" t="inlineStr">
        <is>
          <t>JALINGO&gt;IBADAN</t>
        </is>
      </c>
      <c r="F52" s="8" t="inlineStr">
        <is>
          <t>Exact</t>
        </is>
      </c>
      <c r="G52" s="44">
        <f>IFERROR(INDEX('Turnaround Table'!$C$5:$C$231,MATCH(E52,'Turnaround Table'!$D$5:$D$231,0)),"")</f>
        <v/>
      </c>
      <c r="H52" s="43" t="n"/>
      <c r="I52" s="44">
        <f>IF(H52&lt;&gt;"",H52,IF(G52&lt;&gt;"",G52,'Truck Requirement'!$B$5))</f>
        <v/>
      </c>
      <c r="J52" s="44">
        <f>2*I52</f>
        <v/>
      </c>
      <c r="K52" s="8">
        <f>MAX(1,INT('Truck Requirement'!$B$4/J52))</f>
        <v/>
      </c>
      <c r="L52" s="8">
        <f>SUM(M52:U52)</f>
        <v/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2</v>
      </c>
      <c r="V52" s="45">
        <f>IF(M52="","",M52/$K52)</f>
        <v/>
      </c>
      <c r="W52" s="45">
        <f>IF(N52="","",N52/$K52)</f>
        <v/>
      </c>
      <c r="X52" s="45">
        <f>IF(O52="","",O52/$K52)</f>
        <v/>
      </c>
      <c r="Y52" s="45">
        <f>IF(P52="","",P52/$K52)</f>
        <v/>
      </c>
      <c r="Z52" s="45">
        <f>IF(Q52="","",Q52/$K52)</f>
        <v/>
      </c>
      <c r="AA52" s="45">
        <f>IF(R52="","",R52/$K52)</f>
        <v/>
      </c>
      <c r="AB52" s="45">
        <f>IF(S52="","",S52/$K52)</f>
        <v/>
      </c>
      <c r="AC52" s="45">
        <f>IF(T52="","",T52/$K52)</f>
        <v/>
      </c>
      <c r="AD52" s="45">
        <f>IF(U52="","",U52/$K52)</f>
        <v/>
      </c>
    </row>
    <row r="53">
      <c r="A53" s="8" t="inlineStr">
        <is>
          <t>JUBAILI AGROTEC</t>
        </is>
      </c>
      <c r="B53" s="8" t="inlineStr">
        <is>
          <t>Haulage</t>
        </is>
      </c>
      <c r="C53" s="8" t="inlineStr">
        <is>
          <t>Ibadan</t>
        </is>
      </c>
      <c r="D53" s="8" t="inlineStr">
        <is>
          <t>Lafia</t>
        </is>
      </c>
      <c r="E53" s="8" t="inlineStr">
        <is>
          <t>LAFIA&gt;IBADAN</t>
        </is>
      </c>
      <c r="F53" s="8" t="inlineStr">
        <is>
          <t>Exact</t>
        </is>
      </c>
      <c r="G53" s="44">
        <f>IFERROR(INDEX('Turnaround Table'!$C$5:$C$231,MATCH(E53,'Turnaround Table'!$D$5:$D$231,0)),"")</f>
        <v/>
      </c>
      <c r="H53" s="43" t="n"/>
      <c r="I53" s="44">
        <f>IF(H53&lt;&gt;"",H53,IF(G53&lt;&gt;"",G53,'Truck Requirement'!$B$5))</f>
        <v/>
      </c>
      <c r="J53" s="44">
        <f>2*I53</f>
        <v/>
      </c>
      <c r="K53" s="8">
        <f>MAX(1,INT('Truck Requirement'!$B$4/J53))</f>
        <v/>
      </c>
      <c r="L53" s="8">
        <f>SUM(M53:U53)</f>
        <v/>
      </c>
      <c r="M53" s="8" t="n"/>
      <c r="N53" s="8" t="n"/>
      <c r="O53" s="8" t="n">
        <v>1</v>
      </c>
      <c r="P53" s="8" t="n"/>
      <c r="Q53" s="8" t="n"/>
      <c r="R53" s="8" t="n"/>
      <c r="S53" s="8" t="n"/>
      <c r="T53" s="8" t="n"/>
      <c r="U53" s="8" t="n">
        <v>1</v>
      </c>
      <c r="V53" s="45">
        <f>IF(M53="","",M53/$K53)</f>
        <v/>
      </c>
      <c r="W53" s="45">
        <f>IF(N53="","",N53/$K53)</f>
        <v/>
      </c>
      <c r="X53" s="45">
        <f>IF(O53="","",O53/$K53)</f>
        <v/>
      </c>
      <c r="Y53" s="45">
        <f>IF(P53="","",P53/$K53)</f>
        <v/>
      </c>
      <c r="Z53" s="45">
        <f>IF(Q53="","",Q53/$K53)</f>
        <v/>
      </c>
      <c r="AA53" s="45">
        <f>IF(R53="","",R53/$K53)</f>
        <v/>
      </c>
      <c r="AB53" s="45">
        <f>IF(S53="","",S53/$K53)</f>
        <v/>
      </c>
      <c r="AC53" s="45">
        <f>IF(T53="","",T53/$K53)</f>
        <v/>
      </c>
      <c r="AD53" s="45">
        <f>IF(U53="","",U53/$K53)</f>
        <v/>
      </c>
    </row>
    <row r="54">
      <c r="A54" s="8" t="inlineStr">
        <is>
          <t>JUBAILI AGROTEC</t>
        </is>
      </c>
      <c r="B54" s="8" t="inlineStr">
        <is>
          <t>Haulage</t>
        </is>
      </c>
      <c r="C54" s="8" t="inlineStr">
        <is>
          <t>Ibadan</t>
        </is>
      </c>
      <c r="D54" s="8" t="inlineStr">
        <is>
          <t>Maiduguri</t>
        </is>
      </c>
      <c r="E54" s="8" t="inlineStr">
        <is>
          <t>MAIDUGURI&gt;IBADAN</t>
        </is>
      </c>
      <c r="F54" s="8" t="inlineStr">
        <is>
          <t>Exact</t>
        </is>
      </c>
      <c r="G54" s="44">
        <f>IFERROR(INDEX('Turnaround Table'!$C$5:$C$231,MATCH(E54,'Turnaround Table'!$D$5:$D$231,0)),"")</f>
        <v/>
      </c>
      <c r="H54" s="43" t="n"/>
      <c r="I54" s="44">
        <f>IF(H54&lt;&gt;"",H54,IF(G54&lt;&gt;"",G54,'Truck Requirement'!$B$5))</f>
        <v/>
      </c>
      <c r="J54" s="44">
        <f>2*I54</f>
        <v/>
      </c>
      <c r="K54" s="8">
        <f>MAX(1,INT('Truck Requirement'!$B$4/J54))</f>
        <v/>
      </c>
      <c r="L54" s="8">
        <f>SUM(M54:U54)</f>
        <v/>
      </c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2</v>
      </c>
      <c r="V54" s="45">
        <f>IF(M54="","",M54/$K54)</f>
        <v/>
      </c>
      <c r="W54" s="45">
        <f>IF(N54="","",N54/$K54)</f>
        <v/>
      </c>
      <c r="X54" s="45">
        <f>IF(O54="","",O54/$K54)</f>
        <v/>
      </c>
      <c r="Y54" s="45">
        <f>IF(P54="","",P54/$K54)</f>
        <v/>
      </c>
      <c r="Z54" s="45">
        <f>IF(Q54="","",Q54/$K54)</f>
        <v/>
      </c>
      <c r="AA54" s="45">
        <f>IF(R54="","",R54/$K54)</f>
        <v/>
      </c>
      <c r="AB54" s="45">
        <f>IF(S54="","",S54/$K54)</f>
        <v/>
      </c>
      <c r="AC54" s="45">
        <f>IF(T54="","",T54/$K54)</f>
        <v/>
      </c>
      <c r="AD54" s="45">
        <f>IF(U54="","",U54/$K54)</f>
        <v/>
      </c>
    </row>
    <row r="55">
      <c r="A55" s="8" t="inlineStr">
        <is>
          <t>JUBAILI AGROTEC</t>
        </is>
      </c>
      <c r="B55" s="8" t="inlineStr">
        <is>
          <t>Haulage</t>
        </is>
      </c>
      <c r="C55" s="8" t="inlineStr">
        <is>
          <t>Ibadan</t>
        </is>
      </c>
      <c r="D55" s="8" t="inlineStr">
        <is>
          <t>Aba</t>
        </is>
      </c>
      <c r="E55" s="8" t="inlineStr">
        <is>
          <t>ABA&gt;IBADAN</t>
        </is>
      </c>
      <c r="F55" s="8" t="inlineStr">
        <is>
          <t>Exact</t>
        </is>
      </c>
      <c r="G55" s="44">
        <f>IFERROR(INDEX('Turnaround Table'!$C$5:$C$231,MATCH(E55,'Turnaround Table'!$D$5:$D$231,0)),"")</f>
        <v/>
      </c>
      <c r="H55" s="43" t="n"/>
      <c r="I55" s="44">
        <f>IF(H55&lt;&gt;"",H55,IF(G55&lt;&gt;"",G55,'Truck Requirement'!$B$5))</f>
        <v/>
      </c>
      <c r="J55" s="44">
        <f>2*I55</f>
        <v/>
      </c>
      <c r="K55" s="8">
        <f>MAX(1,INT('Truck Requirement'!$B$4/J55))</f>
        <v/>
      </c>
      <c r="L55" s="8">
        <f>SUM(M55:U55)</f>
        <v/>
      </c>
      <c r="M55" s="8" t="n">
        <v>1</v>
      </c>
      <c r="N55" s="8" t="n"/>
      <c r="O55" s="8" t="n"/>
      <c r="P55" s="8" t="n"/>
      <c r="Q55" s="8" t="n"/>
      <c r="R55" s="8" t="n"/>
      <c r="S55" s="8" t="n"/>
      <c r="T55" s="8" t="n"/>
      <c r="U55" s="8" t="n"/>
      <c r="V55" s="45">
        <f>IF(M55="","",M55/$K55)</f>
        <v/>
      </c>
      <c r="W55" s="45">
        <f>IF(N55="","",N55/$K55)</f>
        <v/>
      </c>
      <c r="X55" s="45">
        <f>IF(O55="","",O55/$K55)</f>
        <v/>
      </c>
      <c r="Y55" s="45">
        <f>IF(P55="","",P55/$K55)</f>
        <v/>
      </c>
      <c r="Z55" s="45">
        <f>IF(Q55="","",Q55/$K55)</f>
        <v/>
      </c>
      <c r="AA55" s="45">
        <f>IF(R55="","",R55/$K55)</f>
        <v/>
      </c>
      <c r="AB55" s="45">
        <f>IF(S55="","",S55/$K55)</f>
        <v/>
      </c>
      <c r="AC55" s="45">
        <f>IF(T55="","",T55/$K55)</f>
        <v/>
      </c>
      <c r="AD55" s="45">
        <f>IF(U55="","",U55/$K55)</f>
        <v/>
      </c>
    </row>
    <row r="56">
      <c r="A56" s="8" t="inlineStr">
        <is>
          <t>JUBAILI AGROTEC</t>
        </is>
      </c>
      <c r="B56" s="8" t="inlineStr">
        <is>
          <t>Haulage</t>
        </is>
      </c>
      <c r="C56" s="8" t="inlineStr">
        <is>
          <t>Ibadan</t>
        </is>
      </c>
      <c r="D56" s="8" t="inlineStr">
        <is>
          <t>Abaji</t>
        </is>
      </c>
      <c r="E56" s="8" t="inlineStr">
        <is>
          <t>ABUJA&gt;IBADAN</t>
        </is>
      </c>
      <c r="F56" s="8" t="inlineStr">
        <is>
          <t>Exact</t>
        </is>
      </c>
      <c r="G56" s="44">
        <f>IFERROR(INDEX('Turnaround Table'!$C$5:$C$231,MATCH(E56,'Turnaround Table'!$D$5:$D$231,0)),"")</f>
        <v/>
      </c>
      <c r="H56" s="43" t="n"/>
      <c r="I56" s="44">
        <f>IF(H56&lt;&gt;"",H56,IF(G56&lt;&gt;"",G56,'Truck Requirement'!$B$5))</f>
        <v/>
      </c>
      <c r="J56" s="44">
        <f>2*I56</f>
        <v/>
      </c>
      <c r="K56" s="8">
        <f>MAX(1,INT('Truck Requirement'!$B$4/J56))</f>
        <v/>
      </c>
      <c r="L56" s="8">
        <f>SUM(M56:U56)</f>
        <v/>
      </c>
      <c r="M56" s="8" t="n"/>
      <c r="N56" s="8" t="n">
        <v>1</v>
      </c>
      <c r="O56" s="8" t="n"/>
      <c r="P56" s="8" t="n"/>
      <c r="Q56" s="8" t="n"/>
      <c r="R56" s="8" t="n"/>
      <c r="S56" s="8" t="n"/>
      <c r="T56" s="8" t="n"/>
      <c r="U56" s="8" t="n"/>
      <c r="V56" s="45">
        <f>IF(M56="","",M56/$K56)</f>
        <v/>
      </c>
      <c r="W56" s="45">
        <f>IF(N56="","",N56/$K56)</f>
        <v/>
      </c>
      <c r="X56" s="45">
        <f>IF(O56="","",O56/$K56)</f>
        <v/>
      </c>
      <c r="Y56" s="45">
        <f>IF(P56="","",P56/$K56)</f>
        <v/>
      </c>
      <c r="Z56" s="45">
        <f>IF(Q56="","",Q56/$K56)</f>
        <v/>
      </c>
      <c r="AA56" s="45">
        <f>IF(R56="","",R56/$K56)</f>
        <v/>
      </c>
      <c r="AB56" s="45">
        <f>IF(S56="","",S56/$K56)</f>
        <v/>
      </c>
      <c r="AC56" s="45">
        <f>IF(T56="","",T56/$K56)</f>
        <v/>
      </c>
      <c r="AD56" s="45">
        <f>IF(U56="","",U56/$K56)</f>
        <v/>
      </c>
    </row>
    <row r="57">
      <c r="A57" s="8" t="inlineStr">
        <is>
          <t>JUBAILI AGROTEC</t>
        </is>
      </c>
      <c r="B57" s="8" t="inlineStr">
        <is>
          <t>Haulage</t>
        </is>
      </c>
      <c r="C57" s="8" t="inlineStr">
        <is>
          <t>Ibadan</t>
        </is>
      </c>
      <c r="D57" s="8" t="inlineStr">
        <is>
          <t>Abeokuta</t>
        </is>
      </c>
      <c r="E57" s="8" t="inlineStr">
        <is>
          <t>ABEOKUTA&gt;LAGOS</t>
        </is>
      </c>
      <c r="F57" s="8" t="inlineStr">
        <is>
          <t>Lagos bay used</t>
        </is>
      </c>
      <c r="G57" s="44">
        <f>IFERROR(INDEX('Turnaround Table'!$C$5:$C$231,MATCH(E57,'Turnaround Table'!$D$5:$D$231,0)),"")</f>
        <v/>
      </c>
      <c r="H57" s="43" t="n"/>
      <c r="I57" s="44">
        <f>IF(H57&lt;&gt;"",H57,IF(G57&lt;&gt;"",G57,'Truck Requirement'!$B$5))</f>
        <v/>
      </c>
      <c r="J57" s="44">
        <f>2*I57</f>
        <v/>
      </c>
      <c r="K57" s="8">
        <f>MAX(1,INT('Truck Requirement'!$B$4/J57))</f>
        <v/>
      </c>
      <c r="L57" s="8">
        <f>SUM(M57:U57)</f>
        <v/>
      </c>
      <c r="M57" s="8" t="n"/>
      <c r="N57" s="8" t="n">
        <v>1</v>
      </c>
      <c r="O57" s="8" t="n"/>
      <c r="P57" s="8" t="n"/>
      <c r="Q57" s="8" t="n"/>
      <c r="R57" s="8" t="n"/>
      <c r="S57" s="8" t="n"/>
      <c r="T57" s="8" t="n"/>
      <c r="U57" s="8" t="n"/>
      <c r="V57" s="45">
        <f>IF(M57="","",M57/$K57)</f>
        <v/>
      </c>
      <c r="W57" s="45">
        <f>IF(N57="","",N57/$K57)</f>
        <v/>
      </c>
      <c r="X57" s="45">
        <f>IF(O57="","",O57/$K57)</f>
        <v/>
      </c>
      <c r="Y57" s="45">
        <f>IF(P57="","",P57/$K57)</f>
        <v/>
      </c>
      <c r="Z57" s="45">
        <f>IF(Q57="","",Q57/$K57)</f>
        <v/>
      </c>
      <c r="AA57" s="45">
        <f>IF(R57="","",R57/$K57)</f>
        <v/>
      </c>
      <c r="AB57" s="45">
        <f>IF(S57="","",S57/$K57)</f>
        <v/>
      </c>
      <c r="AC57" s="45">
        <f>IF(T57="","",T57/$K57)</f>
        <v/>
      </c>
      <c r="AD57" s="45">
        <f>IF(U57="","",U57/$K57)</f>
        <v/>
      </c>
    </row>
    <row r="58">
      <c r="A58" s="8" t="inlineStr">
        <is>
          <t>JUBAILI AGROTEC</t>
        </is>
      </c>
      <c r="B58" s="8" t="inlineStr">
        <is>
          <t>Haulage</t>
        </is>
      </c>
      <c r="C58" s="8" t="inlineStr">
        <is>
          <t>Ibadan</t>
        </is>
      </c>
      <c r="D58" s="8" t="inlineStr">
        <is>
          <t>Bida</t>
        </is>
      </c>
      <c r="E58" s="8" t="inlineStr">
        <is>
          <t>BIDA&gt;IBADAN</t>
        </is>
      </c>
      <c r="F58" s="8" t="inlineStr">
        <is>
          <t>Exact</t>
        </is>
      </c>
      <c r="G58" s="44">
        <f>IFERROR(INDEX('Turnaround Table'!$C$5:$C$231,MATCH(E58,'Turnaround Table'!$D$5:$D$231,0)),"")</f>
        <v/>
      </c>
      <c r="H58" s="43" t="n"/>
      <c r="I58" s="44">
        <f>IF(H58&lt;&gt;"",H58,IF(G58&lt;&gt;"",G58,'Truck Requirement'!$B$5))</f>
        <v/>
      </c>
      <c r="J58" s="44">
        <f>2*I58</f>
        <v/>
      </c>
      <c r="K58" s="8">
        <f>MAX(1,INT('Truck Requirement'!$B$4/J58))</f>
        <v/>
      </c>
      <c r="L58" s="8">
        <f>SUM(M58:U58)</f>
        <v/>
      </c>
      <c r="M58" s="8" t="n"/>
      <c r="N58" s="8" t="n"/>
      <c r="O58" s="8" t="n"/>
      <c r="P58" s="8" t="n"/>
      <c r="Q58" s="8" t="n"/>
      <c r="R58" s="8" t="n"/>
      <c r="S58" s="8" t="n"/>
      <c r="T58" s="8" t="n"/>
      <c r="U58" s="8" t="n">
        <v>1</v>
      </c>
      <c r="V58" s="45">
        <f>IF(M58="","",M58/$K58)</f>
        <v/>
      </c>
      <c r="W58" s="45">
        <f>IF(N58="","",N58/$K58)</f>
        <v/>
      </c>
      <c r="X58" s="45">
        <f>IF(O58="","",O58/$K58)</f>
        <v/>
      </c>
      <c r="Y58" s="45">
        <f>IF(P58="","",P58/$K58)</f>
        <v/>
      </c>
      <c r="Z58" s="45">
        <f>IF(Q58="","",Q58/$K58)</f>
        <v/>
      </c>
      <c r="AA58" s="45">
        <f>IF(R58="","",R58/$K58)</f>
        <v/>
      </c>
      <c r="AB58" s="45">
        <f>IF(S58="","",S58/$K58)</f>
        <v/>
      </c>
      <c r="AC58" s="45">
        <f>IF(T58="","",T58/$K58)</f>
        <v/>
      </c>
      <c r="AD58" s="45">
        <f>IF(U58="","",U58/$K58)</f>
        <v/>
      </c>
    </row>
    <row r="59">
      <c r="A59" s="8" t="inlineStr">
        <is>
          <t>JUBAILI AGROTEC</t>
        </is>
      </c>
      <c r="B59" s="8" t="inlineStr">
        <is>
          <t>Haulage</t>
        </is>
      </c>
      <c r="C59" s="8" t="inlineStr">
        <is>
          <t>Ibadan</t>
        </is>
      </c>
      <c r="D59" s="8" t="inlineStr">
        <is>
          <t>Kaduna</t>
        </is>
      </c>
      <c r="E59" s="8" t="inlineStr">
        <is>
          <t>KADUNA&gt;IBADAN</t>
        </is>
      </c>
      <c r="F59" s="8" t="inlineStr">
        <is>
          <t>Exact</t>
        </is>
      </c>
      <c r="G59" s="44">
        <f>IFERROR(INDEX('Turnaround Table'!$C$5:$C$231,MATCH(E59,'Turnaround Table'!$D$5:$D$231,0)),"")</f>
        <v/>
      </c>
      <c r="H59" s="43" t="n"/>
      <c r="I59" s="44">
        <f>IF(H59&lt;&gt;"",H59,IF(G59&lt;&gt;"",G59,'Truck Requirement'!$B$5))</f>
        <v/>
      </c>
      <c r="J59" s="44">
        <f>2*I59</f>
        <v/>
      </c>
      <c r="K59" s="8">
        <f>MAX(1,INT('Truck Requirement'!$B$4/J59))</f>
        <v/>
      </c>
      <c r="L59" s="8">
        <f>SUM(M59:U59)</f>
        <v/>
      </c>
      <c r="M59" s="8" t="n"/>
      <c r="N59" s="8" t="n"/>
      <c r="O59" s="8" t="n"/>
      <c r="P59" s="8" t="n"/>
      <c r="Q59" s="8" t="n">
        <v>1</v>
      </c>
      <c r="R59" s="8" t="n"/>
      <c r="S59" s="8" t="n"/>
      <c r="T59" s="8" t="n"/>
      <c r="U59" s="8" t="n"/>
      <c r="V59" s="45">
        <f>IF(M59="","",M59/$K59)</f>
        <v/>
      </c>
      <c r="W59" s="45">
        <f>IF(N59="","",N59/$K59)</f>
        <v/>
      </c>
      <c r="X59" s="45">
        <f>IF(O59="","",O59/$K59)</f>
        <v/>
      </c>
      <c r="Y59" s="45">
        <f>IF(P59="","",P59/$K59)</f>
        <v/>
      </c>
      <c r="Z59" s="45">
        <f>IF(Q59="","",Q59/$K59)</f>
        <v/>
      </c>
      <c r="AA59" s="45">
        <f>IF(R59="","",R59/$K59)</f>
        <v/>
      </c>
      <c r="AB59" s="45">
        <f>IF(S59="","",S59/$K59)</f>
        <v/>
      </c>
      <c r="AC59" s="45">
        <f>IF(T59="","",T59/$K59)</f>
        <v/>
      </c>
      <c r="AD59" s="45">
        <f>IF(U59="","",U59/$K59)</f>
        <v/>
      </c>
    </row>
    <row r="60">
      <c r="A60" s="8" t="inlineStr">
        <is>
          <t>JUBAILI AGROTEC</t>
        </is>
      </c>
      <c r="B60" s="8" t="inlineStr">
        <is>
          <t>Haulage</t>
        </is>
      </c>
      <c r="C60" s="8" t="inlineStr">
        <is>
          <t>Ibadan</t>
        </is>
      </c>
      <c r="D60" s="8" t="inlineStr">
        <is>
          <t>Kotangora</t>
        </is>
      </c>
      <c r="E60" s="8" t="inlineStr">
        <is>
          <t>KONTAGORA&gt;LAGOS</t>
        </is>
      </c>
      <c r="F60" s="8" t="inlineStr">
        <is>
          <t>Lagos bay used</t>
        </is>
      </c>
      <c r="G60" s="44">
        <f>IFERROR(INDEX('Turnaround Table'!$C$5:$C$231,MATCH(E60,'Turnaround Table'!$D$5:$D$231,0)),"")</f>
        <v/>
      </c>
      <c r="H60" s="43" t="n"/>
      <c r="I60" s="44">
        <f>IF(H60&lt;&gt;"",H60,IF(G60&lt;&gt;"",G60,'Truck Requirement'!$B$5))</f>
        <v/>
      </c>
      <c r="J60" s="44">
        <f>2*I60</f>
        <v/>
      </c>
      <c r="K60" s="8">
        <f>MAX(1,INT('Truck Requirement'!$B$4/J60))</f>
        <v/>
      </c>
      <c r="L60" s="8">
        <f>SUM(M60:U60)</f>
        <v/>
      </c>
      <c r="M60" s="8" t="n"/>
      <c r="N60" s="8" t="n"/>
      <c r="O60" s="8" t="n"/>
      <c r="P60" s="8" t="n"/>
      <c r="Q60" s="8" t="n"/>
      <c r="R60" s="8" t="n">
        <v>1</v>
      </c>
      <c r="S60" s="8" t="n"/>
      <c r="T60" s="8" t="n"/>
      <c r="U60" s="8" t="n"/>
      <c r="V60" s="45">
        <f>IF(M60="","",M60/$K60)</f>
        <v/>
      </c>
      <c r="W60" s="45">
        <f>IF(N60="","",N60/$K60)</f>
        <v/>
      </c>
      <c r="X60" s="45">
        <f>IF(O60="","",O60/$K60)</f>
        <v/>
      </c>
      <c r="Y60" s="45">
        <f>IF(P60="","",P60/$K60)</f>
        <v/>
      </c>
      <c r="Z60" s="45">
        <f>IF(Q60="","",Q60/$K60)</f>
        <v/>
      </c>
      <c r="AA60" s="45">
        <f>IF(R60="","",R60/$K60)</f>
        <v/>
      </c>
      <c r="AB60" s="45">
        <f>IF(S60="","",S60/$K60)</f>
        <v/>
      </c>
      <c r="AC60" s="45">
        <f>IF(T60="","",T60/$K60)</f>
        <v/>
      </c>
      <c r="AD60" s="45">
        <f>IF(U60="","",U60/$K60)</f>
        <v/>
      </c>
    </row>
    <row r="61">
      <c r="A61" s="8" t="inlineStr">
        <is>
          <t>JUBAILI AGROTEC</t>
        </is>
      </c>
      <c r="B61" s="8" t="inlineStr">
        <is>
          <t>Haulage</t>
        </is>
      </c>
      <c r="C61" s="8" t="inlineStr">
        <is>
          <t>Ibadan</t>
        </is>
      </c>
      <c r="D61" s="8" t="inlineStr">
        <is>
          <t>Oyo</t>
        </is>
      </c>
      <c r="E61" s="8" t="inlineStr">
        <is>
          <t>OYO&gt;LAGOS</t>
        </is>
      </c>
      <c r="F61" s="8" t="inlineStr">
        <is>
          <t>Lagos bay used</t>
        </is>
      </c>
      <c r="G61" s="44">
        <f>IFERROR(INDEX('Turnaround Table'!$C$5:$C$231,MATCH(E61,'Turnaround Table'!$D$5:$D$231,0)),"")</f>
        <v/>
      </c>
      <c r="H61" s="43" t="n"/>
      <c r="I61" s="44">
        <f>IF(H61&lt;&gt;"",H61,IF(G61&lt;&gt;"",G61,'Truck Requirement'!$B$5))</f>
        <v/>
      </c>
      <c r="J61" s="44">
        <f>2*I61</f>
        <v/>
      </c>
      <c r="K61" s="8">
        <f>MAX(1,INT('Truck Requirement'!$B$4/J61))</f>
        <v/>
      </c>
      <c r="L61" s="8">
        <f>SUM(M61:U61)</f>
        <v/>
      </c>
      <c r="M61" s="8" t="n"/>
      <c r="N61" s="8" t="n">
        <v>1</v>
      </c>
      <c r="O61" s="8" t="n"/>
      <c r="P61" s="8" t="n"/>
      <c r="Q61" s="8" t="n"/>
      <c r="R61" s="8" t="n"/>
      <c r="S61" s="8" t="n"/>
      <c r="T61" s="8" t="n"/>
      <c r="U61" s="8" t="n"/>
      <c r="V61" s="45">
        <f>IF(M61="","",M61/$K61)</f>
        <v/>
      </c>
      <c r="W61" s="45">
        <f>IF(N61="","",N61/$K61)</f>
        <v/>
      </c>
      <c r="X61" s="45">
        <f>IF(O61="","",O61/$K61)</f>
        <v/>
      </c>
      <c r="Y61" s="45">
        <f>IF(P61="","",P61/$K61)</f>
        <v/>
      </c>
      <c r="Z61" s="45">
        <f>IF(Q61="","",Q61/$K61)</f>
        <v/>
      </c>
      <c r="AA61" s="45">
        <f>IF(R61="","",R61/$K61)</f>
        <v/>
      </c>
      <c r="AB61" s="45">
        <f>IF(S61="","",S61/$K61)</f>
        <v/>
      </c>
      <c r="AC61" s="45">
        <f>IF(T61="","",T61/$K61)</f>
        <v/>
      </c>
      <c r="AD61" s="45">
        <f>IF(U61="","",U61/$K61)</f>
        <v/>
      </c>
    </row>
    <row r="62">
      <c r="A62" s="8" t="inlineStr">
        <is>
          <t>JUBAILI AGROTEC</t>
        </is>
      </c>
      <c r="B62" s="8" t="inlineStr">
        <is>
          <t>Haulage</t>
        </is>
      </c>
      <c r="C62" s="8" t="inlineStr">
        <is>
          <t>Ibadan</t>
        </is>
      </c>
      <c r="D62" s="8" t="inlineStr">
        <is>
          <t>Suleja</t>
        </is>
      </c>
      <c r="E62" s="8" t="inlineStr">
        <is>
          <t>ABUJA&gt;IBADAN</t>
        </is>
      </c>
      <c r="F62" s="8" t="inlineStr">
        <is>
          <t>Exact</t>
        </is>
      </c>
      <c r="G62" s="44">
        <f>IFERROR(INDEX('Turnaround Table'!$C$5:$C$231,MATCH(E62,'Turnaround Table'!$D$5:$D$231,0)),"")</f>
        <v/>
      </c>
      <c r="H62" s="43" t="n"/>
      <c r="I62" s="44">
        <f>IF(H62&lt;&gt;"",H62,IF(G62&lt;&gt;"",G62,'Truck Requirement'!$B$5))</f>
        <v/>
      </c>
      <c r="J62" s="44">
        <f>2*I62</f>
        <v/>
      </c>
      <c r="K62" s="8">
        <f>MAX(1,INT('Truck Requirement'!$B$4/J62))</f>
        <v/>
      </c>
      <c r="L62" s="8">
        <f>SUM(M62:U62)</f>
        <v/>
      </c>
      <c r="M62" s="8" t="n"/>
      <c r="N62" s="8" t="n"/>
      <c r="O62" s="8" t="n"/>
      <c r="P62" s="8" t="n">
        <v>1</v>
      </c>
      <c r="Q62" s="8" t="n"/>
      <c r="R62" s="8" t="n"/>
      <c r="S62" s="8" t="n"/>
      <c r="T62" s="8" t="n"/>
      <c r="U62" s="8" t="n"/>
      <c r="V62" s="45">
        <f>IF(M62="","",M62/$K62)</f>
        <v/>
      </c>
      <c r="W62" s="45">
        <f>IF(N62="","",N62/$K62)</f>
        <v/>
      </c>
      <c r="X62" s="45">
        <f>IF(O62="","",O62/$K62)</f>
        <v/>
      </c>
      <c r="Y62" s="45">
        <f>IF(P62="","",P62/$K62)</f>
        <v/>
      </c>
      <c r="Z62" s="45">
        <f>IF(Q62="","",Q62/$K62)</f>
        <v/>
      </c>
      <c r="AA62" s="45">
        <f>IF(R62="","",R62/$K62)</f>
        <v/>
      </c>
      <c r="AB62" s="45">
        <f>IF(S62="","",S62/$K62)</f>
        <v/>
      </c>
      <c r="AC62" s="45">
        <f>IF(T62="","",T62/$K62)</f>
        <v/>
      </c>
      <c r="AD62" s="45">
        <f>IF(U62="","",U62/$K62)</f>
        <v/>
      </c>
    </row>
    <row r="63">
      <c r="A63" s="8" t="inlineStr">
        <is>
          <t>JUBAILI AGROTEC</t>
        </is>
      </c>
      <c r="B63" s="8" t="inlineStr">
        <is>
          <t>Haulage</t>
        </is>
      </c>
      <c r="C63" s="8" t="inlineStr">
        <is>
          <t>Ibadan</t>
        </is>
      </c>
      <c r="D63" s="8" t="inlineStr">
        <is>
          <t>Zaria</t>
        </is>
      </c>
      <c r="E63" s="8" t="inlineStr">
        <is>
          <t>ZARIA&gt;IBADAN</t>
        </is>
      </c>
      <c r="F63" s="8" t="inlineStr">
        <is>
          <t>Exact</t>
        </is>
      </c>
      <c r="G63" s="44">
        <f>IFERROR(INDEX('Turnaround Table'!$C$5:$C$231,MATCH(E63,'Turnaround Table'!$D$5:$D$231,0)),"")</f>
        <v/>
      </c>
      <c r="H63" s="43" t="n"/>
      <c r="I63" s="44">
        <f>IF(H63&lt;&gt;"",H63,IF(G63&lt;&gt;"",G63,'Truck Requirement'!$B$5))</f>
        <v/>
      </c>
      <c r="J63" s="44">
        <f>2*I63</f>
        <v/>
      </c>
      <c r="K63" s="8">
        <f>MAX(1,INT('Truck Requirement'!$B$4/J63))</f>
        <v/>
      </c>
      <c r="L63" s="8">
        <f>SUM(M63:U63)</f>
        <v/>
      </c>
      <c r="M63" s="8" t="n"/>
      <c r="N63" s="8" t="n"/>
      <c r="O63" s="8" t="n"/>
      <c r="P63" s="8" t="n"/>
      <c r="Q63" s="8" t="n"/>
      <c r="R63" s="8" t="n"/>
      <c r="S63" s="8" t="n"/>
      <c r="T63" s="8" t="n"/>
      <c r="U63" s="8" t="n">
        <v>1</v>
      </c>
      <c r="V63" s="45">
        <f>IF(M63="","",M63/$K63)</f>
        <v/>
      </c>
      <c r="W63" s="45">
        <f>IF(N63="","",N63/$K63)</f>
        <v/>
      </c>
      <c r="X63" s="45">
        <f>IF(O63="","",O63/$K63)</f>
        <v/>
      </c>
      <c r="Y63" s="45">
        <f>IF(P63="","",P63/$K63)</f>
        <v/>
      </c>
      <c r="Z63" s="45">
        <f>IF(Q63="","",Q63/$K63)</f>
        <v/>
      </c>
      <c r="AA63" s="45">
        <f>IF(R63="","",R63/$K63)</f>
        <v/>
      </c>
      <c r="AB63" s="45">
        <f>IF(S63="","",S63/$K63)</f>
        <v/>
      </c>
      <c r="AC63" s="45">
        <f>IF(T63="","",T63/$K63)</f>
        <v/>
      </c>
      <c r="AD63" s="45">
        <f>IF(U63="","",U63/$K63)</f>
        <v/>
      </c>
    </row>
    <row r="64">
      <c r="A64" s="8" t="inlineStr">
        <is>
          <t>Jamara</t>
        </is>
      </c>
      <c r="B64" s="8" t="inlineStr">
        <is>
          <t>Haulage</t>
        </is>
      </c>
      <c r="C64" s="8" t="inlineStr">
        <is>
          <t>Lagos</t>
        </is>
      </c>
      <c r="D64" s="8" t="inlineStr">
        <is>
          <t>Phc</t>
        </is>
      </c>
      <c r="E64" s="8" t="inlineStr">
        <is>
          <t>PORT HARCOURT&gt;LAGOS</t>
        </is>
      </c>
      <c r="F64" s="8" t="inlineStr">
        <is>
          <t>Exact</t>
        </is>
      </c>
      <c r="G64" s="44">
        <f>IFERROR(INDEX('Turnaround Table'!$C$5:$C$231,MATCH(E64,'Turnaround Table'!$D$5:$D$231,0)),"")</f>
        <v/>
      </c>
      <c r="H64" s="43" t="n"/>
      <c r="I64" s="44">
        <f>IF(H64&lt;&gt;"",H64,IF(G64&lt;&gt;"",G64,'Truck Requirement'!$B$5))</f>
        <v/>
      </c>
      <c r="J64" s="44">
        <f>2*I64</f>
        <v/>
      </c>
      <c r="K64" s="8">
        <f>MAX(1,INT('Truck Requirement'!$B$4/J64))</f>
        <v/>
      </c>
      <c r="L64" s="8">
        <f>SUM(M64:U64)</f>
        <v/>
      </c>
      <c r="M64" s="8" t="n">
        <v>7</v>
      </c>
      <c r="N64" s="8" t="n">
        <v>6</v>
      </c>
      <c r="O64" s="8" t="n">
        <v>4</v>
      </c>
      <c r="P64" s="8" t="n">
        <v>6</v>
      </c>
      <c r="Q64" s="8" t="n">
        <v>4</v>
      </c>
      <c r="R64" s="8" t="n">
        <v>8</v>
      </c>
      <c r="S64" s="8" t="n">
        <v>7</v>
      </c>
      <c r="T64" s="8" t="n">
        <v>14</v>
      </c>
      <c r="U64" s="8" t="n">
        <v>6</v>
      </c>
      <c r="V64" s="45">
        <f>IF(M64="","",M64/$K64)</f>
        <v/>
      </c>
      <c r="W64" s="45">
        <f>IF(N64="","",N64/$K64)</f>
        <v/>
      </c>
      <c r="X64" s="45">
        <f>IF(O64="","",O64/$K64)</f>
        <v/>
      </c>
      <c r="Y64" s="45">
        <f>IF(P64="","",P64/$K64)</f>
        <v/>
      </c>
      <c r="Z64" s="45">
        <f>IF(Q64="","",Q64/$K64)</f>
        <v/>
      </c>
      <c r="AA64" s="45">
        <f>IF(R64="","",R64/$K64)</f>
        <v/>
      </c>
      <c r="AB64" s="45">
        <f>IF(S64="","",S64/$K64)</f>
        <v/>
      </c>
      <c r="AC64" s="45">
        <f>IF(T64="","",T64/$K64)</f>
        <v/>
      </c>
      <c r="AD64" s="45">
        <f>IF(U64="","",U64/$K64)</f>
        <v/>
      </c>
    </row>
    <row r="65">
      <c r="A65" s="8" t="inlineStr">
        <is>
          <t>Jamara</t>
        </is>
      </c>
      <c r="B65" s="8" t="inlineStr">
        <is>
          <t>Haulage</t>
        </is>
      </c>
      <c r="C65" s="8" t="inlineStr">
        <is>
          <t>Lagos</t>
        </is>
      </c>
      <c r="D65" s="8" t="inlineStr">
        <is>
          <t>Abuja</t>
        </is>
      </c>
      <c r="E65" s="8" t="inlineStr">
        <is>
          <t>ABUJA&gt;LAGOS</t>
        </is>
      </c>
      <c r="F65" s="8" t="inlineStr">
        <is>
          <t>Exact</t>
        </is>
      </c>
      <c r="G65" s="44">
        <f>IFERROR(INDEX('Turnaround Table'!$C$5:$C$231,MATCH(E65,'Turnaround Table'!$D$5:$D$231,0)),"")</f>
        <v/>
      </c>
      <c r="H65" s="43" t="n"/>
      <c r="I65" s="44">
        <f>IF(H65&lt;&gt;"",H65,IF(G65&lt;&gt;"",G65,'Truck Requirement'!$B$5))</f>
        <v/>
      </c>
      <c r="J65" s="44">
        <f>2*I65</f>
        <v/>
      </c>
      <c r="K65" s="8">
        <f>MAX(1,INT('Truck Requirement'!$B$4/J65))</f>
        <v/>
      </c>
      <c r="L65" s="8">
        <f>SUM(M65:U65)</f>
        <v/>
      </c>
      <c r="M65" s="8" t="n">
        <v>6</v>
      </c>
      <c r="N65" s="8" t="n">
        <v>5</v>
      </c>
      <c r="O65" s="8" t="n">
        <v>3</v>
      </c>
      <c r="P65" s="8" t="n">
        <v>4</v>
      </c>
      <c r="Q65" s="8" t="n">
        <v>3</v>
      </c>
      <c r="R65" s="8" t="n">
        <v>5</v>
      </c>
      <c r="S65" s="8" t="n">
        <v>8</v>
      </c>
      <c r="T65" s="8" t="n">
        <v>7</v>
      </c>
      <c r="U65" s="8" t="n">
        <v>7</v>
      </c>
      <c r="V65" s="45">
        <f>IF(M65="","",M65/$K65)</f>
        <v/>
      </c>
      <c r="W65" s="45">
        <f>IF(N65="","",N65/$K65)</f>
        <v/>
      </c>
      <c r="X65" s="45">
        <f>IF(O65="","",O65/$K65)</f>
        <v/>
      </c>
      <c r="Y65" s="45">
        <f>IF(P65="","",P65/$K65)</f>
        <v/>
      </c>
      <c r="Z65" s="45">
        <f>IF(Q65="","",Q65/$K65)</f>
        <v/>
      </c>
      <c r="AA65" s="45">
        <f>IF(R65="","",R65/$K65)</f>
        <v/>
      </c>
      <c r="AB65" s="45">
        <f>IF(S65="","",S65/$K65)</f>
        <v/>
      </c>
      <c r="AC65" s="45">
        <f>IF(T65="","",T65/$K65)</f>
        <v/>
      </c>
      <c r="AD65" s="45">
        <f>IF(U65="","",U65/$K65)</f>
        <v/>
      </c>
    </row>
    <row r="66">
      <c r="A66" s="8" t="inlineStr">
        <is>
          <t>Jamara</t>
        </is>
      </c>
      <c r="B66" s="8" t="inlineStr">
        <is>
          <t>Haulage</t>
        </is>
      </c>
      <c r="C66" s="8" t="inlineStr">
        <is>
          <t>Lagos</t>
        </is>
      </c>
      <c r="D66" s="8" t="inlineStr">
        <is>
          <t>Kano</t>
        </is>
      </c>
      <c r="E66" s="8" t="inlineStr">
        <is>
          <t>KANO&gt;LAGOS</t>
        </is>
      </c>
      <c r="F66" s="8" t="inlineStr">
        <is>
          <t>Exact</t>
        </is>
      </c>
      <c r="G66" s="44">
        <f>IFERROR(INDEX('Turnaround Table'!$C$5:$C$231,MATCH(E66,'Turnaround Table'!$D$5:$D$231,0)),"")</f>
        <v/>
      </c>
      <c r="H66" s="43" t="n"/>
      <c r="I66" s="44">
        <f>IF(H66&lt;&gt;"",H66,IF(G66&lt;&gt;"",G66,'Truck Requirement'!$B$5))</f>
        <v/>
      </c>
      <c r="J66" s="44">
        <f>2*I66</f>
        <v/>
      </c>
      <c r="K66" s="8">
        <f>MAX(1,INT('Truck Requirement'!$B$4/J66))</f>
        <v/>
      </c>
      <c r="L66" s="8">
        <f>SUM(M66:U66)</f>
        <v/>
      </c>
      <c r="M66" s="8" t="n">
        <v>3</v>
      </c>
      <c r="N66" s="8" t="n">
        <v>5</v>
      </c>
      <c r="O66" s="8" t="n">
        <v>2</v>
      </c>
      <c r="P66" s="8" t="n">
        <v>3</v>
      </c>
      <c r="Q66" s="8" t="n">
        <v>2</v>
      </c>
      <c r="R66" s="8" t="n">
        <v>5</v>
      </c>
      <c r="S66" s="8" t="n">
        <v>5</v>
      </c>
      <c r="T66" s="8" t="n">
        <v>6</v>
      </c>
      <c r="U66" s="8" t="n">
        <v>5</v>
      </c>
      <c r="V66" s="45">
        <f>IF(M66="","",M66/$K66)</f>
        <v/>
      </c>
      <c r="W66" s="45">
        <f>IF(N66="","",N66/$K66)</f>
        <v/>
      </c>
      <c r="X66" s="45">
        <f>IF(O66="","",O66/$K66)</f>
        <v/>
      </c>
      <c r="Y66" s="45">
        <f>IF(P66="","",P66/$K66)</f>
        <v/>
      </c>
      <c r="Z66" s="45">
        <f>IF(Q66="","",Q66/$K66)</f>
        <v/>
      </c>
      <c r="AA66" s="45">
        <f>IF(R66="","",R66/$K66)</f>
        <v/>
      </c>
      <c r="AB66" s="45">
        <f>IF(S66="","",S66/$K66)</f>
        <v/>
      </c>
      <c r="AC66" s="45">
        <f>IF(T66="","",T66/$K66)</f>
        <v/>
      </c>
      <c r="AD66" s="45">
        <f>IF(U66="","",U66/$K66)</f>
        <v/>
      </c>
    </row>
    <row r="67">
      <c r="A67" s="8" t="inlineStr">
        <is>
          <t>Jamara</t>
        </is>
      </c>
      <c r="B67" s="8" t="inlineStr">
        <is>
          <t>Haulage</t>
        </is>
      </c>
      <c r="C67" s="8" t="inlineStr">
        <is>
          <t>Lagos</t>
        </is>
      </c>
      <c r="D67" s="8" t="inlineStr">
        <is>
          <t>Ibadan</t>
        </is>
      </c>
      <c r="E67" s="8" t="inlineStr">
        <is>
          <t>IBADAN&gt;LAGOS</t>
        </is>
      </c>
      <c r="F67" s="8" t="inlineStr">
        <is>
          <t>Exact</t>
        </is>
      </c>
      <c r="G67" s="44">
        <f>IFERROR(INDEX('Turnaround Table'!$C$5:$C$231,MATCH(E67,'Turnaround Table'!$D$5:$D$231,0)),"")</f>
        <v/>
      </c>
      <c r="H67" s="43" t="n"/>
      <c r="I67" s="44">
        <f>IF(H67&lt;&gt;"",H67,IF(G67&lt;&gt;"",G67,'Truck Requirement'!$B$5))</f>
        <v/>
      </c>
      <c r="J67" s="44">
        <f>2*I67</f>
        <v/>
      </c>
      <c r="K67" s="8">
        <f>MAX(1,INT('Truck Requirement'!$B$4/J67))</f>
        <v/>
      </c>
      <c r="L67" s="8">
        <f>SUM(M67:U67)</f>
        <v/>
      </c>
      <c r="M67" s="8" t="n">
        <v>6</v>
      </c>
      <c r="N67" s="8" t="n">
        <v>1</v>
      </c>
      <c r="O67" s="8" t="n">
        <v>5</v>
      </c>
      <c r="P67" s="8" t="n">
        <v>2</v>
      </c>
      <c r="Q67" s="8" t="n">
        <v>2</v>
      </c>
      <c r="R67" s="8" t="n">
        <v>2</v>
      </c>
      <c r="S67" s="8" t="n"/>
      <c r="T67" s="8" t="n"/>
      <c r="U67" s="8" t="n">
        <v>9</v>
      </c>
      <c r="V67" s="45">
        <f>IF(M67="","",M67/$K67)</f>
        <v/>
      </c>
      <c r="W67" s="45">
        <f>IF(N67="","",N67/$K67)</f>
        <v/>
      </c>
      <c r="X67" s="45">
        <f>IF(O67="","",O67/$K67)</f>
        <v/>
      </c>
      <c r="Y67" s="45">
        <f>IF(P67="","",P67/$K67)</f>
        <v/>
      </c>
      <c r="Z67" s="45">
        <f>IF(Q67="","",Q67/$K67)</f>
        <v/>
      </c>
      <c r="AA67" s="45">
        <f>IF(R67="","",R67/$K67)</f>
        <v/>
      </c>
      <c r="AB67" s="45">
        <f>IF(S67="","",S67/$K67)</f>
        <v/>
      </c>
      <c r="AC67" s="45">
        <f>IF(T67="","",T67/$K67)</f>
        <v/>
      </c>
      <c r="AD67" s="45">
        <f>IF(U67="","",U67/$K67)</f>
        <v/>
      </c>
    </row>
    <row r="68">
      <c r="A68" s="8" t="inlineStr">
        <is>
          <t>Jamara</t>
        </is>
      </c>
      <c r="B68" s="8" t="inlineStr">
        <is>
          <t>Haulage</t>
        </is>
      </c>
      <c r="C68" s="8" t="inlineStr">
        <is>
          <t>Lagos</t>
        </is>
      </c>
      <c r="D68" s="8" t="inlineStr">
        <is>
          <t>Isolo</t>
        </is>
      </c>
      <c r="E68" s="8" t="inlineStr">
        <is>
          <t>ISOLO&gt;LAGOS</t>
        </is>
      </c>
      <c r="F68" s="8" t="inlineStr">
        <is>
          <t>Exact</t>
        </is>
      </c>
      <c r="G68" s="44">
        <f>IFERROR(INDEX('Turnaround Table'!$C$5:$C$231,MATCH(E68,'Turnaround Table'!$D$5:$D$231,0)),"")</f>
        <v/>
      </c>
      <c r="H68" s="43" t="n"/>
      <c r="I68" s="44">
        <f>IF(H68&lt;&gt;"",H68,IF(G68&lt;&gt;"",G68,'Truck Requirement'!$B$5))</f>
        <v/>
      </c>
      <c r="J68" s="44">
        <f>2*I68</f>
        <v/>
      </c>
      <c r="K68" s="8">
        <f>MAX(1,INT('Truck Requirement'!$B$4/J68))</f>
        <v/>
      </c>
      <c r="L68" s="8">
        <f>SUM(M68:U68)</f>
        <v/>
      </c>
      <c r="M68" s="8" t="n">
        <v>1</v>
      </c>
      <c r="N68" s="8" t="n">
        <v>1</v>
      </c>
      <c r="O68" s="8" t="n">
        <v>3</v>
      </c>
      <c r="P68" s="8" t="n">
        <v>6</v>
      </c>
      <c r="Q68" s="8" t="n">
        <v>3</v>
      </c>
      <c r="R68" s="8" t="n">
        <v>1</v>
      </c>
      <c r="S68" s="8" t="n">
        <v>3</v>
      </c>
      <c r="T68" s="8" t="n"/>
      <c r="U68" s="8" t="n"/>
      <c r="V68" s="45">
        <f>IF(M68="","",M68/$K68)</f>
        <v/>
      </c>
      <c r="W68" s="45">
        <f>IF(N68="","",N68/$K68)</f>
        <v/>
      </c>
      <c r="X68" s="45">
        <f>IF(O68="","",O68/$K68)</f>
        <v/>
      </c>
      <c r="Y68" s="45">
        <f>IF(P68="","",P68/$K68)</f>
        <v/>
      </c>
      <c r="Z68" s="45">
        <f>IF(Q68="","",Q68/$K68)</f>
        <v/>
      </c>
      <c r="AA68" s="45">
        <f>IF(R68="","",R68/$K68)</f>
        <v/>
      </c>
      <c r="AB68" s="45">
        <f>IF(S68="","",S68/$K68)</f>
        <v/>
      </c>
      <c r="AC68" s="45">
        <f>IF(T68="","",T68/$K68)</f>
        <v/>
      </c>
      <c r="AD68" s="45">
        <f>IF(U68="","",U68/$K68)</f>
        <v/>
      </c>
    </row>
    <row r="69">
      <c r="A69" s="8" t="inlineStr">
        <is>
          <t>Jamara</t>
        </is>
      </c>
      <c r="B69" s="8" t="inlineStr">
        <is>
          <t>Haulage</t>
        </is>
      </c>
      <c r="C69" s="8" t="inlineStr">
        <is>
          <t>Lagos</t>
        </is>
      </c>
      <c r="D69" s="8" t="inlineStr">
        <is>
          <t>Ikotun</t>
        </is>
      </c>
      <c r="E69" s="8" t="inlineStr">
        <is>
          <t>IKM-SHAGARI-EGIGBO-IPAJA-AYOBO-OKOKOMAIKO-OSHODI-ISOLO&gt;LAGOS</t>
        </is>
      </c>
      <c r="F69" s="8" t="inlineStr">
        <is>
          <t>Exact</t>
        </is>
      </c>
      <c r="G69" s="44">
        <f>IFERROR(INDEX('Turnaround Table'!$C$5:$C$231,MATCH(E69,'Turnaround Table'!$D$5:$D$231,0)),"")</f>
        <v/>
      </c>
      <c r="H69" s="43" t="n"/>
      <c r="I69" s="44">
        <f>IF(H69&lt;&gt;"",H69,IF(G69&lt;&gt;"",G69,'Truck Requirement'!$B$5))</f>
        <v/>
      </c>
      <c r="J69" s="44">
        <f>2*I69</f>
        <v/>
      </c>
      <c r="K69" s="8">
        <f>MAX(1,INT('Truck Requirement'!$B$4/J69))</f>
        <v/>
      </c>
      <c r="L69" s="8">
        <f>SUM(M69:U69)</f>
        <v/>
      </c>
      <c r="M69" s="8" t="n"/>
      <c r="N69" s="8" t="n"/>
      <c r="O69" s="8" t="n"/>
      <c r="P69" s="8" t="n"/>
      <c r="Q69" s="8" t="n"/>
      <c r="R69" s="8" t="n"/>
      <c r="S69" s="8" t="n">
        <v>6</v>
      </c>
      <c r="T69" s="8" t="n">
        <v>1</v>
      </c>
      <c r="U69" s="8" t="n">
        <v>10</v>
      </c>
      <c r="V69" s="45">
        <f>IF(M69="","",M69/$K69)</f>
        <v/>
      </c>
      <c r="W69" s="45">
        <f>IF(N69="","",N69/$K69)</f>
        <v/>
      </c>
      <c r="X69" s="45">
        <f>IF(O69="","",O69/$K69)</f>
        <v/>
      </c>
      <c r="Y69" s="45">
        <f>IF(P69="","",P69/$K69)</f>
        <v/>
      </c>
      <c r="Z69" s="45">
        <f>IF(Q69="","",Q69/$K69)</f>
        <v/>
      </c>
      <c r="AA69" s="45">
        <f>IF(R69="","",R69/$K69)</f>
        <v/>
      </c>
      <c r="AB69" s="45">
        <f>IF(S69="","",S69/$K69)</f>
        <v/>
      </c>
      <c r="AC69" s="45">
        <f>IF(T69="","",T69/$K69)</f>
        <v/>
      </c>
      <c r="AD69" s="45">
        <f>IF(U69="","",U69/$K69)</f>
        <v/>
      </c>
    </row>
    <row r="70">
      <c r="A70" s="8" t="inlineStr">
        <is>
          <t>Jamara</t>
        </is>
      </c>
      <c r="B70" s="8" t="inlineStr">
        <is>
          <t>Haulage</t>
        </is>
      </c>
      <c r="C70" s="8" t="inlineStr">
        <is>
          <t>Lagos</t>
        </is>
      </c>
      <c r="D70" s="8" t="inlineStr">
        <is>
          <t>Osogbo</t>
        </is>
      </c>
      <c r="E70" s="8" t="inlineStr">
        <is>
          <t>OSOGBO&gt;LAGOS</t>
        </is>
      </c>
      <c r="F70" s="8" t="inlineStr">
        <is>
          <t>Exact</t>
        </is>
      </c>
      <c r="G70" s="44">
        <f>IFERROR(INDEX('Turnaround Table'!$C$5:$C$231,MATCH(E70,'Turnaround Table'!$D$5:$D$231,0)),"")</f>
        <v/>
      </c>
      <c r="H70" s="43" t="n"/>
      <c r="I70" s="44">
        <f>IF(H70&lt;&gt;"",H70,IF(G70&lt;&gt;"",G70,'Truck Requirement'!$B$5))</f>
        <v/>
      </c>
      <c r="J70" s="44">
        <f>2*I70</f>
        <v/>
      </c>
      <c r="K70" s="8">
        <f>MAX(1,INT('Truck Requirement'!$B$4/J70))</f>
        <v/>
      </c>
      <c r="L70" s="8">
        <f>SUM(M70:U70)</f>
        <v/>
      </c>
      <c r="M70" s="8" t="n">
        <v>5</v>
      </c>
      <c r="N70" s="8" t="n">
        <v>1</v>
      </c>
      <c r="O70" s="8" t="n"/>
      <c r="P70" s="8" t="n">
        <v>1</v>
      </c>
      <c r="Q70" s="8" t="n">
        <v>1</v>
      </c>
      <c r="R70" s="8" t="n">
        <v>1</v>
      </c>
      <c r="S70" s="8" t="n"/>
      <c r="T70" s="8" t="n"/>
      <c r="U70" s="8" t="n">
        <v>5</v>
      </c>
      <c r="V70" s="45">
        <f>IF(M70="","",M70/$K70)</f>
        <v/>
      </c>
      <c r="W70" s="45">
        <f>IF(N70="","",N70/$K70)</f>
        <v/>
      </c>
      <c r="X70" s="45">
        <f>IF(O70="","",O70/$K70)</f>
        <v/>
      </c>
      <c r="Y70" s="45">
        <f>IF(P70="","",P70/$K70)</f>
        <v/>
      </c>
      <c r="Z70" s="45">
        <f>IF(Q70="","",Q70/$K70)</f>
        <v/>
      </c>
      <c r="AA70" s="45">
        <f>IF(R70="","",R70/$K70)</f>
        <v/>
      </c>
      <c r="AB70" s="45">
        <f>IF(S70="","",S70/$K70)</f>
        <v/>
      </c>
      <c r="AC70" s="45">
        <f>IF(T70="","",T70/$K70)</f>
        <v/>
      </c>
      <c r="AD70" s="45">
        <f>IF(U70="","",U70/$K70)</f>
        <v/>
      </c>
    </row>
    <row r="71">
      <c r="A71" s="8" t="inlineStr">
        <is>
          <t>Jamara</t>
        </is>
      </c>
      <c r="B71" s="8" t="inlineStr">
        <is>
          <t>Haulage</t>
        </is>
      </c>
      <c r="C71" s="8" t="inlineStr">
        <is>
          <t>Lagos</t>
        </is>
      </c>
      <c r="D71" s="8" t="inlineStr">
        <is>
          <t>Benin</t>
        </is>
      </c>
      <c r="E71" s="8" t="inlineStr">
        <is>
          <t>BENIN&gt;LAGOS</t>
        </is>
      </c>
      <c r="F71" s="8" t="inlineStr">
        <is>
          <t>Exact</t>
        </is>
      </c>
      <c r="G71" s="44">
        <f>IFERROR(INDEX('Turnaround Table'!$C$5:$C$231,MATCH(E71,'Turnaround Table'!$D$5:$D$231,0)),"")</f>
        <v/>
      </c>
      <c r="H71" s="43" t="n"/>
      <c r="I71" s="44">
        <f>IF(H71&lt;&gt;"",H71,IF(G71&lt;&gt;"",G71,'Truck Requirement'!$B$5))</f>
        <v/>
      </c>
      <c r="J71" s="44">
        <f>2*I71</f>
        <v/>
      </c>
      <c r="K71" s="8">
        <f>MAX(1,INT('Truck Requirement'!$B$4/J71))</f>
        <v/>
      </c>
      <c r="L71" s="8">
        <f>SUM(M71:U71)</f>
        <v/>
      </c>
      <c r="M71" s="8" t="n">
        <v>3</v>
      </c>
      <c r="N71" s="8" t="n">
        <v>3</v>
      </c>
      <c r="O71" s="8" t="n">
        <v>1</v>
      </c>
      <c r="P71" s="8" t="n">
        <v>2</v>
      </c>
      <c r="Q71" s="8" t="n"/>
      <c r="R71" s="8" t="n">
        <v>1</v>
      </c>
      <c r="S71" s="8" t="n">
        <v>2</v>
      </c>
      <c r="T71" s="8" t="n">
        <v>1</v>
      </c>
      <c r="U71" s="8" t="n"/>
      <c r="V71" s="45">
        <f>IF(M71="","",M71/$K71)</f>
        <v/>
      </c>
      <c r="W71" s="45">
        <f>IF(N71="","",N71/$K71)</f>
        <v/>
      </c>
      <c r="X71" s="45">
        <f>IF(O71="","",O71/$K71)</f>
        <v/>
      </c>
      <c r="Y71" s="45">
        <f>IF(P71="","",P71/$K71)</f>
        <v/>
      </c>
      <c r="Z71" s="45">
        <f>IF(Q71="","",Q71/$K71)</f>
        <v/>
      </c>
      <c r="AA71" s="45">
        <f>IF(R71="","",R71/$K71)</f>
        <v/>
      </c>
      <c r="AB71" s="45">
        <f>IF(S71="","",S71/$K71)</f>
        <v/>
      </c>
      <c r="AC71" s="45">
        <f>IF(T71="","",T71/$K71)</f>
        <v/>
      </c>
      <c r="AD71" s="45">
        <f>IF(U71="","",U71/$K71)</f>
        <v/>
      </c>
    </row>
    <row r="72">
      <c r="A72" s="8" t="inlineStr">
        <is>
          <t>Jamara</t>
        </is>
      </c>
      <c r="B72" s="8" t="inlineStr">
        <is>
          <t>Haulage</t>
        </is>
      </c>
      <c r="C72" s="8" t="inlineStr">
        <is>
          <t>Lagos</t>
        </is>
      </c>
      <c r="D72" s="8" t="inlineStr">
        <is>
          <t>Akure</t>
        </is>
      </c>
      <c r="E72" s="8" t="inlineStr">
        <is>
          <t>AKURE&gt;LAGOS</t>
        </is>
      </c>
      <c r="F72" s="8" t="inlineStr">
        <is>
          <t>Exact</t>
        </is>
      </c>
      <c r="G72" s="44">
        <f>IFERROR(INDEX('Turnaround Table'!$C$5:$C$231,MATCH(E72,'Turnaround Table'!$D$5:$D$231,0)),"")</f>
        <v/>
      </c>
      <c r="H72" s="43" t="n"/>
      <c r="I72" s="44">
        <f>IF(H72&lt;&gt;"",H72,IF(G72&lt;&gt;"",G72,'Truck Requirement'!$B$5))</f>
        <v/>
      </c>
      <c r="J72" s="44">
        <f>2*I72</f>
        <v/>
      </c>
      <c r="K72" s="8">
        <f>MAX(1,INT('Truck Requirement'!$B$4/J72))</f>
        <v/>
      </c>
      <c r="L72" s="8">
        <f>SUM(M72:U72)</f>
        <v/>
      </c>
      <c r="M72" s="8" t="n"/>
      <c r="N72" s="8" t="n">
        <v>1</v>
      </c>
      <c r="O72" s="8" t="n"/>
      <c r="P72" s="8" t="n">
        <v>1</v>
      </c>
      <c r="Q72" s="8" t="n"/>
      <c r="R72" s="8" t="n">
        <v>1</v>
      </c>
      <c r="S72" s="8" t="n"/>
      <c r="T72" s="8" t="n">
        <v>1</v>
      </c>
      <c r="U72" s="8" t="n"/>
      <c r="V72" s="45">
        <f>IF(M72="","",M72/$K72)</f>
        <v/>
      </c>
      <c r="W72" s="45">
        <f>IF(N72="","",N72/$K72)</f>
        <v/>
      </c>
      <c r="X72" s="45">
        <f>IF(O72="","",O72/$K72)</f>
        <v/>
      </c>
      <c r="Y72" s="45">
        <f>IF(P72="","",P72/$K72)</f>
        <v/>
      </c>
      <c r="Z72" s="45">
        <f>IF(Q72="","",Q72/$K72)</f>
        <v/>
      </c>
      <c r="AA72" s="45">
        <f>IF(R72="","",R72/$K72)</f>
        <v/>
      </c>
      <c r="AB72" s="45">
        <f>IF(S72="","",S72/$K72)</f>
        <v/>
      </c>
      <c r="AC72" s="45">
        <f>IF(T72="","",T72/$K72)</f>
        <v/>
      </c>
      <c r="AD72" s="45">
        <f>IF(U72="","",U72/$K72)</f>
        <v/>
      </c>
    </row>
    <row r="73">
      <c r="A73" s="8" t="inlineStr">
        <is>
          <t>Jamara</t>
        </is>
      </c>
      <c r="B73" s="8" t="inlineStr">
        <is>
          <t>Haulage</t>
        </is>
      </c>
      <c r="C73" s="8" t="inlineStr">
        <is>
          <t>Lagos</t>
        </is>
      </c>
      <c r="D73" s="8" t="inlineStr">
        <is>
          <t>Gbagada</t>
        </is>
      </c>
      <c r="E73" s="8" t="inlineStr">
        <is>
          <t>ILUPEJU-GBD-APAPA-MUSHIN-OKOTA-FADEYI&gt;LAGOS</t>
        </is>
      </c>
      <c r="F73" s="8" t="inlineStr">
        <is>
          <t>Exact</t>
        </is>
      </c>
      <c r="G73" s="44">
        <f>IFERROR(INDEX('Turnaround Table'!$C$5:$C$231,MATCH(E73,'Turnaround Table'!$D$5:$D$231,0)),"")</f>
        <v/>
      </c>
      <c r="H73" s="43" t="n"/>
      <c r="I73" s="44">
        <f>IF(H73&lt;&gt;"",H73,IF(G73&lt;&gt;"",G73,'Truck Requirement'!$B$5))</f>
        <v/>
      </c>
      <c r="J73" s="44">
        <f>2*I73</f>
        <v/>
      </c>
      <c r="K73" s="8">
        <f>MAX(1,INT('Truck Requirement'!$B$4/J73))</f>
        <v/>
      </c>
      <c r="L73" s="8">
        <f>SUM(M73:U73)</f>
        <v/>
      </c>
      <c r="M73" s="8" t="n"/>
      <c r="N73" s="8" t="n"/>
      <c r="O73" s="8" t="n"/>
      <c r="P73" s="8" t="n"/>
      <c r="Q73" s="8" t="n"/>
      <c r="R73" s="8" t="n"/>
      <c r="S73" s="8" t="n"/>
      <c r="T73" s="8" t="n"/>
      <c r="U73" s="8" t="n">
        <v>3</v>
      </c>
      <c r="V73" s="45">
        <f>IF(M73="","",M73/$K73)</f>
        <v/>
      </c>
      <c r="W73" s="45">
        <f>IF(N73="","",N73/$K73)</f>
        <v/>
      </c>
      <c r="X73" s="45">
        <f>IF(O73="","",O73/$K73)</f>
        <v/>
      </c>
      <c r="Y73" s="45">
        <f>IF(P73="","",P73/$K73)</f>
        <v/>
      </c>
      <c r="Z73" s="45">
        <f>IF(Q73="","",Q73/$K73)</f>
        <v/>
      </c>
      <c r="AA73" s="45">
        <f>IF(R73="","",R73/$K73)</f>
        <v/>
      </c>
      <c r="AB73" s="45">
        <f>IF(S73="","",S73/$K73)</f>
        <v/>
      </c>
      <c r="AC73" s="45">
        <f>IF(T73="","",T73/$K73)</f>
        <v/>
      </c>
      <c r="AD73" s="45">
        <f>IF(U73="","",U73/$K73)</f>
        <v/>
      </c>
    </row>
    <row r="74">
      <c r="A74" s="8" t="inlineStr">
        <is>
          <t>Jamara</t>
        </is>
      </c>
      <c r="B74" s="8" t="inlineStr">
        <is>
          <t>Haulage</t>
        </is>
      </c>
      <c r="C74" s="8" t="inlineStr">
        <is>
          <t>Lagos</t>
        </is>
      </c>
      <c r="D74" s="8" t="inlineStr">
        <is>
          <t>Abeokuta</t>
        </is>
      </c>
      <c r="E74" s="8" t="inlineStr">
        <is>
          <t>ABEOKUTA&gt;LAGOS</t>
        </is>
      </c>
      <c r="F74" s="8" t="inlineStr">
        <is>
          <t>Exact</t>
        </is>
      </c>
      <c r="G74" s="44">
        <f>IFERROR(INDEX('Turnaround Table'!$C$5:$C$231,MATCH(E74,'Turnaround Table'!$D$5:$D$231,0)),"")</f>
        <v/>
      </c>
      <c r="H74" s="43" t="n"/>
      <c r="I74" s="44">
        <f>IF(H74&lt;&gt;"",H74,IF(G74&lt;&gt;"",G74,'Truck Requirement'!$B$5))</f>
        <v/>
      </c>
      <c r="J74" s="44">
        <f>2*I74</f>
        <v/>
      </c>
      <c r="K74" s="8">
        <f>MAX(1,INT('Truck Requirement'!$B$4/J74))</f>
        <v/>
      </c>
      <c r="L74" s="8">
        <f>SUM(M74:U74)</f>
        <v/>
      </c>
      <c r="M74" s="8" t="n"/>
      <c r="N74" s="8" t="n"/>
      <c r="O74" s="8" t="n"/>
      <c r="P74" s="8" t="n"/>
      <c r="Q74" s="8" t="n"/>
      <c r="R74" s="8" t="n"/>
      <c r="S74" s="8" t="n">
        <v>1</v>
      </c>
      <c r="T74" s="8" t="n"/>
      <c r="U74" s="8" t="n">
        <v>1</v>
      </c>
      <c r="V74" s="45">
        <f>IF(M74="","",M74/$K74)</f>
        <v/>
      </c>
      <c r="W74" s="45">
        <f>IF(N74="","",N74/$K74)</f>
        <v/>
      </c>
      <c r="X74" s="45">
        <f>IF(O74="","",O74/$K74)</f>
        <v/>
      </c>
      <c r="Y74" s="45">
        <f>IF(P74="","",P74/$K74)</f>
        <v/>
      </c>
      <c r="Z74" s="45">
        <f>IF(Q74="","",Q74/$K74)</f>
        <v/>
      </c>
      <c r="AA74" s="45">
        <f>IF(R74="","",R74/$K74)</f>
        <v/>
      </c>
      <c r="AB74" s="45">
        <f>IF(S74="","",S74/$K74)</f>
        <v/>
      </c>
      <c r="AC74" s="45">
        <f>IF(T74="","",T74/$K74)</f>
        <v/>
      </c>
      <c r="AD74" s="45">
        <f>IF(U74="","",U74/$K74)</f>
        <v/>
      </c>
    </row>
    <row r="75">
      <c r="A75" s="8" t="inlineStr">
        <is>
          <t>Jamara</t>
        </is>
      </c>
      <c r="B75" s="8" t="inlineStr">
        <is>
          <t>Haulage</t>
        </is>
      </c>
      <c r="C75" s="8" t="inlineStr">
        <is>
          <t>Lagos</t>
        </is>
      </c>
      <c r="D75" s="8" t="inlineStr">
        <is>
          <t>Ilorin</t>
        </is>
      </c>
      <c r="E75" s="8" t="inlineStr">
        <is>
          <t>ILORIN&gt;LAGOS</t>
        </is>
      </c>
      <c r="F75" s="8" t="inlineStr">
        <is>
          <t>Exact</t>
        </is>
      </c>
      <c r="G75" s="44">
        <f>IFERROR(INDEX('Turnaround Table'!$C$5:$C$231,MATCH(E75,'Turnaround Table'!$D$5:$D$231,0)),"")</f>
        <v/>
      </c>
      <c r="H75" s="43" t="n"/>
      <c r="I75" s="44">
        <f>IF(H75&lt;&gt;"",H75,IF(G75&lt;&gt;"",G75,'Truck Requirement'!$B$5))</f>
        <v/>
      </c>
      <c r="J75" s="44">
        <f>2*I75</f>
        <v/>
      </c>
      <c r="K75" s="8">
        <f>MAX(1,INT('Truck Requirement'!$B$4/J75))</f>
        <v/>
      </c>
      <c r="L75" s="8">
        <f>SUM(M75:U75)</f>
        <v/>
      </c>
      <c r="M75" s="8" t="n"/>
      <c r="N75" s="8" t="n"/>
      <c r="O75" s="8" t="n"/>
      <c r="P75" s="8" t="n"/>
      <c r="Q75" s="8" t="n"/>
      <c r="R75" s="8" t="n">
        <v>1</v>
      </c>
      <c r="S75" s="8" t="n"/>
      <c r="T75" s="8" t="n"/>
      <c r="U75" s="8" t="n">
        <v>1</v>
      </c>
      <c r="V75" s="45">
        <f>IF(M75="","",M75/$K75)</f>
        <v/>
      </c>
      <c r="W75" s="45">
        <f>IF(N75="","",N75/$K75)</f>
        <v/>
      </c>
      <c r="X75" s="45">
        <f>IF(O75="","",O75/$K75)</f>
        <v/>
      </c>
      <c r="Y75" s="45">
        <f>IF(P75="","",P75/$K75)</f>
        <v/>
      </c>
      <c r="Z75" s="45">
        <f>IF(Q75="","",Q75/$K75)</f>
        <v/>
      </c>
      <c r="AA75" s="45">
        <f>IF(R75="","",R75/$K75)</f>
        <v/>
      </c>
      <c r="AB75" s="45">
        <f>IF(S75="","",S75/$K75)</f>
        <v/>
      </c>
      <c r="AC75" s="45">
        <f>IF(T75="","",T75/$K75)</f>
        <v/>
      </c>
      <c r="AD75" s="45">
        <f>IF(U75="","",U75/$K75)</f>
        <v/>
      </c>
    </row>
    <row r="76">
      <c r="A76" s="8" t="inlineStr">
        <is>
          <t>Jamara</t>
        </is>
      </c>
      <c r="B76" s="8" t="inlineStr">
        <is>
          <t>Haulage</t>
        </is>
      </c>
      <c r="C76" s="8" t="inlineStr">
        <is>
          <t>Lagos</t>
        </is>
      </c>
      <c r="D76" s="8" t="inlineStr">
        <is>
          <t>Ilorin/Omu-Aran</t>
        </is>
      </c>
      <c r="E76" s="8" t="inlineStr">
        <is>
          <t>OMU-ARAN&gt;LAGOS</t>
        </is>
      </c>
      <c r="F76" s="8" t="inlineStr">
        <is>
          <t>Exact</t>
        </is>
      </c>
      <c r="G76" s="44">
        <f>IFERROR(INDEX('Turnaround Table'!$C$5:$C$231,MATCH(E76,'Turnaround Table'!$D$5:$D$231,0)),"")</f>
        <v/>
      </c>
      <c r="H76" s="43" t="n"/>
      <c r="I76" s="44">
        <f>IF(H76&lt;&gt;"",H76,IF(G76&lt;&gt;"",G76,'Truck Requirement'!$B$5))</f>
        <v/>
      </c>
      <c r="J76" s="44">
        <f>2*I76</f>
        <v/>
      </c>
      <c r="K76" s="8">
        <f>MAX(1,INT('Truck Requirement'!$B$4/J76))</f>
        <v/>
      </c>
      <c r="L76" s="8">
        <f>SUM(M76:U76)</f>
        <v/>
      </c>
      <c r="M76" s="8" t="n">
        <v>1</v>
      </c>
      <c r="N76" s="8" t="n"/>
      <c r="O76" s="8" t="n">
        <v>1</v>
      </c>
      <c r="P76" s="8" t="n"/>
      <c r="Q76" s="8" t="n"/>
      <c r="R76" s="8" t="n"/>
      <c r="S76" s="8" t="n"/>
      <c r="T76" s="8" t="n"/>
      <c r="U76" s="8" t="n"/>
      <c r="V76" s="45">
        <f>IF(M76="","",M76/$K76)</f>
        <v/>
      </c>
      <c r="W76" s="45">
        <f>IF(N76="","",N76/$K76)</f>
        <v/>
      </c>
      <c r="X76" s="45">
        <f>IF(O76="","",O76/$K76)</f>
        <v/>
      </c>
      <c r="Y76" s="45">
        <f>IF(P76="","",P76/$K76)</f>
        <v/>
      </c>
      <c r="Z76" s="45">
        <f>IF(Q76="","",Q76/$K76)</f>
        <v/>
      </c>
      <c r="AA76" s="45">
        <f>IF(R76="","",R76/$K76)</f>
        <v/>
      </c>
      <c r="AB76" s="45">
        <f>IF(S76="","",S76/$K76)</f>
        <v/>
      </c>
      <c r="AC76" s="45">
        <f>IF(T76="","",T76/$K76)</f>
        <v/>
      </c>
      <c r="AD76" s="45">
        <f>IF(U76="","",U76/$K76)</f>
        <v/>
      </c>
    </row>
    <row r="77">
      <c r="A77" s="8" t="inlineStr">
        <is>
          <t>Jamara</t>
        </is>
      </c>
      <c r="B77" s="8" t="inlineStr">
        <is>
          <t>Haulage</t>
        </is>
      </c>
      <c r="C77" s="8" t="inlineStr">
        <is>
          <t>Lagos</t>
        </is>
      </c>
      <c r="D77" s="8" t="inlineStr">
        <is>
          <t>Alaba</t>
        </is>
      </c>
      <c r="E77" s="8" t="inlineStr">
        <is>
          <t>ALABA&gt;LAGOS</t>
        </is>
      </c>
      <c r="F77" s="8" t="inlineStr">
        <is>
          <t>Exact</t>
        </is>
      </c>
      <c r="G77" s="44">
        <f>IFERROR(INDEX('Turnaround Table'!$C$5:$C$231,MATCH(E77,'Turnaround Table'!$D$5:$D$231,0)),"")</f>
        <v/>
      </c>
      <c r="H77" s="43" t="n"/>
      <c r="I77" s="44">
        <f>IF(H77&lt;&gt;"",H77,IF(G77&lt;&gt;"",G77,'Truck Requirement'!$B$5))</f>
        <v/>
      </c>
      <c r="J77" s="44">
        <f>2*I77</f>
        <v/>
      </c>
      <c r="K77" s="8">
        <f>MAX(1,INT('Truck Requirement'!$B$4/J77))</f>
        <v/>
      </c>
      <c r="L77" s="8">
        <f>SUM(M77:U77)</f>
        <v/>
      </c>
      <c r="M77" s="8" t="n"/>
      <c r="N77" s="8" t="n">
        <v>1</v>
      </c>
      <c r="O77" s="8" t="n"/>
      <c r="P77" s="8" t="n"/>
      <c r="Q77" s="8" t="n"/>
      <c r="R77" s="8" t="n"/>
      <c r="S77" s="8" t="n"/>
      <c r="T77" s="8" t="n"/>
      <c r="U77" s="8" t="n"/>
      <c r="V77" s="45">
        <f>IF(M77="","",M77/$K77)</f>
        <v/>
      </c>
      <c r="W77" s="45">
        <f>IF(N77="","",N77/$K77)</f>
        <v/>
      </c>
      <c r="X77" s="45">
        <f>IF(O77="","",O77/$K77)</f>
        <v/>
      </c>
      <c r="Y77" s="45">
        <f>IF(P77="","",P77/$K77)</f>
        <v/>
      </c>
      <c r="Z77" s="45">
        <f>IF(Q77="","",Q77/$K77)</f>
        <v/>
      </c>
      <c r="AA77" s="45">
        <f>IF(R77="","",R77/$K77)</f>
        <v/>
      </c>
      <c r="AB77" s="45">
        <f>IF(S77="","",S77/$K77)</f>
        <v/>
      </c>
      <c r="AC77" s="45">
        <f>IF(T77="","",T77/$K77)</f>
        <v/>
      </c>
      <c r="AD77" s="45">
        <f>IF(U77="","",U77/$K77)</f>
        <v/>
      </c>
    </row>
    <row r="78">
      <c r="A78" s="8" t="inlineStr">
        <is>
          <t>Jamara</t>
        </is>
      </c>
      <c r="B78" s="8" t="inlineStr">
        <is>
          <t>Haulage</t>
        </is>
      </c>
      <c r="C78" s="8" t="inlineStr">
        <is>
          <t>Lagos</t>
        </is>
      </c>
      <c r="D78" s="8" t="inlineStr">
        <is>
          <t>Ilesha &amp; Oshogbo</t>
        </is>
      </c>
      <c r="E78" s="8" t="inlineStr">
        <is>
          <t>OSOGBO&gt;LAGOS</t>
        </is>
      </c>
      <c r="F78" s="8" t="inlineStr">
        <is>
          <t>Exact</t>
        </is>
      </c>
      <c r="G78" s="44">
        <f>IFERROR(INDEX('Turnaround Table'!$C$5:$C$231,MATCH(E78,'Turnaround Table'!$D$5:$D$231,0)),"")</f>
        <v/>
      </c>
      <c r="H78" s="43" t="n"/>
      <c r="I78" s="44">
        <f>IF(H78&lt;&gt;"",H78,IF(G78&lt;&gt;"",G78,'Truck Requirement'!$B$5))</f>
        <v/>
      </c>
      <c r="J78" s="44">
        <f>2*I78</f>
        <v/>
      </c>
      <c r="K78" s="8">
        <f>MAX(1,INT('Truck Requirement'!$B$4/J78))</f>
        <v/>
      </c>
      <c r="L78" s="8">
        <f>SUM(M78:U78)</f>
        <v/>
      </c>
      <c r="M78" s="8" t="n"/>
      <c r="N78" s="8" t="n"/>
      <c r="O78" s="8" t="n"/>
      <c r="P78" s="8" t="n"/>
      <c r="Q78" s="8" t="n"/>
      <c r="R78" s="8" t="n">
        <v>1</v>
      </c>
      <c r="S78" s="8" t="n"/>
      <c r="T78" s="8" t="n"/>
      <c r="U78" s="8" t="n"/>
      <c r="V78" s="45">
        <f>IF(M78="","",M78/$K78)</f>
        <v/>
      </c>
      <c r="W78" s="45">
        <f>IF(N78="","",N78/$K78)</f>
        <v/>
      </c>
      <c r="X78" s="45">
        <f>IF(O78="","",O78/$K78)</f>
        <v/>
      </c>
      <c r="Y78" s="45">
        <f>IF(P78="","",P78/$K78)</f>
        <v/>
      </c>
      <c r="Z78" s="45">
        <f>IF(Q78="","",Q78/$K78)</f>
        <v/>
      </c>
      <c r="AA78" s="45">
        <f>IF(R78="","",R78/$K78)</f>
        <v/>
      </c>
      <c r="AB78" s="45">
        <f>IF(S78="","",S78/$K78)</f>
        <v/>
      </c>
      <c r="AC78" s="45">
        <f>IF(T78="","",T78/$K78)</f>
        <v/>
      </c>
      <c r="AD78" s="45">
        <f>IF(U78="","",U78/$K78)</f>
        <v/>
      </c>
    </row>
    <row r="79">
      <c r="A79" s="8" t="inlineStr">
        <is>
          <t>Jamara</t>
        </is>
      </c>
      <c r="B79" s="8" t="inlineStr">
        <is>
          <t>Haulage</t>
        </is>
      </c>
      <c r="C79" s="8" t="inlineStr">
        <is>
          <t>Lagos</t>
        </is>
      </c>
      <c r="D79" s="8" t="inlineStr">
        <is>
          <t>Lafia</t>
        </is>
      </c>
      <c r="E79" s="8" t="inlineStr">
        <is>
          <t>LAFIA&gt;LAGOS</t>
        </is>
      </c>
      <c r="F79" s="8" t="inlineStr">
        <is>
          <t>Exact</t>
        </is>
      </c>
      <c r="G79" s="44">
        <f>IFERROR(INDEX('Turnaround Table'!$C$5:$C$231,MATCH(E79,'Turnaround Table'!$D$5:$D$231,0)),"")</f>
        <v/>
      </c>
      <c r="H79" s="43" t="n"/>
      <c r="I79" s="44">
        <f>IF(H79&lt;&gt;"",H79,IF(G79&lt;&gt;"",G79,'Truck Requirement'!$B$5))</f>
        <v/>
      </c>
      <c r="J79" s="44">
        <f>2*I79</f>
        <v/>
      </c>
      <c r="K79" s="8">
        <f>MAX(1,INT('Truck Requirement'!$B$4/J79))</f>
        <v/>
      </c>
      <c r="L79" s="8">
        <f>SUM(M79:U79)</f>
        <v/>
      </c>
      <c r="M79" s="8" t="n"/>
      <c r="N79" s="8" t="n"/>
      <c r="O79" s="8" t="n"/>
      <c r="P79" s="8" t="n"/>
      <c r="Q79" s="8" t="n"/>
      <c r="R79" s="8" t="n"/>
      <c r="S79" s="8" t="n"/>
      <c r="T79" s="8" t="n">
        <v>1</v>
      </c>
      <c r="U79" s="8" t="n"/>
      <c r="V79" s="45">
        <f>IF(M79="","",M79/$K79)</f>
        <v/>
      </c>
      <c r="W79" s="45">
        <f>IF(N79="","",N79/$K79)</f>
        <v/>
      </c>
      <c r="X79" s="45">
        <f>IF(O79="","",O79/$K79)</f>
        <v/>
      </c>
      <c r="Y79" s="45">
        <f>IF(P79="","",P79/$K79)</f>
        <v/>
      </c>
      <c r="Z79" s="45">
        <f>IF(Q79="","",Q79/$K79)</f>
        <v/>
      </c>
      <c r="AA79" s="45">
        <f>IF(R79="","",R79/$K79)</f>
        <v/>
      </c>
      <c r="AB79" s="45">
        <f>IF(S79="","",S79/$K79)</f>
        <v/>
      </c>
      <c r="AC79" s="45">
        <f>IF(T79="","",T79/$K79)</f>
        <v/>
      </c>
      <c r="AD79" s="45">
        <f>IF(U79="","",U79/$K79)</f>
        <v/>
      </c>
    </row>
    <row r="80">
      <c r="A80" s="8" t="inlineStr">
        <is>
          <t>Jamara</t>
        </is>
      </c>
      <c r="B80" s="8" t="inlineStr">
        <is>
          <t>Haulage</t>
        </is>
      </c>
      <c r="C80" s="8" t="inlineStr">
        <is>
          <t>Lagos</t>
        </is>
      </c>
      <c r="D80" s="8" t="inlineStr">
        <is>
          <t>Minna</t>
        </is>
      </c>
      <c r="E80" s="8" t="inlineStr">
        <is>
          <t>MINNA&gt;LAGOS</t>
        </is>
      </c>
      <c r="F80" s="8" t="inlineStr">
        <is>
          <t>Exact</t>
        </is>
      </c>
      <c r="G80" s="44">
        <f>IFERROR(INDEX('Turnaround Table'!$C$5:$C$231,MATCH(E80,'Turnaround Table'!$D$5:$D$231,0)),"")</f>
        <v/>
      </c>
      <c r="H80" s="43" t="n"/>
      <c r="I80" s="44">
        <f>IF(H80&lt;&gt;"",H80,IF(G80&lt;&gt;"",G80,'Truck Requirement'!$B$5))</f>
        <v/>
      </c>
      <c r="J80" s="44">
        <f>2*I80</f>
        <v/>
      </c>
      <c r="K80" s="8">
        <f>MAX(1,INT('Truck Requirement'!$B$4/J80))</f>
        <v/>
      </c>
      <c r="L80" s="8">
        <f>SUM(M80:U80)</f>
        <v/>
      </c>
      <c r="M80" s="8" t="n"/>
      <c r="N80" s="8" t="n"/>
      <c r="O80" s="8" t="n"/>
      <c r="P80" s="8" t="n"/>
      <c r="Q80" s="8" t="n"/>
      <c r="R80" s="8" t="n"/>
      <c r="S80" s="8" t="n"/>
      <c r="T80" s="8" t="n">
        <v>1</v>
      </c>
      <c r="U80" s="8" t="n"/>
      <c r="V80" s="45">
        <f>IF(M80="","",M80/$K80)</f>
        <v/>
      </c>
      <c r="W80" s="45">
        <f>IF(N80="","",N80/$K80)</f>
        <v/>
      </c>
      <c r="X80" s="45">
        <f>IF(O80="","",O80/$K80)</f>
        <v/>
      </c>
      <c r="Y80" s="45">
        <f>IF(P80="","",P80/$K80)</f>
        <v/>
      </c>
      <c r="Z80" s="45">
        <f>IF(Q80="","",Q80/$K80)</f>
        <v/>
      </c>
      <c r="AA80" s="45">
        <f>IF(R80="","",R80/$K80)</f>
        <v/>
      </c>
      <c r="AB80" s="45">
        <f>IF(S80="","",S80/$K80)</f>
        <v/>
      </c>
      <c r="AC80" s="45">
        <f>IF(T80="","",T80/$K80)</f>
        <v/>
      </c>
      <c r="AD80" s="45">
        <f>IF(U80="","",U80/$K80)</f>
        <v/>
      </c>
    </row>
    <row r="81">
      <c r="A81" s="8" t="inlineStr">
        <is>
          <t>Jamara</t>
        </is>
      </c>
      <c r="B81" s="8" t="inlineStr">
        <is>
          <t>Haulage</t>
        </is>
      </c>
      <c r="C81" s="8" t="inlineStr">
        <is>
          <t>Lagos</t>
        </is>
      </c>
      <c r="D81" s="8" t="inlineStr">
        <is>
          <t>Ondo</t>
        </is>
      </c>
      <c r="E81" s="8" t="inlineStr">
        <is>
          <t>ONDO&gt;LAGOS</t>
        </is>
      </c>
      <c r="F81" s="8" t="inlineStr">
        <is>
          <t>Exact</t>
        </is>
      </c>
      <c r="G81" s="44">
        <f>IFERROR(INDEX('Turnaround Table'!$C$5:$C$231,MATCH(E81,'Turnaround Table'!$D$5:$D$231,0)),"")</f>
        <v/>
      </c>
      <c r="H81" s="43" t="n"/>
      <c r="I81" s="44">
        <f>IF(H81&lt;&gt;"",H81,IF(G81&lt;&gt;"",G81,'Truck Requirement'!$B$5))</f>
        <v/>
      </c>
      <c r="J81" s="44">
        <f>2*I81</f>
        <v/>
      </c>
      <c r="K81" s="8">
        <f>MAX(1,INT('Truck Requirement'!$B$4/J81))</f>
        <v/>
      </c>
      <c r="L81" s="8">
        <f>SUM(M81:U81)</f>
        <v/>
      </c>
      <c r="M81" s="8" t="n">
        <v>1</v>
      </c>
      <c r="N81" s="8" t="n"/>
      <c r="O81" s="8" t="n"/>
      <c r="P81" s="8" t="n"/>
      <c r="Q81" s="8" t="n"/>
      <c r="R81" s="8" t="n"/>
      <c r="S81" s="8" t="n"/>
      <c r="T81" s="8" t="n"/>
      <c r="U81" s="8" t="n"/>
      <c r="V81" s="45">
        <f>IF(M81="","",M81/$K81)</f>
        <v/>
      </c>
      <c r="W81" s="45">
        <f>IF(N81="","",N81/$K81)</f>
        <v/>
      </c>
      <c r="X81" s="45">
        <f>IF(O81="","",O81/$K81)</f>
        <v/>
      </c>
      <c r="Y81" s="45">
        <f>IF(P81="","",P81/$K81)</f>
        <v/>
      </c>
      <c r="Z81" s="45">
        <f>IF(Q81="","",Q81/$K81)</f>
        <v/>
      </c>
      <c r="AA81" s="45">
        <f>IF(R81="","",R81/$K81)</f>
        <v/>
      </c>
      <c r="AB81" s="45">
        <f>IF(S81="","",S81/$K81)</f>
        <v/>
      </c>
      <c r="AC81" s="45">
        <f>IF(T81="","",T81/$K81)</f>
        <v/>
      </c>
      <c r="AD81" s="45">
        <f>IF(U81="","",U81/$K81)</f>
        <v/>
      </c>
    </row>
    <row r="82">
      <c r="A82" s="8" t="inlineStr">
        <is>
          <t>Jamara</t>
        </is>
      </c>
      <c r="B82" s="8" t="inlineStr">
        <is>
          <t>Haulage</t>
        </is>
      </c>
      <c r="C82" s="8" t="inlineStr">
        <is>
          <t>Lagos</t>
        </is>
      </c>
      <c r="D82" s="8" t="inlineStr">
        <is>
          <t>Osun</t>
        </is>
      </c>
      <c r="E82" s="8" t="inlineStr">
        <is>
          <t>OSUN&gt;LAGOS</t>
        </is>
      </c>
      <c r="F82" s="8" t="inlineStr">
        <is>
          <t>Exact</t>
        </is>
      </c>
      <c r="G82" s="44">
        <f>IFERROR(INDEX('Turnaround Table'!$C$5:$C$231,MATCH(E82,'Turnaround Table'!$D$5:$D$231,0)),"")</f>
        <v/>
      </c>
      <c r="H82" s="43" t="n"/>
      <c r="I82" s="44">
        <f>IF(H82&lt;&gt;"",H82,IF(G82&lt;&gt;"",G82,'Truck Requirement'!$B$5))</f>
        <v/>
      </c>
      <c r="J82" s="44">
        <f>2*I82</f>
        <v/>
      </c>
      <c r="K82" s="8">
        <f>MAX(1,INT('Truck Requirement'!$B$4/J82))</f>
        <v/>
      </c>
      <c r="L82" s="8">
        <f>SUM(M82:U82)</f>
        <v/>
      </c>
      <c r="M82" s="8" t="n"/>
      <c r="N82" s="8" t="n"/>
      <c r="O82" s="8" t="n"/>
      <c r="P82" s="8" t="n">
        <v>1</v>
      </c>
      <c r="Q82" s="8" t="n"/>
      <c r="R82" s="8" t="n"/>
      <c r="S82" s="8" t="n"/>
      <c r="T82" s="8" t="n"/>
      <c r="U82" s="8" t="n"/>
      <c r="V82" s="45">
        <f>IF(M82="","",M82/$K82)</f>
        <v/>
      </c>
      <c r="W82" s="45">
        <f>IF(N82="","",N82/$K82)</f>
        <v/>
      </c>
      <c r="X82" s="45">
        <f>IF(O82="","",O82/$K82)</f>
        <v/>
      </c>
      <c r="Y82" s="45">
        <f>IF(P82="","",P82/$K82)</f>
        <v/>
      </c>
      <c r="Z82" s="45">
        <f>IF(Q82="","",Q82/$K82)</f>
        <v/>
      </c>
      <c r="AA82" s="45">
        <f>IF(R82="","",R82/$K82)</f>
        <v/>
      </c>
      <c r="AB82" s="45">
        <f>IF(S82="","",S82/$K82)</f>
        <v/>
      </c>
      <c r="AC82" s="45">
        <f>IF(T82="","",T82/$K82)</f>
        <v/>
      </c>
      <c r="AD82" s="45">
        <f>IF(U82="","",U82/$K82)</f>
        <v/>
      </c>
    </row>
    <row r="83">
      <c r="A83" s="8" t="inlineStr">
        <is>
          <t>Jamara</t>
        </is>
      </c>
      <c r="B83" s="8" t="inlineStr">
        <is>
          <t>Haulage</t>
        </is>
      </c>
      <c r="C83" s="8" t="inlineStr">
        <is>
          <t>Lagos</t>
        </is>
      </c>
      <c r="D83" s="8" t="inlineStr">
        <is>
          <t>Owerri</t>
        </is>
      </c>
      <c r="E83" s="8" t="inlineStr">
        <is>
          <t>OWERRI&gt;LAGOS</t>
        </is>
      </c>
      <c r="F83" s="8" t="inlineStr">
        <is>
          <t>Exact</t>
        </is>
      </c>
      <c r="G83" s="44">
        <f>IFERROR(INDEX('Turnaround Table'!$C$5:$C$231,MATCH(E83,'Turnaround Table'!$D$5:$D$231,0)),"")</f>
        <v/>
      </c>
      <c r="H83" s="43" t="n"/>
      <c r="I83" s="44">
        <f>IF(H83&lt;&gt;"",H83,IF(G83&lt;&gt;"",G83,'Truck Requirement'!$B$5))</f>
        <v/>
      </c>
      <c r="J83" s="44">
        <f>2*I83</f>
        <v/>
      </c>
      <c r="K83" s="8">
        <f>MAX(1,INT('Truck Requirement'!$B$4/J83))</f>
        <v/>
      </c>
      <c r="L83" s="8">
        <f>SUM(M83:U83)</f>
        <v/>
      </c>
      <c r="M83" s="8" t="n"/>
      <c r="N83" s="8" t="n"/>
      <c r="O83" s="8" t="n"/>
      <c r="P83" s="8" t="n"/>
      <c r="Q83" s="8" t="n"/>
      <c r="R83" s="8" t="n"/>
      <c r="S83" s="8" t="n"/>
      <c r="T83" s="8" t="n">
        <v>1</v>
      </c>
      <c r="U83" s="8" t="n"/>
      <c r="V83" s="45">
        <f>IF(M83="","",M83/$K83)</f>
        <v/>
      </c>
      <c r="W83" s="45">
        <f>IF(N83="","",N83/$K83)</f>
        <v/>
      </c>
      <c r="X83" s="45">
        <f>IF(O83="","",O83/$K83)</f>
        <v/>
      </c>
      <c r="Y83" s="45">
        <f>IF(P83="","",P83/$K83)</f>
        <v/>
      </c>
      <c r="Z83" s="45">
        <f>IF(Q83="","",Q83/$K83)</f>
        <v/>
      </c>
      <c r="AA83" s="45">
        <f>IF(R83="","",R83/$K83)</f>
        <v/>
      </c>
      <c r="AB83" s="45">
        <f>IF(S83="","",S83/$K83)</f>
        <v/>
      </c>
      <c r="AC83" s="45">
        <f>IF(T83="","",T83/$K83)</f>
        <v/>
      </c>
      <c r="AD83" s="45">
        <f>IF(U83="","",U83/$K83)</f>
        <v/>
      </c>
    </row>
    <row r="84">
      <c r="A84" s="8" t="inlineStr">
        <is>
          <t>KD &amp; SONS</t>
        </is>
      </c>
      <c r="B84" s="8" t="inlineStr">
        <is>
          <t>Haulage</t>
        </is>
      </c>
      <c r="C84" s="8" t="inlineStr">
        <is>
          <t>Kaduna (Kudenda)</t>
        </is>
      </c>
      <c r="D84" s="8" t="inlineStr">
        <is>
          <t>Ibadan</t>
        </is>
      </c>
      <c r="E84" s="8" t="inlineStr">
        <is>
          <t>KADUNA&gt;IBADAN</t>
        </is>
      </c>
      <c r="F84" s="8" t="inlineStr">
        <is>
          <t>Reverse</t>
        </is>
      </c>
      <c r="G84" s="44">
        <f>IFERROR(INDEX('Turnaround Table'!$C$5:$C$231,MATCH(E84,'Turnaround Table'!$D$5:$D$231,0)),"")</f>
        <v/>
      </c>
      <c r="H84" s="43" t="n"/>
      <c r="I84" s="44">
        <f>IF(H84&lt;&gt;"",H84,IF(G84&lt;&gt;"",G84,'Truck Requirement'!$B$5))</f>
        <v/>
      </c>
      <c r="J84" s="44">
        <f>2*I84</f>
        <v/>
      </c>
      <c r="K84" s="8">
        <f>MAX(1,INT('Truck Requirement'!$B$4/J84))</f>
        <v/>
      </c>
      <c r="L84" s="8">
        <f>SUM(M84:U84)</f>
        <v/>
      </c>
      <c r="M84" s="8" t="n"/>
      <c r="N84" s="8" t="n"/>
      <c r="O84" s="8" t="n"/>
      <c r="P84" s="8" t="n"/>
      <c r="Q84" s="8" t="n"/>
      <c r="R84" s="8" t="n"/>
      <c r="S84" s="8" t="n">
        <v>2</v>
      </c>
      <c r="T84" s="8" t="n"/>
      <c r="U84" s="8" t="n"/>
      <c r="V84" s="45">
        <f>IF(M84="","",M84/$K84)</f>
        <v/>
      </c>
      <c r="W84" s="45">
        <f>IF(N84="","",N84/$K84)</f>
        <v/>
      </c>
      <c r="X84" s="45">
        <f>IF(O84="","",O84/$K84)</f>
        <v/>
      </c>
      <c r="Y84" s="45">
        <f>IF(P84="","",P84/$K84)</f>
        <v/>
      </c>
      <c r="Z84" s="45">
        <f>IF(Q84="","",Q84/$K84)</f>
        <v/>
      </c>
      <c r="AA84" s="45">
        <f>IF(R84="","",R84/$K84)</f>
        <v/>
      </c>
      <c r="AB84" s="45">
        <f>IF(S84="","",S84/$K84)</f>
        <v/>
      </c>
      <c r="AC84" s="45">
        <f>IF(T84="","",T84/$K84)</f>
        <v/>
      </c>
      <c r="AD84" s="45">
        <f>IF(U84="","",U84/$K84)</f>
        <v/>
      </c>
    </row>
    <row r="85">
      <c r="A85" s="8" t="inlineStr">
        <is>
          <t>LEBRUNI AGRO LTD</t>
        </is>
      </c>
      <c r="B85" s="8" t="inlineStr">
        <is>
          <t>Haulage</t>
        </is>
      </c>
      <c r="C85" s="8" t="inlineStr">
        <is>
          <t>Lagos</t>
        </is>
      </c>
      <c r="D85" s="8" t="inlineStr">
        <is>
          <t>Ibadan</t>
        </is>
      </c>
      <c r="E85" s="8" t="inlineStr">
        <is>
          <t>IBADAN&gt;LAGOS</t>
        </is>
      </c>
      <c r="F85" s="8" t="inlineStr">
        <is>
          <t>Exact</t>
        </is>
      </c>
      <c r="G85" s="44">
        <f>IFERROR(INDEX('Turnaround Table'!$C$5:$C$231,MATCH(E85,'Turnaround Table'!$D$5:$D$231,0)),"")</f>
        <v/>
      </c>
      <c r="H85" s="43" t="n"/>
      <c r="I85" s="44">
        <f>IF(H85&lt;&gt;"",H85,IF(G85&lt;&gt;"",G85,'Truck Requirement'!$B$5))</f>
        <v/>
      </c>
      <c r="J85" s="44">
        <f>2*I85</f>
        <v/>
      </c>
      <c r="K85" s="8">
        <f>MAX(1,INT('Truck Requirement'!$B$4/J85))</f>
        <v/>
      </c>
      <c r="L85" s="8">
        <f>SUM(M85:U85)</f>
        <v/>
      </c>
      <c r="M85" s="8" t="n"/>
      <c r="N85" s="8" t="n"/>
      <c r="O85" s="8" t="n">
        <v>2</v>
      </c>
      <c r="P85" s="8" t="n"/>
      <c r="Q85" s="8" t="n"/>
      <c r="R85" s="8" t="n"/>
      <c r="S85" s="8" t="n"/>
      <c r="T85" s="8" t="n"/>
      <c r="U85" s="8" t="n">
        <v>1</v>
      </c>
      <c r="V85" s="45">
        <f>IF(M85="","",M85/$K85)</f>
        <v/>
      </c>
      <c r="W85" s="45">
        <f>IF(N85="","",N85/$K85)</f>
        <v/>
      </c>
      <c r="X85" s="45">
        <f>IF(O85="","",O85/$K85)</f>
        <v/>
      </c>
      <c r="Y85" s="45">
        <f>IF(P85="","",P85/$K85)</f>
        <v/>
      </c>
      <c r="Z85" s="45">
        <f>IF(Q85="","",Q85/$K85)</f>
        <v/>
      </c>
      <c r="AA85" s="45">
        <f>IF(R85="","",R85/$K85)</f>
        <v/>
      </c>
      <c r="AB85" s="45">
        <f>IF(S85="","",S85/$K85)</f>
        <v/>
      </c>
      <c r="AC85" s="45">
        <f>IF(T85="","",T85/$K85)</f>
        <v/>
      </c>
      <c r="AD85" s="45">
        <f>IF(U85="","",U85/$K85)</f>
        <v/>
      </c>
    </row>
    <row r="86">
      <c r="A86" s="8" t="inlineStr">
        <is>
          <t>LEBRUNI AGRO LTD</t>
        </is>
      </c>
      <c r="B86" s="8" t="inlineStr">
        <is>
          <t>Haulage</t>
        </is>
      </c>
      <c r="C86" s="8" t="inlineStr">
        <is>
          <t>Ibadan</t>
        </is>
      </c>
      <c r="D86" s="8" t="inlineStr">
        <is>
          <t>Abuja</t>
        </is>
      </c>
      <c r="E86" s="8" t="inlineStr">
        <is>
          <t>ABUJA&gt;IBADAN</t>
        </is>
      </c>
      <c r="F86" s="8" t="inlineStr">
        <is>
          <t>Exact</t>
        </is>
      </c>
      <c r="G86" s="44">
        <f>IFERROR(INDEX('Turnaround Table'!$C$5:$C$231,MATCH(E86,'Turnaround Table'!$D$5:$D$231,0)),"")</f>
        <v/>
      </c>
      <c r="H86" s="43" t="n"/>
      <c r="I86" s="44">
        <f>IF(H86&lt;&gt;"",H86,IF(G86&lt;&gt;"",G86,'Truck Requirement'!$B$5))</f>
        <v/>
      </c>
      <c r="J86" s="44">
        <f>2*I86</f>
        <v/>
      </c>
      <c r="K86" s="8">
        <f>MAX(1,INT('Truck Requirement'!$B$4/J86))</f>
        <v/>
      </c>
      <c r="L86" s="8">
        <f>SUM(M86:U86)</f>
        <v/>
      </c>
      <c r="M86" s="8" t="n"/>
      <c r="N86" s="8" t="n"/>
      <c r="O86" s="8" t="n"/>
      <c r="P86" s="8" t="n"/>
      <c r="Q86" s="8" t="n"/>
      <c r="R86" s="8" t="n"/>
      <c r="S86" s="8" t="n"/>
      <c r="T86" s="8" t="n"/>
      <c r="U86" s="8" t="n">
        <v>2</v>
      </c>
      <c r="V86" s="45">
        <f>IF(M86="","",M86/$K86)</f>
        <v/>
      </c>
      <c r="W86" s="45">
        <f>IF(N86="","",N86/$K86)</f>
        <v/>
      </c>
      <c r="X86" s="45">
        <f>IF(O86="","",O86/$K86)</f>
        <v/>
      </c>
      <c r="Y86" s="45">
        <f>IF(P86="","",P86/$K86)</f>
        <v/>
      </c>
      <c r="Z86" s="45">
        <f>IF(Q86="","",Q86/$K86)</f>
        <v/>
      </c>
      <c r="AA86" s="45">
        <f>IF(R86="","",R86/$K86)</f>
        <v/>
      </c>
      <c r="AB86" s="45">
        <f>IF(S86="","",S86/$K86)</f>
        <v/>
      </c>
      <c r="AC86" s="45">
        <f>IF(T86="","",T86/$K86)</f>
        <v/>
      </c>
      <c r="AD86" s="45">
        <f>IF(U86="","",U86/$K86)</f>
        <v/>
      </c>
    </row>
    <row r="87">
      <c r="A87" s="8" t="inlineStr">
        <is>
          <t>LEBRUNI AGRO LTD</t>
        </is>
      </c>
      <c r="B87" s="8" t="inlineStr">
        <is>
          <t>Haulage</t>
        </is>
      </c>
      <c r="C87" s="8" t="inlineStr">
        <is>
          <t>Ibadan</t>
        </is>
      </c>
      <c r="D87" s="8" t="inlineStr">
        <is>
          <t>Warri</t>
        </is>
      </c>
      <c r="E87" s="8" t="inlineStr">
        <is>
          <t>WARRI&gt;LAGOS</t>
        </is>
      </c>
      <c r="F87" s="8" t="inlineStr">
        <is>
          <t>Lagos bay used</t>
        </is>
      </c>
      <c r="G87" s="44">
        <f>IFERROR(INDEX('Turnaround Table'!$C$5:$C$231,MATCH(E87,'Turnaround Table'!$D$5:$D$231,0)),"")</f>
        <v/>
      </c>
      <c r="H87" s="43" t="n"/>
      <c r="I87" s="44">
        <f>IF(H87&lt;&gt;"",H87,IF(G87&lt;&gt;"",G87,'Truck Requirement'!$B$5))</f>
        <v/>
      </c>
      <c r="J87" s="44">
        <f>2*I87</f>
        <v/>
      </c>
      <c r="K87" s="8">
        <f>MAX(1,INT('Truck Requirement'!$B$4/J87))</f>
        <v/>
      </c>
      <c r="L87" s="8">
        <f>SUM(M87:U87)</f>
        <v/>
      </c>
      <c r="M87" s="8" t="n"/>
      <c r="N87" s="8" t="n"/>
      <c r="O87" s="8" t="n"/>
      <c r="P87" s="8" t="n"/>
      <c r="Q87" s="8" t="n"/>
      <c r="R87" s="8" t="n"/>
      <c r="S87" s="8" t="n"/>
      <c r="T87" s="8" t="n"/>
      <c r="U87" s="8" t="n">
        <v>2</v>
      </c>
      <c r="V87" s="45">
        <f>IF(M87="","",M87/$K87)</f>
        <v/>
      </c>
      <c r="W87" s="45">
        <f>IF(N87="","",N87/$K87)</f>
        <v/>
      </c>
      <c r="X87" s="45">
        <f>IF(O87="","",O87/$K87)</f>
        <v/>
      </c>
      <c r="Y87" s="45">
        <f>IF(P87="","",P87/$K87)</f>
        <v/>
      </c>
      <c r="Z87" s="45">
        <f>IF(Q87="","",Q87/$K87)</f>
        <v/>
      </c>
      <c r="AA87" s="45">
        <f>IF(R87="","",R87/$K87)</f>
        <v/>
      </c>
      <c r="AB87" s="45">
        <f>IF(S87="","",S87/$K87)</f>
        <v/>
      </c>
      <c r="AC87" s="45">
        <f>IF(T87="","",T87/$K87)</f>
        <v/>
      </c>
      <c r="AD87" s="45">
        <f>IF(U87="","",U87/$K87)</f>
        <v/>
      </c>
    </row>
    <row r="88">
      <c r="A88" s="8" t="inlineStr">
        <is>
          <t>LEBRUNI AGRO LTD</t>
        </is>
      </c>
      <c r="B88" s="8" t="inlineStr">
        <is>
          <t>Haulage</t>
        </is>
      </c>
      <c r="C88" s="8" t="inlineStr">
        <is>
          <t>Kano</t>
        </is>
      </c>
      <c r="D88" s="8" t="inlineStr">
        <is>
          <t>Ibadan</t>
        </is>
      </c>
      <c r="E88" s="8" t="inlineStr">
        <is>
          <t>KANO&gt;IBADAN</t>
        </is>
      </c>
      <c r="F88" s="8" t="inlineStr">
        <is>
          <t>Reverse</t>
        </is>
      </c>
      <c r="G88" s="44">
        <f>IFERROR(INDEX('Turnaround Table'!$C$5:$C$231,MATCH(E88,'Turnaround Table'!$D$5:$D$231,0)),"")</f>
        <v/>
      </c>
      <c r="H88" s="43" t="n"/>
      <c r="I88" s="44">
        <f>IF(H88&lt;&gt;"",H88,IF(G88&lt;&gt;"",G88,'Truck Requirement'!$B$5))</f>
        <v/>
      </c>
      <c r="J88" s="44">
        <f>2*I88</f>
        <v/>
      </c>
      <c r="K88" s="8">
        <f>MAX(1,INT('Truck Requirement'!$B$4/J88))</f>
        <v/>
      </c>
      <c r="L88" s="8">
        <f>SUM(M88:U88)</f>
        <v/>
      </c>
      <c r="M88" s="8" t="n"/>
      <c r="N88" s="8" t="n"/>
      <c r="O88" s="8" t="n"/>
      <c r="P88" s="8" t="n">
        <v>1</v>
      </c>
      <c r="Q88" s="8" t="n"/>
      <c r="R88" s="8" t="n"/>
      <c r="S88" s="8" t="n"/>
      <c r="T88" s="8" t="n"/>
      <c r="U88" s="8" t="n"/>
      <c r="V88" s="45">
        <f>IF(M88="","",M88/$K88)</f>
        <v/>
      </c>
      <c r="W88" s="45">
        <f>IF(N88="","",N88/$K88)</f>
        <v/>
      </c>
      <c r="X88" s="45">
        <f>IF(O88="","",O88/$K88)</f>
        <v/>
      </c>
      <c r="Y88" s="45">
        <f>IF(P88="","",P88/$K88)</f>
        <v/>
      </c>
      <c r="Z88" s="45">
        <f>IF(Q88="","",Q88/$K88)</f>
        <v/>
      </c>
      <c r="AA88" s="45">
        <f>IF(R88="","",R88/$K88)</f>
        <v/>
      </c>
      <c r="AB88" s="45">
        <f>IF(S88="","",S88/$K88)</f>
        <v/>
      </c>
      <c r="AC88" s="45">
        <f>IF(T88="","",T88/$K88)</f>
        <v/>
      </c>
      <c r="AD88" s="45">
        <f>IF(U88="","",U88/$K88)</f>
        <v/>
      </c>
    </row>
    <row r="89">
      <c r="A89" s="8" t="inlineStr">
        <is>
          <t>Lacasera</t>
        </is>
      </c>
      <c r="B89" s="8" t="inlineStr">
        <is>
          <t>Haulage</t>
        </is>
      </c>
      <c r="C89" s="8" t="inlineStr">
        <is>
          <t>Lagos</t>
        </is>
      </c>
      <c r="D89" s="8" t="inlineStr">
        <is>
          <t>Mowe</t>
        </is>
      </c>
      <c r="E89" s="8" t="inlineStr">
        <is>
          <t>MOWE&gt;LAGOS</t>
        </is>
      </c>
      <c r="F89" s="8" t="inlineStr">
        <is>
          <t>Exact</t>
        </is>
      </c>
      <c r="G89" s="44">
        <f>IFERROR(INDEX('Turnaround Table'!$C$5:$C$231,MATCH(E89,'Turnaround Table'!$D$5:$D$231,0)),"")</f>
        <v/>
      </c>
      <c r="H89" s="43" t="n"/>
      <c r="I89" s="44">
        <f>IF(H89&lt;&gt;"",H89,IF(G89&lt;&gt;"",G89,'Truck Requirement'!$B$5))</f>
        <v/>
      </c>
      <c r="J89" s="44">
        <f>2*I89</f>
        <v/>
      </c>
      <c r="K89" s="8">
        <f>MAX(1,INT('Truck Requirement'!$B$4/J89))</f>
        <v/>
      </c>
      <c r="L89" s="8">
        <f>SUM(M89:U89)</f>
        <v/>
      </c>
      <c r="M89" s="8" t="n"/>
      <c r="N89" s="8" t="n">
        <v>26</v>
      </c>
      <c r="O89" s="8" t="n">
        <v>11</v>
      </c>
      <c r="P89" s="8" t="n"/>
      <c r="Q89" s="8" t="n"/>
      <c r="R89" s="8" t="n"/>
      <c r="S89" s="8" t="n"/>
      <c r="T89" s="8" t="n"/>
      <c r="U89" s="8" t="n"/>
      <c r="V89" s="45">
        <f>IF(M89="","",M89/$K89)</f>
        <v/>
      </c>
      <c r="W89" s="45">
        <f>IF(N89="","",N89/$K89)</f>
        <v/>
      </c>
      <c r="X89" s="45">
        <f>IF(O89="","",O89/$K89)</f>
        <v/>
      </c>
      <c r="Y89" s="45">
        <f>IF(P89="","",P89/$K89)</f>
        <v/>
      </c>
      <c r="Z89" s="45">
        <f>IF(Q89="","",Q89/$K89)</f>
        <v/>
      </c>
      <c r="AA89" s="45">
        <f>IF(R89="","",R89/$K89)</f>
        <v/>
      </c>
      <c r="AB89" s="45">
        <f>IF(S89="","",S89/$K89)</f>
        <v/>
      </c>
      <c r="AC89" s="45">
        <f>IF(T89="","",T89/$K89)</f>
        <v/>
      </c>
      <c r="AD89" s="45">
        <f>IF(U89="","",U89/$K89)</f>
        <v/>
      </c>
    </row>
    <row r="90">
      <c r="A90" s="8" t="inlineStr">
        <is>
          <t>Lacasera</t>
        </is>
      </c>
      <c r="B90" s="8" t="inlineStr">
        <is>
          <t>Haulage</t>
        </is>
      </c>
      <c r="C90" s="8" t="inlineStr">
        <is>
          <t>Lagos</t>
        </is>
      </c>
      <c r="D90" s="8" t="inlineStr">
        <is>
          <t>Benin</t>
        </is>
      </c>
      <c r="E90" s="8" t="inlineStr">
        <is>
          <t>BENIN&gt;LAGOS</t>
        </is>
      </c>
      <c r="F90" s="8" t="inlineStr">
        <is>
          <t>Exact</t>
        </is>
      </c>
      <c r="G90" s="44">
        <f>IFERROR(INDEX('Turnaround Table'!$C$5:$C$231,MATCH(E90,'Turnaround Table'!$D$5:$D$231,0)),"")</f>
        <v/>
      </c>
      <c r="H90" s="43" t="n"/>
      <c r="I90" s="44">
        <f>IF(H90&lt;&gt;"",H90,IF(G90&lt;&gt;"",G90,'Truck Requirement'!$B$5))</f>
        <v/>
      </c>
      <c r="J90" s="44">
        <f>2*I90</f>
        <v/>
      </c>
      <c r="K90" s="8">
        <f>MAX(1,INT('Truck Requirement'!$B$4/J90))</f>
        <v/>
      </c>
      <c r="L90" s="8">
        <f>SUM(M90:U90)</f>
        <v/>
      </c>
      <c r="M90" s="8" t="n"/>
      <c r="N90" s="8" t="n">
        <v>15</v>
      </c>
      <c r="O90" s="8" t="n">
        <v>3</v>
      </c>
      <c r="P90" s="8" t="n"/>
      <c r="Q90" s="8" t="n"/>
      <c r="R90" s="8" t="n"/>
      <c r="S90" s="8" t="n"/>
      <c r="T90" s="8" t="n">
        <v>2</v>
      </c>
      <c r="U90" s="8" t="n"/>
      <c r="V90" s="45">
        <f>IF(M90="","",M90/$K90)</f>
        <v/>
      </c>
      <c r="W90" s="45">
        <f>IF(N90="","",N90/$K90)</f>
        <v/>
      </c>
      <c r="X90" s="45">
        <f>IF(O90="","",O90/$K90)</f>
        <v/>
      </c>
      <c r="Y90" s="45">
        <f>IF(P90="","",P90/$K90)</f>
        <v/>
      </c>
      <c r="Z90" s="45">
        <f>IF(Q90="","",Q90/$K90)</f>
        <v/>
      </c>
      <c r="AA90" s="45">
        <f>IF(R90="","",R90/$K90)</f>
        <v/>
      </c>
      <c r="AB90" s="45">
        <f>IF(S90="","",S90/$K90)</f>
        <v/>
      </c>
      <c r="AC90" s="45">
        <f>IF(T90="","",T90/$K90)</f>
        <v/>
      </c>
      <c r="AD90" s="45">
        <f>IF(U90="","",U90/$K90)</f>
        <v/>
      </c>
    </row>
    <row r="91">
      <c r="A91" s="8" t="inlineStr">
        <is>
          <t>Lacasera</t>
        </is>
      </c>
      <c r="B91" s="8" t="inlineStr">
        <is>
          <t>Haulage</t>
        </is>
      </c>
      <c r="C91" s="8" t="inlineStr">
        <is>
          <t>Lagos</t>
        </is>
      </c>
      <c r="D91" s="8" t="inlineStr">
        <is>
          <t>Lokoja</t>
        </is>
      </c>
      <c r="E91" s="8" t="inlineStr">
        <is>
          <t>LOKOJA&gt;LAGOS</t>
        </is>
      </c>
      <c r="F91" s="8" t="inlineStr">
        <is>
          <t>Exact</t>
        </is>
      </c>
      <c r="G91" s="44">
        <f>IFERROR(INDEX('Turnaround Table'!$C$5:$C$231,MATCH(E91,'Turnaround Table'!$D$5:$D$231,0)),"")</f>
        <v/>
      </c>
      <c r="H91" s="43" t="n"/>
      <c r="I91" s="44">
        <f>IF(H91&lt;&gt;"",H91,IF(G91&lt;&gt;"",G91,'Truck Requirement'!$B$5))</f>
        <v/>
      </c>
      <c r="J91" s="44">
        <f>2*I91</f>
        <v/>
      </c>
      <c r="K91" s="8">
        <f>MAX(1,INT('Truck Requirement'!$B$4/J91))</f>
        <v/>
      </c>
      <c r="L91" s="8">
        <f>SUM(M91:U91)</f>
        <v/>
      </c>
      <c r="M91" s="8" t="n"/>
      <c r="N91" s="8" t="n"/>
      <c r="O91" s="8" t="n"/>
      <c r="P91" s="8" t="n"/>
      <c r="Q91" s="8" t="n">
        <v>1</v>
      </c>
      <c r="R91" s="8" t="n">
        <v>2</v>
      </c>
      <c r="S91" s="8" t="n"/>
      <c r="T91" s="8" t="n"/>
      <c r="U91" s="8" t="n"/>
      <c r="V91" s="45">
        <f>IF(M91="","",M91/$K91)</f>
        <v/>
      </c>
      <c r="W91" s="45">
        <f>IF(N91="","",N91/$K91)</f>
        <v/>
      </c>
      <c r="X91" s="45">
        <f>IF(O91="","",O91/$K91)</f>
        <v/>
      </c>
      <c r="Y91" s="45">
        <f>IF(P91="","",P91/$K91)</f>
        <v/>
      </c>
      <c r="Z91" s="45">
        <f>IF(Q91="","",Q91/$K91)</f>
        <v/>
      </c>
      <c r="AA91" s="45">
        <f>IF(R91="","",R91/$K91)</f>
        <v/>
      </c>
      <c r="AB91" s="45">
        <f>IF(S91="","",S91/$K91)</f>
        <v/>
      </c>
      <c r="AC91" s="45">
        <f>IF(T91="","",T91/$K91)</f>
        <v/>
      </c>
      <c r="AD91" s="45">
        <f>IF(U91="","",U91/$K91)</f>
        <v/>
      </c>
    </row>
    <row r="92">
      <c r="A92" s="8" t="inlineStr">
        <is>
          <t>Lacasera</t>
        </is>
      </c>
      <c r="B92" s="8" t="inlineStr">
        <is>
          <t>Haulage</t>
        </is>
      </c>
      <c r="C92" s="8" t="inlineStr">
        <is>
          <t>Lagos</t>
        </is>
      </c>
      <c r="D92" s="8" t="inlineStr">
        <is>
          <t>Onitsha</t>
        </is>
      </c>
      <c r="E92" s="8" t="inlineStr">
        <is>
          <t>ONITSHA&gt;LAGOS</t>
        </is>
      </c>
      <c r="F92" s="8" t="inlineStr">
        <is>
          <t>Exact</t>
        </is>
      </c>
      <c r="G92" s="44">
        <f>IFERROR(INDEX('Turnaround Table'!$C$5:$C$231,MATCH(E92,'Turnaround Table'!$D$5:$D$231,0)),"")</f>
        <v/>
      </c>
      <c r="H92" s="43" t="n"/>
      <c r="I92" s="44">
        <f>IF(H92&lt;&gt;"",H92,IF(G92&lt;&gt;"",G92,'Truck Requirement'!$B$5))</f>
        <v/>
      </c>
      <c r="J92" s="44">
        <f>2*I92</f>
        <v/>
      </c>
      <c r="K92" s="8">
        <f>MAX(1,INT('Truck Requirement'!$B$4/J92))</f>
        <v/>
      </c>
      <c r="L92" s="8">
        <f>SUM(M92:U92)</f>
        <v/>
      </c>
      <c r="M92" s="8" t="n"/>
      <c r="N92" s="8" t="n"/>
      <c r="O92" s="8" t="n"/>
      <c r="P92" s="8" t="n"/>
      <c r="Q92" s="8" t="n"/>
      <c r="R92" s="8" t="n"/>
      <c r="S92" s="8" t="n"/>
      <c r="T92" s="8" t="n">
        <v>1</v>
      </c>
      <c r="U92" s="8" t="n">
        <v>2</v>
      </c>
      <c r="V92" s="45">
        <f>IF(M92="","",M92/$K92)</f>
        <v/>
      </c>
      <c r="W92" s="45">
        <f>IF(N92="","",N92/$K92)</f>
        <v/>
      </c>
      <c r="X92" s="45">
        <f>IF(O92="","",O92/$K92)</f>
        <v/>
      </c>
      <c r="Y92" s="45">
        <f>IF(P92="","",P92/$K92)</f>
        <v/>
      </c>
      <c r="Z92" s="45">
        <f>IF(Q92="","",Q92/$K92)</f>
        <v/>
      </c>
      <c r="AA92" s="45">
        <f>IF(R92="","",R92/$K92)</f>
        <v/>
      </c>
      <c r="AB92" s="45">
        <f>IF(S92="","",S92/$K92)</f>
        <v/>
      </c>
      <c r="AC92" s="45">
        <f>IF(T92="","",T92/$K92)</f>
        <v/>
      </c>
      <c r="AD92" s="45">
        <f>IF(U92="","",U92/$K92)</f>
        <v/>
      </c>
    </row>
    <row r="93">
      <c r="A93" s="8" t="inlineStr">
        <is>
          <t>Lacasera</t>
        </is>
      </c>
      <c r="B93" s="8" t="inlineStr">
        <is>
          <t>Haulage</t>
        </is>
      </c>
      <c r="C93" s="8" t="inlineStr">
        <is>
          <t>Lagos</t>
        </is>
      </c>
      <c r="D93" s="8" t="inlineStr">
        <is>
          <t>Anyigba</t>
        </is>
      </c>
      <c r="E93" s="8" t="inlineStr">
        <is>
          <t>AYANGBA&gt;LAGOS</t>
        </is>
      </c>
      <c r="F93" s="8" t="inlineStr">
        <is>
          <t>Exact</t>
        </is>
      </c>
      <c r="G93" s="44">
        <f>IFERROR(INDEX('Turnaround Table'!$C$5:$C$231,MATCH(E93,'Turnaround Table'!$D$5:$D$231,0)),"")</f>
        <v/>
      </c>
      <c r="H93" s="43" t="n"/>
      <c r="I93" s="44">
        <f>IF(H93&lt;&gt;"",H93,IF(G93&lt;&gt;"",G93,'Truck Requirement'!$B$5))</f>
        <v/>
      </c>
      <c r="J93" s="44">
        <f>2*I93</f>
        <v/>
      </c>
      <c r="K93" s="8">
        <f>MAX(1,INT('Truck Requirement'!$B$4/J93))</f>
        <v/>
      </c>
      <c r="L93" s="8">
        <f>SUM(M93:U93)</f>
        <v/>
      </c>
      <c r="M93" s="8" t="n"/>
      <c r="N93" s="8" t="n"/>
      <c r="O93" s="8" t="n"/>
      <c r="P93" s="8" t="n"/>
      <c r="Q93" s="8" t="n">
        <v>2</v>
      </c>
      <c r="R93" s="8" t="n"/>
      <c r="S93" s="8" t="n"/>
      <c r="T93" s="8" t="n"/>
      <c r="U93" s="8" t="n"/>
      <c r="V93" s="45">
        <f>IF(M93="","",M93/$K93)</f>
        <v/>
      </c>
      <c r="W93" s="45">
        <f>IF(N93="","",N93/$K93)</f>
        <v/>
      </c>
      <c r="X93" s="45">
        <f>IF(O93="","",O93/$K93)</f>
        <v/>
      </c>
      <c r="Y93" s="45">
        <f>IF(P93="","",P93/$K93)</f>
        <v/>
      </c>
      <c r="Z93" s="45">
        <f>IF(Q93="","",Q93/$K93)</f>
        <v/>
      </c>
      <c r="AA93" s="45">
        <f>IF(R93="","",R93/$K93)</f>
        <v/>
      </c>
      <c r="AB93" s="45">
        <f>IF(S93="","",S93/$K93)</f>
        <v/>
      </c>
      <c r="AC93" s="45">
        <f>IF(T93="","",T93/$K93)</f>
        <v/>
      </c>
      <c r="AD93" s="45">
        <f>IF(U93="","",U93/$K93)</f>
        <v/>
      </c>
    </row>
    <row r="94">
      <c r="A94" s="51" t="inlineStr">
        <is>
          <t>Lacasera</t>
        </is>
      </c>
      <c r="B94" s="51" t="inlineStr">
        <is>
          <t>Haulage</t>
        </is>
      </c>
      <c r="C94" s="51" t="inlineStr">
        <is>
          <t>Lagos</t>
        </is>
      </c>
      <c r="D94" s="51" t="inlineStr">
        <is>
          <t>(Not Recorded)</t>
        </is>
      </c>
      <c r="E94" s="51" t="n">
        <v/>
      </c>
      <c r="F94" s="51" t="inlineStr">
        <is>
          <t>Not in table</t>
        </is>
      </c>
      <c r="G94" s="44">
        <f>IFERROR(INDEX('Turnaround Table'!$C$5:$C$231,MATCH(E94,'Turnaround Table'!$D$5:$D$231,0)),"")</f>
        <v/>
      </c>
      <c r="H94" s="43" t="n"/>
      <c r="I94" s="44">
        <f>IF(H94&lt;&gt;"",H94,IF(G94&lt;&gt;"",G94,'Truck Requirement'!$B$5))</f>
        <v/>
      </c>
      <c r="J94" s="44">
        <f>2*I94</f>
        <v/>
      </c>
      <c r="K94" s="8">
        <f>MAX(1,INT('Truck Requirement'!$B$4/J94))</f>
        <v/>
      </c>
      <c r="L94" s="8">
        <f>SUM(M94:U94)</f>
        <v/>
      </c>
      <c r="M94" s="8" t="n"/>
      <c r="N94" s="8" t="n"/>
      <c r="O94" s="8" t="n"/>
      <c r="P94" s="8" t="n"/>
      <c r="Q94" s="8" t="n"/>
      <c r="R94" s="8" t="n"/>
      <c r="S94" s="8" t="n"/>
      <c r="T94" s="8" t="n"/>
      <c r="U94" s="8" t="n">
        <v>1</v>
      </c>
      <c r="V94" s="45">
        <f>IF(M94="","",M94/$K94)</f>
        <v/>
      </c>
      <c r="W94" s="45">
        <f>IF(N94="","",N94/$K94)</f>
        <v/>
      </c>
      <c r="X94" s="45">
        <f>IF(O94="","",O94/$K94)</f>
        <v/>
      </c>
      <c r="Y94" s="45">
        <f>IF(P94="","",P94/$K94)</f>
        <v/>
      </c>
      <c r="Z94" s="45">
        <f>IF(Q94="","",Q94/$K94)</f>
        <v/>
      </c>
      <c r="AA94" s="45">
        <f>IF(R94="","",R94/$K94)</f>
        <v/>
      </c>
      <c r="AB94" s="45">
        <f>IF(S94="","",S94/$K94)</f>
        <v/>
      </c>
      <c r="AC94" s="45">
        <f>IF(T94="","",T94/$K94)</f>
        <v/>
      </c>
      <c r="AD94" s="45">
        <f>IF(U94="","",U94/$K94)</f>
        <v/>
      </c>
    </row>
    <row r="95">
      <c r="A95" s="8" t="inlineStr">
        <is>
          <t>Lacasera</t>
        </is>
      </c>
      <c r="B95" s="8" t="inlineStr">
        <is>
          <t>Haulage</t>
        </is>
      </c>
      <c r="C95" s="8" t="inlineStr">
        <is>
          <t>Lagos</t>
        </is>
      </c>
      <c r="D95" s="8" t="inlineStr">
        <is>
          <t>Abakaliki</t>
        </is>
      </c>
      <c r="E95" s="8" t="inlineStr">
        <is>
          <t>ABAKALIKI&gt;LAGOS</t>
        </is>
      </c>
      <c r="F95" s="8" t="inlineStr">
        <is>
          <t>Exact</t>
        </is>
      </c>
      <c r="G95" s="44">
        <f>IFERROR(INDEX('Turnaround Table'!$C$5:$C$231,MATCH(E95,'Turnaround Table'!$D$5:$D$231,0)),"")</f>
        <v/>
      </c>
      <c r="H95" s="43" t="n"/>
      <c r="I95" s="44">
        <f>IF(H95&lt;&gt;"",H95,IF(G95&lt;&gt;"",G95,'Truck Requirement'!$B$5))</f>
        <v/>
      </c>
      <c r="J95" s="44">
        <f>2*I95</f>
        <v/>
      </c>
      <c r="K95" s="8">
        <f>MAX(1,INT('Truck Requirement'!$B$4/J95))</f>
        <v/>
      </c>
      <c r="L95" s="8">
        <f>SUM(M95:U95)</f>
        <v/>
      </c>
      <c r="M95" s="8" t="n"/>
      <c r="N95" s="8" t="n">
        <v>1</v>
      </c>
      <c r="O95" s="8" t="n"/>
      <c r="P95" s="8" t="n"/>
      <c r="Q95" s="8" t="n"/>
      <c r="R95" s="8" t="n"/>
      <c r="S95" s="8" t="n"/>
      <c r="T95" s="8" t="n"/>
      <c r="U95" s="8" t="n"/>
      <c r="V95" s="45">
        <f>IF(M95="","",M95/$K95)</f>
        <v/>
      </c>
      <c r="W95" s="45">
        <f>IF(N95="","",N95/$K95)</f>
        <v/>
      </c>
      <c r="X95" s="45">
        <f>IF(O95="","",O95/$K95)</f>
        <v/>
      </c>
      <c r="Y95" s="45">
        <f>IF(P95="","",P95/$K95)</f>
        <v/>
      </c>
      <c r="Z95" s="45">
        <f>IF(Q95="","",Q95/$K95)</f>
        <v/>
      </c>
      <c r="AA95" s="45">
        <f>IF(R95="","",R95/$K95)</f>
        <v/>
      </c>
      <c r="AB95" s="45">
        <f>IF(S95="","",S95/$K95)</f>
        <v/>
      </c>
      <c r="AC95" s="45">
        <f>IF(T95="","",T95/$K95)</f>
        <v/>
      </c>
      <c r="AD95" s="45">
        <f>IF(U95="","",U95/$K95)</f>
        <v/>
      </c>
    </row>
    <row r="96">
      <c r="A96" s="8" t="inlineStr">
        <is>
          <t>Lacasera</t>
        </is>
      </c>
      <c r="B96" s="8" t="inlineStr">
        <is>
          <t>Haulage</t>
        </is>
      </c>
      <c r="C96" s="8" t="inlineStr">
        <is>
          <t>Lagos</t>
        </is>
      </c>
      <c r="D96" s="8" t="inlineStr">
        <is>
          <t>Idah</t>
        </is>
      </c>
      <c r="E96" s="8" t="inlineStr">
        <is>
          <t>AYANGBA&gt;LAGOS</t>
        </is>
      </c>
      <c r="F96" s="8" t="inlineStr">
        <is>
          <t>Exact</t>
        </is>
      </c>
      <c r="G96" s="44">
        <f>IFERROR(INDEX('Turnaround Table'!$C$5:$C$231,MATCH(E96,'Turnaround Table'!$D$5:$D$231,0)),"")</f>
        <v/>
      </c>
      <c r="H96" s="43" t="n"/>
      <c r="I96" s="44">
        <f>IF(H96&lt;&gt;"",H96,IF(G96&lt;&gt;"",G96,'Truck Requirement'!$B$5))</f>
        <v/>
      </c>
      <c r="J96" s="44">
        <f>2*I96</f>
        <v/>
      </c>
      <c r="K96" s="8">
        <f>MAX(1,INT('Truck Requirement'!$B$4/J96))</f>
        <v/>
      </c>
      <c r="L96" s="8">
        <f>SUM(M96:U96)</f>
        <v/>
      </c>
      <c r="M96" s="8" t="n"/>
      <c r="N96" s="8" t="n"/>
      <c r="O96" s="8" t="n"/>
      <c r="P96" s="8" t="n"/>
      <c r="Q96" s="8" t="n"/>
      <c r="R96" s="8" t="n">
        <v>1</v>
      </c>
      <c r="S96" s="8" t="n"/>
      <c r="T96" s="8" t="n"/>
      <c r="U96" s="8" t="n"/>
      <c r="V96" s="45">
        <f>IF(M96="","",M96/$K96)</f>
        <v/>
      </c>
      <c r="W96" s="45">
        <f>IF(N96="","",N96/$K96)</f>
        <v/>
      </c>
      <c r="X96" s="45">
        <f>IF(O96="","",O96/$K96)</f>
        <v/>
      </c>
      <c r="Y96" s="45">
        <f>IF(P96="","",P96/$K96)</f>
        <v/>
      </c>
      <c r="Z96" s="45">
        <f>IF(Q96="","",Q96/$K96)</f>
        <v/>
      </c>
      <c r="AA96" s="45">
        <f>IF(R96="","",R96/$K96)</f>
        <v/>
      </c>
      <c r="AB96" s="45">
        <f>IF(S96="","",S96/$K96)</f>
        <v/>
      </c>
      <c r="AC96" s="45">
        <f>IF(T96="","",T96/$K96)</f>
        <v/>
      </c>
      <c r="AD96" s="45">
        <f>IF(U96="","",U96/$K96)</f>
        <v/>
      </c>
    </row>
    <row r="97">
      <c r="A97" s="8" t="inlineStr">
        <is>
          <t>Lacasera</t>
        </is>
      </c>
      <c r="B97" s="8" t="inlineStr">
        <is>
          <t>Haulage</t>
        </is>
      </c>
      <c r="C97" s="8" t="inlineStr">
        <is>
          <t>Lagos</t>
        </is>
      </c>
      <c r="D97" s="8" t="inlineStr">
        <is>
          <t>Okene</t>
        </is>
      </c>
      <c r="E97" s="8" t="inlineStr">
        <is>
          <t>OKENE&gt;LAGOS</t>
        </is>
      </c>
      <c r="F97" s="8" t="inlineStr">
        <is>
          <t>Exact</t>
        </is>
      </c>
      <c r="G97" s="44">
        <f>IFERROR(INDEX('Turnaround Table'!$C$5:$C$231,MATCH(E97,'Turnaround Table'!$D$5:$D$231,0)),"")</f>
        <v/>
      </c>
      <c r="H97" s="43" t="n"/>
      <c r="I97" s="44">
        <f>IF(H97&lt;&gt;"",H97,IF(G97&lt;&gt;"",G97,'Truck Requirement'!$B$5))</f>
        <v/>
      </c>
      <c r="J97" s="44">
        <f>2*I97</f>
        <v/>
      </c>
      <c r="K97" s="8">
        <f>MAX(1,INT('Truck Requirement'!$B$4/J97))</f>
        <v/>
      </c>
      <c r="L97" s="8">
        <f>SUM(M97:U97)</f>
        <v/>
      </c>
      <c r="M97" s="8" t="n"/>
      <c r="N97" s="8" t="n"/>
      <c r="O97" s="8" t="n"/>
      <c r="P97" s="8" t="n"/>
      <c r="Q97" s="8" t="n"/>
      <c r="R97" s="8" t="n"/>
      <c r="S97" s="8" t="n"/>
      <c r="T97" s="8" t="n">
        <v>1</v>
      </c>
      <c r="U97" s="8" t="n"/>
      <c r="V97" s="45">
        <f>IF(M97="","",M97/$K97)</f>
        <v/>
      </c>
      <c r="W97" s="45">
        <f>IF(N97="","",N97/$K97)</f>
        <v/>
      </c>
      <c r="X97" s="45">
        <f>IF(O97="","",O97/$K97)</f>
        <v/>
      </c>
      <c r="Y97" s="45">
        <f>IF(P97="","",P97/$K97)</f>
        <v/>
      </c>
      <c r="Z97" s="45">
        <f>IF(Q97="","",Q97/$K97)</f>
        <v/>
      </c>
      <c r="AA97" s="45">
        <f>IF(R97="","",R97/$K97)</f>
        <v/>
      </c>
      <c r="AB97" s="45">
        <f>IF(S97="","",S97/$K97)</f>
        <v/>
      </c>
      <c r="AC97" s="45">
        <f>IF(T97="","",T97/$K97)</f>
        <v/>
      </c>
      <c r="AD97" s="45">
        <f>IF(U97="","",U97/$K97)</f>
        <v/>
      </c>
    </row>
    <row r="98">
      <c r="A98" s="8" t="inlineStr">
        <is>
          <t>MAMUDA BEVERAGES CO. LTD</t>
        </is>
      </c>
      <c r="B98" s="8" t="inlineStr">
        <is>
          <t>Haulage</t>
        </is>
      </c>
      <c r="C98" s="8" t="inlineStr">
        <is>
          <t>Kano</t>
        </is>
      </c>
      <c r="D98" s="8" t="inlineStr">
        <is>
          <t>Ikeja</t>
        </is>
      </c>
      <c r="E98" s="8" t="inlineStr">
        <is>
          <t>KANO&gt;LAGOS</t>
        </is>
      </c>
      <c r="F98" s="8" t="inlineStr">
        <is>
          <t>Reverse</t>
        </is>
      </c>
      <c r="G98" s="44">
        <f>IFERROR(INDEX('Turnaround Table'!$C$5:$C$231,MATCH(E98,'Turnaround Table'!$D$5:$D$231,0)),"")</f>
        <v/>
      </c>
      <c r="H98" s="43" t="n"/>
      <c r="I98" s="44">
        <f>IF(H98&lt;&gt;"",H98,IF(G98&lt;&gt;"",G98,'Truck Requirement'!$B$5))</f>
        <v/>
      </c>
      <c r="J98" s="44">
        <f>2*I98</f>
        <v/>
      </c>
      <c r="K98" s="8">
        <f>MAX(1,INT('Truck Requirement'!$B$4/J98))</f>
        <v/>
      </c>
      <c r="L98" s="8">
        <f>SUM(M98:U98)</f>
        <v/>
      </c>
      <c r="M98" s="8" t="n"/>
      <c r="N98" s="8" t="n">
        <v>2</v>
      </c>
      <c r="O98" s="8" t="n">
        <v>1</v>
      </c>
      <c r="P98" s="8" t="n">
        <v>4</v>
      </c>
      <c r="Q98" s="8" t="n"/>
      <c r="R98" s="8" t="n"/>
      <c r="S98" s="8" t="n"/>
      <c r="T98" s="8" t="n"/>
      <c r="U98" s="8" t="n"/>
      <c r="V98" s="45">
        <f>IF(M98="","",M98/$K98)</f>
        <v/>
      </c>
      <c r="W98" s="45">
        <f>IF(N98="","",N98/$K98)</f>
        <v/>
      </c>
      <c r="X98" s="45">
        <f>IF(O98="","",O98/$K98)</f>
        <v/>
      </c>
      <c r="Y98" s="45">
        <f>IF(P98="","",P98/$K98)</f>
        <v/>
      </c>
      <c r="Z98" s="45">
        <f>IF(Q98="","",Q98/$K98)</f>
        <v/>
      </c>
      <c r="AA98" s="45">
        <f>IF(R98="","",R98/$K98)</f>
        <v/>
      </c>
      <c r="AB98" s="45">
        <f>IF(S98="","",S98/$K98)</f>
        <v/>
      </c>
      <c r="AC98" s="45">
        <f>IF(T98="","",T98/$K98)</f>
        <v/>
      </c>
      <c r="AD98" s="45">
        <f>IF(U98="","",U98/$K98)</f>
        <v/>
      </c>
    </row>
    <row r="99">
      <c r="A99" s="8" t="inlineStr">
        <is>
          <t>MAMUDA BEVERAGES CO. LTD</t>
        </is>
      </c>
      <c r="B99" s="8" t="inlineStr">
        <is>
          <t>Haulage</t>
        </is>
      </c>
      <c r="C99" s="8" t="inlineStr">
        <is>
          <t>Lagos</t>
        </is>
      </c>
      <c r="D99" s="8" t="inlineStr">
        <is>
          <t>Ibadan</t>
        </is>
      </c>
      <c r="E99" s="8" t="inlineStr">
        <is>
          <t>IBADAN&gt;LAGOS</t>
        </is>
      </c>
      <c r="F99" s="8" t="inlineStr">
        <is>
          <t>Exact</t>
        </is>
      </c>
      <c r="G99" s="44">
        <f>IFERROR(INDEX('Turnaround Table'!$C$5:$C$231,MATCH(E99,'Turnaround Table'!$D$5:$D$231,0)),"")</f>
        <v/>
      </c>
      <c r="H99" s="43" t="n"/>
      <c r="I99" s="44">
        <f>IF(H99&lt;&gt;"",H99,IF(G99&lt;&gt;"",G99,'Truck Requirement'!$B$5))</f>
        <v/>
      </c>
      <c r="J99" s="44">
        <f>2*I99</f>
        <v/>
      </c>
      <c r="K99" s="8">
        <f>MAX(1,INT('Truck Requirement'!$B$4/J99))</f>
        <v/>
      </c>
      <c r="L99" s="8">
        <f>SUM(M99:U99)</f>
        <v/>
      </c>
      <c r="M99" s="8" t="n"/>
      <c r="N99" s="8" t="n"/>
      <c r="O99" s="8" t="n"/>
      <c r="P99" s="8" t="n"/>
      <c r="Q99" s="8" t="n">
        <v>5</v>
      </c>
      <c r="R99" s="8" t="n"/>
      <c r="S99" s="8" t="n"/>
      <c r="T99" s="8" t="n"/>
      <c r="U99" s="8" t="n"/>
      <c r="V99" s="45">
        <f>IF(M99="","",M99/$K99)</f>
        <v/>
      </c>
      <c r="W99" s="45">
        <f>IF(N99="","",N99/$K99)</f>
        <v/>
      </c>
      <c r="X99" s="45">
        <f>IF(O99="","",O99/$K99)</f>
        <v/>
      </c>
      <c r="Y99" s="45">
        <f>IF(P99="","",P99/$K99)</f>
        <v/>
      </c>
      <c r="Z99" s="45">
        <f>IF(Q99="","",Q99/$K99)</f>
        <v/>
      </c>
      <c r="AA99" s="45">
        <f>IF(R99="","",R99/$K99)</f>
        <v/>
      </c>
      <c r="AB99" s="45">
        <f>IF(S99="","",S99/$K99)</f>
        <v/>
      </c>
      <c r="AC99" s="45">
        <f>IF(T99="","",T99/$K99)</f>
        <v/>
      </c>
      <c r="AD99" s="45">
        <f>IF(U99="","",U99/$K99)</f>
        <v/>
      </c>
    </row>
    <row r="100">
      <c r="A100" s="8" t="inlineStr">
        <is>
          <t>MAMUDA BEVERAGES CO. LTD</t>
        </is>
      </c>
      <c r="B100" s="8" t="inlineStr">
        <is>
          <t>Haulage</t>
        </is>
      </c>
      <c r="C100" s="8" t="inlineStr">
        <is>
          <t>Lagos</t>
        </is>
      </c>
      <c r="D100" s="8" t="inlineStr">
        <is>
          <t>Lekki</t>
        </is>
      </c>
      <c r="E100" s="8" t="inlineStr">
        <is>
          <t>LEKKI&gt;LAGOS</t>
        </is>
      </c>
      <c r="F100" s="8" t="inlineStr">
        <is>
          <t>Exact</t>
        </is>
      </c>
      <c r="G100" s="44">
        <f>IFERROR(INDEX('Turnaround Table'!$C$5:$C$231,MATCH(E100,'Turnaround Table'!$D$5:$D$231,0)),"")</f>
        <v/>
      </c>
      <c r="H100" s="43" t="n"/>
      <c r="I100" s="44">
        <f>IF(H100&lt;&gt;"",H100,IF(G100&lt;&gt;"",G100,'Truck Requirement'!$B$5))</f>
        <v/>
      </c>
      <c r="J100" s="44">
        <f>2*I100</f>
        <v/>
      </c>
      <c r="K100" s="8">
        <f>MAX(1,INT('Truck Requirement'!$B$4/J100))</f>
        <v/>
      </c>
      <c r="L100" s="8">
        <f>SUM(M100:U100)</f>
        <v/>
      </c>
      <c r="M100" s="8" t="n"/>
      <c r="N100" s="8" t="n"/>
      <c r="O100" s="8" t="n"/>
      <c r="P100" s="8" t="n">
        <v>1</v>
      </c>
      <c r="Q100" s="8" t="n">
        <v>2</v>
      </c>
      <c r="R100" s="8" t="n"/>
      <c r="S100" s="8" t="n"/>
      <c r="T100" s="8" t="n"/>
      <c r="U100" s="8" t="n"/>
      <c r="V100" s="45">
        <f>IF(M100="","",M100/$K100)</f>
        <v/>
      </c>
      <c r="W100" s="45">
        <f>IF(N100="","",N100/$K100)</f>
        <v/>
      </c>
      <c r="X100" s="45">
        <f>IF(O100="","",O100/$K100)</f>
        <v/>
      </c>
      <c r="Y100" s="45">
        <f>IF(P100="","",P100/$K100)</f>
        <v/>
      </c>
      <c r="Z100" s="45">
        <f>IF(Q100="","",Q100/$K100)</f>
        <v/>
      </c>
      <c r="AA100" s="45">
        <f>IF(R100="","",R100/$K100)</f>
        <v/>
      </c>
      <c r="AB100" s="45">
        <f>IF(S100="","",S100/$K100)</f>
        <v/>
      </c>
      <c r="AC100" s="45">
        <f>IF(T100="","",T100/$K100)</f>
        <v/>
      </c>
      <c r="AD100" s="45">
        <f>IF(U100="","",U100/$K100)</f>
        <v/>
      </c>
    </row>
    <row r="101">
      <c r="A101" s="8" t="inlineStr">
        <is>
          <t>MAMUDA BEVERAGES CO. LTD</t>
        </is>
      </c>
      <c r="B101" s="8" t="inlineStr">
        <is>
          <t>Haulage</t>
        </is>
      </c>
      <c r="C101" s="8" t="inlineStr">
        <is>
          <t>Kano</t>
        </is>
      </c>
      <c r="D101" s="8" t="inlineStr">
        <is>
          <t>Ibadan</t>
        </is>
      </c>
      <c r="E101" s="8" t="inlineStr">
        <is>
          <t>KANO&gt;IBADAN</t>
        </is>
      </c>
      <c r="F101" s="8" t="inlineStr">
        <is>
          <t>Reverse</t>
        </is>
      </c>
      <c r="G101" s="44">
        <f>IFERROR(INDEX('Turnaround Table'!$C$5:$C$231,MATCH(E101,'Turnaround Table'!$D$5:$D$231,0)),"")</f>
        <v/>
      </c>
      <c r="H101" s="43" t="n"/>
      <c r="I101" s="44">
        <f>IF(H101&lt;&gt;"",H101,IF(G101&lt;&gt;"",G101,'Truck Requirement'!$B$5))</f>
        <v/>
      </c>
      <c r="J101" s="44">
        <f>2*I101</f>
        <v/>
      </c>
      <c r="K101" s="8">
        <f>MAX(1,INT('Truck Requirement'!$B$4/J101))</f>
        <v/>
      </c>
      <c r="L101" s="8">
        <f>SUM(M101:U101)</f>
        <v/>
      </c>
      <c r="M101" s="8" t="n">
        <v>1</v>
      </c>
      <c r="N101" s="8" t="n"/>
      <c r="O101" s="8" t="n"/>
      <c r="P101" s="8" t="n"/>
      <c r="Q101" s="8" t="n"/>
      <c r="R101" s="8" t="n"/>
      <c r="S101" s="8" t="n"/>
      <c r="T101" s="8" t="n"/>
      <c r="U101" s="8" t="n"/>
      <c r="V101" s="45">
        <f>IF(M101="","",M101/$K101)</f>
        <v/>
      </c>
      <c r="W101" s="45">
        <f>IF(N101="","",N101/$K101)</f>
        <v/>
      </c>
      <c r="X101" s="45">
        <f>IF(O101="","",O101/$K101)</f>
        <v/>
      </c>
      <c r="Y101" s="45">
        <f>IF(P101="","",P101/$K101)</f>
        <v/>
      </c>
      <c r="Z101" s="45">
        <f>IF(Q101="","",Q101/$K101)</f>
        <v/>
      </c>
      <c r="AA101" s="45">
        <f>IF(R101="","",R101/$K101)</f>
        <v/>
      </c>
      <c r="AB101" s="45">
        <f>IF(S101="","",S101/$K101)</f>
        <v/>
      </c>
      <c r="AC101" s="45">
        <f>IF(T101="","",T101/$K101)</f>
        <v/>
      </c>
      <c r="AD101" s="45">
        <f>IF(U101="","",U101/$K101)</f>
        <v/>
      </c>
    </row>
    <row r="102">
      <c r="A102" s="51" t="inlineStr">
        <is>
          <t>MAMUDA BEVERAGES CO. LTD</t>
        </is>
      </c>
      <c r="B102" s="51" t="inlineStr">
        <is>
          <t>Haulage</t>
        </is>
      </c>
      <c r="C102" s="51" t="inlineStr">
        <is>
          <t>Kano</t>
        </is>
      </c>
      <c r="D102" s="51" t="inlineStr">
        <is>
          <t>Ilesa</t>
        </is>
      </c>
      <c r="E102" s="51" t="n">
        <v/>
      </c>
      <c r="F102" s="51" t="inlineStr">
        <is>
          <t>Not in table</t>
        </is>
      </c>
      <c r="G102" s="44">
        <f>IFERROR(INDEX('Turnaround Table'!$C$5:$C$231,MATCH(E102,'Turnaround Table'!$D$5:$D$231,0)),"")</f>
        <v/>
      </c>
      <c r="H102" s="43" t="n"/>
      <c r="I102" s="44">
        <f>IF(H102&lt;&gt;"",H102,IF(G102&lt;&gt;"",G102,'Truck Requirement'!$B$5))</f>
        <v/>
      </c>
      <c r="J102" s="44">
        <f>2*I102</f>
        <v/>
      </c>
      <c r="K102" s="8">
        <f>MAX(1,INT('Truck Requirement'!$B$4/J102))</f>
        <v/>
      </c>
      <c r="L102" s="8">
        <f>SUM(M102:U102)</f>
        <v/>
      </c>
      <c r="M102" s="8" t="n">
        <v>1</v>
      </c>
      <c r="N102" s="8" t="n"/>
      <c r="O102" s="8" t="n"/>
      <c r="P102" s="8" t="n"/>
      <c r="Q102" s="8" t="n"/>
      <c r="R102" s="8" t="n"/>
      <c r="S102" s="8" t="n"/>
      <c r="T102" s="8" t="n"/>
      <c r="U102" s="8" t="n"/>
      <c r="V102" s="45">
        <f>IF(M102="","",M102/$K102)</f>
        <v/>
      </c>
      <c r="W102" s="45">
        <f>IF(N102="","",N102/$K102)</f>
        <v/>
      </c>
      <c r="X102" s="45">
        <f>IF(O102="","",O102/$K102)</f>
        <v/>
      </c>
      <c r="Y102" s="45">
        <f>IF(P102="","",P102/$K102)</f>
        <v/>
      </c>
      <c r="Z102" s="45">
        <f>IF(Q102="","",Q102/$K102)</f>
        <v/>
      </c>
      <c r="AA102" s="45">
        <f>IF(R102="","",R102/$K102)</f>
        <v/>
      </c>
      <c r="AB102" s="45">
        <f>IF(S102="","",S102/$K102)</f>
        <v/>
      </c>
      <c r="AC102" s="45">
        <f>IF(T102="","",T102/$K102)</f>
        <v/>
      </c>
      <c r="AD102" s="45">
        <f>IF(U102="","",U102/$K102)</f>
        <v/>
      </c>
    </row>
    <row r="103">
      <c r="A103" s="51" t="inlineStr">
        <is>
          <t>MAMUDA BEVERAGES CO. LTD</t>
        </is>
      </c>
      <c r="B103" s="51" t="inlineStr">
        <is>
          <t>Haulage</t>
        </is>
      </c>
      <c r="C103" s="51" t="inlineStr">
        <is>
          <t>Kano</t>
        </is>
      </c>
      <c r="D103" s="51" t="inlineStr">
        <is>
          <t>Osogbo</t>
        </is>
      </c>
      <c r="E103" s="51" t="n">
        <v/>
      </c>
      <c r="F103" s="51" t="inlineStr">
        <is>
          <t>Not in table</t>
        </is>
      </c>
      <c r="G103" s="44">
        <f>IFERROR(INDEX('Turnaround Table'!$C$5:$C$231,MATCH(E103,'Turnaround Table'!$D$5:$D$231,0)),"")</f>
        <v/>
      </c>
      <c r="H103" s="43" t="n"/>
      <c r="I103" s="44">
        <f>IF(H103&lt;&gt;"",H103,IF(G103&lt;&gt;"",G103,'Truck Requirement'!$B$5))</f>
        <v/>
      </c>
      <c r="J103" s="44">
        <f>2*I103</f>
        <v/>
      </c>
      <c r="K103" s="8">
        <f>MAX(1,INT('Truck Requirement'!$B$4/J103))</f>
        <v/>
      </c>
      <c r="L103" s="8">
        <f>SUM(M103:U103)</f>
        <v/>
      </c>
      <c r="M103" s="8" t="n">
        <v>1</v>
      </c>
      <c r="N103" s="8" t="n"/>
      <c r="O103" s="8" t="n"/>
      <c r="P103" s="8" t="n"/>
      <c r="Q103" s="8" t="n"/>
      <c r="R103" s="8" t="n"/>
      <c r="S103" s="8" t="n"/>
      <c r="T103" s="8" t="n"/>
      <c r="U103" s="8" t="n"/>
      <c r="V103" s="45">
        <f>IF(M103="","",M103/$K103)</f>
        <v/>
      </c>
      <c r="W103" s="45">
        <f>IF(N103="","",N103/$K103)</f>
        <v/>
      </c>
      <c r="X103" s="45">
        <f>IF(O103="","",O103/$K103)</f>
        <v/>
      </c>
      <c r="Y103" s="45">
        <f>IF(P103="","",P103/$K103)</f>
        <v/>
      </c>
      <c r="Z103" s="45">
        <f>IF(Q103="","",Q103/$K103)</f>
        <v/>
      </c>
      <c r="AA103" s="45">
        <f>IF(R103="","",R103/$K103)</f>
        <v/>
      </c>
      <c r="AB103" s="45">
        <f>IF(S103="","",S103/$K103)</f>
        <v/>
      </c>
      <c r="AC103" s="45">
        <f>IF(T103="","",T103/$K103)</f>
        <v/>
      </c>
      <c r="AD103" s="45">
        <f>IF(U103="","",U103/$K103)</f>
        <v/>
      </c>
    </row>
    <row r="104">
      <c r="A104" s="8" t="inlineStr">
        <is>
          <t>MEGA MANU</t>
        </is>
      </c>
      <c r="B104" s="8" t="inlineStr">
        <is>
          <t>Haulage</t>
        </is>
      </c>
      <c r="C104" s="8" t="inlineStr">
        <is>
          <t>Lagos</t>
        </is>
      </c>
      <c r="D104" s="8" t="inlineStr">
        <is>
          <t>Ibadan</t>
        </is>
      </c>
      <c r="E104" s="8" t="inlineStr">
        <is>
          <t>IBADAN&gt;LAGOS</t>
        </is>
      </c>
      <c r="F104" s="8" t="inlineStr">
        <is>
          <t>Exact</t>
        </is>
      </c>
      <c r="G104" s="44">
        <f>IFERROR(INDEX('Turnaround Table'!$C$5:$C$231,MATCH(E104,'Turnaround Table'!$D$5:$D$231,0)),"")</f>
        <v/>
      </c>
      <c r="H104" s="43" t="n"/>
      <c r="I104" s="44">
        <f>IF(H104&lt;&gt;"",H104,IF(G104&lt;&gt;"",G104,'Truck Requirement'!$B$5))</f>
        <v/>
      </c>
      <c r="J104" s="44">
        <f>2*I104</f>
        <v/>
      </c>
      <c r="K104" s="8">
        <f>MAX(1,INT('Truck Requirement'!$B$4/J104))</f>
        <v/>
      </c>
      <c r="L104" s="8">
        <f>SUM(M104:U104)</f>
        <v/>
      </c>
      <c r="M104" s="8" t="n">
        <v>1</v>
      </c>
      <c r="N104" s="8" t="n"/>
      <c r="O104" s="8" t="n"/>
      <c r="P104" s="8" t="n"/>
      <c r="Q104" s="8" t="n">
        <v>7</v>
      </c>
      <c r="R104" s="8" t="n">
        <v>21</v>
      </c>
      <c r="S104" s="8" t="n">
        <v>13</v>
      </c>
      <c r="T104" s="8" t="n">
        <v>4</v>
      </c>
      <c r="U104" s="8" t="n">
        <v>5</v>
      </c>
      <c r="V104" s="45">
        <f>IF(M104="","",M104/$K104)</f>
        <v/>
      </c>
      <c r="W104" s="45">
        <f>IF(N104="","",N104/$K104)</f>
        <v/>
      </c>
      <c r="X104" s="45">
        <f>IF(O104="","",O104/$K104)</f>
        <v/>
      </c>
      <c r="Y104" s="45">
        <f>IF(P104="","",P104/$K104)</f>
        <v/>
      </c>
      <c r="Z104" s="45">
        <f>IF(Q104="","",Q104/$K104)</f>
        <v/>
      </c>
      <c r="AA104" s="45">
        <f>IF(R104="","",R104/$K104)</f>
        <v/>
      </c>
      <c r="AB104" s="45">
        <f>IF(S104="","",S104/$K104)</f>
        <v/>
      </c>
      <c r="AC104" s="45">
        <f>IF(T104="","",T104/$K104)</f>
        <v/>
      </c>
      <c r="AD104" s="45">
        <f>IF(U104="","",U104/$K104)</f>
        <v/>
      </c>
    </row>
    <row r="105">
      <c r="A105" s="8" t="inlineStr">
        <is>
          <t>MEGA MANU</t>
        </is>
      </c>
      <c r="B105" s="8" t="inlineStr">
        <is>
          <t>Haulage</t>
        </is>
      </c>
      <c r="C105" s="8" t="inlineStr">
        <is>
          <t>Lagos</t>
        </is>
      </c>
      <c r="D105" s="8" t="inlineStr">
        <is>
          <t>Kano</t>
        </is>
      </c>
      <c r="E105" s="8" t="inlineStr">
        <is>
          <t>KANO&gt;LAGOS</t>
        </is>
      </c>
      <c r="F105" s="8" t="inlineStr">
        <is>
          <t>Exact</t>
        </is>
      </c>
      <c r="G105" s="44">
        <f>IFERROR(INDEX('Turnaround Table'!$C$5:$C$231,MATCH(E105,'Turnaround Table'!$D$5:$D$231,0)),"")</f>
        <v/>
      </c>
      <c r="H105" s="43" t="n"/>
      <c r="I105" s="44">
        <f>IF(H105&lt;&gt;"",H105,IF(G105&lt;&gt;"",G105,'Truck Requirement'!$B$5))</f>
        <v/>
      </c>
      <c r="J105" s="44">
        <f>2*I105</f>
        <v/>
      </c>
      <c r="K105" s="8">
        <f>MAX(1,INT('Truck Requirement'!$B$4/J105))</f>
        <v/>
      </c>
      <c r="L105" s="8">
        <f>SUM(M105:U105)</f>
        <v/>
      </c>
      <c r="M105" s="8" t="n">
        <v>5</v>
      </c>
      <c r="N105" s="8" t="n">
        <v>3</v>
      </c>
      <c r="O105" s="8" t="n">
        <v>6</v>
      </c>
      <c r="P105" s="8" t="n">
        <v>8</v>
      </c>
      <c r="Q105" s="8" t="n">
        <v>5</v>
      </c>
      <c r="R105" s="8" t="n"/>
      <c r="S105" s="8" t="n"/>
      <c r="T105" s="8" t="n">
        <v>7</v>
      </c>
      <c r="U105" s="8" t="n">
        <v>4</v>
      </c>
      <c r="V105" s="45">
        <f>IF(M105="","",M105/$K105)</f>
        <v/>
      </c>
      <c r="W105" s="45">
        <f>IF(N105="","",N105/$K105)</f>
        <v/>
      </c>
      <c r="X105" s="45">
        <f>IF(O105="","",O105/$K105)</f>
        <v/>
      </c>
      <c r="Y105" s="45">
        <f>IF(P105="","",P105/$K105)</f>
        <v/>
      </c>
      <c r="Z105" s="45">
        <f>IF(Q105="","",Q105/$K105)</f>
        <v/>
      </c>
      <c r="AA105" s="45">
        <f>IF(R105="","",R105/$K105)</f>
        <v/>
      </c>
      <c r="AB105" s="45">
        <f>IF(S105="","",S105/$K105)</f>
        <v/>
      </c>
      <c r="AC105" s="45">
        <f>IF(T105="","",T105/$K105)</f>
        <v/>
      </c>
      <c r="AD105" s="45">
        <f>IF(U105="","",U105/$K105)</f>
        <v/>
      </c>
    </row>
    <row r="106">
      <c r="A106" s="8" t="inlineStr">
        <is>
          <t>MEGA MANU</t>
        </is>
      </c>
      <c r="B106" s="8" t="inlineStr">
        <is>
          <t>Haulage</t>
        </is>
      </c>
      <c r="C106" s="8" t="inlineStr">
        <is>
          <t>Lagos</t>
        </is>
      </c>
      <c r="D106" s="8" t="inlineStr">
        <is>
          <t>Abuja</t>
        </is>
      </c>
      <c r="E106" s="8" t="inlineStr">
        <is>
          <t>ABUJA&gt;APAPA</t>
        </is>
      </c>
      <c r="F106" s="8" t="inlineStr">
        <is>
          <t>Exact</t>
        </is>
      </c>
      <c r="G106" s="44">
        <f>IFERROR(INDEX('Turnaround Table'!$C$5:$C$231,MATCH(E106,'Turnaround Table'!$D$5:$D$231,0)),"")</f>
        <v/>
      </c>
      <c r="H106" s="43" t="n"/>
      <c r="I106" s="44">
        <f>IF(H106&lt;&gt;"",H106,IF(G106&lt;&gt;"",G106,'Truck Requirement'!$B$5))</f>
        <v/>
      </c>
      <c r="J106" s="44">
        <f>2*I106</f>
        <v/>
      </c>
      <c r="K106" s="8">
        <f>MAX(1,INT('Truck Requirement'!$B$4/J106))</f>
        <v/>
      </c>
      <c r="L106" s="8">
        <f>SUM(M106:U106)</f>
        <v/>
      </c>
      <c r="M106" s="8" t="n">
        <v>4</v>
      </c>
      <c r="N106" s="8" t="n">
        <v>4</v>
      </c>
      <c r="O106" s="8" t="n"/>
      <c r="P106" s="8" t="n"/>
      <c r="Q106" s="8" t="n"/>
      <c r="R106" s="8" t="n"/>
      <c r="S106" s="8" t="n"/>
      <c r="T106" s="8" t="n">
        <v>9</v>
      </c>
      <c r="U106" s="8" t="n"/>
      <c r="V106" s="45">
        <f>IF(M106="","",M106/$K106)</f>
        <v/>
      </c>
      <c r="W106" s="45">
        <f>IF(N106="","",N106/$K106)</f>
        <v/>
      </c>
      <c r="X106" s="45">
        <f>IF(O106="","",O106/$K106)</f>
        <v/>
      </c>
      <c r="Y106" s="45">
        <f>IF(P106="","",P106/$K106)</f>
        <v/>
      </c>
      <c r="Z106" s="45">
        <f>IF(Q106="","",Q106/$K106)</f>
        <v/>
      </c>
      <c r="AA106" s="45">
        <f>IF(R106="","",R106/$K106)</f>
        <v/>
      </c>
      <c r="AB106" s="45">
        <f>IF(S106="","",S106/$K106)</f>
        <v/>
      </c>
      <c r="AC106" s="45">
        <f>IF(T106="","",T106/$K106)</f>
        <v/>
      </c>
      <c r="AD106" s="45">
        <f>IF(U106="","",U106/$K106)</f>
        <v/>
      </c>
    </row>
    <row r="107">
      <c r="A107" s="8" t="inlineStr">
        <is>
          <t>MEGA MANU</t>
        </is>
      </c>
      <c r="B107" s="8" t="inlineStr">
        <is>
          <t>Haulage</t>
        </is>
      </c>
      <c r="C107" s="8" t="inlineStr">
        <is>
          <t>Lagos</t>
        </is>
      </c>
      <c r="D107" s="8" t="inlineStr">
        <is>
          <t>Onitsha</t>
        </is>
      </c>
      <c r="E107" s="8" t="inlineStr">
        <is>
          <t>ONITSHA&gt;LAGOS</t>
        </is>
      </c>
      <c r="F107" s="8" t="inlineStr">
        <is>
          <t>Exact</t>
        </is>
      </c>
      <c r="G107" s="44">
        <f>IFERROR(INDEX('Turnaround Table'!$C$5:$C$231,MATCH(E107,'Turnaround Table'!$D$5:$D$231,0)),"")</f>
        <v/>
      </c>
      <c r="H107" s="43" t="n"/>
      <c r="I107" s="44">
        <f>IF(H107&lt;&gt;"",H107,IF(G107&lt;&gt;"",G107,'Truck Requirement'!$B$5))</f>
        <v/>
      </c>
      <c r="J107" s="44">
        <f>2*I107</f>
        <v/>
      </c>
      <c r="K107" s="8">
        <f>MAX(1,INT('Truck Requirement'!$B$4/J107))</f>
        <v/>
      </c>
      <c r="L107" s="8">
        <f>SUM(M107:U107)</f>
        <v/>
      </c>
      <c r="M107" s="8" t="n">
        <v>3</v>
      </c>
      <c r="N107" s="8" t="n"/>
      <c r="O107" s="8" t="n"/>
      <c r="P107" s="8" t="n">
        <v>1</v>
      </c>
      <c r="Q107" s="8" t="n">
        <v>3</v>
      </c>
      <c r="R107" s="8" t="n"/>
      <c r="S107" s="8" t="n">
        <v>1</v>
      </c>
      <c r="T107" s="8" t="n"/>
      <c r="U107" s="8" t="n">
        <v>1</v>
      </c>
      <c r="V107" s="45">
        <f>IF(M107="","",M107/$K107)</f>
        <v/>
      </c>
      <c r="W107" s="45">
        <f>IF(N107="","",N107/$K107)</f>
        <v/>
      </c>
      <c r="X107" s="45">
        <f>IF(O107="","",O107/$K107)</f>
        <v/>
      </c>
      <c r="Y107" s="45">
        <f>IF(P107="","",P107/$K107)</f>
        <v/>
      </c>
      <c r="Z107" s="45">
        <f>IF(Q107="","",Q107/$K107)</f>
        <v/>
      </c>
      <c r="AA107" s="45">
        <f>IF(R107="","",R107/$K107)</f>
        <v/>
      </c>
      <c r="AB107" s="45">
        <f>IF(S107="","",S107/$K107)</f>
        <v/>
      </c>
      <c r="AC107" s="45">
        <f>IF(T107="","",T107/$K107)</f>
        <v/>
      </c>
      <c r="AD107" s="45">
        <f>IF(U107="","",U107/$K107)</f>
        <v/>
      </c>
    </row>
    <row r="108">
      <c r="A108" s="8" t="inlineStr">
        <is>
          <t>MEGA MANU</t>
        </is>
      </c>
      <c r="B108" s="8" t="inlineStr">
        <is>
          <t>Haulage</t>
        </is>
      </c>
      <c r="C108" s="8" t="inlineStr">
        <is>
          <t>Lagos</t>
        </is>
      </c>
      <c r="D108" s="8" t="inlineStr">
        <is>
          <t>Ilorin</t>
        </is>
      </c>
      <c r="E108" s="8" t="inlineStr">
        <is>
          <t>ILORIN&gt;LAGOS</t>
        </is>
      </c>
      <c r="F108" s="8" t="inlineStr">
        <is>
          <t>Exact</t>
        </is>
      </c>
      <c r="G108" s="44">
        <f>IFERROR(INDEX('Turnaround Table'!$C$5:$C$231,MATCH(E108,'Turnaround Table'!$D$5:$D$231,0)),"")</f>
        <v/>
      </c>
      <c r="H108" s="43" t="n"/>
      <c r="I108" s="44">
        <f>IF(H108&lt;&gt;"",H108,IF(G108&lt;&gt;"",G108,'Truck Requirement'!$B$5))</f>
        <v/>
      </c>
      <c r="J108" s="44">
        <f>2*I108</f>
        <v/>
      </c>
      <c r="K108" s="8">
        <f>MAX(1,INT('Truck Requirement'!$B$4/J108))</f>
        <v/>
      </c>
      <c r="L108" s="8">
        <f>SUM(M108:U108)</f>
        <v/>
      </c>
      <c r="M108" s="8" t="n"/>
      <c r="N108" s="8" t="n">
        <v>1</v>
      </c>
      <c r="O108" s="8" t="n"/>
      <c r="P108" s="8" t="n"/>
      <c r="Q108" s="8" t="n">
        <v>1</v>
      </c>
      <c r="R108" s="8" t="n"/>
      <c r="S108" s="8" t="n"/>
      <c r="T108" s="8" t="n">
        <v>1</v>
      </c>
      <c r="U108" s="8" t="n"/>
      <c r="V108" s="45">
        <f>IF(M108="","",M108/$K108)</f>
        <v/>
      </c>
      <c r="W108" s="45">
        <f>IF(N108="","",N108/$K108)</f>
        <v/>
      </c>
      <c r="X108" s="45">
        <f>IF(O108="","",O108/$K108)</f>
        <v/>
      </c>
      <c r="Y108" s="45">
        <f>IF(P108="","",P108/$K108)</f>
        <v/>
      </c>
      <c r="Z108" s="45">
        <f>IF(Q108="","",Q108/$K108)</f>
        <v/>
      </c>
      <c r="AA108" s="45">
        <f>IF(R108="","",R108/$K108)</f>
        <v/>
      </c>
      <c r="AB108" s="45">
        <f>IF(S108="","",S108/$K108)</f>
        <v/>
      </c>
      <c r="AC108" s="45">
        <f>IF(T108="","",T108/$K108)</f>
        <v/>
      </c>
      <c r="AD108" s="45">
        <f>IF(U108="","",U108/$K108)</f>
        <v/>
      </c>
    </row>
    <row r="109">
      <c r="A109" s="8" t="inlineStr">
        <is>
          <t>MEGA MANU</t>
        </is>
      </c>
      <c r="B109" s="8" t="inlineStr">
        <is>
          <t>Haulage</t>
        </is>
      </c>
      <c r="C109" s="8" t="inlineStr">
        <is>
          <t>Lagos</t>
        </is>
      </c>
      <c r="D109" s="8" t="inlineStr">
        <is>
          <t>Sagamu</t>
        </is>
      </c>
      <c r="E109" s="8" t="inlineStr">
        <is>
          <t>SAGAMU&gt;LAGOS</t>
        </is>
      </c>
      <c r="F109" s="8" t="inlineStr">
        <is>
          <t>Exact</t>
        </is>
      </c>
      <c r="G109" s="44">
        <f>IFERROR(INDEX('Turnaround Table'!$C$5:$C$231,MATCH(E109,'Turnaround Table'!$D$5:$D$231,0)),"")</f>
        <v/>
      </c>
      <c r="H109" s="43" t="n"/>
      <c r="I109" s="44">
        <f>IF(H109&lt;&gt;"",H109,IF(G109&lt;&gt;"",G109,'Truck Requirement'!$B$5))</f>
        <v/>
      </c>
      <c r="J109" s="44">
        <f>2*I109</f>
        <v/>
      </c>
      <c r="K109" s="8">
        <f>MAX(1,INT('Truck Requirement'!$B$4/J109))</f>
        <v/>
      </c>
      <c r="L109" s="8">
        <f>SUM(M109:U109)</f>
        <v/>
      </c>
      <c r="M109" s="8" t="n"/>
      <c r="N109" s="8" t="n"/>
      <c r="O109" s="8" t="n"/>
      <c r="P109" s="8" t="n"/>
      <c r="Q109" s="8" t="n"/>
      <c r="R109" s="8" t="n"/>
      <c r="S109" s="8" t="n">
        <v>1</v>
      </c>
      <c r="T109" s="8" t="n">
        <v>1</v>
      </c>
      <c r="U109" s="8" t="n">
        <v>1</v>
      </c>
      <c r="V109" s="45">
        <f>IF(M109="","",M109/$K109)</f>
        <v/>
      </c>
      <c r="W109" s="45">
        <f>IF(N109="","",N109/$K109)</f>
        <v/>
      </c>
      <c r="X109" s="45">
        <f>IF(O109="","",O109/$K109)</f>
        <v/>
      </c>
      <c r="Y109" s="45">
        <f>IF(P109="","",P109/$K109)</f>
        <v/>
      </c>
      <c r="Z109" s="45">
        <f>IF(Q109="","",Q109/$K109)</f>
        <v/>
      </c>
      <c r="AA109" s="45">
        <f>IF(R109="","",R109/$K109)</f>
        <v/>
      </c>
      <c r="AB109" s="45">
        <f>IF(S109="","",S109/$K109)</f>
        <v/>
      </c>
      <c r="AC109" s="45">
        <f>IF(T109="","",T109/$K109)</f>
        <v/>
      </c>
      <c r="AD109" s="45">
        <f>IF(U109="","",U109/$K109)</f>
        <v/>
      </c>
    </row>
    <row r="110">
      <c r="A110" s="8" t="inlineStr">
        <is>
          <t>MEGA MANU</t>
        </is>
      </c>
      <c r="B110" s="8" t="inlineStr">
        <is>
          <t>Haulage</t>
        </is>
      </c>
      <c r="C110" s="8" t="inlineStr">
        <is>
          <t>Lagos</t>
        </is>
      </c>
      <c r="D110" s="8" t="inlineStr">
        <is>
          <t>Aba</t>
        </is>
      </c>
      <c r="E110" s="8" t="inlineStr">
        <is>
          <t>ABA&gt;LAGOS</t>
        </is>
      </c>
      <c r="F110" s="8" t="inlineStr">
        <is>
          <t>Exact</t>
        </is>
      </c>
      <c r="G110" s="44">
        <f>IFERROR(INDEX('Turnaround Table'!$C$5:$C$231,MATCH(E110,'Turnaround Table'!$D$5:$D$231,0)),"")</f>
        <v/>
      </c>
      <c r="H110" s="43" t="n"/>
      <c r="I110" s="44">
        <f>IF(H110&lt;&gt;"",H110,IF(G110&lt;&gt;"",G110,'Truck Requirement'!$B$5))</f>
        <v/>
      </c>
      <c r="J110" s="44">
        <f>2*I110</f>
        <v/>
      </c>
      <c r="K110" s="8">
        <f>MAX(1,INT('Truck Requirement'!$B$4/J110))</f>
        <v/>
      </c>
      <c r="L110" s="8">
        <f>SUM(M110:U110)</f>
        <v/>
      </c>
      <c r="M110" s="8" t="n"/>
      <c r="N110" s="8" t="n">
        <v>1</v>
      </c>
      <c r="O110" s="8" t="n"/>
      <c r="P110" s="8" t="n"/>
      <c r="Q110" s="8" t="n"/>
      <c r="R110" s="8" t="n"/>
      <c r="S110" s="8" t="n"/>
      <c r="T110" s="8" t="n"/>
      <c r="U110" s="8" t="n">
        <v>1</v>
      </c>
      <c r="V110" s="45">
        <f>IF(M110="","",M110/$K110)</f>
        <v/>
      </c>
      <c r="W110" s="45">
        <f>IF(N110="","",N110/$K110)</f>
        <v/>
      </c>
      <c r="X110" s="45">
        <f>IF(O110="","",O110/$K110)</f>
        <v/>
      </c>
      <c r="Y110" s="45">
        <f>IF(P110="","",P110/$K110)</f>
        <v/>
      </c>
      <c r="Z110" s="45">
        <f>IF(Q110="","",Q110/$K110)</f>
        <v/>
      </c>
      <c r="AA110" s="45">
        <f>IF(R110="","",R110/$K110)</f>
        <v/>
      </c>
      <c r="AB110" s="45">
        <f>IF(S110="","",S110/$K110)</f>
        <v/>
      </c>
      <c r="AC110" s="45">
        <f>IF(T110="","",T110/$K110)</f>
        <v/>
      </c>
      <c r="AD110" s="45">
        <f>IF(U110="","",U110/$K110)</f>
        <v/>
      </c>
    </row>
    <row r="111">
      <c r="A111" s="8" t="inlineStr">
        <is>
          <t>MEGA MANU</t>
        </is>
      </c>
      <c r="B111" s="8" t="inlineStr">
        <is>
          <t>Haulage</t>
        </is>
      </c>
      <c r="C111" s="8" t="inlineStr">
        <is>
          <t>Ibadan</t>
        </is>
      </c>
      <c r="D111" s="8" t="inlineStr">
        <is>
          <t>Onitsha</t>
        </is>
      </c>
      <c r="E111" s="8" t="inlineStr">
        <is>
          <t>ONITSHA&gt;IBADAN</t>
        </is>
      </c>
      <c r="F111" s="8" t="inlineStr">
        <is>
          <t>Exact</t>
        </is>
      </c>
      <c r="G111" s="44">
        <f>IFERROR(INDEX('Turnaround Table'!$C$5:$C$231,MATCH(E111,'Turnaround Table'!$D$5:$D$231,0)),"")</f>
        <v/>
      </c>
      <c r="H111" s="43" t="n"/>
      <c r="I111" s="44">
        <f>IF(H111&lt;&gt;"",H111,IF(G111&lt;&gt;"",G111,'Truck Requirement'!$B$5))</f>
        <v/>
      </c>
      <c r="J111" s="44">
        <f>2*I111</f>
        <v/>
      </c>
      <c r="K111" s="8">
        <f>MAX(1,INT('Truck Requirement'!$B$4/J111))</f>
        <v/>
      </c>
      <c r="L111" s="8">
        <f>SUM(M111:U111)</f>
        <v/>
      </c>
      <c r="M111" s="8" t="n"/>
      <c r="N111" s="8" t="n">
        <v>1</v>
      </c>
      <c r="O111" s="8" t="n"/>
      <c r="P111" s="8" t="n"/>
      <c r="Q111" s="8" t="n"/>
      <c r="R111" s="8" t="n"/>
      <c r="S111" s="8" t="n"/>
      <c r="T111" s="8" t="n"/>
      <c r="U111" s="8" t="n"/>
      <c r="V111" s="45">
        <f>IF(M111="","",M111/$K111)</f>
        <v/>
      </c>
      <c r="W111" s="45">
        <f>IF(N111="","",N111/$K111)</f>
        <v/>
      </c>
      <c r="X111" s="45">
        <f>IF(O111="","",O111/$K111)</f>
        <v/>
      </c>
      <c r="Y111" s="45">
        <f>IF(P111="","",P111/$K111)</f>
        <v/>
      </c>
      <c r="Z111" s="45">
        <f>IF(Q111="","",Q111/$K111)</f>
        <v/>
      </c>
      <c r="AA111" s="45">
        <f>IF(R111="","",R111/$K111)</f>
        <v/>
      </c>
      <c r="AB111" s="45">
        <f>IF(S111="","",S111/$K111)</f>
        <v/>
      </c>
      <c r="AC111" s="45">
        <f>IF(T111="","",T111/$K111)</f>
        <v/>
      </c>
      <c r="AD111" s="45">
        <f>IF(U111="","",U111/$K111)</f>
        <v/>
      </c>
    </row>
    <row r="112">
      <c r="A112" s="8" t="inlineStr">
        <is>
          <t>MEGA MANU</t>
        </is>
      </c>
      <c r="B112" s="8" t="inlineStr">
        <is>
          <t>Haulage</t>
        </is>
      </c>
      <c r="C112" s="8" t="inlineStr">
        <is>
          <t>Lagos</t>
        </is>
      </c>
      <c r="D112" s="8" t="inlineStr">
        <is>
          <t>Kaduna</t>
        </is>
      </c>
      <c r="E112" s="8" t="inlineStr">
        <is>
          <t>KADUNA&gt;LAGOS</t>
        </is>
      </c>
      <c r="F112" s="8" t="inlineStr">
        <is>
          <t>Exact</t>
        </is>
      </c>
      <c r="G112" s="44">
        <f>IFERROR(INDEX('Turnaround Table'!$C$5:$C$231,MATCH(E112,'Turnaround Table'!$D$5:$D$231,0)),"")</f>
        <v/>
      </c>
      <c r="H112" s="43" t="n"/>
      <c r="I112" s="44">
        <f>IF(H112&lt;&gt;"",H112,IF(G112&lt;&gt;"",G112,'Truck Requirement'!$B$5))</f>
        <v/>
      </c>
      <c r="J112" s="44">
        <f>2*I112</f>
        <v/>
      </c>
      <c r="K112" s="8">
        <f>MAX(1,INT('Truck Requirement'!$B$4/J112))</f>
        <v/>
      </c>
      <c r="L112" s="8">
        <f>SUM(M112:U112)</f>
        <v/>
      </c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>
        <v>1</v>
      </c>
      <c r="V112" s="45">
        <f>IF(M112="","",M112/$K112)</f>
        <v/>
      </c>
      <c r="W112" s="45">
        <f>IF(N112="","",N112/$K112)</f>
        <v/>
      </c>
      <c r="X112" s="45">
        <f>IF(O112="","",O112/$K112)</f>
        <v/>
      </c>
      <c r="Y112" s="45">
        <f>IF(P112="","",P112/$K112)</f>
        <v/>
      </c>
      <c r="Z112" s="45">
        <f>IF(Q112="","",Q112/$K112)</f>
        <v/>
      </c>
      <c r="AA112" s="45">
        <f>IF(R112="","",R112/$K112)</f>
        <v/>
      </c>
      <c r="AB112" s="45">
        <f>IF(S112="","",S112/$K112)</f>
        <v/>
      </c>
      <c r="AC112" s="45">
        <f>IF(T112="","",T112/$K112)</f>
        <v/>
      </c>
      <c r="AD112" s="45">
        <f>IF(U112="","",U112/$K112)</f>
        <v/>
      </c>
    </row>
    <row r="113">
      <c r="A113" s="8" t="inlineStr">
        <is>
          <t>MEGA MANU</t>
        </is>
      </c>
      <c r="B113" s="8" t="inlineStr">
        <is>
          <t>Haulage</t>
        </is>
      </c>
      <c r="C113" s="8" t="inlineStr">
        <is>
          <t>Lagos</t>
        </is>
      </c>
      <c r="D113" s="8" t="inlineStr">
        <is>
          <t>Mushin</t>
        </is>
      </c>
      <c r="E113" s="8" t="inlineStr">
        <is>
          <t>ILUPEJU-GBD-APAPA-MUSHIN-OKOTA-FADEYI&gt;LAGOS</t>
        </is>
      </c>
      <c r="F113" s="8" t="inlineStr">
        <is>
          <t>Exact</t>
        </is>
      </c>
      <c r="G113" s="44">
        <f>IFERROR(INDEX('Turnaround Table'!$C$5:$C$231,MATCH(E113,'Turnaround Table'!$D$5:$D$231,0)),"")</f>
        <v/>
      </c>
      <c r="H113" s="43" t="n"/>
      <c r="I113" s="44">
        <f>IF(H113&lt;&gt;"",H113,IF(G113&lt;&gt;"",G113,'Truck Requirement'!$B$5))</f>
        <v/>
      </c>
      <c r="J113" s="44">
        <f>2*I113</f>
        <v/>
      </c>
      <c r="K113" s="8">
        <f>MAX(1,INT('Truck Requirement'!$B$4/J113))</f>
        <v/>
      </c>
      <c r="L113" s="8">
        <f>SUM(M113:U113)</f>
        <v/>
      </c>
      <c r="M113" s="8" t="n"/>
      <c r="N113" s="8" t="n"/>
      <c r="O113" s="8" t="n"/>
      <c r="P113" s="8" t="n"/>
      <c r="Q113" s="8" t="n"/>
      <c r="R113" s="8" t="n">
        <v>1</v>
      </c>
      <c r="S113" s="8" t="n"/>
      <c r="T113" s="8" t="n"/>
      <c r="U113" s="8" t="n"/>
      <c r="V113" s="45">
        <f>IF(M113="","",M113/$K113)</f>
        <v/>
      </c>
      <c r="W113" s="45">
        <f>IF(N113="","",N113/$K113)</f>
        <v/>
      </c>
      <c r="X113" s="45">
        <f>IF(O113="","",O113/$K113)</f>
        <v/>
      </c>
      <c r="Y113" s="45">
        <f>IF(P113="","",P113/$K113)</f>
        <v/>
      </c>
      <c r="Z113" s="45">
        <f>IF(Q113="","",Q113/$K113)</f>
        <v/>
      </c>
      <c r="AA113" s="45">
        <f>IF(R113="","",R113/$K113)</f>
        <v/>
      </c>
      <c r="AB113" s="45">
        <f>IF(S113="","",S113/$K113)</f>
        <v/>
      </c>
      <c r="AC113" s="45">
        <f>IF(T113="","",T113/$K113)</f>
        <v/>
      </c>
      <c r="AD113" s="45">
        <f>IF(U113="","",U113/$K113)</f>
        <v/>
      </c>
    </row>
    <row r="114">
      <c r="A114" s="8" t="inlineStr">
        <is>
          <t>MIKANO INTL LTD</t>
        </is>
      </c>
      <c r="B114" s="8" t="inlineStr">
        <is>
          <t>Haulage</t>
        </is>
      </c>
      <c r="C114" s="8" t="inlineStr">
        <is>
          <t>Lagos</t>
        </is>
      </c>
      <c r="D114" s="8" t="inlineStr">
        <is>
          <t>Abuja</t>
        </is>
      </c>
      <c r="E114" s="8" t="inlineStr">
        <is>
          <t>ABUJA&gt;LAGOS</t>
        </is>
      </c>
      <c r="F114" s="8" t="inlineStr">
        <is>
          <t>Exact</t>
        </is>
      </c>
      <c r="G114" s="44">
        <f>IFERROR(INDEX('Turnaround Table'!$C$5:$C$231,MATCH(E114,'Turnaround Table'!$D$5:$D$231,0)),"")</f>
        <v/>
      </c>
      <c r="H114" s="43" t="n"/>
      <c r="I114" s="44">
        <f>IF(H114&lt;&gt;"",H114,IF(G114&lt;&gt;"",G114,'Truck Requirement'!$B$5))</f>
        <v/>
      </c>
      <c r="J114" s="44">
        <f>2*I114</f>
        <v/>
      </c>
      <c r="K114" s="8">
        <f>MAX(1,INT('Truck Requirement'!$B$4/J114))</f>
        <v/>
      </c>
      <c r="L114" s="8">
        <f>SUM(M114:U114)</f>
        <v/>
      </c>
      <c r="M114" s="8" t="n"/>
      <c r="N114" s="8" t="n"/>
      <c r="O114" s="8" t="n"/>
      <c r="P114" s="8" t="n"/>
      <c r="Q114" s="8" t="n">
        <v>1</v>
      </c>
      <c r="R114" s="8" t="n"/>
      <c r="S114" s="8" t="n"/>
      <c r="T114" s="8" t="n"/>
      <c r="U114" s="8" t="n"/>
      <c r="V114" s="45">
        <f>IF(M114="","",M114/$K114)</f>
        <v/>
      </c>
      <c r="W114" s="45">
        <f>IF(N114="","",N114/$K114)</f>
        <v/>
      </c>
      <c r="X114" s="45">
        <f>IF(O114="","",O114/$K114)</f>
        <v/>
      </c>
      <c r="Y114" s="45">
        <f>IF(P114="","",P114/$K114)</f>
        <v/>
      </c>
      <c r="Z114" s="45">
        <f>IF(Q114="","",Q114/$K114)</f>
        <v/>
      </c>
      <c r="AA114" s="45">
        <f>IF(R114="","",R114/$K114)</f>
        <v/>
      </c>
      <c r="AB114" s="45">
        <f>IF(S114="","",S114/$K114)</f>
        <v/>
      </c>
      <c r="AC114" s="45">
        <f>IF(T114="","",T114/$K114)</f>
        <v/>
      </c>
      <c r="AD114" s="45">
        <f>IF(U114="","",U114/$K114)</f>
        <v/>
      </c>
    </row>
    <row r="115">
      <c r="A115" s="8" t="inlineStr">
        <is>
          <t>NATURAL BEAUTY</t>
        </is>
      </c>
      <c r="B115" s="8" t="inlineStr">
        <is>
          <t>Haulage</t>
        </is>
      </c>
      <c r="C115" s="8" t="inlineStr">
        <is>
          <t>Lagos</t>
        </is>
      </c>
      <c r="D115" s="8" t="inlineStr">
        <is>
          <t>Kano</t>
        </is>
      </c>
      <c r="E115" s="8" t="inlineStr">
        <is>
          <t>KANO&gt;LAGOS</t>
        </is>
      </c>
      <c r="F115" s="8" t="inlineStr">
        <is>
          <t>Exact</t>
        </is>
      </c>
      <c r="G115" s="44">
        <f>IFERROR(INDEX('Turnaround Table'!$C$5:$C$231,MATCH(E115,'Turnaround Table'!$D$5:$D$231,0)),"")</f>
        <v/>
      </c>
      <c r="H115" s="43" t="n"/>
      <c r="I115" s="44">
        <f>IF(H115&lt;&gt;"",H115,IF(G115&lt;&gt;"",G115,'Truck Requirement'!$B$5))</f>
        <v/>
      </c>
      <c r="J115" s="44">
        <f>2*I115</f>
        <v/>
      </c>
      <c r="K115" s="8">
        <f>MAX(1,INT('Truck Requirement'!$B$4/J115))</f>
        <v/>
      </c>
      <c r="L115" s="8">
        <f>SUM(M115:U115)</f>
        <v/>
      </c>
      <c r="M115" s="8" t="n">
        <v>5</v>
      </c>
      <c r="N115" s="8" t="n">
        <v>5</v>
      </c>
      <c r="O115" s="8" t="n">
        <v>4</v>
      </c>
      <c r="P115" s="8" t="n">
        <v>3</v>
      </c>
      <c r="Q115" s="8" t="n">
        <v>5</v>
      </c>
      <c r="R115" s="8" t="n">
        <v>2</v>
      </c>
      <c r="S115" s="8" t="n">
        <v>4</v>
      </c>
      <c r="T115" s="8" t="n">
        <v>2</v>
      </c>
      <c r="U115" s="8" t="n">
        <v>2</v>
      </c>
      <c r="V115" s="45">
        <f>IF(M115="","",M115/$K115)</f>
        <v/>
      </c>
      <c r="W115" s="45">
        <f>IF(N115="","",N115/$K115)</f>
        <v/>
      </c>
      <c r="X115" s="45">
        <f>IF(O115="","",O115/$K115)</f>
        <v/>
      </c>
      <c r="Y115" s="45">
        <f>IF(P115="","",P115/$K115)</f>
        <v/>
      </c>
      <c r="Z115" s="45">
        <f>IF(Q115="","",Q115/$K115)</f>
        <v/>
      </c>
      <c r="AA115" s="45">
        <f>IF(R115="","",R115/$K115)</f>
        <v/>
      </c>
      <c r="AB115" s="45">
        <f>IF(S115="","",S115/$K115)</f>
        <v/>
      </c>
      <c r="AC115" s="45">
        <f>IF(T115="","",T115/$K115)</f>
        <v/>
      </c>
      <c r="AD115" s="45">
        <f>IF(U115="","",U115/$K115)</f>
        <v/>
      </c>
    </row>
    <row r="116">
      <c r="A116" s="8" t="inlineStr">
        <is>
          <t>NATURAL BEAUTY</t>
        </is>
      </c>
      <c r="B116" s="8" t="inlineStr">
        <is>
          <t>Haulage</t>
        </is>
      </c>
      <c r="C116" s="8" t="inlineStr">
        <is>
          <t>Kano</t>
        </is>
      </c>
      <c r="D116" s="8" t="inlineStr">
        <is>
          <t>Gbagada-Isolo</t>
        </is>
      </c>
      <c r="E116" s="8" t="inlineStr">
        <is>
          <t>KANO&gt;LAGOS</t>
        </is>
      </c>
      <c r="F116" s="8" t="inlineStr">
        <is>
          <t>Reverse</t>
        </is>
      </c>
      <c r="G116" s="44">
        <f>IFERROR(INDEX('Turnaround Table'!$C$5:$C$231,MATCH(E116,'Turnaround Table'!$D$5:$D$231,0)),"")</f>
        <v/>
      </c>
      <c r="H116" s="43" t="n"/>
      <c r="I116" s="44">
        <f>IF(H116&lt;&gt;"",H116,IF(G116&lt;&gt;"",G116,'Truck Requirement'!$B$5))</f>
        <v/>
      </c>
      <c r="J116" s="44">
        <f>2*I116</f>
        <v/>
      </c>
      <c r="K116" s="8">
        <f>MAX(1,INT('Truck Requirement'!$B$4/J116))</f>
        <v/>
      </c>
      <c r="L116" s="8">
        <f>SUM(M116:U116)</f>
        <v/>
      </c>
      <c r="M116" s="8" t="n"/>
      <c r="N116" s="8" t="n"/>
      <c r="O116" s="8" t="n"/>
      <c r="P116" s="8" t="n">
        <v>1</v>
      </c>
      <c r="Q116" s="8" t="n"/>
      <c r="R116" s="8" t="n"/>
      <c r="S116" s="8" t="n"/>
      <c r="T116" s="8" t="n"/>
      <c r="U116" s="8" t="n"/>
      <c r="V116" s="45">
        <f>IF(M116="","",M116/$K116)</f>
        <v/>
      </c>
      <c r="W116" s="45">
        <f>IF(N116="","",N116/$K116)</f>
        <v/>
      </c>
      <c r="X116" s="45">
        <f>IF(O116="","",O116/$K116)</f>
        <v/>
      </c>
      <c r="Y116" s="45">
        <f>IF(P116="","",P116/$K116)</f>
        <v/>
      </c>
      <c r="Z116" s="45">
        <f>IF(Q116="","",Q116/$K116)</f>
        <v/>
      </c>
      <c r="AA116" s="45">
        <f>IF(R116="","",R116/$K116)</f>
        <v/>
      </c>
      <c r="AB116" s="45">
        <f>IF(S116="","",S116/$K116)</f>
        <v/>
      </c>
      <c r="AC116" s="45">
        <f>IF(T116="","",T116/$K116)</f>
        <v/>
      </c>
      <c r="AD116" s="45">
        <f>IF(U116="","",U116/$K116)</f>
        <v/>
      </c>
    </row>
    <row r="117">
      <c r="A117" s="51" t="inlineStr">
        <is>
          <t>NATURAL BEAUTY</t>
        </is>
      </c>
      <c r="B117" s="51" t="inlineStr">
        <is>
          <t>Haulage</t>
        </is>
      </c>
      <c r="C117" s="51" t="inlineStr">
        <is>
          <t>Lagos</t>
        </is>
      </c>
      <c r="D117" s="51" t="inlineStr">
        <is>
          <t>(Not Recorded)</t>
        </is>
      </c>
      <c r="E117" s="51" t="n">
        <v/>
      </c>
      <c r="F117" s="51" t="inlineStr">
        <is>
          <t>Not in table</t>
        </is>
      </c>
      <c r="G117" s="44">
        <f>IFERROR(INDEX('Turnaround Table'!$C$5:$C$231,MATCH(E117,'Turnaround Table'!$D$5:$D$231,0)),"")</f>
        <v/>
      </c>
      <c r="H117" s="43" t="n"/>
      <c r="I117" s="44">
        <f>IF(H117&lt;&gt;"",H117,IF(G117&lt;&gt;"",G117,'Truck Requirement'!$B$5))</f>
        <v/>
      </c>
      <c r="J117" s="44">
        <f>2*I117</f>
        <v/>
      </c>
      <c r="K117" s="8">
        <f>MAX(1,INT('Truck Requirement'!$B$4/J117))</f>
        <v/>
      </c>
      <c r="L117" s="8">
        <f>SUM(M117:U117)</f>
        <v/>
      </c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>
        <v>1</v>
      </c>
      <c r="V117" s="45">
        <f>IF(M117="","",M117/$K117)</f>
        <v/>
      </c>
      <c r="W117" s="45">
        <f>IF(N117="","",N117/$K117)</f>
        <v/>
      </c>
      <c r="X117" s="45">
        <f>IF(O117="","",O117/$K117)</f>
        <v/>
      </c>
      <c r="Y117" s="45">
        <f>IF(P117="","",P117/$K117)</f>
        <v/>
      </c>
      <c r="Z117" s="45">
        <f>IF(Q117="","",Q117/$K117)</f>
        <v/>
      </c>
      <c r="AA117" s="45">
        <f>IF(R117="","",R117/$K117)</f>
        <v/>
      </c>
      <c r="AB117" s="45">
        <f>IF(S117="","",S117/$K117)</f>
        <v/>
      </c>
      <c r="AC117" s="45">
        <f>IF(T117="","",T117/$K117)</f>
        <v/>
      </c>
      <c r="AD117" s="45">
        <f>IF(U117="","",U117/$K117)</f>
        <v/>
      </c>
    </row>
    <row r="118">
      <c r="A118" s="8" t="inlineStr">
        <is>
          <t>NBL</t>
        </is>
      </c>
      <c r="B118" s="8" t="inlineStr">
        <is>
          <t>Haulage</t>
        </is>
      </c>
      <c r="C118" s="8" t="inlineStr">
        <is>
          <t>Ibadan</t>
        </is>
      </c>
      <c r="D118" s="8" t="inlineStr">
        <is>
          <t>Aba</t>
        </is>
      </c>
      <c r="E118" s="8" t="inlineStr">
        <is>
          <t>ABA&gt;IBADAN</t>
        </is>
      </c>
      <c r="F118" s="8" t="inlineStr">
        <is>
          <t>Exact</t>
        </is>
      </c>
      <c r="G118" s="44">
        <f>IFERROR(INDEX('Turnaround Table'!$C$5:$C$231,MATCH(E118,'Turnaround Table'!$D$5:$D$231,0)),"")</f>
        <v/>
      </c>
      <c r="H118" s="43" t="n"/>
      <c r="I118" s="44">
        <f>IF(H118&lt;&gt;"",H118,IF(G118&lt;&gt;"",G118,'Truck Requirement'!$B$5))</f>
        <v/>
      </c>
      <c r="J118" s="44">
        <f>2*I118</f>
        <v/>
      </c>
      <c r="K118" s="8">
        <f>MAX(1,INT('Truck Requirement'!$B$4/J118))</f>
        <v/>
      </c>
      <c r="L118" s="8">
        <f>SUM(M118:U118)</f>
        <v/>
      </c>
      <c r="M118" s="8" t="n">
        <v>6</v>
      </c>
      <c r="N118" s="8" t="n">
        <v>2</v>
      </c>
      <c r="O118" s="8" t="n">
        <v>1</v>
      </c>
      <c r="P118" s="8" t="n"/>
      <c r="Q118" s="8" t="n"/>
      <c r="R118" s="8" t="n">
        <v>10</v>
      </c>
      <c r="S118" s="8" t="n">
        <v>1</v>
      </c>
      <c r="T118" s="8" t="n"/>
      <c r="U118" s="8" t="n"/>
      <c r="V118" s="45">
        <f>IF(M118="","",M118/$K118)</f>
        <v/>
      </c>
      <c r="W118" s="45">
        <f>IF(N118="","",N118/$K118)</f>
        <v/>
      </c>
      <c r="X118" s="45">
        <f>IF(O118="","",O118/$K118)</f>
        <v/>
      </c>
      <c r="Y118" s="45">
        <f>IF(P118="","",P118/$K118)</f>
        <v/>
      </c>
      <c r="Z118" s="45">
        <f>IF(Q118="","",Q118/$K118)</f>
        <v/>
      </c>
      <c r="AA118" s="45">
        <f>IF(R118="","",R118/$K118)</f>
        <v/>
      </c>
      <c r="AB118" s="45">
        <f>IF(S118="","",S118/$K118)</f>
        <v/>
      </c>
      <c r="AC118" s="45">
        <f>IF(T118="","",T118/$K118)</f>
        <v/>
      </c>
      <c r="AD118" s="45">
        <f>IF(U118="","",U118/$K118)</f>
        <v/>
      </c>
    </row>
    <row r="119">
      <c r="A119" s="8" t="inlineStr">
        <is>
          <t>NBL</t>
        </is>
      </c>
      <c r="B119" s="8" t="inlineStr">
        <is>
          <t>Haulage</t>
        </is>
      </c>
      <c r="C119" s="8" t="inlineStr">
        <is>
          <t>Ibadan</t>
        </is>
      </c>
      <c r="D119" s="8" t="inlineStr">
        <is>
          <t>Ibadan</t>
        </is>
      </c>
      <c r="E119" s="8" t="inlineStr">
        <is>
          <t>IBADAN&gt;IBADAN</t>
        </is>
      </c>
      <c r="F119" s="8" t="inlineStr">
        <is>
          <t>Exact</t>
        </is>
      </c>
      <c r="G119" s="44">
        <f>IFERROR(INDEX('Turnaround Table'!$C$5:$C$231,MATCH(E119,'Turnaround Table'!$D$5:$D$231,0)),"")</f>
        <v/>
      </c>
      <c r="H119" s="43" t="n"/>
      <c r="I119" s="44">
        <f>IF(H119&lt;&gt;"",H119,IF(G119&lt;&gt;"",G119,'Truck Requirement'!$B$5))</f>
        <v/>
      </c>
      <c r="J119" s="44">
        <f>2*I119</f>
        <v/>
      </c>
      <c r="K119" s="8">
        <f>MAX(1,INT('Truck Requirement'!$B$4/J119))</f>
        <v/>
      </c>
      <c r="L119" s="8">
        <f>SUM(M119:U119)</f>
        <v/>
      </c>
      <c r="M119" s="8" t="n"/>
      <c r="N119" s="8" t="n">
        <v>2</v>
      </c>
      <c r="O119" s="8" t="n">
        <v>3</v>
      </c>
      <c r="P119" s="8" t="n"/>
      <c r="Q119" s="8" t="n">
        <v>2</v>
      </c>
      <c r="R119" s="8" t="n">
        <v>4</v>
      </c>
      <c r="S119" s="8" t="n">
        <v>3</v>
      </c>
      <c r="T119" s="8" t="n">
        <v>4</v>
      </c>
      <c r="U119" s="8" t="n"/>
      <c r="V119" s="45">
        <f>IF(M119="","",M119/$K119)</f>
        <v/>
      </c>
      <c r="W119" s="45">
        <f>IF(N119="","",N119/$K119)</f>
        <v/>
      </c>
      <c r="X119" s="45">
        <f>IF(O119="","",O119/$K119)</f>
        <v/>
      </c>
      <c r="Y119" s="45">
        <f>IF(P119="","",P119/$K119)</f>
        <v/>
      </c>
      <c r="Z119" s="45">
        <f>IF(Q119="","",Q119/$K119)</f>
        <v/>
      </c>
      <c r="AA119" s="45">
        <f>IF(R119="","",R119/$K119)</f>
        <v/>
      </c>
      <c r="AB119" s="45">
        <f>IF(S119="","",S119/$K119)</f>
        <v/>
      </c>
      <c r="AC119" s="45">
        <f>IF(T119="","",T119/$K119)</f>
        <v/>
      </c>
      <c r="AD119" s="45">
        <f>IF(U119="","",U119/$K119)</f>
        <v/>
      </c>
    </row>
    <row r="120">
      <c r="A120" s="8" t="inlineStr">
        <is>
          <t>NBL</t>
        </is>
      </c>
      <c r="B120" s="8" t="inlineStr">
        <is>
          <t>Haulage</t>
        </is>
      </c>
      <c r="C120" s="8" t="inlineStr">
        <is>
          <t>Ibadan</t>
        </is>
      </c>
      <c r="D120" s="8" t="inlineStr">
        <is>
          <t>Benin</t>
        </is>
      </c>
      <c r="E120" s="8" t="inlineStr">
        <is>
          <t>BENIN&gt;LAGOS</t>
        </is>
      </c>
      <c r="F120" s="8" t="inlineStr">
        <is>
          <t>Lagos bay used</t>
        </is>
      </c>
      <c r="G120" s="44">
        <f>IFERROR(INDEX('Turnaround Table'!$C$5:$C$231,MATCH(E120,'Turnaround Table'!$D$5:$D$231,0)),"")</f>
        <v/>
      </c>
      <c r="H120" s="43" t="n"/>
      <c r="I120" s="44">
        <f>IF(H120&lt;&gt;"",H120,IF(G120&lt;&gt;"",G120,'Truck Requirement'!$B$5))</f>
        <v/>
      </c>
      <c r="J120" s="44">
        <f>2*I120</f>
        <v/>
      </c>
      <c r="K120" s="8">
        <f>MAX(1,INT('Truck Requirement'!$B$4/J120))</f>
        <v/>
      </c>
      <c r="L120" s="8">
        <f>SUM(M120:U120)</f>
        <v/>
      </c>
      <c r="M120" s="8" t="n">
        <v>5</v>
      </c>
      <c r="N120" s="8" t="n"/>
      <c r="O120" s="8" t="n">
        <v>1</v>
      </c>
      <c r="P120" s="8" t="n">
        <v>1</v>
      </c>
      <c r="Q120" s="8" t="n">
        <v>1</v>
      </c>
      <c r="R120" s="8" t="n">
        <v>1</v>
      </c>
      <c r="S120" s="8" t="n">
        <v>4</v>
      </c>
      <c r="T120" s="8" t="n"/>
      <c r="U120" s="8" t="n"/>
      <c r="V120" s="45">
        <f>IF(M120="","",M120/$K120)</f>
        <v/>
      </c>
      <c r="W120" s="45">
        <f>IF(N120="","",N120/$K120)</f>
        <v/>
      </c>
      <c r="X120" s="45">
        <f>IF(O120="","",O120/$K120)</f>
        <v/>
      </c>
      <c r="Y120" s="45">
        <f>IF(P120="","",P120/$K120)</f>
        <v/>
      </c>
      <c r="Z120" s="45">
        <f>IF(Q120="","",Q120/$K120)</f>
        <v/>
      </c>
      <c r="AA120" s="45">
        <f>IF(R120="","",R120/$K120)</f>
        <v/>
      </c>
      <c r="AB120" s="45">
        <f>IF(S120="","",S120/$K120)</f>
        <v/>
      </c>
      <c r="AC120" s="45">
        <f>IF(T120="","",T120/$K120)</f>
        <v/>
      </c>
      <c r="AD120" s="45">
        <f>IF(U120="","",U120/$K120)</f>
        <v/>
      </c>
    </row>
    <row r="121">
      <c r="A121" s="8" t="inlineStr">
        <is>
          <t>NBL</t>
        </is>
      </c>
      <c r="B121" s="8" t="inlineStr">
        <is>
          <t>Haulage</t>
        </is>
      </c>
      <c r="C121" s="8" t="inlineStr">
        <is>
          <t>Ibadan</t>
        </is>
      </c>
      <c r="D121" s="8" t="inlineStr">
        <is>
          <t>Akure</t>
        </is>
      </c>
      <c r="E121" s="8" t="inlineStr">
        <is>
          <t>AKURE&gt;LAGOS</t>
        </is>
      </c>
      <c r="F121" s="8" t="inlineStr">
        <is>
          <t>Lagos bay used</t>
        </is>
      </c>
      <c r="G121" s="44">
        <f>IFERROR(INDEX('Turnaround Table'!$C$5:$C$231,MATCH(E121,'Turnaround Table'!$D$5:$D$231,0)),"")</f>
        <v/>
      </c>
      <c r="H121" s="43" t="n"/>
      <c r="I121" s="44">
        <f>IF(H121&lt;&gt;"",H121,IF(G121&lt;&gt;"",G121,'Truck Requirement'!$B$5))</f>
        <v/>
      </c>
      <c r="J121" s="44">
        <f>2*I121</f>
        <v/>
      </c>
      <c r="K121" s="8">
        <f>MAX(1,INT('Truck Requirement'!$B$4/J121))</f>
        <v/>
      </c>
      <c r="L121" s="8">
        <f>SUM(M121:U121)</f>
        <v/>
      </c>
      <c r="M121" s="8" t="n">
        <v>1</v>
      </c>
      <c r="N121" s="8" t="n">
        <v>3</v>
      </c>
      <c r="O121" s="8" t="n"/>
      <c r="P121" s="8" t="n">
        <v>2</v>
      </c>
      <c r="Q121" s="8" t="n">
        <v>1</v>
      </c>
      <c r="R121" s="8" t="n"/>
      <c r="S121" s="8" t="n">
        <v>3</v>
      </c>
      <c r="T121" s="8" t="n">
        <v>1</v>
      </c>
      <c r="U121" s="8" t="n"/>
      <c r="V121" s="45">
        <f>IF(M121="","",M121/$K121)</f>
        <v/>
      </c>
      <c r="W121" s="45">
        <f>IF(N121="","",N121/$K121)</f>
        <v/>
      </c>
      <c r="X121" s="45">
        <f>IF(O121="","",O121/$K121)</f>
        <v/>
      </c>
      <c r="Y121" s="45">
        <f>IF(P121="","",P121/$K121)</f>
        <v/>
      </c>
      <c r="Z121" s="45">
        <f>IF(Q121="","",Q121/$K121)</f>
        <v/>
      </c>
      <c r="AA121" s="45">
        <f>IF(R121="","",R121/$K121)</f>
        <v/>
      </c>
      <c r="AB121" s="45">
        <f>IF(S121="","",S121/$K121)</f>
        <v/>
      </c>
      <c r="AC121" s="45">
        <f>IF(T121="","",T121/$K121)</f>
        <v/>
      </c>
      <c r="AD121" s="45">
        <f>IF(U121="","",U121/$K121)</f>
        <v/>
      </c>
    </row>
    <row r="122">
      <c r="A122" s="8" t="inlineStr">
        <is>
          <t>NBL</t>
        </is>
      </c>
      <c r="B122" s="8" t="inlineStr">
        <is>
          <t>Haulage</t>
        </is>
      </c>
      <c r="C122" s="8" t="inlineStr">
        <is>
          <t>Aba</t>
        </is>
      </c>
      <c r="D122" s="8" t="inlineStr">
        <is>
          <t>Ibadan</t>
        </is>
      </c>
      <c r="E122" s="8" t="inlineStr">
        <is>
          <t>ABA&gt;IBADAN</t>
        </is>
      </c>
      <c r="F122" s="8" t="inlineStr">
        <is>
          <t>Reverse</t>
        </is>
      </c>
      <c r="G122" s="44">
        <f>IFERROR(INDEX('Turnaround Table'!$C$5:$C$231,MATCH(E122,'Turnaround Table'!$D$5:$D$231,0)),"")</f>
        <v/>
      </c>
      <c r="H122" s="43" t="n"/>
      <c r="I122" s="44">
        <f>IF(H122&lt;&gt;"",H122,IF(G122&lt;&gt;"",G122,'Truck Requirement'!$B$5))</f>
        <v/>
      </c>
      <c r="J122" s="44">
        <f>2*I122</f>
        <v/>
      </c>
      <c r="K122" s="8">
        <f>MAX(1,INT('Truck Requirement'!$B$4/J122))</f>
        <v/>
      </c>
      <c r="L122" s="8">
        <f>SUM(M122:U122)</f>
        <v/>
      </c>
      <c r="M122" s="8" t="n"/>
      <c r="N122" s="8" t="n">
        <v>1</v>
      </c>
      <c r="O122" s="8" t="n"/>
      <c r="P122" s="8" t="n"/>
      <c r="Q122" s="8" t="n"/>
      <c r="R122" s="8" t="n">
        <v>8</v>
      </c>
      <c r="S122" s="8" t="n">
        <v>1</v>
      </c>
      <c r="T122" s="8" t="n"/>
      <c r="U122" s="8" t="n"/>
      <c r="V122" s="45">
        <f>IF(M122="","",M122/$K122)</f>
        <v/>
      </c>
      <c r="W122" s="45">
        <f>IF(N122="","",N122/$K122)</f>
        <v/>
      </c>
      <c r="X122" s="45">
        <f>IF(O122="","",O122/$K122)</f>
        <v/>
      </c>
      <c r="Y122" s="45">
        <f>IF(P122="","",P122/$K122)</f>
        <v/>
      </c>
      <c r="Z122" s="45">
        <f>IF(Q122="","",Q122/$K122)</f>
        <v/>
      </c>
      <c r="AA122" s="45">
        <f>IF(R122="","",R122/$K122)</f>
        <v/>
      </c>
      <c r="AB122" s="45">
        <f>IF(S122="","",S122/$K122)</f>
        <v/>
      </c>
      <c r="AC122" s="45">
        <f>IF(T122="","",T122/$K122)</f>
        <v/>
      </c>
      <c r="AD122" s="45">
        <f>IF(U122="","",U122/$K122)</f>
        <v/>
      </c>
    </row>
    <row r="123">
      <c r="A123" s="8" t="inlineStr">
        <is>
          <t>NBL</t>
        </is>
      </c>
      <c r="B123" s="8" t="inlineStr">
        <is>
          <t>Haulage</t>
        </is>
      </c>
      <c r="C123" s="8" t="inlineStr">
        <is>
          <t>Ibadan</t>
        </is>
      </c>
      <c r="D123" s="8" t="inlineStr">
        <is>
          <t>Abuja</t>
        </is>
      </c>
      <c r="E123" s="8" t="inlineStr">
        <is>
          <t>ABUJA&gt;IBADAN</t>
        </is>
      </c>
      <c r="F123" s="8" t="inlineStr">
        <is>
          <t>Exact</t>
        </is>
      </c>
      <c r="G123" s="44">
        <f>IFERROR(INDEX('Turnaround Table'!$C$5:$C$231,MATCH(E123,'Turnaround Table'!$D$5:$D$231,0)),"")</f>
        <v/>
      </c>
      <c r="H123" s="43" t="n"/>
      <c r="I123" s="44">
        <f>IF(H123&lt;&gt;"",H123,IF(G123&lt;&gt;"",G123,'Truck Requirement'!$B$5))</f>
        <v/>
      </c>
      <c r="J123" s="44">
        <f>2*I123</f>
        <v/>
      </c>
      <c r="K123" s="8">
        <f>MAX(1,INT('Truck Requirement'!$B$4/J123))</f>
        <v/>
      </c>
      <c r="L123" s="8">
        <f>SUM(M123:U123)</f>
        <v/>
      </c>
      <c r="M123" s="8" t="n">
        <v>4</v>
      </c>
      <c r="N123" s="8" t="n">
        <v>1</v>
      </c>
      <c r="O123" s="8" t="n">
        <v>1</v>
      </c>
      <c r="P123" s="8" t="n"/>
      <c r="Q123" s="8" t="n">
        <v>1</v>
      </c>
      <c r="R123" s="8" t="n">
        <v>2</v>
      </c>
      <c r="S123" s="8" t="n"/>
      <c r="T123" s="8" t="n"/>
      <c r="U123" s="8" t="n"/>
      <c r="V123" s="45">
        <f>IF(M123="","",M123/$K123)</f>
        <v/>
      </c>
      <c r="W123" s="45">
        <f>IF(N123="","",N123/$K123)</f>
        <v/>
      </c>
      <c r="X123" s="45">
        <f>IF(O123="","",O123/$K123)</f>
        <v/>
      </c>
      <c r="Y123" s="45">
        <f>IF(P123="","",P123/$K123)</f>
        <v/>
      </c>
      <c r="Z123" s="45">
        <f>IF(Q123="","",Q123/$K123)</f>
        <v/>
      </c>
      <c r="AA123" s="45">
        <f>IF(R123="","",R123/$K123)</f>
        <v/>
      </c>
      <c r="AB123" s="45">
        <f>IF(S123="","",S123/$K123)</f>
        <v/>
      </c>
      <c r="AC123" s="45">
        <f>IF(T123="","",T123/$K123)</f>
        <v/>
      </c>
      <c r="AD123" s="45">
        <f>IF(U123="","",U123/$K123)</f>
        <v/>
      </c>
    </row>
    <row r="124">
      <c r="A124" s="8" t="inlineStr">
        <is>
          <t>NBL</t>
        </is>
      </c>
      <c r="B124" s="8" t="inlineStr">
        <is>
          <t>Haulage</t>
        </is>
      </c>
      <c r="C124" s="8" t="inlineStr">
        <is>
          <t>Ibadan</t>
        </is>
      </c>
      <c r="D124" s="8" t="inlineStr">
        <is>
          <t>Auchi</t>
        </is>
      </c>
      <c r="E124" s="8" t="inlineStr">
        <is>
          <t>AUCHI&gt;LAGOS</t>
        </is>
      </c>
      <c r="F124" s="8" t="inlineStr">
        <is>
          <t>Lagos bay used</t>
        </is>
      </c>
      <c r="G124" s="44">
        <f>IFERROR(INDEX('Turnaround Table'!$C$5:$C$231,MATCH(E124,'Turnaround Table'!$D$5:$D$231,0)),"")</f>
        <v/>
      </c>
      <c r="H124" s="43" t="n"/>
      <c r="I124" s="44">
        <f>IF(H124&lt;&gt;"",H124,IF(G124&lt;&gt;"",G124,'Truck Requirement'!$B$5))</f>
        <v/>
      </c>
      <c r="J124" s="44">
        <f>2*I124</f>
        <v/>
      </c>
      <c r="K124" s="8">
        <f>MAX(1,INT('Truck Requirement'!$B$4/J124))</f>
        <v/>
      </c>
      <c r="L124" s="8">
        <f>SUM(M124:U124)</f>
        <v/>
      </c>
      <c r="M124" s="8" t="n">
        <v>4</v>
      </c>
      <c r="N124" s="8" t="n">
        <v>1</v>
      </c>
      <c r="O124" s="8" t="n">
        <v>2</v>
      </c>
      <c r="P124" s="8" t="n"/>
      <c r="Q124" s="8" t="n"/>
      <c r="R124" s="8" t="n">
        <v>1</v>
      </c>
      <c r="S124" s="8" t="n">
        <v>1</v>
      </c>
      <c r="T124" s="8" t="n"/>
      <c r="U124" s="8" t="n"/>
      <c r="V124" s="45">
        <f>IF(M124="","",M124/$K124)</f>
        <v/>
      </c>
      <c r="W124" s="45">
        <f>IF(N124="","",N124/$K124)</f>
        <v/>
      </c>
      <c r="X124" s="45">
        <f>IF(O124="","",O124/$K124)</f>
        <v/>
      </c>
      <c r="Y124" s="45">
        <f>IF(P124="","",P124/$K124)</f>
        <v/>
      </c>
      <c r="Z124" s="45">
        <f>IF(Q124="","",Q124/$K124)</f>
        <v/>
      </c>
      <c r="AA124" s="45">
        <f>IF(R124="","",R124/$K124)</f>
        <v/>
      </c>
      <c r="AB124" s="45">
        <f>IF(S124="","",S124/$K124)</f>
        <v/>
      </c>
      <c r="AC124" s="45">
        <f>IF(T124="","",T124/$K124)</f>
        <v/>
      </c>
      <c r="AD124" s="45">
        <f>IF(U124="","",U124/$K124)</f>
        <v/>
      </c>
    </row>
    <row r="125">
      <c r="A125" s="8" t="inlineStr">
        <is>
          <t>NBL</t>
        </is>
      </c>
      <c r="B125" s="8" t="inlineStr">
        <is>
          <t>Haulage</t>
        </is>
      </c>
      <c r="C125" s="8" t="inlineStr">
        <is>
          <t>Ibadan</t>
        </is>
      </c>
      <c r="D125" s="8" t="inlineStr">
        <is>
          <t>Ilorin</t>
        </is>
      </c>
      <c r="E125" s="8" t="inlineStr">
        <is>
          <t>ILORIN&gt;LAGOS</t>
        </is>
      </c>
      <c r="F125" s="8" t="inlineStr">
        <is>
          <t>Lagos bay used</t>
        </is>
      </c>
      <c r="G125" s="44">
        <f>IFERROR(INDEX('Turnaround Table'!$C$5:$C$231,MATCH(E125,'Turnaround Table'!$D$5:$D$231,0)),"")</f>
        <v/>
      </c>
      <c r="H125" s="43" t="n"/>
      <c r="I125" s="44">
        <f>IF(H125&lt;&gt;"",H125,IF(G125&lt;&gt;"",G125,'Truck Requirement'!$B$5))</f>
        <v/>
      </c>
      <c r="J125" s="44">
        <f>2*I125</f>
        <v/>
      </c>
      <c r="K125" s="8">
        <f>MAX(1,INT('Truck Requirement'!$B$4/J125))</f>
        <v/>
      </c>
      <c r="L125" s="8">
        <f>SUM(M125:U125)</f>
        <v/>
      </c>
      <c r="M125" s="8" t="n"/>
      <c r="N125" s="8" t="n">
        <v>1</v>
      </c>
      <c r="O125" s="8" t="n"/>
      <c r="P125" s="8" t="n"/>
      <c r="Q125" s="8" t="n">
        <v>1</v>
      </c>
      <c r="R125" s="8" t="n">
        <v>2</v>
      </c>
      <c r="S125" s="8" t="n">
        <v>2</v>
      </c>
      <c r="T125" s="8" t="n">
        <v>1</v>
      </c>
      <c r="U125" s="8" t="n"/>
      <c r="V125" s="45">
        <f>IF(M125="","",M125/$K125)</f>
        <v/>
      </c>
      <c r="W125" s="45">
        <f>IF(N125="","",N125/$K125)</f>
        <v/>
      </c>
      <c r="X125" s="45">
        <f>IF(O125="","",O125/$K125)</f>
        <v/>
      </c>
      <c r="Y125" s="45">
        <f>IF(P125="","",P125/$K125)</f>
        <v/>
      </c>
      <c r="Z125" s="45">
        <f>IF(Q125="","",Q125/$K125)</f>
        <v/>
      </c>
      <c r="AA125" s="45">
        <f>IF(R125="","",R125/$K125)</f>
        <v/>
      </c>
      <c r="AB125" s="45">
        <f>IF(S125="","",S125/$K125)</f>
        <v/>
      </c>
      <c r="AC125" s="45">
        <f>IF(T125="","",T125/$K125)</f>
        <v/>
      </c>
      <c r="AD125" s="45">
        <f>IF(U125="","",U125/$K125)</f>
        <v/>
      </c>
    </row>
    <row r="126">
      <c r="A126" s="8" t="inlineStr">
        <is>
          <t>NBL</t>
        </is>
      </c>
      <c r="B126" s="8" t="inlineStr">
        <is>
          <t>Haulage</t>
        </is>
      </c>
      <c r="C126" s="8" t="inlineStr">
        <is>
          <t>Ibadan</t>
        </is>
      </c>
      <c r="D126" s="8" t="inlineStr">
        <is>
          <t>Kaduna</t>
        </is>
      </c>
      <c r="E126" s="8" t="inlineStr">
        <is>
          <t>KADUNA&gt;IBADAN</t>
        </is>
      </c>
      <c r="F126" s="8" t="inlineStr">
        <is>
          <t>Exact</t>
        </is>
      </c>
      <c r="G126" s="44">
        <f>IFERROR(INDEX('Turnaround Table'!$C$5:$C$231,MATCH(E126,'Turnaround Table'!$D$5:$D$231,0)),"")</f>
        <v/>
      </c>
      <c r="H126" s="43" t="n"/>
      <c r="I126" s="44">
        <f>IF(H126&lt;&gt;"",H126,IF(G126&lt;&gt;"",G126,'Truck Requirement'!$B$5))</f>
        <v/>
      </c>
      <c r="J126" s="44">
        <f>2*I126</f>
        <v/>
      </c>
      <c r="K126" s="8">
        <f>MAX(1,INT('Truck Requirement'!$B$4/J126))</f>
        <v/>
      </c>
      <c r="L126" s="8">
        <f>SUM(M126:U126)</f>
        <v/>
      </c>
      <c r="M126" s="8" t="n"/>
      <c r="N126" s="8" t="n">
        <v>1</v>
      </c>
      <c r="O126" s="8" t="n">
        <v>4</v>
      </c>
      <c r="P126" s="8" t="n"/>
      <c r="Q126" s="8" t="n">
        <v>1</v>
      </c>
      <c r="R126" s="8" t="n"/>
      <c r="S126" s="8" t="n"/>
      <c r="T126" s="8" t="n">
        <v>1</v>
      </c>
      <c r="U126" s="8" t="n"/>
      <c r="V126" s="45">
        <f>IF(M126="","",M126/$K126)</f>
        <v/>
      </c>
      <c r="W126" s="45">
        <f>IF(N126="","",N126/$K126)</f>
        <v/>
      </c>
      <c r="X126" s="45">
        <f>IF(O126="","",O126/$K126)</f>
        <v/>
      </c>
      <c r="Y126" s="45">
        <f>IF(P126="","",P126/$K126)</f>
        <v/>
      </c>
      <c r="Z126" s="45">
        <f>IF(Q126="","",Q126/$K126)</f>
        <v/>
      </c>
      <c r="AA126" s="45">
        <f>IF(R126="","",R126/$K126)</f>
        <v/>
      </c>
      <c r="AB126" s="45">
        <f>IF(S126="","",S126/$K126)</f>
        <v/>
      </c>
      <c r="AC126" s="45">
        <f>IF(T126="","",T126/$K126)</f>
        <v/>
      </c>
      <c r="AD126" s="45">
        <f>IF(U126="","",U126/$K126)</f>
        <v/>
      </c>
    </row>
    <row r="127">
      <c r="A127" s="8" t="inlineStr">
        <is>
          <t>NBL</t>
        </is>
      </c>
      <c r="B127" s="8" t="inlineStr">
        <is>
          <t>Haulage</t>
        </is>
      </c>
      <c r="C127" s="8" t="inlineStr">
        <is>
          <t>Ibadan</t>
        </is>
      </c>
      <c r="D127" s="8" t="inlineStr">
        <is>
          <t>Gwagwalada</t>
        </is>
      </c>
      <c r="E127" s="8" t="inlineStr">
        <is>
          <t>ABUJA&gt;IBADAN</t>
        </is>
      </c>
      <c r="F127" s="8" t="inlineStr">
        <is>
          <t>Exact</t>
        </is>
      </c>
      <c r="G127" s="44">
        <f>IFERROR(INDEX('Turnaround Table'!$C$5:$C$231,MATCH(E127,'Turnaround Table'!$D$5:$D$231,0)),"")</f>
        <v/>
      </c>
      <c r="H127" s="43" t="n"/>
      <c r="I127" s="44">
        <f>IF(H127&lt;&gt;"",H127,IF(G127&lt;&gt;"",G127,'Truck Requirement'!$B$5))</f>
        <v/>
      </c>
      <c r="J127" s="44">
        <f>2*I127</f>
        <v/>
      </c>
      <c r="K127" s="8">
        <f>MAX(1,INT('Truck Requirement'!$B$4/J127))</f>
        <v/>
      </c>
      <c r="L127" s="8">
        <f>SUM(M127:U127)</f>
        <v/>
      </c>
      <c r="M127" s="8" t="n">
        <v>2</v>
      </c>
      <c r="N127" s="8" t="n"/>
      <c r="O127" s="8" t="n">
        <v>3</v>
      </c>
      <c r="P127" s="8" t="n"/>
      <c r="Q127" s="8" t="n">
        <v>1</v>
      </c>
      <c r="R127" s="8" t="n"/>
      <c r="S127" s="8" t="n"/>
      <c r="T127" s="8" t="n"/>
      <c r="U127" s="8" t="n"/>
      <c r="V127" s="45">
        <f>IF(M127="","",M127/$K127)</f>
        <v/>
      </c>
      <c r="W127" s="45">
        <f>IF(N127="","",N127/$K127)</f>
        <v/>
      </c>
      <c r="X127" s="45">
        <f>IF(O127="","",O127/$K127)</f>
        <v/>
      </c>
      <c r="Y127" s="45">
        <f>IF(P127="","",P127/$K127)</f>
        <v/>
      </c>
      <c r="Z127" s="45">
        <f>IF(Q127="","",Q127/$K127)</f>
        <v/>
      </c>
      <c r="AA127" s="45">
        <f>IF(R127="","",R127/$K127)</f>
        <v/>
      </c>
      <c r="AB127" s="45">
        <f>IF(S127="","",S127/$K127)</f>
        <v/>
      </c>
      <c r="AC127" s="45">
        <f>IF(T127="","",T127/$K127)</f>
        <v/>
      </c>
      <c r="AD127" s="45">
        <f>IF(U127="","",U127/$K127)</f>
        <v/>
      </c>
    </row>
    <row r="128">
      <c r="A128" s="8" t="inlineStr">
        <is>
          <t>NBL</t>
        </is>
      </c>
      <c r="B128" s="8" t="inlineStr">
        <is>
          <t>Haulage</t>
        </is>
      </c>
      <c r="C128" s="8" t="inlineStr">
        <is>
          <t>Ibadan</t>
        </is>
      </c>
      <c r="D128" s="8" t="inlineStr">
        <is>
          <t>Ijagbo-Offa</t>
        </is>
      </c>
      <c r="E128" s="8" t="inlineStr">
        <is>
          <t>OFFA&gt;LAGOS</t>
        </is>
      </c>
      <c r="F128" s="8" t="inlineStr">
        <is>
          <t>Lagos bay used</t>
        </is>
      </c>
      <c r="G128" s="44">
        <f>IFERROR(INDEX('Turnaround Table'!$C$5:$C$231,MATCH(E128,'Turnaround Table'!$D$5:$D$231,0)),"")</f>
        <v/>
      </c>
      <c r="H128" s="43" t="n"/>
      <c r="I128" s="44">
        <f>IF(H128&lt;&gt;"",H128,IF(G128&lt;&gt;"",G128,'Truck Requirement'!$B$5))</f>
        <v/>
      </c>
      <c r="J128" s="44">
        <f>2*I128</f>
        <v/>
      </c>
      <c r="K128" s="8">
        <f>MAX(1,INT('Truck Requirement'!$B$4/J128))</f>
        <v/>
      </c>
      <c r="L128" s="8">
        <f>SUM(M128:U128)</f>
        <v/>
      </c>
      <c r="M128" s="8" t="n">
        <v>2</v>
      </c>
      <c r="N128" s="8" t="n"/>
      <c r="O128" s="8" t="n"/>
      <c r="P128" s="8" t="n"/>
      <c r="Q128" s="8" t="n">
        <v>1</v>
      </c>
      <c r="R128" s="8" t="n"/>
      <c r="S128" s="8" t="n">
        <v>2</v>
      </c>
      <c r="T128" s="8" t="n"/>
      <c r="U128" s="8" t="n"/>
      <c r="V128" s="45">
        <f>IF(M128="","",M128/$K128)</f>
        <v/>
      </c>
      <c r="W128" s="45">
        <f>IF(N128="","",N128/$K128)</f>
        <v/>
      </c>
      <c r="X128" s="45">
        <f>IF(O128="","",O128/$K128)</f>
        <v/>
      </c>
      <c r="Y128" s="45">
        <f>IF(P128="","",P128/$K128)</f>
        <v/>
      </c>
      <c r="Z128" s="45">
        <f>IF(Q128="","",Q128/$K128)</f>
        <v/>
      </c>
      <c r="AA128" s="45">
        <f>IF(R128="","",R128/$K128)</f>
        <v/>
      </c>
      <c r="AB128" s="45">
        <f>IF(S128="","",S128/$K128)</f>
        <v/>
      </c>
      <c r="AC128" s="45">
        <f>IF(T128="","",T128/$K128)</f>
        <v/>
      </c>
      <c r="AD128" s="45">
        <f>IF(U128="","",U128/$K128)</f>
        <v/>
      </c>
    </row>
    <row r="129">
      <c r="A129" s="8" t="inlineStr">
        <is>
          <t>NBL</t>
        </is>
      </c>
      <c r="B129" s="8" t="inlineStr">
        <is>
          <t>Haulage</t>
        </is>
      </c>
      <c r="C129" s="8" t="inlineStr">
        <is>
          <t>Ibadan</t>
        </is>
      </c>
      <c r="D129" s="8" t="inlineStr">
        <is>
          <t>Ipaja</t>
        </is>
      </c>
      <c r="E129" s="8" t="inlineStr">
        <is>
          <t>IKM-SHAGARI-EGIGBO-IPAJA-AYOBO-OKOKOMAIKO-OSHODI-ISOLO&gt;LAGOS</t>
        </is>
      </c>
      <c r="F129" s="8" t="inlineStr">
        <is>
          <t>Lagos bay used</t>
        </is>
      </c>
      <c r="G129" s="44">
        <f>IFERROR(INDEX('Turnaround Table'!$C$5:$C$231,MATCH(E129,'Turnaround Table'!$D$5:$D$231,0)),"")</f>
        <v/>
      </c>
      <c r="H129" s="43" t="n"/>
      <c r="I129" s="44">
        <f>IF(H129&lt;&gt;"",H129,IF(G129&lt;&gt;"",G129,'Truck Requirement'!$B$5))</f>
        <v/>
      </c>
      <c r="J129" s="44">
        <f>2*I129</f>
        <v/>
      </c>
      <c r="K129" s="8">
        <f>MAX(1,INT('Truck Requirement'!$B$4/J129))</f>
        <v/>
      </c>
      <c r="L129" s="8">
        <f>SUM(M129:U129)</f>
        <v/>
      </c>
      <c r="M129" s="8" t="n">
        <v>2</v>
      </c>
      <c r="N129" s="8" t="n"/>
      <c r="O129" s="8" t="n">
        <v>1</v>
      </c>
      <c r="P129" s="8" t="n"/>
      <c r="Q129" s="8" t="n"/>
      <c r="R129" s="8" t="n"/>
      <c r="S129" s="8" t="n">
        <v>1</v>
      </c>
      <c r="T129" s="8" t="n">
        <v>1</v>
      </c>
      <c r="U129" s="8" t="n"/>
      <c r="V129" s="45">
        <f>IF(M129="","",M129/$K129)</f>
        <v/>
      </c>
      <c r="W129" s="45">
        <f>IF(N129="","",N129/$K129)</f>
        <v/>
      </c>
      <c r="X129" s="45">
        <f>IF(O129="","",O129/$K129)</f>
        <v/>
      </c>
      <c r="Y129" s="45">
        <f>IF(P129="","",P129/$K129)</f>
        <v/>
      </c>
      <c r="Z129" s="45">
        <f>IF(Q129="","",Q129/$K129)</f>
        <v/>
      </c>
      <c r="AA129" s="45">
        <f>IF(R129="","",R129/$K129)</f>
        <v/>
      </c>
      <c r="AB129" s="45">
        <f>IF(S129="","",S129/$K129)</f>
        <v/>
      </c>
      <c r="AC129" s="45">
        <f>IF(T129="","",T129/$K129)</f>
        <v/>
      </c>
      <c r="AD129" s="45">
        <f>IF(U129="","",U129/$K129)</f>
        <v/>
      </c>
    </row>
    <row r="130">
      <c r="A130" s="8" t="inlineStr">
        <is>
          <t>NBL</t>
        </is>
      </c>
      <c r="B130" s="8" t="inlineStr">
        <is>
          <t>Haulage</t>
        </is>
      </c>
      <c r="C130" s="8" t="inlineStr">
        <is>
          <t>Ibadan</t>
        </is>
      </c>
      <c r="D130" s="8" t="inlineStr">
        <is>
          <t>Lagos</t>
        </is>
      </c>
      <c r="E130" s="8" t="inlineStr">
        <is>
          <t>IKEJA&gt;LAGOS</t>
        </is>
      </c>
      <c r="F130" s="8" t="inlineStr">
        <is>
          <t>Lagos bay used</t>
        </is>
      </c>
      <c r="G130" s="44">
        <f>IFERROR(INDEX('Turnaround Table'!$C$5:$C$231,MATCH(E130,'Turnaround Table'!$D$5:$D$231,0)),"")</f>
        <v/>
      </c>
      <c r="H130" s="43" t="n"/>
      <c r="I130" s="44">
        <f>IF(H130&lt;&gt;"",H130,IF(G130&lt;&gt;"",G130,'Truck Requirement'!$B$5))</f>
        <v/>
      </c>
      <c r="J130" s="44">
        <f>2*I130</f>
        <v/>
      </c>
      <c r="K130" s="8">
        <f>MAX(1,INT('Truck Requirement'!$B$4/J130))</f>
        <v/>
      </c>
      <c r="L130" s="8">
        <f>SUM(M130:U130)</f>
        <v/>
      </c>
      <c r="M130" s="8" t="n"/>
      <c r="N130" s="8" t="n">
        <v>2</v>
      </c>
      <c r="O130" s="8" t="n">
        <v>1</v>
      </c>
      <c r="P130" s="8" t="n"/>
      <c r="Q130" s="8" t="n"/>
      <c r="R130" s="8" t="n"/>
      <c r="S130" s="8" t="n"/>
      <c r="T130" s="8" t="n">
        <v>2</v>
      </c>
      <c r="U130" s="8" t="n"/>
      <c r="V130" s="45">
        <f>IF(M130="","",M130/$K130)</f>
        <v/>
      </c>
      <c r="W130" s="45">
        <f>IF(N130="","",N130/$K130)</f>
        <v/>
      </c>
      <c r="X130" s="45">
        <f>IF(O130="","",O130/$K130)</f>
        <v/>
      </c>
      <c r="Y130" s="45">
        <f>IF(P130="","",P130/$K130)</f>
        <v/>
      </c>
      <c r="Z130" s="45">
        <f>IF(Q130="","",Q130/$K130)</f>
        <v/>
      </c>
      <c r="AA130" s="45">
        <f>IF(R130="","",R130/$K130)</f>
        <v/>
      </c>
      <c r="AB130" s="45">
        <f>IF(S130="","",S130/$K130)</f>
        <v/>
      </c>
      <c r="AC130" s="45">
        <f>IF(T130="","",T130/$K130)</f>
        <v/>
      </c>
      <c r="AD130" s="45">
        <f>IF(U130="","",U130/$K130)</f>
        <v/>
      </c>
    </row>
    <row r="131">
      <c r="A131" s="8" t="inlineStr">
        <is>
          <t>NBL</t>
        </is>
      </c>
      <c r="B131" s="8" t="inlineStr">
        <is>
          <t>Haulage</t>
        </is>
      </c>
      <c r="C131" s="8" t="inlineStr">
        <is>
          <t>Ibadan</t>
        </is>
      </c>
      <c r="D131" s="8" t="inlineStr">
        <is>
          <t>Ondo</t>
        </is>
      </c>
      <c r="E131" s="8" t="inlineStr">
        <is>
          <t>ONDO&gt;LAGOS</t>
        </is>
      </c>
      <c r="F131" s="8" t="inlineStr">
        <is>
          <t>Lagos bay used</t>
        </is>
      </c>
      <c r="G131" s="44">
        <f>IFERROR(INDEX('Turnaround Table'!$C$5:$C$231,MATCH(E131,'Turnaround Table'!$D$5:$D$231,0)),"")</f>
        <v/>
      </c>
      <c r="H131" s="43" t="n"/>
      <c r="I131" s="44">
        <f>IF(H131&lt;&gt;"",H131,IF(G131&lt;&gt;"",G131,'Truck Requirement'!$B$5))</f>
        <v/>
      </c>
      <c r="J131" s="44">
        <f>2*I131</f>
        <v/>
      </c>
      <c r="K131" s="8">
        <f>MAX(1,INT('Truck Requirement'!$B$4/J131))</f>
        <v/>
      </c>
      <c r="L131" s="8">
        <f>SUM(M131:U131)</f>
        <v/>
      </c>
      <c r="M131" s="8" t="n"/>
      <c r="N131" s="8" t="n"/>
      <c r="O131" s="8" t="n"/>
      <c r="P131" s="8" t="n">
        <v>1</v>
      </c>
      <c r="Q131" s="8" t="n"/>
      <c r="R131" s="8" t="n"/>
      <c r="S131" s="8" t="n">
        <v>2</v>
      </c>
      <c r="T131" s="8" t="n">
        <v>2</v>
      </c>
      <c r="U131" s="8" t="n"/>
      <c r="V131" s="45">
        <f>IF(M131="","",M131/$K131)</f>
        <v/>
      </c>
      <c r="W131" s="45">
        <f>IF(N131="","",N131/$K131)</f>
        <v/>
      </c>
      <c r="X131" s="45">
        <f>IF(O131="","",O131/$K131)</f>
        <v/>
      </c>
      <c r="Y131" s="45">
        <f>IF(P131="","",P131/$K131)</f>
        <v/>
      </c>
      <c r="Z131" s="45">
        <f>IF(Q131="","",Q131/$K131)</f>
        <v/>
      </c>
      <c r="AA131" s="45">
        <f>IF(R131="","",R131/$K131)</f>
        <v/>
      </c>
      <c r="AB131" s="45">
        <f>IF(S131="","",S131/$K131)</f>
        <v/>
      </c>
      <c r="AC131" s="45">
        <f>IF(T131="","",T131/$K131)</f>
        <v/>
      </c>
      <c r="AD131" s="45">
        <f>IF(U131="","",U131/$K131)</f>
        <v/>
      </c>
    </row>
    <row r="132">
      <c r="A132" s="8" t="inlineStr">
        <is>
          <t>NBL</t>
        </is>
      </c>
      <c r="B132" s="8" t="inlineStr">
        <is>
          <t>Haulage</t>
        </is>
      </c>
      <c r="C132" s="8" t="inlineStr">
        <is>
          <t>Ibadan</t>
        </is>
      </c>
      <c r="D132" s="8" t="inlineStr">
        <is>
          <t>Anyigba</t>
        </is>
      </c>
      <c r="E132" s="8" t="inlineStr">
        <is>
          <t>AYANGBA&gt;IBADAN</t>
        </is>
      </c>
      <c r="F132" s="8" t="inlineStr">
        <is>
          <t>Exact</t>
        </is>
      </c>
      <c r="G132" s="44">
        <f>IFERROR(INDEX('Turnaround Table'!$C$5:$C$231,MATCH(E132,'Turnaround Table'!$D$5:$D$231,0)),"")</f>
        <v/>
      </c>
      <c r="H132" s="43" t="n"/>
      <c r="I132" s="44">
        <f>IF(H132&lt;&gt;"",H132,IF(G132&lt;&gt;"",G132,'Truck Requirement'!$B$5))</f>
        <v/>
      </c>
      <c r="J132" s="44">
        <f>2*I132</f>
        <v/>
      </c>
      <c r="K132" s="8">
        <f>MAX(1,INT('Truck Requirement'!$B$4/J132))</f>
        <v/>
      </c>
      <c r="L132" s="8">
        <f>SUM(M132:U132)</f>
        <v/>
      </c>
      <c r="M132" s="8" t="n">
        <v>2</v>
      </c>
      <c r="N132" s="8" t="n"/>
      <c r="O132" s="8" t="n">
        <v>1</v>
      </c>
      <c r="P132" s="8" t="n">
        <v>1</v>
      </c>
      <c r="Q132" s="8" t="n"/>
      <c r="R132" s="8" t="n"/>
      <c r="S132" s="8" t="n"/>
      <c r="T132" s="8" t="n"/>
      <c r="U132" s="8" t="n"/>
      <c r="V132" s="45">
        <f>IF(M132="","",M132/$K132)</f>
        <v/>
      </c>
      <c r="W132" s="45">
        <f>IF(N132="","",N132/$K132)</f>
        <v/>
      </c>
      <c r="X132" s="45">
        <f>IF(O132="","",O132/$K132)</f>
        <v/>
      </c>
      <c r="Y132" s="45">
        <f>IF(P132="","",P132/$K132)</f>
        <v/>
      </c>
      <c r="Z132" s="45">
        <f>IF(Q132="","",Q132/$K132)</f>
        <v/>
      </c>
      <c r="AA132" s="45">
        <f>IF(R132="","",R132/$K132)</f>
        <v/>
      </c>
      <c r="AB132" s="45">
        <f>IF(S132="","",S132/$K132)</f>
        <v/>
      </c>
      <c r="AC132" s="45">
        <f>IF(T132="","",T132/$K132)</f>
        <v/>
      </c>
      <c r="AD132" s="45">
        <f>IF(U132="","",U132/$K132)</f>
        <v/>
      </c>
    </row>
    <row r="133">
      <c r="A133" s="8" t="inlineStr">
        <is>
          <t>NBL</t>
        </is>
      </c>
      <c r="B133" s="8" t="inlineStr">
        <is>
          <t>Haulage</t>
        </is>
      </c>
      <c r="C133" s="8" t="inlineStr">
        <is>
          <t>Ibadan</t>
        </is>
      </c>
      <c r="D133" s="8" t="inlineStr">
        <is>
          <t>Ijebu Ode</t>
        </is>
      </c>
      <c r="E133" s="8" t="inlineStr">
        <is>
          <t>IJEBU-ODE&gt;LAGOS</t>
        </is>
      </c>
      <c r="F133" s="8" t="inlineStr">
        <is>
          <t>Lagos bay used</t>
        </is>
      </c>
      <c r="G133" s="44">
        <f>IFERROR(INDEX('Turnaround Table'!$C$5:$C$231,MATCH(E133,'Turnaround Table'!$D$5:$D$231,0)),"")</f>
        <v/>
      </c>
      <c r="H133" s="43" t="n"/>
      <c r="I133" s="44">
        <f>IF(H133&lt;&gt;"",H133,IF(G133&lt;&gt;"",G133,'Truck Requirement'!$B$5))</f>
        <v/>
      </c>
      <c r="J133" s="44">
        <f>2*I133</f>
        <v/>
      </c>
      <c r="K133" s="8">
        <f>MAX(1,INT('Truck Requirement'!$B$4/J133))</f>
        <v/>
      </c>
      <c r="L133" s="8">
        <f>SUM(M133:U133)</f>
        <v/>
      </c>
      <c r="M133" s="8" t="n"/>
      <c r="N133" s="8" t="n"/>
      <c r="O133" s="8" t="n">
        <v>4</v>
      </c>
      <c r="P133" s="8" t="n"/>
      <c r="Q133" s="8" t="n"/>
      <c r="R133" s="8" t="n"/>
      <c r="S133" s="8" t="n"/>
      <c r="T133" s="8" t="n"/>
      <c r="U133" s="8" t="n"/>
      <c r="V133" s="45">
        <f>IF(M133="","",M133/$K133)</f>
        <v/>
      </c>
      <c r="W133" s="45">
        <f>IF(N133="","",N133/$K133)</f>
        <v/>
      </c>
      <c r="X133" s="45">
        <f>IF(O133="","",O133/$K133)</f>
        <v/>
      </c>
      <c r="Y133" s="45">
        <f>IF(P133="","",P133/$K133)</f>
        <v/>
      </c>
      <c r="Z133" s="45">
        <f>IF(Q133="","",Q133/$K133)</f>
        <v/>
      </c>
      <c r="AA133" s="45">
        <f>IF(R133="","",R133/$K133)</f>
        <v/>
      </c>
      <c r="AB133" s="45">
        <f>IF(S133="","",S133/$K133)</f>
        <v/>
      </c>
      <c r="AC133" s="45">
        <f>IF(T133="","",T133/$K133)</f>
        <v/>
      </c>
      <c r="AD133" s="45">
        <f>IF(U133="","",U133/$K133)</f>
        <v/>
      </c>
    </row>
    <row r="134">
      <c r="A134" s="8" t="inlineStr">
        <is>
          <t>NBL</t>
        </is>
      </c>
      <c r="B134" s="8" t="inlineStr">
        <is>
          <t>Haulage</t>
        </is>
      </c>
      <c r="C134" s="8" t="inlineStr">
        <is>
          <t>Ibadan</t>
        </is>
      </c>
      <c r="D134" s="8" t="inlineStr">
        <is>
          <t>Jos</t>
        </is>
      </c>
      <c r="E134" s="8" t="inlineStr">
        <is>
          <t>JOS&gt;IBADAN</t>
        </is>
      </c>
      <c r="F134" s="8" t="inlineStr">
        <is>
          <t>Exact</t>
        </is>
      </c>
      <c r="G134" s="44">
        <f>IFERROR(INDEX('Turnaround Table'!$C$5:$C$231,MATCH(E134,'Turnaround Table'!$D$5:$D$231,0)),"")</f>
        <v/>
      </c>
      <c r="H134" s="43" t="n"/>
      <c r="I134" s="44">
        <f>IF(H134&lt;&gt;"",H134,IF(G134&lt;&gt;"",G134,'Truck Requirement'!$B$5))</f>
        <v/>
      </c>
      <c r="J134" s="44">
        <f>2*I134</f>
        <v/>
      </c>
      <c r="K134" s="8">
        <f>MAX(1,INT('Truck Requirement'!$B$4/J134))</f>
        <v/>
      </c>
      <c r="L134" s="8">
        <f>SUM(M134:U134)</f>
        <v/>
      </c>
      <c r="M134" s="8" t="n">
        <v>2</v>
      </c>
      <c r="N134" s="8" t="n">
        <v>2</v>
      </c>
      <c r="O134" s="8" t="n"/>
      <c r="P134" s="8" t="n"/>
      <c r="Q134" s="8" t="n"/>
      <c r="R134" s="8" t="n"/>
      <c r="S134" s="8" t="n"/>
      <c r="T134" s="8" t="n"/>
      <c r="U134" s="8" t="n"/>
      <c r="V134" s="45">
        <f>IF(M134="","",M134/$K134)</f>
        <v/>
      </c>
      <c r="W134" s="45">
        <f>IF(N134="","",N134/$K134)</f>
        <v/>
      </c>
      <c r="X134" s="45">
        <f>IF(O134="","",O134/$K134)</f>
        <v/>
      </c>
      <c r="Y134" s="45">
        <f>IF(P134="","",P134/$K134)</f>
        <v/>
      </c>
      <c r="Z134" s="45">
        <f>IF(Q134="","",Q134/$K134)</f>
        <v/>
      </c>
      <c r="AA134" s="45">
        <f>IF(R134="","",R134/$K134)</f>
        <v/>
      </c>
      <c r="AB134" s="45">
        <f>IF(S134="","",S134/$K134)</f>
        <v/>
      </c>
      <c r="AC134" s="45">
        <f>IF(T134="","",T134/$K134)</f>
        <v/>
      </c>
      <c r="AD134" s="45">
        <f>IF(U134="","",U134/$K134)</f>
        <v/>
      </c>
    </row>
    <row r="135">
      <c r="A135" s="8" t="inlineStr">
        <is>
          <t>NBL</t>
        </is>
      </c>
      <c r="B135" s="8" t="inlineStr">
        <is>
          <t>Haulage</t>
        </is>
      </c>
      <c r="C135" s="8" t="inlineStr">
        <is>
          <t>Ibadan</t>
        </is>
      </c>
      <c r="D135" s="8" t="inlineStr">
        <is>
          <t>Ogba</t>
        </is>
      </c>
      <c r="E135" s="8" t="inlineStr">
        <is>
          <t>OGBA&gt;LAGOS</t>
        </is>
      </c>
      <c r="F135" s="8" t="inlineStr">
        <is>
          <t>Lagos bay used</t>
        </is>
      </c>
      <c r="G135" s="44">
        <f>IFERROR(INDEX('Turnaround Table'!$C$5:$C$231,MATCH(E135,'Turnaround Table'!$D$5:$D$231,0)),"")</f>
        <v/>
      </c>
      <c r="H135" s="43" t="n"/>
      <c r="I135" s="44">
        <f>IF(H135&lt;&gt;"",H135,IF(G135&lt;&gt;"",G135,'Truck Requirement'!$B$5))</f>
        <v/>
      </c>
      <c r="J135" s="44">
        <f>2*I135</f>
        <v/>
      </c>
      <c r="K135" s="8">
        <f>MAX(1,INT('Truck Requirement'!$B$4/J135))</f>
        <v/>
      </c>
      <c r="L135" s="8">
        <f>SUM(M135:U135)</f>
        <v/>
      </c>
      <c r="M135" s="8" t="n">
        <v>2</v>
      </c>
      <c r="N135" s="8" t="n">
        <v>1</v>
      </c>
      <c r="O135" s="8" t="n"/>
      <c r="P135" s="8" t="n">
        <v>1</v>
      </c>
      <c r="Q135" s="8" t="n"/>
      <c r="R135" s="8" t="n"/>
      <c r="S135" s="8" t="n"/>
      <c r="T135" s="8" t="n"/>
      <c r="U135" s="8" t="n"/>
      <c r="V135" s="45">
        <f>IF(M135="","",M135/$K135)</f>
        <v/>
      </c>
      <c r="W135" s="45">
        <f>IF(N135="","",N135/$K135)</f>
        <v/>
      </c>
      <c r="X135" s="45">
        <f>IF(O135="","",O135/$K135)</f>
        <v/>
      </c>
      <c r="Y135" s="45">
        <f>IF(P135="","",P135/$K135)</f>
        <v/>
      </c>
      <c r="Z135" s="45">
        <f>IF(Q135="","",Q135/$K135)</f>
        <v/>
      </c>
      <c r="AA135" s="45">
        <f>IF(R135="","",R135/$K135)</f>
        <v/>
      </c>
      <c r="AB135" s="45">
        <f>IF(S135="","",S135/$K135)</f>
        <v/>
      </c>
      <c r="AC135" s="45">
        <f>IF(T135="","",T135/$K135)</f>
        <v/>
      </c>
      <c r="AD135" s="45">
        <f>IF(U135="","",U135/$K135)</f>
        <v/>
      </c>
    </row>
    <row r="136">
      <c r="A136" s="8" t="inlineStr">
        <is>
          <t>NBL</t>
        </is>
      </c>
      <c r="B136" s="8" t="inlineStr">
        <is>
          <t>Haulage</t>
        </is>
      </c>
      <c r="C136" s="8" t="inlineStr">
        <is>
          <t>Ibadan</t>
        </is>
      </c>
      <c r="D136" s="8" t="inlineStr">
        <is>
          <t>Otukpa</t>
        </is>
      </c>
      <c r="E136" s="8" t="inlineStr">
        <is>
          <t>MAKURDI&gt;IBADAN</t>
        </is>
      </c>
      <c r="F136" s="8" t="inlineStr">
        <is>
          <t>Exact</t>
        </is>
      </c>
      <c r="G136" s="44">
        <f>IFERROR(INDEX('Turnaround Table'!$C$5:$C$231,MATCH(E136,'Turnaround Table'!$D$5:$D$231,0)),"")</f>
        <v/>
      </c>
      <c r="H136" s="43" t="n"/>
      <c r="I136" s="44">
        <f>IF(H136&lt;&gt;"",H136,IF(G136&lt;&gt;"",G136,'Truck Requirement'!$B$5))</f>
        <v/>
      </c>
      <c r="J136" s="44">
        <f>2*I136</f>
        <v/>
      </c>
      <c r="K136" s="8">
        <f>MAX(1,INT('Truck Requirement'!$B$4/J136))</f>
        <v/>
      </c>
      <c r="L136" s="8">
        <f>SUM(M136:U136)</f>
        <v/>
      </c>
      <c r="M136" s="8" t="n"/>
      <c r="N136" s="8" t="n"/>
      <c r="O136" s="8" t="n"/>
      <c r="P136" s="8" t="n"/>
      <c r="Q136" s="8" t="n">
        <v>3</v>
      </c>
      <c r="R136" s="8" t="n">
        <v>1</v>
      </c>
      <c r="S136" s="8" t="n"/>
      <c r="T136" s="8" t="n"/>
      <c r="U136" s="8" t="n"/>
      <c r="V136" s="45">
        <f>IF(M136="","",M136/$K136)</f>
        <v/>
      </c>
      <c r="W136" s="45">
        <f>IF(N136="","",N136/$K136)</f>
        <v/>
      </c>
      <c r="X136" s="45">
        <f>IF(O136="","",O136/$K136)</f>
        <v/>
      </c>
      <c r="Y136" s="45">
        <f>IF(P136="","",P136/$K136)</f>
        <v/>
      </c>
      <c r="Z136" s="45">
        <f>IF(Q136="","",Q136/$K136)</f>
        <v/>
      </c>
      <c r="AA136" s="45">
        <f>IF(R136="","",R136/$K136)</f>
        <v/>
      </c>
      <c r="AB136" s="45">
        <f>IF(S136="","",S136/$K136)</f>
        <v/>
      </c>
      <c r="AC136" s="45">
        <f>IF(T136="","",T136/$K136)</f>
        <v/>
      </c>
      <c r="AD136" s="45">
        <f>IF(U136="","",U136/$K136)</f>
        <v/>
      </c>
    </row>
    <row r="137">
      <c r="A137" s="8" t="inlineStr">
        <is>
          <t>NBL</t>
        </is>
      </c>
      <c r="B137" s="8" t="inlineStr">
        <is>
          <t>Haulage</t>
        </is>
      </c>
      <c r="C137" s="8" t="inlineStr">
        <is>
          <t>Ama</t>
        </is>
      </c>
      <c r="D137" s="8" t="inlineStr">
        <is>
          <t>Ota</t>
        </is>
      </c>
      <c r="E137" s="8" t="inlineStr">
        <is>
          <t>ENUGU&gt;LAGOS</t>
        </is>
      </c>
      <c r="F137" s="8" t="inlineStr">
        <is>
          <t>Reverse</t>
        </is>
      </c>
      <c r="G137" s="44">
        <f>IFERROR(INDEX('Turnaround Table'!$C$5:$C$231,MATCH(E137,'Turnaround Table'!$D$5:$D$231,0)),"")</f>
        <v/>
      </c>
      <c r="H137" s="43" t="n"/>
      <c r="I137" s="44">
        <f>IF(H137&lt;&gt;"",H137,IF(G137&lt;&gt;"",G137,'Truck Requirement'!$B$5))</f>
        <v/>
      </c>
      <c r="J137" s="44">
        <f>2*I137</f>
        <v/>
      </c>
      <c r="K137" s="8">
        <f>MAX(1,INT('Truck Requirement'!$B$4/J137))</f>
        <v/>
      </c>
      <c r="L137" s="8">
        <f>SUM(M137:U137)</f>
        <v/>
      </c>
      <c r="M137" s="8" t="n"/>
      <c r="N137" s="8" t="n"/>
      <c r="O137" s="8" t="n"/>
      <c r="P137" s="8" t="n"/>
      <c r="Q137" s="8" t="n">
        <v>3</v>
      </c>
      <c r="R137" s="8" t="n"/>
      <c r="S137" s="8" t="n"/>
      <c r="T137" s="8" t="n"/>
      <c r="U137" s="8" t="n"/>
      <c r="V137" s="45">
        <f>IF(M137="","",M137/$K137)</f>
        <v/>
      </c>
      <c r="W137" s="45">
        <f>IF(N137="","",N137/$K137)</f>
        <v/>
      </c>
      <c r="X137" s="45">
        <f>IF(O137="","",O137/$K137)</f>
        <v/>
      </c>
      <c r="Y137" s="45">
        <f>IF(P137="","",P137/$K137)</f>
        <v/>
      </c>
      <c r="Z137" s="45">
        <f>IF(Q137="","",Q137/$K137)</f>
        <v/>
      </c>
      <c r="AA137" s="45">
        <f>IF(R137="","",R137/$K137)</f>
        <v/>
      </c>
      <c r="AB137" s="45">
        <f>IF(S137="","",S137/$K137)</f>
        <v/>
      </c>
      <c r="AC137" s="45">
        <f>IF(T137="","",T137/$K137)</f>
        <v/>
      </c>
      <c r="AD137" s="45">
        <f>IF(U137="","",U137/$K137)</f>
        <v/>
      </c>
    </row>
    <row r="138">
      <c r="A138" s="8" t="inlineStr">
        <is>
          <t>NBL</t>
        </is>
      </c>
      <c r="B138" s="8" t="inlineStr">
        <is>
          <t>Haulage</t>
        </is>
      </c>
      <c r="C138" s="8" t="inlineStr">
        <is>
          <t>Ibadan</t>
        </is>
      </c>
      <c r="D138" s="8" t="inlineStr">
        <is>
          <t>Calabar</t>
        </is>
      </c>
      <c r="E138" s="8" t="inlineStr">
        <is>
          <t>CALABAR&gt;LAGOS</t>
        </is>
      </c>
      <c r="F138" s="8" t="inlineStr">
        <is>
          <t>Lagos bay used</t>
        </is>
      </c>
      <c r="G138" s="44">
        <f>IFERROR(INDEX('Turnaround Table'!$C$5:$C$231,MATCH(E138,'Turnaround Table'!$D$5:$D$231,0)),"")</f>
        <v/>
      </c>
      <c r="H138" s="43" t="n"/>
      <c r="I138" s="44">
        <f>IF(H138&lt;&gt;"",H138,IF(G138&lt;&gt;"",G138,'Truck Requirement'!$B$5))</f>
        <v/>
      </c>
      <c r="J138" s="44">
        <f>2*I138</f>
        <v/>
      </c>
      <c r="K138" s="8">
        <f>MAX(1,INT('Truck Requirement'!$B$4/J138))</f>
        <v/>
      </c>
      <c r="L138" s="8">
        <f>SUM(M138:U138)</f>
        <v/>
      </c>
      <c r="M138" s="8" t="n">
        <v>1</v>
      </c>
      <c r="N138" s="8" t="n"/>
      <c r="O138" s="8" t="n"/>
      <c r="P138" s="8" t="n"/>
      <c r="Q138" s="8" t="n"/>
      <c r="R138" s="8" t="n">
        <v>2</v>
      </c>
      <c r="S138" s="8" t="n"/>
      <c r="T138" s="8" t="n"/>
      <c r="U138" s="8" t="n"/>
      <c r="V138" s="45">
        <f>IF(M138="","",M138/$K138)</f>
        <v/>
      </c>
      <c r="W138" s="45">
        <f>IF(N138="","",N138/$K138)</f>
        <v/>
      </c>
      <c r="X138" s="45">
        <f>IF(O138="","",O138/$K138)</f>
        <v/>
      </c>
      <c r="Y138" s="45">
        <f>IF(P138="","",P138/$K138)</f>
        <v/>
      </c>
      <c r="Z138" s="45">
        <f>IF(Q138="","",Q138/$K138)</f>
        <v/>
      </c>
      <c r="AA138" s="45">
        <f>IF(R138="","",R138/$K138)</f>
        <v/>
      </c>
      <c r="AB138" s="45">
        <f>IF(S138="","",S138/$K138)</f>
        <v/>
      </c>
      <c r="AC138" s="45">
        <f>IF(T138="","",T138/$K138)</f>
        <v/>
      </c>
      <c r="AD138" s="45">
        <f>IF(U138="","",U138/$K138)</f>
        <v/>
      </c>
    </row>
    <row r="139">
      <c r="A139" s="8" t="inlineStr">
        <is>
          <t>NBL</t>
        </is>
      </c>
      <c r="B139" s="8" t="inlineStr">
        <is>
          <t>Haulage</t>
        </is>
      </c>
      <c r="C139" s="8" t="inlineStr">
        <is>
          <t>Ibadan</t>
        </is>
      </c>
      <c r="D139" s="8" t="inlineStr">
        <is>
          <t>Idiroko</t>
        </is>
      </c>
      <c r="E139" s="8" t="inlineStr">
        <is>
          <t>OGUN&gt;LAGOS</t>
        </is>
      </c>
      <c r="F139" s="8" t="inlineStr">
        <is>
          <t>Lagos bay used</t>
        </is>
      </c>
      <c r="G139" s="44">
        <f>IFERROR(INDEX('Turnaround Table'!$C$5:$C$231,MATCH(E139,'Turnaround Table'!$D$5:$D$231,0)),"")</f>
        <v/>
      </c>
      <c r="H139" s="43" t="n"/>
      <c r="I139" s="44">
        <f>IF(H139&lt;&gt;"",H139,IF(G139&lt;&gt;"",G139,'Truck Requirement'!$B$5))</f>
        <v/>
      </c>
      <c r="J139" s="44">
        <f>2*I139</f>
        <v/>
      </c>
      <c r="K139" s="8">
        <f>MAX(1,INT('Truck Requirement'!$B$4/J139))</f>
        <v/>
      </c>
      <c r="L139" s="8">
        <f>SUM(M139:U139)</f>
        <v/>
      </c>
      <c r="M139" s="8" t="n">
        <v>2</v>
      </c>
      <c r="N139" s="8" t="n"/>
      <c r="O139" s="8" t="n"/>
      <c r="P139" s="8" t="n"/>
      <c r="Q139" s="8" t="n"/>
      <c r="R139" s="8" t="n"/>
      <c r="S139" s="8" t="n"/>
      <c r="T139" s="8" t="n">
        <v>1</v>
      </c>
      <c r="U139" s="8" t="n"/>
      <c r="V139" s="45">
        <f>IF(M139="","",M139/$K139)</f>
        <v/>
      </c>
      <c r="W139" s="45">
        <f>IF(N139="","",N139/$K139)</f>
        <v/>
      </c>
      <c r="X139" s="45">
        <f>IF(O139="","",O139/$K139)</f>
        <v/>
      </c>
      <c r="Y139" s="45">
        <f>IF(P139="","",P139/$K139)</f>
        <v/>
      </c>
      <c r="Z139" s="45">
        <f>IF(Q139="","",Q139/$K139)</f>
        <v/>
      </c>
      <c r="AA139" s="45">
        <f>IF(R139="","",R139/$K139)</f>
        <v/>
      </c>
      <c r="AB139" s="45">
        <f>IF(S139="","",S139/$K139)</f>
        <v/>
      </c>
      <c r="AC139" s="45">
        <f>IF(T139="","",T139/$K139)</f>
        <v/>
      </c>
      <c r="AD139" s="45">
        <f>IF(U139="","",U139/$K139)</f>
        <v/>
      </c>
    </row>
    <row r="140">
      <c r="A140" s="8" t="inlineStr">
        <is>
          <t>NBL</t>
        </is>
      </c>
      <c r="B140" s="8" t="inlineStr">
        <is>
          <t>Haulage</t>
        </is>
      </c>
      <c r="C140" s="8" t="inlineStr">
        <is>
          <t>Ibadan</t>
        </is>
      </c>
      <c r="D140" s="8" t="inlineStr">
        <is>
          <t>Makurdi</t>
        </is>
      </c>
      <c r="E140" s="8" t="inlineStr">
        <is>
          <t>MAKURDI&gt;IBADAN</t>
        </is>
      </c>
      <c r="F140" s="8" t="inlineStr">
        <is>
          <t>Exact</t>
        </is>
      </c>
      <c r="G140" s="44">
        <f>IFERROR(INDEX('Turnaround Table'!$C$5:$C$231,MATCH(E140,'Turnaround Table'!$D$5:$D$231,0)),"")</f>
        <v/>
      </c>
      <c r="H140" s="43" t="n"/>
      <c r="I140" s="44">
        <f>IF(H140&lt;&gt;"",H140,IF(G140&lt;&gt;"",G140,'Truck Requirement'!$B$5))</f>
        <v/>
      </c>
      <c r="J140" s="44">
        <f>2*I140</f>
        <v/>
      </c>
      <c r="K140" s="8">
        <f>MAX(1,INT('Truck Requirement'!$B$4/J140))</f>
        <v/>
      </c>
      <c r="L140" s="8">
        <f>SUM(M140:U140)</f>
        <v/>
      </c>
      <c r="M140" s="8" t="n"/>
      <c r="N140" s="8" t="n"/>
      <c r="O140" s="8" t="n">
        <v>1</v>
      </c>
      <c r="P140" s="8" t="n"/>
      <c r="Q140" s="8" t="n">
        <v>1</v>
      </c>
      <c r="R140" s="8" t="n"/>
      <c r="S140" s="8" t="n">
        <v>1</v>
      </c>
      <c r="T140" s="8" t="n"/>
      <c r="U140" s="8" t="n"/>
      <c r="V140" s="45">
        <f>IF(M140="","",M140/$K140)</f>
        <v/>
      </c>
      <c r="W140" s="45">
        <f>IF(N140="","",N140/$K140)</f>
        <v/>
      </c>
      <c r="X140" s="45">
        <f>IF(O140="","",O140/$K140)</f>
        <v/>
      </c>
      <c r="Y140" s="45">
        <f>IF(P140="","",P140/$K140)</f>
        <v/>
      </c>
      <c r="Z140" s="45">
        <f>IF(Q140="","",Q140/$K140)</f>
        <v/>
      </c>
      <c r="AA140" s="45">
        <f>IF(R140="","",R140/$K140)</f>
        <v/>
      </c>
      <c r="AB140" s="45">
        <f>IF(S140="","",S140/$K140)</f>
        <v/>
      </c>
      <c r="AC140" s="45">
        <f>IF(T140="","",T140/$K140)</f>
        <v/>
      </c>
      <c r="AD140" s="45">
        <f>IF(U140="","",U140/$K140)</f>
        <v/>
      </c>
    </row>
    <row r="141">
      <c r="A141" s="51" t="inlineStr">
        <is>
          <t>NBL</t>
        </is>
      </c>
      <c r="B141" s="51" t="inlineStr">
        <is>
          <t>Haulage</t>
        </is>
      </c>
      <c r="C141" s="51" t="inlineStr">
        <is>
          <t>Ibadan</t>
        </is>
      </c>
      <c r="D141" s="51" t="inlineStr">
        <is>
          <t>Ngb4</t>
        </is>
      </c>
      <c r="E141" s="51" t="n">
        <v/>
      </c>
      <c r="F141" s="51" t="inlineStr">
        <is>
          <t>Not in table</t>
        </is>
      </c>
      <c r="G141" s="44">
        <f>IFERROR(INDEX('Turnaround Table'!$C$5:$C$231,MATCH(E141,'Turnaround Table'!$D$5:$D$231,0)),"")</f>
        <v/>
      </c>
      <c r="H141" s="43" t="n"/>
      <c r="I141" s="44">
        <f>IF(H141&lt;&gt;"",H141,IF(G141&lt;&gt;"",G141,'Truck Requirement'!$B$5))</f>
        <v/>
      </c>
      <c r="J141" s="44">
        <f>2*I141</f>
        <v/>
      </c>
      <c r="K141" s="8">
        <f>MAX(1,INT('Truck Requirement'!$B$4/J141))</f>
        <v/>
      </c>
      <c r="L141" s="8">
        <f>SUM(M141:U141)</f>
        <v/>
      </c>
      <c r="M141" s="8" t="n"/>
      <c r="N141" s="8" t="n"/>
      <c r="O141" s="8" t="n">
        <v>2</v>
      </c>
      <c r="P141" s="8" t="n"/>
      <c r="Q141" s="8" t="n">
        <v>1</v>
      </c>
      <c r="R141" s="8" t="n"/>
      <c r="S141" s="8" t="n"/>
      <c r="T141" s="8" t="n"/>
      <c r="U141" s="8" t="n"/>
      <c r="V141" s="45">
        <f>IF(M141="","",M141/$K141)</f>
        <v/>
      </c>
      <c r="W141" s="45">
        <f>IF(N141="","",N141/$K141)</f>
        <v/>
      </c>
      <c r="X141" s="45">
        <f>IF(O141="","",O141/$K141)</f>
        <v/>
      </c>
      <c r="Y141" s="45">
        <f>IF(P141="","",P141/$K141)</f>
        <v/>
      </c>
      <c r="Z141" s="45">
        <f>IF(Q141="","",Q141/$K141)</f>
        <v/>
      </c>
      <c r="AA141" s="45">
        <f>IF(R141="","",R141/$K141)</f>
        <v/>
      </c>
      <c r="AB141" s="45">
        <f>IF(S141="","",S141/$K141)</f>
        <v/>
      </c>
      <c r="AC141" s="45">
        <f>IF(T141="","",T141/$K141)</f>
        <v/>
      </c>
      <c r="AD141" s="45">
        <f>IF(U141="","",U141/$K141)</f>
        <v/>
      </c>
    </row>
    <row r="142">
      <c r="A142" s="8" t="inlineStr">
        <is>
          <t>NBL</t>
        </is>
      </c>
      <c r="B142" s="8" t="inlineStr">
        <is>
          <t>Haulage</t>
        </is>
      </c>
      <c r="C142" s="8" t="inlineStr">
        <is>
          <t>Ibadan</t>
        </is>
      </c>
      <c r="D142" s="8" t="inlineStr">
        <is>
          <t>Onitsha</t>
        </is>
      </c>
      <c r="E142" s="8" t="inlineStr">
        <is>
          <t>ONITSHA&gt;IBADAN</t>
        </is>
      </c>
      <c r="F142" s="8" t="inlineStr">
        <is>
          <t>Exact</t>
        </is>
      </c>
      <c r="G142" s="44">
        <f>IFERROR(INDEX('Turnaround Table'!$C$5:$C$231,MATCH(E142,'Turnaround Table'!$D$5:$D$231,0)),"")</f>
        <v/>
      </c>
      <c r="H142" s="43" t="n"/>
      <c r="I142" s="44">
        <f>IF(H142&lt;&gt;"",H142,IF(G142&lt;&gt;"",G142,'Truck Requirement'!$B$5))</f>
        <v/>
      </c>
      <c r="J142" s="44">
        <f>2*I142</f>
        <v/>
      </c>
      <c r="K142" s="8">
        <f>MAX(1,INT('Truck Requirement'!$B$4/J142))</f>
        <v/>
      </c>
      <c r="L142" s="8">
        <f>SUM(M142:U142)</f>
        <v/>
      </c>
      <c r="M142" s="8" t="n">
        <v>2</v>
      </c>
      <c r="N142" s="8" t="n"/>
      <c r="O142" s="8" t="n"/>
      <c r="P142" s="8" t="n"/>
      <c r="Q142" s="8" t="n"/>
      <c r="R142" s="8" t="n">
        <v>1</v>
      </c>
      <c r="S142" s="8" t="n"/>
      <c r="T142" s="8" t="n"/>
      <c r="U142" s="8" t="n"/>
      <c r="V142" s="45">
        <f>IF(M142="","",M142/$K142)</f>
        <v/>
      </c>
      <c r="W142" s="45">
        <f>IF(N142="","",N142/$K142)</f>
        <v/>
      </c>
      <c r="X142" s="45">
        <f>IF(O142="","",O142/$K142)</f>
        <v/>
      </c>
      <c r="Y142" s="45">
        <f>IF(P142="","",P142/$K142)</f>
        <v/>
      </c>
      <c r="Z142" s="45">
        <f>IF(Q142="","",Q142/$K142)</f>
        <v/>
      </c>
      <c r="AA142" s="45">
        <f>IF(R142="","",R142/$K142)</f>
        <v/>
      </c>
      <c r="AB142" s="45">
        <f>IF(S142="","",S142/$K142)</f>
        <v/>
      </c>
      <c r="AC142" s="45">
        <f>IF(T142="","",T142/$K142)</f>
        <v/>
      </c>
      <c r="AD142" s="45">
        <f>IF(U142="","",U142/$K142)</f>
        <v/>
      </c>
    </row>
    <row r="143">
      <c r="A143" s="8" t="inlineStr">
        <is>
          <t>NBL</t>
        </is>
      </c>
      <c r="B143" s="8" t="inlineStr">
        <is>
          <t>Haulage</t>
        </is>
      </c>
      <c r="C143" s="8" t="inlineStr">
        <is>
          <t>Ibadan</t>
        </is>
      </c>
      <c r="D143" s="8" t="inlineStr">
        <is>
          <t>Owerri</t>
        </is>
      </c>
      <c r="E143" s="8" t="inlineStr">
        <is>
          <t>OWERRI&gt;LAGOS</t>
        </is>
      </c>
      <c r="F143" s="8" t="inlineStr">
        <is>
          <t>Lagos bay used</t>
        </is>
      </c>
      <c r="G143" s="44">
        <f>IFERROR(INDEX('Turnaround Table'!$C$5:$C$231,MATCH(E143,'Turnaround Table'!$D$5:$D$231,0)),"")</f>
        <v/>
      </c>
      <c r="H143" s="43" t="n"/>
      <c r="I143" s="44">
        <f>IF(H143&lt;&gt;"",H143,IF(G143&lt;&gt;"",G143,'Truck Requirement'!$B$5))</f>
        <v/>
      </c>
      <c r="J143" s="44">
        <f>2*I143</f>
        <v/>
      </c>
      <c r="K143" s="8">
        <f>MAX(1,INT('Truck Requirement'!$B$4/J143))</f>
        <v/>
      </c>
      <c r="L143" s="8">
        <f>SUM(M143:U143)</f>
        <v/>
      </c>
      <c r="M143" s="8" t="n">
        <v>2</v>
      </c>
      <c r="N143" s="8" t="n">
        <v>1</v>
      </c>
      <c r="O143" s="8" t="n"/>
      <c r="P143" s="8" t="n"/>
      <c r="Q143" s="8" t="n"/>
      <c r="R143" s="8" t="n"/>
      <c r="S143" s="8" t="n"/>
      <c r="T143" s="8" t="n"/>
      <c r="U143" s="8" t="n"/>
      <c r="V143" s="45">
        <f>IF(M143="","",M143/$K143)</f>
        <v/>
      </c>
      <c r="W143" s="45">
        <f>IF(N143="","",N143/$K143)</f>
        <v/>
      </c>
      <c r="X143" s="45">
        <f>IF(O143="","",O143/$K143)</f>
        <v/>
      </c>
      <c r="Y143" s="45">
        <f>IF(P143="","",P143/$K143)</f>
        <v/>
      </c>
      <c r="Z143" s="45">
        <f>IF(Q143="","",Q143/$K143)</f>
        <v/>
      </c>
      <c r="AA143" s="45">
        <f>IF(R143="","",R143/$K143)</f>
        <v/>
      </c>
      <c r="AB143" s="45">
        <f>IF(S143="","",S143/$K143)</f>
        <v/>
      </c>
      <c r="AC143" s="45">
        <f>IF(T143="","",T143/$K143)</f>
        <v/>
      </c>
      <c r="AD143" s="45">
        <f>IF(U143="","",U143/$K143)</f>
        <v/>
      </c>
    </row>
    <row r="144">
      <c r="A144" s="8" t="inlineStr">
        <is>
          <t>NBL</t>
        </is>
      </c>
      <c r="B144" s="8" t="inlineStr">
        <is>
          <t>Haulage</t>
        </is>
      </c>
      <c r="C144" s="8" t="inlineStr">
        <is>
          <t>Ibadan</t>
        </is>
      </c>
      <c r="D144" s="8" t="inlineStr">
        <is>
          <t>Saki</t>
        </is>
      </c>
      <c r="E144" s="8" t="inlineStr">
        <is>
          <t>SAKI&gt;LAGOS</t>
        </is>
      </c>
      <c r="F144" s="8" t="inlineStr">
        <is>
          <t>Lagos bay used</t>
        </is>
      </c>
      <c r="G144" s="44">
        <f>IFERROR(INDEX('Turnaround Table'!$C$5:$C$231,MATCH(E144,'Turnaround Table'!$D$5:$D$231,0)),"")</f>
        <v/>
      </c>
      <c r="H144" s="43" t="n"/>
      <c r="I144" s="44">
        <f>IF(H144&lt;&gt;"",H144,IF(G144&lt;&gt;"",G144,'Truck Requirement'!$B$5))</f>
        <v/>
      </c>
      <c r="J144" s="44">
        <f>2*I144</f>
        <v/>
      </c>
      <c r="K144" s="8">
        <f>MAX(1,INT('Truck Requirement'!$B$4/J144))</f>
        <v/>
      </c>
      <c r="L144" s="8">
        <f>SUM(M144:U144)</f>
        <v/>
      </c>
      <c r="M144" s="8" t="n">
        <v>1</v>
      </c>
      <c r="N144" s="8" t="n">
        <v>2</v>
      </c>
      <c r="O144" s="8" t="n"/>
      <c r="P144" s="8" t="n"/>
      <c r="Q144" s="8" t="n"/>
      <c r="R144" s="8" t="n"/>
      <c r="S144" s="8" t="n"/>
      <c r="T144" s="8" t="n"/>
      <c r="U144" s="8" t="n"/>
      <c r="V144" s="45">
        <f>IF(M144="","",M144/$K144)</f>
        <v/>
      </c>
      <c r="W144" s="45">
        <f>IF(N144="","",N144/$K144)</f>
        <v/>
      </c>
      <c r="X144" s="45">
        <f>IF(O144="","",O144/$K144)</f>
        <v/>
      </c>
      <c r="Y144" s="45">
        <f>IF(P144="","",P144/$K144)</f>
        <v/>
      </c>
      <c r="Z144" s="45">
        <f>IF(Q144="","",Q144/$K144)</f>
        <v/>
      </c>
      <c r="AA144" s="45">
        <f>IF(R144="","",R144/$K144)</f>
        <v/>
      </c>
      <c r="AB144" s="45">
        <f>IF(S144="","",S144/$K144)</f>
        <v/>
      </c>
      <c r="AC144" s="45">
        <f>IF(T144="","",T144/$K144)</f>
        <v/>
      </c>
      <c r="AD144" s="45">
        <f>IF(U144="","",U144/$K144)</f>
        <v/>
      </c>
    </row>
    <row r="145">
      <c r="A145" s="8" t="inlineStr">
        <is>
          <t>NBL</t>
        </is>
      </c>
      <c r="B145" s="8" t="inlineStr">
        <is>
          <t>Haulage</t>
        </is>
      </c>
      <c r="C145" s="8" t="inlineStr">
        <is>
          <t>Ibadan</t>
        </is>
      </c>
      <c r="D145" s="8" t="inlineStr">
        <is>
          <t>Sango</t>
        </is>
      </c>
      <c r="E145" s="8" t="inlineStr">
        <is>
          <t>SANGO OTTA&gt;LAGOS</t>
        </is>
      </c>
      <c r="F145" s="8" t="inlineStr">
        <is>
          <t>Lagos bay used</t>
        </is>
      </c>
      <c r="G145" s="44">
        <f>IFERROR(INDEX('Turnaround Table'!$C$5:$C$231,MATCH(E145,'Turnaround Table'!$D$5:$D$231,0)),"")</f>
        <v/>
      </c>
      <c r="H145" s="43" t="n"/>
      <c r="I145" s="44">
        <f>IF(H145&lt;&gt;"",H145,IF(G145&lt;&gt;"",G145,'Truck Requirement'!$B$5))</f>
        <v/>
      </c>
      <c r="J145" s="44">
        <f>2*I145</f>
        <v/>
      </c>
      <c r="K145" s="8">
        <f>MAX(1,INT('Truck Requirement'!$B$4/J145))</f>
        <v/>
      </c>
      <c r="L145" s="8">
        <f>SUM(M145:U145)</f>
        <v/>
      </c>
      <c r="M145" s="8" t="n">
        <v>1</v>
      </c>
      <c r="N145" s="8" t="n">
        <v>1</v>
      </c>
      <c r="O145" s="8" t="n"/>
      <c r="P145" s="8" t="n"/>
      <c r="Q145" s="8" t="n">
        <v>1</v>
      </c>
      <c r="R145" s="8" t="n"/>
      <c r="S145" s="8" t="n"/>
      <c r="T145" s="8" t="n"/>
      <c r="U145" s="8" t="n"/>
      <c r="V145" s="45">
        <f>IF(M145="","",M145/$K145)</f>
        <v/>
      </c>
      <c r="W145" s="45">
        <f>IF(N145="","",N145/$K145)</f>
        <v/>
      </c>
      <c r="X145" s="45">
        <f>IF(O145="","",O145/$K145)</f>
        <v/>
      </c>
      <c r="Y145" s="45">
        <f>IF(P145="","",P145/$K145)</f>
        <v/>
      </c>
      <c r="Z145" s="45">
        <f>IF(Q145="","",Q145/$K145)</f>
        <v/>
      </c>
      <c r="AA145" s="45">
        <f>IF(R145="","",R145/$K145)</f>
        <v/>
      </c>
      <c r="AB145" s="45">
        <f>IF(S145="","",S145/$K145)</f>
        <v/>
      </c>
      <c r="AC145" s="45">
        <f>IF(T145="","",T145/$K145)</f>
        <v/>
      </c>
      <c r="AD145" s="45">
        <f>IF(U145="","",U145/$K145)</f>
        <v/>
      </c>
    </row>
    <row r="146">
      <c r="A146" s="8" t="inlineStr">
        <is>
          <t>NBL</t>
        </is>
      </c>
      <c r="B146" s="8" t="inlineStr">
        <is>
          <t>Haulage</t>
        </is>
      </c>
      <c r="C146" s="8" t="inlineStr">
        <is>
          <t>Ibadan</t>
        </is>
      </c>
      <c r="D146" s="8" t="inlineStr">
        <is>
          <t>Shasha</t>
        </is>
      </c>
      <c r="E146" s="8" t="inlineStr">
        <is>
          <t>IKEJA-AGEGE-DOPEMU-MAGODO&gt;LAGOS</t>
        </is>
      </c>
      <c r="F146" s="8" t="inlineStr">
        <is>
          <t>Lagos bay used</t>
        </is>
      </c>
      <c r="G146" s="44">
        <f>IFERROR(INDEX('Turnaround Table'!$C$5:$C$231,MATCH(E146,'Turnaround Table'!$D$5:$D$231,0)),"")</f>
        <v/>
      </c>
      <c r="H146" s="43" t="n"/>
      <c r="I146" s="44">
        <f>IF(H146&lt;&gt;"",H146,IF(G146&lt;&gt;"",G146,'Truck Requirement'!$B$5))</f>
        <v/>
      </c>
      <c r="J146" s="44">
        <f>2*I146</f>
        <v/>
      </c>
      <c r="K146" s="8">
        <f>MAX(1,INT('Truck Requirement'!$B$4/J146))</f>
        <v/>
      </c>
      <c r="L146" s="8">
        <f>SUM(M146:U146)</f>
        <v/>
      </c>
      <c r="M146" s="8" t="n">
        <v>3</v>
      </c>
      <c r="N146" s="8" t="n"/>
      <c r="O146" s="8" t="n"/>
      <c r="P146" s="8" t="n"/>
      <c r="Q146" s="8" t="n"/>
      <c r="R146" s="8" t="n"/>
      <c r="S146" s="8" t="n"/>
      <c r="T146" s="8" t="n"/>
      <c r="U146" s="8" t="n"/>
      <c r="V146" s="45">
        <f>IF(M146="","",M146/$K146)</f>
        <v/>
      </c>
      <c r="W146" s="45">
        <f>IF(N146="","",N146/$K146)</f>
        <v/>
      </c>
      <c r="X146" s="45">
        <f>IF(O146="","",O146/$K146)</f>
        <v/>
      </c>
      <c r="Y146" s="45">
        <f>IF(P146="","",P146/$K146)</f>
        <v/>
      </c>
      <c r="Z146" s="45">
        <f>IF(Q146="","",Q146/$K146)</f>
        <v/>
      </c>
      <c r="AA146" s="45">
        <f>IF(R146="","",R146/$K146)</f>
        <v/>
      </c>
      <c r="AB146" s="45">
        <f>IF(S146="","",S146/$K146)</f>
        <v/>
      </c>
      <c r="AC146" s="45">
        <f>IF(T146="","",T146/$K146)</f>
        <v/>
      </c>
      <c r="AD146" s="45">
        <f>IF(U146="","",U146/$K146)</f>
        <v/>
      </c>
    </row>
    <row r="147">
      <c r="A147" s="8" t="inlineStr">
        <is>
          <t>NBL</t>
        </is>
      </c>
      <c r="B147" s="8" t="inlineStr">
        <is>
          <t>Haulage</t>
        </is>
      </c>
      <c r="C147" s="8" t="inlineStr">
        <is>
          <t>Ijebu Ode</t>
        </is>
      </c>
      <c r="D147" s="8" t="inlineStr">
        <is>
          <t>Benin</t>
        </is>
      </c>
      <c r="E147" s="8" t="inlineStr">
        <is>
          <t>BENIN&gt;LAGOS</t>
        </is>
      </c>
      <c r="F147" s="8" t="inlineStr">
        <is>
          <t>Nearest bay (Lagos)</t>
        </is>
      </c>
      <c r="G147" s="44">
        <f>IFERROR(INDEX('Turnaround Table'!$C$5:$C$231,MATCH(E147,'Turnaround Table'!$D$5:$D$231,0)),"")</f>
        <v/>
      </c>
      <c r="H147" s="43" t="n"/>
      <c r="I147" s="44">
        <f>IF(H147&lt;&gt;"",H147,IF(G147&lt;&gt;"",G147,'Truck Requirement'!$B$5))</f>
        <v/>
      </c>
      <c r="J147" s="44">
        <f>2*I147</f>
        <v/>
      </c>
      <c r="K147" s="8">
        <f>MAX(1,INT('Truck Requirement'!$B$4/J147))</f>
        <v/>
      </c>
      <c r="L147" s="8">
        <f>SUM(M147:U147)</f>
        <v/>
      </c>
      <c r="M147" s="8" t="n"/>
      <c r="N147" s="8" t="n"/>
      <c r="O147" s="8" t="n">
        <v>1</v>
      </c>
      <c r="P147" s="8" t="n">
        <v>1</v>
      </c>
      <c r="Q147" s="8" t="n"/>
      <c r="R147" s="8" t="n">
        <v>1</v>
      </c>
      <c r="S147" s="8" t="n"/>
      <c r="T147" s="8" t="n"/>
      <c r="U147" s="8" t="n"/>
      <c r="V147" s="45">
        <f>IF(M147="","",M147/$K147)</f>
        <v/>
      </c>
      <c r="W147" s="45">
        <f>IF(N147="","",N147/$K147)</f>
        <v/>
      </c>
      <c r="X147" s="45">
        <f>IF(O147="","",O147/$K147)</f>
        <v/>
      </c>
      <c r="Y147" s="45">
        <f>IF(P147="","",P147/$K147)</f>
        <v/>
      </c>
      <c r="Z147" s="45">
        <f>IF(Q147="","",Q147/$K147)</f>
        <v/>
      </c>
      <c r="AA147" s="45">
        <f>IF(R147="","",R147/$K147)</f>
        <v/>
      </c>
      <c r="AB147" s="45">
        <f>IF(S147="","",S147/$K147)</f>
        <v/>
      </c>
      <c r="AC147" s="45">
        <f>IF(T147="","",T147/$K147)</f>
        <v/>
      </c>
      <c r="AD147" s="45">
        <f>IF(U147="","",U147/$K147)</f>
        <v/>
      </c>
    </row>
    <row r="148">
      <c r="A148" s="8" t="inlineStr">
        <is>
          <t>NBL</t>
        </is>
      </c>
      <c r="B148" s="8" t="inlineStr">
        <is>
          <t>Haulage</t>
        </is>
      </c>
      <c r="C148" s="8" t="inlineStr">
        <is>
          <t>Lagos</t>
        </is>
      </c>
      <c r="D148" s="8" t="inlineStr">
        <is>
          <t>Ibadan</t>
        </is>
      </c>
      <c r="E148" s="8" t="inlineStr">
        <is>
          <t>IBADAN&gt;LAGOS</t>
        </is>
      </c>
      <c r="F148" s="8" t="inlineStr">
        <is>
          <t>Exact</t>
        </is>
      </c>
      <c r="G148" s="44">
        <f>IFERROR(INDEX('Turnaround Table'!$C$5:$C$231,MATCH(E148,'Turnaround Table'!$D$5:$D$231,0)),"")</f>
        <v/>
      </c>
      <c r="H148" s="43" t="n"/>
      <c r="I148" s="44">
        <f>IF(H148&lt;&gt;"",H148,IF(G148&lt;&gt;"",G148,'Truck Requirement'!$B$5))</f>
        <v/>
      </c>
      <c r="J148" s="44">
        <f>2*I148</f>
        <v/>
      </c>
      <c r="K148" s="8">
        <f>MAX(1,INT('Truck Requirement'!$B$4/J148))</f>
        <v/>
      </c>
      <c r="L148" s="8">
        <f>SUM(M148:U148)</f>
        <v/>
      </c>
      <c r="M148" s="8" t="n"/>
      <c r="N148" s="8" t="n"/>
      <c r="O148" s="8" t="n">
        <v>1</v>
      </c>
      <c r="P148" s="8" t="n">
        <v>1</v>
      </c>
      <c r="Q148" s="8" t="n"/>
      <c r="R148" s="8" t="n"/>
      <c r="S148" s="8" t="n">
        <v>1</v>
      </c>
      <c r="T148" s="8" t="n"/>
      <c r="U148" s="8" t="n"/>
      <c r="V148" s="45">
        <f>IF(M148="","",M148/$K148)</f>
        <v/>
      </c>
      <c r="W148" s="45">
        <f>IF(N148="","",N148/$K148)</f>
        <v/>
      </c>
      <c r="X148" s="45">
        <f>IF(O148="","",O148/$K148)</f>
        <v/>
      </c>
      <c r="Y148" s="45">
        <f>IF(P148="","",P148/$K148)</f>
        <v/>
      </c>
      <c r="Z148" s="45">
        <f>IF(Q148="","",Q148/$K148)</f>
        <v/>
      </c>
      <c r="AA148" s="45">
        <f>IF(R148="","",R148/$K148)</f>
        <v/>
      </c>
      <c r="AB148" s="45">
        <f>IF(S148="","",S148/$K148)</f>
        <v/>
      </c>
      <c r="AC148" s="45">
        <f>IF(T148="","",T148/$K148)</f>
        <v/>
      </c>
      <c r="AD148" s="45">
        <f>IF(U148="","",U148/$K148)</f>
        <v/>
      </c>
    </row>
    <row r="149">
      <c r="A149" s="8" t="inlineStr">
        <is>
          <t>NBL</t>
        </is>
      </c>
      <c r="B149" s="8" t="inlineStr">
        <is>
          <t>Haulage</t>
        </is>
      </c>
      <c r="C149" s="8" t="inlineStr">
        <is>
          <t>Makurdi</t>
        </is>
      </c>
      <c r="D149" s="8" t="inlineStr">
        <is>
          <t>Ibadan</t>
        </is>
      </c>
      <c r="E149" s="8" t="inlineStr">
        <is>
          <t>MAKURDI&gt;IBADAN</t>
        </is>
      </c>
      <c r="F149" s="8" t="inlineStr">
        <is>
          <t>Reverse</t>
        </is>
      </c>
      <c r="G149" s="44">
        <f>IFERROR(INDEX('Turnaround Table'!$C$5:$C$231,MATCH(E149,'Turnaround Table'!$D$5:$D$231,0)),"")</f>
        <v/>
      </c>
      <c r="H149" s="43" t="n"/>
      <c r="I149" s="44">
        <f>IF(H149&lt;&gt;"",H149,IF(G149&lt;&gt;"",G149,'Truck Requirement'!$B$5))</f>
        <v/>
      </c>
      <c r="J149" s="44">
        <f>2*I149</f>
        <v/>
      </c>
      <c r="K149" s="8">
        <f>MAX(1,INT('Truck Requirement'!$B$4/J149))</f>
        <v/>
      </c>
      <c r="L149" s="8">
        <f>SUM(M149:U149)</f>
        <v/>
      </c>
      <c r="M149" s="8" t="n"/>
      <c r="N149" s="8" t="n"/>
      <c r="O149" s="8" t="n">
        <v>1</v>
      </c>
      <c r="P149" s="8" t="n"/>
      <c r="Q149" s="8" t="n">
        <v>1</v>
      </c>
      <c r="R149" s="8" t="n"/>
      <c r="S149" s="8" t="n">
        <v>1</v>
      </c>
      <c r="T149" s="8" t="n"/>
      <c r="U149" s="8" t="n"/>
      <c r="V149" s="45">
        <f>IF(M149="","",M149/$K149)</f>
        <v/>
      </c>
      <c r="W149" s="45">
        <f>IF(N149="","",N149/$K149)</f>
        <v/>
      </c>
      <c r="X149" s="45">
        <f>IF(O149="","",O149/$K149)</f>
        <v/>
      </c>
      <c r="Y149" s="45">
        <f>IF(P149="","",P149/$K149)</f>
        <v/>
      </c>
      <c r="Z149" s="45">
        <f>IF(Q149="","",Q149/$K149)</f>
        <v/>
      </c>
      <c r="AA149" s="45">
        <f>IF(R149="","",R149/$K149)</f>
        <v/>
      </c>
      <c r="AB149" s="45">
        <f>IF(S149="","",S149/$K149)</f>
        <v/>
      </c>
      <c r="AC149" s="45">
        <f>IF(T149="","",T149/$K149)</f>
        <v/>
      </c>
      <c r="AD149" s="45">
        <f>IF(U149="","",U149/$K149)</f>
        <v/>
      </c>
    </row>
    <row r="150">
      <c r="A150" s="51" t="inlineStr">
        <is>
          <t>NBL</t>
        </is>
      </c>
      <c r="B150" s="51" t="inlineStr">
        <is>
          <t>Haulage</t>
        </is>
      </c>
      <c r="C150" s="51" t="inlineStr">
        <is>
          <t>Ngb5</t>
        </is>
      </c>
      <c r="D150" s="51" t="inlineStr">
        <is>
          <t>Ama</t>
        </is>
      </c>
      <c r="E150" s="51" t="n">
        <v/>
      </c>
      <c r="F150" s="51" t="inlineStr">
        <is>
          <t>Not in table</t>
        </is>
      </c>
      <c r="G150" s="44">
        <f>IFERROR(INDEX('Turnaround Table'!$C$5:$C$231,MATCH(E150,'Turnaround Table'!$D$5:$D$231,0)),"")</f>
        <v/>
      </c>
      <c r="H150" s="43" t="n"/>
      <c r="I150" s="44">
        <f>IF(H150&lt;&gt;"",H150,IF(G150&lt;&gt;"",G150,'Truck Requirement'!$B$5))</f>
        <v/>
      </c>
      <c r="J150" s="44">
        <f>2*I150</f>
        <v/>
      </c>
      <c r="K150" s="8">
        <f>MAX(1,INT('Truck Requirement'!$B$4/J150))</f>
        <v/>
      </c>
      <c r="L150" s="8">
        <f>SUM(M150:U150)</f>
        <v/>
      </c>
      <c r="M150" s="8" t="n"/>
      <c r="N150" s="8" t="n"/>
      <c r="O150" s="8" t="n"/>
      <c r="P150" s="8" t="n"/>
      <c r="Q150" s="8" t="n">
        <v>3</v>
      </c>
      <c r="R150" s="8" t="n"/>
      <c r="S150" s="8" t="n"/>
      <c r="T150" s="8" t="n"/>
      <c r="U150" s="8" t="n"/>
      <c r="V150" s="45">
        <f>IF(M150="","",M150/$K150)</f>
        <v/>
      </c>
      <c r="W150" s="45">
        <f>IF(N150="","",N150/$K150)</f>
        <v/>
      </c>
      <c r="X150" s="45">
        <f>IF(O150="","",O150/$K150)</f>
        <v/>
      </c>
      <c r="Y150" s="45">
        <f>IF(P150="","",P150/$K150)</f>
        <v/>
      </c>
      <c r="Z150" s="45">
        <f>IF(Q150="","",Q150/$K150)</f>
        <v/>
      </c>
      <c r="AA150" s="45">
        <f>IF(R150="","",R150/$K150)</f>
        <v/>
      </c>
      <c r="AB150" s="45">
        <f>IF(S150="","",S150/$K150)</f>
        <v/>
      </c>
      <c r="AC150" s="45">
        <f>IF(T150="","",T150/$K150)</f>
        <v/>
      </c>
      <c r="AD150" s="45">
        <f>IF(U150="","",U150/$K150)</f>
        <v/>
      </c>
    </row>
    <row r="151">
      <c r="A151" s="51" t="inlineStr">
        <is>
          <t>NBL</t>
        </is>
      </c>
      <c r="B151" s="51" t="inlineStr">
        <is>
          <t>Haulage</t>
        </is>
      </c>
      <c r="C151" s="51" t="inlineStr">
        <is>
          <t>Aba</t>
        </is>
      </c>
      <c r="D151" s="51" t="inlineStr">
        <is>
          <t>Benin</t>
        </is>
      </c>
      <c r="E151" s="51" t="n">
        <v/>
      </c>
      <c r="F151" s="51" t="inlineStr">
        <is>
          <t>Not in table</t>
        </is>
      </c>
      <c r="G151" s="44">
        <f>IFERROR(INDEX('Turnaround Table'!$C$5:$C$231,MATCH(E151,'Turnaround Table'!$D$5:$D$231,0)),"")</f>
        <v/>
      </c>
      <c r="H151" s="43" t="n"/>
      <c r="I151" s="44">
        <f>IF(H151&lt;&gt;"",H151,IF(G151&lt;&gt;"",G151,'Truck Requirement'!$B$5))</f>
        <v/>
      </c>
      <c r="J151" s="44">
        <f>2*I151</f>
        <v/>
      </c>
      <c r="K151" s="8">
        <f>MAX(1,INT('Truck Requirement'!$B$4/J151))</f>
        <v/>
      </c>
      <c r="L151" s="8">
        <f>SUM(M151:U151)</f>
        <v/>
      </c>
      <c r="M151" s="8" t="n"/>
      <c r="N151" s="8" t="n"/>
      <c r="O151" s="8" t="n"/>
      <c r="P151" s="8" t="n"/>
      <c r="Q151" s="8" t="n"/>
      <c r="R151" s="8" t="n">
        <v>2</v>
      </c>
      <c r="S151" s="8" t="n"/>
      <c r="T151" s="8" t="n"/>
      <c r="U151" s="8" t="n"/>
      <c r="V151" s="45">
        <f>IF(M151="","",M151/$K151)</f>
        <v/>
      </c>
      <c r="W151" s="45">
        <f>IF(N151="","",N151/$K151)</f>
        <v/>
      </c>
      <c r="X151" s="45">
        <f>IF(O151="","",O151/$K151)</f>
        <v/>
      </c>
      <c r="Y151" s="45">
        <f>IF(P151="","",P151/$K151)</f>
        <v/>
      </c>
      <c r="Z151" s="45">
        <f>IF(Q151="","",Q151/$K151)</f>
        <v/>
      </c>
      <c r="AA151" s="45">
        <f>IF(R151="","",R151/$K151)</f>
        <v/>
      </c>
      <c r="AB151" s="45">
        <f>IF(S151="","",S151/$K151)</f>
        <v/>
      </c>
      <c r="AC151" s="45">
        <f>IF(T151="","",T151/$K151)</f>
        <v/>
      </c>
      <c r="AD151" s="45">
        <f>IF(U151="","",U151/$K151)</f>
        <v/>
      </c>
    </row>
    <row r="152">
      <c r="A152" s="51" t="inlineStr">
        <is>
          <t>NBL</t>
        </is>
      </c>
      <c r="B152" s="51" t="inlineStr">
        <is>
          <t>Haulage</t>
        </is>
      </c>
      <c r="C152" s="51" t="inlineStr">
        <is>
          <t>Akure</t>
        </is>
      </c>
      <c r="D152" s="51" t="inlineStr">
        <is>
          <t>Ngb4</t>
        </is>
      </c>
      <c r="E152" s="51" t="n">
        <v/>
      </c>
      <c r="F152" s="51" t="inlineStr">
        <is>
          <t>Not in table</t>
        </is>
      </c>
      <c r="G152" s="44">
        <f>IFERROR(INDEX('Turnaround Table'!$C$5:$C$231,MATCH(E152,'Turnaround Table'!$D$5:$D$231,0)),"")</f>
        <v/>
      </c>
      <c r="H152" s="43" t="n"/>
      <c r="I152" s="44">
        <f>IF(H152&lt;&gt;"",H152,IF(G152&lt;&gt;"",G152,'Truck Requirement'!$B$5))</f>
        <v/>
      </c>
      <c r="J152" s="44">
        <f>2*I152</f>
        <v/>
      </c>
      <c r="K152" s="8">
        <f>MAX(1,INT('Truck Requirement'!$B$4/J152))</f>
        <v/>
      </c>
      <c r="L152" s="8">
        <f>SUM(M152:U152)</f>
        <v/>
      </c>
      <c r="M152" s="8" t="n"/>
      <c r="N152" s="8" t="n"/>
      <c r="O152" s="8" t="n">
        <v>2</v>
      </c>
      <c r="P152" s="8" t="n"/>
      <c r="Q152" s="8" t="n"/>
      <c r="R152" s="8" t="n"/>
      <c r="S152" s="8" t="n"/>
      <c r="T152" s="8" t="n"/>
      <c r="U152" s="8" t="n"/>
      <c r="V152" s="45">
        <f>IF(M152="","",M152/$K152)</f>
        <v/>
      </c>
      <c r="W152" s="45">
        <f>IF(N152="","",N152/$K152)</f>
        <v/>
      </c>
      <c r="X152" s="45">
        <f>IF(O152="","",O152/$K152)</f>
        <v/>
      </c>
      <c r="Y152" s="45">
        <f>IF(P152="","",P152/$K152)</f>
        <v/>
      </c>
      <c r="Z152" s="45">
        <f>IF(Q152="","",Q152/$K152)</f>
        <v/>
      </c>
      <c r="AA152" s="45">
        <f>IF(R152="","",R152/$K152)</f>
        <v/>
      </c>
      <c r="AB152" s="45">
        <f>IF(S152="","",S152/$K152)</f>
        <v/>
      </c>
      <c r="AC152" s="45">
        <f>IF(T152="","",T152/$K152)</f>
        <v/>
      </c>
      <c r="AD152" s="45">
        <f>IF(U152="","",U152/$K152)</f>
        <v/>
      </c>
    </row>
    <row r="153">
      <c r="A153" s="51" t="inlineStr">
        <is>
          <t>NBL</t>
        </is>
      </c>
      <c r="B153" s="51" t="inlineStr">
        <is>
          <t>Haulage</t>
        </is>
      </c>
      <c r="C153" s="51" t="inlineStr">
        <is>
          <t>Ama</t>
        </is>
      </c>
      <c r="D153" s="51" t="inlineStr">
        <is>
          <t>Ibadan</t>
        </is>
      </c>
      <c r="E153" s="51" t="n">
        <v/>
      </c>
      <c r="F153" s="51" t="inlineStr">
        <is>
          <t>Not in table</t>
        </is>
      </c>
      <c r="G153" s="44">
        <f>IFERROR(INDEX('Turnaround Table'!$C$5:$C$231,MATCH(E153,'Turnaround Table'!$D$5:$D$231,0)),"")</f>
        <v/>
      </c>
      <c r="H153" s="43" t="n"/>
      <c r="I153" s="44">
        <f>IF(H153&lt;&gt;"",H153,IF(G153&lt;&gt;"",G153,'Truck Requirement'!$B$5))</f>
        <v/>
      </c>
      <c r="J153" s="44">
        <f>2*I153</f>
        <v/>
      </c>
      <c r="K153" s="8">
        <f>MAX(1,INT('Truck Requirement'!$B$4/J153))</f>
        <v/>
      </c>
      <c r="L153" s="8">
        <f>SUM(M153:U153)</f>
        <v/>
      </c>
      <c r="M153" s="8" t="n"/>
      <c r="N153" s="8" t="n"/>
      <c r="O153" s="8" t="n">
        <v>1</v>
      </c>
      <c r="P153" s="8" t="n"/>
      <c r="Q153" s="8" t="n"/>
      <c r="R153" s="8" t="n">
        <v>1</v>
      </c>
      <c r="S153" s="8" t="n"/>
      <c r="T153" s="8" t="n"/>
      <c r="U153" s="8" t="n"/>
      <c r="V153" s="45">
        <f>IF(M153="","",M153/$K153)</f>
        <v/>
      </c>
      <c r="W153" s="45">
        <f>IF(N153="","",N153/$K153)</f>
        <v/>
      </c>
      <c r="X153" s="45">
        <f>IF(O153="","",O153/$K153)</f>
        <v/>
      </c>
      <c r="Y153" s="45">
        <f>IF(P153="","",P153/$K153)</f>
        <v/>
      </c>
      <c r="Z153" s="45">
        <f>IF(Q153="","",Q153/$K153)</f>
        <v/>
      </c>
      <c r="AA153" s="45">
        <f>IF(R153="","",R153/$K153)</f>
        <v/>
      </c>
      <c r="AB153" s="45">
        <f>IF(S153="","",S153/$K153)</f>
        <v/>
      </c>
      <c r="AC153" s="45">
        <f>IF(T153="","",T153/$K153)</f>
        <v/>
      </c>
      <c r="AD153" s="45">
        <f>IF(U153="","",U153/$K153)</f>
        <v/>
      </c>
    </row>
    <row r="154">
      <c r="A154" s="8" t="inlineStr">
        <is>
          <t>NBL</t>
        </is>
      </c>
      <c r="B154" s="8" t="inlineStr">
        <is>
          <t>Haulage</t>
        </is>
      </c>
      <c r="C154" s="8" t="inlineStr">
        <is>
          <t>Ama</t>
        </is>
      </c>
      <c r="D154" s="8" t="inlineStr">
        <is>
          <t>Idimu</t>
        </is>
      </c>
      <c r="E154" s="8" t="inlineStr">
        <is>
          <t>ENUGU&gt;LAGOS</t>
        </is>
      </c>
      <c r="F154" s="8" t="inlineStr">
        <is>
          <t>Reverse</t>
        </is>
      </c>
      <c r="G154" s="44">
        <f>IFERROR(INDEX('Turnaround Table'!$C$5:$C$231,MATCH(E154,'Turnaround Table'!$D$5:$D$231,0)),"")</f>
        <v/>
      </c>
      <c r="H154" s="43" t="n"/>
      <c r="I154" s="44">
        <f>IF(H154&lt;&gt;"",H154,IF(G154&lt;&gt;"",G154,'Truck Requirement'!$B$5))</f>
        <v/>
      </c>
      <c r="J154" s="44">
        <f>2*I154</f>
        <v/>
      </c>
      <c r="K154" s="8">
        <f>MAX(1,INT('Truck Requirement'!$B$4/J154))</f>
        <v/>
      </c>
      <c r="L154" s="8">
        <f>SUM(M154:U154)</f>
        <v/>
      </c>
      <c r="M154" s="8" t="n"/>
      <c r="N154" s="8" t="n"/>
      <c r="O154" s="8" t="n">
        <v>1</v>
      </c>
      <c r="P154" s="8" t="n">
        <v>1</v>
      </c>
      <c r="Q154" s="8" t="n"/>
      <c r="R154" s="8" t="n"/>
      <c r="S154" s="8" t="n"/>
      <c r="T154" s="8" t="n"/>
      <c r="U154" s="8" t="n"/>
      <c r="V154" s="45">
        <f>IF(M154="","",M154/$K154)</f>
        <v/>
      </c>
      <c r="W154" s="45">
        <f>IF(N154="","",N154/$K154)</f>
        <v/>
      </c>
      <c r="X154" s="45">
        <f>IF(O154="","",O154/$K154)</f>
        <v/>
      </c>
      <c r="Y154" s="45">
        <f>IF(P154="","",P154/$K154)</f>
        <v/>
      </c>
      <c r="Z154" s="45">
        <f>IF(Q154="","",Q154/$K154)</f>
        <v/>
      </c>
      <c r="AA154" s="45">
        <f>IF(R154="","",R154/$K154)</f>
        <v/>
      </c>
      <c r="AB154" s="45">
        <f>IF(S154="","",S154/$K154)</f>
        <v/>
      </c>
      <c r="AC154" s="45">
        <f>IF(T154="","",T154/$K154)</f>
        <v/>
      </c>
      <c r="AD154" s="45">
        <f>IF(U154="","",U154/$K154)</f>
        <v/>
      </c>
    </row>
    <row r="155">
      <c r="A155" s="51" t="inlineStr">
        <is>
          <t>NBL</t>
        </is>
      </c>
      <c r="B155" s="51" t="inlineStr">
        <is>
          <t>Haulage</t>
        </is>
      </c>
      <c r="C155" s="51" t="inlineStr">
        <is>
          <t>Ama</t>
        </is>
      </c>
      <c r="D155" s="51" t="inlineStr">
        <is>
          <t>Ngb5</t>
        </is>
      </c>
      <c r="E155" s="51" t="n">
        <v/>
      </c>
      <c r="F155" s="51" t="inlineStr">
        <is>
          <t>Not in table</t>
        </is>
      </c>
      <c r="G155" s="44">
        <f>IFERROR(INDEX('Turnaround Table'!$C$5:$C$231,MATCH(E155,'Turnaround Table'!$D$5:$D$231,0)),"")</f>
        <v/>
      </c>
      <c r="H155" s="43" t="n"/>
      <c r="I155" s="44">
        <f>IF(H155&lt;&gt;"",H155,IF(G155&lt;&gt;"",G155,'Truck Requirement'!$B$5))</f>
        <v/>
      </c>
      <c r="J155" s="44">
        <f>2*I155</f>
        <v/>
      </c>
      <c r="K155" s="8">
        <f>MAX(1,INT('Truck Requirement'!$B$4/J155))</f>
        <v/>
      </c>
      <c r="L155" s="8">
        <f>SUM(M155:U155)</f>
        <v/>
      </c>
      <c r="M155" s="8" t="n"/>
      <c r="N155" s="8" t="n"/>
      <c r="O155" s="8" t="n"/>
      <c r="P155" s="8" t="n"/>
      <c r="Q155" s="8" t="n">
        <v>2</v>
      </c>
      <c r="R155" s="8" t="n"/>
      <c r="S155" s="8" t="n"/>
      <c r="T155" s="8" t="n"/>
      <c r="U155" s="8" t="n"/>
      <c r="V155" s="45">
        <f>IF(M155="","",M155/$K155)</f>
        <v/>
      </c>
      <c r="W155" s="45">
        <f>IF(N155="","",N155/$K155)</f>
        <v/>
      </c>
      <c r="X155" s="45">
        <f>IF(O155="","",O155/$K155)</f>
        <v/>
      </c>
      <c r="Y155" s="45">
        <f>IF(P155="","",P155/$K155)</f>
        <v/>
      </c>
      <c r="Z155" s="45">
        <f>IF(Q155="","",Q155/$K155)</f>
        <v/>
      </c>
      <c r="AA155" s="45">
        <f>IF(R155="","",R155/$K155)</f>
        <v/>
      </c>
      <c r="AB155" s="45">
        <f>IF(S155="","",S155/$K155)</f>
        <v/>
      </c>
      <c r="AC155" s="45">
        <f>IF(T155="","",T155/$K155)</f>
        <v/>
      </c>
      <c r="AD155" s="45">
        <f>IF(U155="","",U155/$K155)</f>
        <v/>
      </c>
    </row>
    <row r="156">
      <c r="A156" s="51" t="inlineStr">
        <is>
          <t>NBL</t>
        </is>
      </c>
      <c r="B156" s="51" t="inlineStr">
        <is>
          <t>Haulage</t>
        </is>
      </c>
      <c r="C156" s="51" t="inlineStr">
        <is>
          <t>Gwagwalada</t>
        </is>
      </c>
      <c r="D156" s="51" t="inlineStr">
        <is>
          <t>Ngb4</t>
        </is>
      </c>
      <c r="E156" s="51" t="n">
        <v/>
      </c>
      <c r="F156" s="51" t="inlineStr">
        <is>
          <t>Not in table</t>
        </is>
      </c>
      <c r="G156" s="44">
        <f>IFERROR(INDEX('Turnaround Table'!$C$5:$C$231,MATCH(E156,'Turnaround Table'!$D$5:$D$231,0)),"")</f>
        <v/>
      </c>
      <c r="H156" s="43" t="n"/>
      <c r="I156" s="44">
        <f>IF(H156&lt;&gt;"",H156,IF(G156&lt;&gt;"",G156,'Truck Requirement'!$B$5))</f>
        <v/>
      </c>
      <c r="J156" s="44">
        <f>2*I156</f>
        <v/>
      </c>
      <c r="K156" s="8">
        <f>MAX(1,INT('Truck Requirement'!$B$4/J156))</f>
        <v/>
      </c>
      <c r="L156" s="8">
        <f>SUM(M156:U156)</f>
        <v/>
      </c>
      <c r="M156" s="8" t="n"/>
      <c r="N156" s="8" t="n"/>
      <c r="O156" s="8" t="n">
        <v>2</v>
      </c>
      <c r="P156" s="8" t="n"/>
      <c r="Q156" s="8" t="n"/>
      <c r="R156" s="8" t="n"/>
      <c r="S156" s="8" t="n"/>
      <c r="T156" s="8" t="n"/>
      <c r="U156" s="8" t="n"/>
      <c r="V156" s="45">
        <f>IF(M156="","",M156/$K156)</f>
        <v/>
      </c>
      <c r="W156" s="45">
        <f>IF(N156="","",N156/$K156)</f>
        <v/>
      </c>
      <c r="X156" s="45">
        <f>IF(O156="","",O156/$K156)</f>
        <v/>
      </c>
      <c r="Y156" s="45">
        <f>IF(P156="","",P156/$K156)</f>
        <v/>
      </c>
      <c r="Z156" s="45">
        <f>IF(Q156="","",Q156/$K156)</f>
        <v/>
      </c>
      <c r="AA156" s="45">
        <f>IF(R156="","",R156/$K156)</f>
        <v/>
      </c>
      <c r="AB156" s="45">
        <f>IF(S156="","",S156/$K156)</f>
        <v/>
      </c>
      <c r="AC156" s="45">
        <f>IF(T156="","",T156/$K156)</f>
        <v/>
      </c>
      <c r="AD156" s="45">
        <f>IF(U156="","",U156/$K156)</f>
        <v/>
      </c>
    </row>
    <row r="157">
      <c r="A157" s="8" t="inlineStr">
        <is>
          <t>NBL</t>
        </is>
      </c>
      <c r="B157" s="8" t="inlineStr">
        <is>
          <t>Haulage</t>
        </is>
      </c>
      <c r="C157" s="8" t="inlineStr">
        <is>
          <t>Ibadan</t>
        </is>
      </c>
      <c r="D157" s="8" t="inlineStr">
        <is>
          <t>Asaba</t>
        </is>
      </c>
      <c r="E157" s="8" t="inlineStr">
        <is>
          <t>ASABA&gt;LAGOS</t>
        </is>
      </c>
      <c r="F157" s="8" t="inlineStr">
        <is>
          <t>Lagos bay used</t>
        </is>
      </c>
      <c r="G157" s="44">
        <f>IFERROR(INDEX('Turnaround Table'!$C$5:$C$231,MATCH(E157,'Turnaround Table'!$D$5:$D$231,0)),"")</f>
        <v/>
      </c>
      <c r="H157" s="43" t="n"/>
      <c r="I157" s="44">
        <f>IF(H157&lt;&gt;"",H157,IF(G157&lt;&gt;"",G157,'Truck Requirement'!$B$5))</f>
        <v/>
      </c>
      <c r="J157" s="44">
        <f>2*I157</f>
        <v/>
      </c>
      <c r="K157" s="8">
        <f>MAX(1,INT('Truck Requirement'!$B$4/J157))</f>
        <v/>
      </c>
      <c r="L157" s="8">
        <f>SUM(M157:U157)</f>
        <v/>
      </c>
      <c r="M157" s="8" t="n">
        <v>1</v>
      </c>
      <c r="N157" s="8" t="n"/>
      <c r="O157" s="8" t="n"/>
      <c r="P157" s="8" t="n"/>
      <c r="Q157" s="8" t="n"/>
      <c r="R157" s="8" t="n">
        <v>1</v>
      </c>
      <c r="S157" s="8" t="n"/>
      <c r="T157" s="8" t="n"/>
      <c r="U157" s="8" t="n"/>
      <c r="V157" s="45">
        <f>IF(M157="","",M157/$K157)</f>
        <v/>
      </c>
      <c r="W157" s="45">
        <f>IF(N157="","",N157/$K157)</f>
        <v/>
      </c>
      <c r="X157" s="45">
        <f>IF(O157="","",O157/$K157)</f>
        <v/>
      </c>
      <c r="Y157" s="45">
        <f>IF(P157="","",P157/$K157)</f>
        <v/>
      </c>
      <c r="Z157" s="45">
        <f>IF(Q157="","",Q157/$K157)</f>
        <v/>
      </c>
      <c r="AA157" s="45">
        <f>IF(R157="","",R157/$K157)</f>
        <v/>
      </c>
      <c r="AB157" s="45">
        <f>IF(S157="","",S157/$K157)</f>
        <v/>
      </c>
      <c r="AC157" s="45">
        <f>IF(T157="","",T157/$K157)</f>
        <v/>
      </c>
      <c r="AD157" s="45">
        <f>IF(U157="","",U157/$K157)</f>
        <v/>
      </c>
    </row>
    <row r="158">
      <c r="A158" s="8" t="inlineStr">
        <is>
          <t>NBL</t>
        </is>
      </c>
      <c r="B158" s="8" t="inlineStr">
        <is>
          <t>Haulage</t>
        </is>
      </c>
      <c r="C158" s="8" t="inlineStr">
        <is>
          <t>Ibadan</t>
        </is>
      </c>
      <c r="D158" s="8" t="inlineStr">
        <is>
          <t>Festac</t>
        </is>
      </c>
      <c r="E158" s="8" t="inlineStr">
        <is>
          <t>FESTAC-MILE2 --AMOWO-OKOTA&gt;LAGOS</t>
        </is>
      </c>
      <c r="F158" s="8" t="inlineStr">
        <is>
          <t>Lagos bay used</t>
        </is>
      </c>
      <c r="G158" s="44">
        <f>IFERROR(INDEX('Turnaround Table'!$C$5:$C$231,MATCH(E158,'Turnaround Table'!$D$5:$D$231,0)),"")</f>
        <v/>
      </c>
      <c r="H158" s="43" t="n"/>
      <c r="I158" s="44">
        <f>IF(H158&lt;&gt;"",H158,IF(G158&lt;&gt;"",G158,'Truck Requirement'!$B$5))</f>
        <v/>
      </c>
      <c r="J158" s="44">
        <f>2*I158</f>
        <v/>
      </c>
      <c r="K158" s="8">
        <f>MAX(1,INT('Truck Requirement'!$B$4/J158))</f>
        <v/>
      </c>
      <c r="L158" s="8">
        <f>SUM(M158:U158)</f>
        <v/>
      </c>
      <c r="M158" s="8" t="n"/>
      <c r="N158" s="8" t="n">
        <v>2</v>
      </c>
      <c r="O158" s="8" t="n"/>
      <c r="P158" s="8" t="n"/>
      <c r="Q158" s="8" t="n"/>
      <c r="R158" s="8" t="n"/>
      <c r="S158" s="8" t="n"/>
      <c r="T158" s="8" t="n"/>
      <c r="U158" s="8" t="n"/>
      <c r="V158" s="45">
        <f>IF(M158="","",M158/$K158)</f>
        <v/>
      </c>
      <c r="W158" s="45">
        <f>IF(N158="","",N158/$K158)</f>
        <v/>
      </c>
      <c r="X158" s="45">
        <f>IF(O158="","",O158/$K158)</f>
        <v/>
      </c>
      <c r="Y158" s="45">
        <f>IF(P158="","",P158/$K158)</f>
        <v/>
      </c>
      <c r="Z158" s="45">
        <f>IF(Q158="","",Q158/$K158)</f>
        <v/>
      </c>
      <c r="AA158" s="45">
        <f>IF(R158="","",R158/$K158)</f>
        <v/>
      </c>
      <c r="AB158" s="45">
        <f>IF(S158="","",S158/$K158)</f>
        <v/>
      </c>
      <c r="AC158" s="45">
        <f>IF(T158="","",T158/$K158)</f>
        <v/>
      </c>
      <c r="AD158" s="45">
        <f>IF(U158="","",U158/$K158)</f>
        <v/>
      </c>
    </row>
    <row r="159">
      <c r="A159" s="8" t="inlineStr">
        <is>
          <t>NBL</t>
        </is>
      </c>
      <c r="B159" s="8" t="inlineStr">
        <is>
          <t>Haulage</t>
        </is>
      </c>
      <c r="C159" s="8" t="inlineStr">
        <is>
          <t>Ibadan</t>
        </is>
      </c>
      <c r="D159" s="8" t="inlineStr">
        <is>
          <t>Ile-Ife</t>
        </is>
      </c>
      <c r="E159" s="8" t="inlineStr">
        <is>
          <t>ILE-IFE&gt;LAGOS</t>
        </is>
      </c>
      <c r="F159" s="8" t="inlineStr">
        <is>
          <t>Lagos bay used</t>
        </is>
      </c>
      <c r="G159" s="44">
        <f>IFERROR(INDEX('Turnaround Table'!$C$5:$C$231,MATCH(E159,'Turnaround Table'!$D$5:$D$231,0)),"")</f>
        <v/>
      </c>
      <c r="H159" s="43" t="n"/>
      <c r="I159" s="44">
        <f>IF(H159&lt;&gt;"",H159,IF(G159&lt;&gt;"",G159,'Truck Requirement'!$B$5))</f>
        <v/>
      </c>
      <c r="J159" s="44">
        <f>2*I159</f>
        <v/>
      </c>
      <c r="K159" s="8">
        <f>MAX(1,INT('Truck Requirement'!$B$4/J159))</f>
        <v/>
      </c>
      <c r="L159" s="8">
        <f>SUM(M159:U159)</f>
        <v/>
      </c>
      <c r="M159" s="8" t="n"/>
      <c r="N159" s="8" t="n">
        <v>1</v>
      </c>
      <c r="O159" s="8" t="n"/>
      <c r="P159" s="8" t="n"/>
      <c r="Q159" s="8" t="n"/>
      <c r="R159" s="8" t="n">
        <v>1</v>
      </c>
      <c r="S159" s="8" t="n"/>
      <c r="T159" s="8" t="n"/>
      <c r="U159" s="8" t="n"/>
      <c r="V159" s="45">
        <f>IF(M159="","",M159/$K159)</f>
        <v/>
      </c>
      <c r="W159" s="45">
        <f>IF(N159="","",N159/$K159)</f>
        <v/>
      </c>
      <c r="X159" s="45">
        <f>IF(O159="","",O159/$K159)</f>
        <v/>
      </c>
      <c r="Y159" s="45">
        <f>IF(P159="","",P159/$K159)</f>
        <v/>
      </c>
      <c r="Z159" s="45">
        <f>IF(Q159="","",Q159/$K159)</f>
        <v/>
      </c>
      <c r="AA159" s="45">
        <f>IF(R159="","",R159/$K159)</f>
        <v/>
      </c>
      <c r="AB159" s="45">
        <f>IF(S159="","",S159/$K159)</f>
        <v/>
      </c>
      <c r="AC159" s="45">
        <f>IF(T159="","",T159/$K159)</f>
        <v/>
      </c>
      <c r="AD159" s="45">
        <f>IF(U159="","",U159/$K159)</f>
        <v/>
      </c>
    </row>
    <row r="160">
      <c r="A160" s="8" t="inlineStr">
        <is>
          <t>NBL</t>
        </is>
      </c>
      <c r="B160" s="8" t="inlineStr">
        <is>
          <t>Haulage</t>
        </is>
      </c>
      <c r="C160" s="8" t="inlineStr">
        <is>
          <t>Ibadan</t>
        </is>
      </c>
      <c r="D160" s="8" t="inlineStr">
        <is>
          <t>Irrua</t>
        </is>
      </c>
      <c r="E160" s="8" t="inlineStr">
        <is>
          <t>UROMI&gt;LAGOS</t>
        </is>
      </c>
      <c r="F160" s="8" t="inlineStr">
        <is>
          <t>Lagos bay used</t>
        </is>
      </c>
      <c r="G160" s="44">
        <f>IFERROR(INDEX('Turnaround Table'!$C$5:$C$231,MATCH(E160,'Turnaround Table'!$D$5:$D$231,0)),"")</f>
        <v/>
      </c>
      <c r="H160" s="43" t="n"/>
      <c r="I160" s="44">
        <f>IF(H160&lt;&gt;"",H160,IF(G160&lt;&gt;"",G160,'Truck Requirement'!$B$5))</f>
        <v/>
      </c>
      <c r="J160" s="44">
        <f>2*I160</f>
        <v/>
      </c>
      <c r="K160" s="8">
        <f>MAX(1,INT('Truck Requirement'!$B$4/J160))</f>
        <v/>
      </c>
      <c r="L160" s="8">
        <f>SUM(M160:U160)</f>
        <v/>
      </c>
      <c r="M160" s="8" t="n"/>
      <c r="N160" s="8" t="n"/>
      <c r="O160" s="8" t="n"/>
      <c r="P160" s="8" t="n"/>
      <c r="Q160" s="8" t="n"/>
      <c r="R160" s="8" t="n"/>
      <c r="S160" s="8" t="n">
        <v>2</v>
      </c>
      <c r="T160" s="8" t="n"/>
      <c r="U160" s="8" t="n"/>
      <c r="V160" s="45">
        <f>IF(M160="","",M160/$K160)</f>
        <v/>
      </c>
      <c r="W160" s="45">
        <f>IF(N160="","",N160/$K160)</f>
        <v/>
      </c>
      <c r="X160" s="45">
        <f>IF(O160="","",O160/$K160)</f>
        <v/>
      </c>
      <c r="Y160" s="45">
        <f>IF(P160="","",P160/$K160)</f>
        <v/>
      </c>
      <c r="Z160" s="45">
        <f>IF(Q160="","",Q160/$K160)</f>
        <v/>
      </c>
      <c r="AA160" s="45">
        <f>IF(R160="","",R160/$K160)</f>
        <v/>
      </c>
      <c r="AB160" s="45">
        <f>IF(S160="","",S160/$K160)</f>
        <v/>
      </c>
      <c r="AC160" s="45">
        <f>IF(T160="","",T160/$K160)</f>
        <v/>
      </c>
      <c r="AD160" s="45">
        <f>IF(U160="","",U160/$K160)</f>
        <v/>
      </c>
    </row>
    <row r="161">
      <c r="A161" s="8" t="inlineStr">
        <is>
          <t>NBL</t>
        </is>
      </c>
      <c r="B161" s="8" t="inlineStr">
        <is>
          <t>Haulage</t>
        </is>
      </c>
      <c r="C161" s="8" t="inlineStr">
        <is>
          <t>Ibadan</t>
        </is>
      </c>
      <c r="D161" s="8" t="inlineStr">
        <is>
          <t>Iwo Road</t>
        </is>
      </c>
      <c r="E161" s="8" t="inlineStr">
        <is>
          <t>IBADAN&gt;IBADAN</t>
        </is>
      </c>
      <c r="F161" s="8" t="inlineStr">
        <is>
          <t>Exact</t>
        </is>
      </c>
      <c r="G161" s="44">
        <f>IFERROR(INDEX('Turnaround Table'!$C$5:$C$231,MATCH(E161,'Turnaround Table'!$D$5:$D$231,0)),"")</f>
        <v/>
      </c>
      <c r="H161" s="43" t="n"/>
      <c r="I161" s="44">
        <f>IF(H161&lt;&gt;"",H161,IF(G161&lt;&gt;"",G161,'Truck Requirement'!$B$5))</f>
        <v/>
      </c>
      <c r="J161" s="44">
        <f>2*I161</f>
        <v/>
      </c>
      <c r="K161" s="8">
        <f>MAX(1,INT('Truck Requirement'!$B$4/J161))</f>
        <v/>
      </c>
      <c r="L161" s="8">
        <f>SUM(M161:U161)</f>
        <v/>
      </c>
      <c r="M161" s="8" t="n">
        <v>2</v>
      </c>
      <c r="N161" s="8" t="n"/>
      <c r="O161" s="8" t="n"/>
      <c r="P161" s="8" t="n"/>
      <c r="Q161" s="8" t="n"/>
      <c r="R161" s="8" t="n"/>
      <c r="S161" s="8" t="n"/>
      <c r="T161" s="8" t="n"/>
      <c r="U161" s="8" t="n"/>
      <c r="V161" s="45">
        <f>IF(M161="","",M161/$K161)</f>
        <v/>
      </c>
      <c r="W161" s="45">
        <f>IF(N161="","",N161/$K161)</f>
        <v/>
      </c>
      <c r="X161" s="45">
        <f>IF(O161="","",O161/$K161)</f>
        <v/>
      </c>
      <c r="Y161" s="45">
        <f>IF(P161="","",P161/$K161)</f>
        <v/>
      </c>
      <c r="Z161" s="45">
        <f>IF(Q161="","",Q161/$K161)</f>
        <v/>
      </c>
      <c r="AA161" s="45">
        <f>IF(R161="","",R161/$K161)</f>
        <v/>
      </c>
      <c r="AB161" s="45">
        <f>IF(S161="","",S161/$K161)</f>
        <v/>
      </c>
      <c r="AC161" s="45">
        <f>IF(T161="","",T161/$K161)</f>
        <v/>
      </c>
      <c r="AD161" s="45">
        <f>IF(U161="","",U161/$K161)</f>
        <v/>
      </c>
    </row>
    <row r="162">
      <c r="A162" s="8" t="inlineStr">
        <is>
          <t>NBL</t>
        </is>
      </c>
      <c r="B162" s="8" t="inlineStr">
        <is>
          <t>Haulage</t>
        </is>
      </c>
      <c r="C162" s="8" t="inlineStr">
        <is>
          <t>Ibadan</t>
        </is>
      </c>
      <c r="D162" s="8" t="inlineStr">
        <is>
          <t>Kishi</t>
        </is>
      </c>
      <c r="E162" s="8" t="inlineStr">
        <is>
          <t>SAKI&gt;LAGOS</t>
        </is>
      </c>
      <c r="F162" s="8" t="inlineStr">
        <is>
          <t>Lagos bay used</t>
        </is>
      </c>
      <c r="G162" s="44">
        <f>IFERROR(INDEX('Turnaround Table'!$C$5:$C$231,MATCH(E162,'Turnaround Table'!$D$5:$D$231,0)),"")</f>
        <v/>
      </c>
      <c r="H162" s="43" t="n"/>
      <c r="I162" s="44">
        <f>IF(H162&lt;&gt;"",H162,IF(G162&lt;&gt;"",G162,'Truck Requirement'!$B$5))</f>
        <v/>
      </c>
      <c r="J162" s="44">
        <f>2*I162</f>
        <v/>
      </c>
      <c r="K162" s="8">
        <f>MAX(1,INT('Truck Requirement'!$B$4/J162))</f>
        <v/>
      </c>
      <c r="L162" s="8">
        <f>SUM(M162:U162)</f>
        <v/>
      </c>
      <c r="M162" s="8" t="n">
        <v>1</v>
      </c>
      <c r="N162" s="8" t="n"/>
      <c r="O162" s="8" t="n"/>
      <c r="P162" s="8" t="n"/>
      <c r="Q162" s="8" t="n"/>
      <c r="R162" s="8" t="n"/>
      <c r="S162" s="8" t="n"/>
      <c r="T162" s="8" t="n">
        <v>1</v>
      </c>
      <c r="U162" s="8" t="n"/>
      <c r="V162" s="45">
        <f>IF(M162="","",M162/$K162)</f>
        <v/>
      </c>
      <c r="W162" s="45">
        <f>IF(N162="","",N162/$K162)</f>
        <v/>
      </c>
      <c r="X162" s="45">
        <f>IF(O162="","",O162/$K162)</f>
        <v/>
      </c>
      <c r="Y162" s="45">
        <f>IF(P162="","",P162/$K162)</f>
        <v/>
      </c>
      <c r="Z162" s="45">
        <f>IF(Q162="","",Q162/$K162)</f>
        <v/>
      </c>
      <c r="AA162" s="45">
        <f>IF(R162="","",R162/$K162)</f>
        <v/>
      </c>
      <c r="AB162" s="45">
        <f>IF(S162="","",S162/$K162)</f>
        <v/>
      </c>
      <c r="AC162" s="45">
        <f>IF(T162="","",T162/$K162)</f>
        <v/>
      </c>
      <c r="AD162" s="45">
        <f>IF(U162="","",U162/$K162)</f>
        <v/>
      </c>
    </row>
    <row r="163">
      <c r="A163" s="8" t="inlineStr">
        <is>
          <t>NBL</t>
        </is>
      </c>
      <c r="B163" s="8" t="inlineStr">
        <is>
          <t>Haulage</t>
        </is>
      </c>
      <c r="C163" s="8" t="inlineStr">
        <is>
          <t>Ibadan</t>
        </is>
      </c>
      <c r="D163" s="8" t="inlineStr">
        <is>
          <t>Masaka</t>
        </is>
      </c>
      <c r="E163" s="8" t="inlineStr">
        <is>
          <t>KEFFI&gt;IBADAN</t>
        </is>
      </c>
      <c r="F163" s="8" t="inlineStr">
        <is>
          <t>Exact</t>
        </is>
      </c>
      <c r="G163" s="44">
        <f>IFERROR(INDEX('Turnaround Table'!$C$5:$C$231,MATCH(E163,'Turnaround Table'!$D$5:$D$231,0)),"")</f>
        <v/>
      </c>
      <c r="H163" s="43" t="n"/>
      <c r="I163" s="44">
        <f>IF(H163&lt;&gt;"",H163,IF(G163&lt;&gt;"",G163,'Truck Requirement'!$B$5))</f>
        <v/>
      </c>
      <c r="J163" s="44">
        <f>2*I163</f>
        <v/>
      </c>
      <c r="K163" s="8">
        <f>MAX(1,INT('Truck Requirement'!$B$4/J163))</f>
        <v/>
      </c>
      <c r="L163" s="8">
        <f>SUM(M163:U163)</f>
        <v/>
      </c>
      <c r="M163" s="8" t="n">
        <v>2</v>
      </c>
      <c r="N163" s="8" t="n"/>
      <c r="O163" s="8" t="n"/>
      <c r="P163" s="8" t="n"/>
      <c r="Q163" s="8" t="n"/>
      <c r="R163" s="8" t="n"/>
      <c r="S163" s="8" t="n"/>
      <c r="T163" s="8" t="n"/>
      <c r="U163" s="8" t="n"/>
      <c r="V163" s="45">
        <f>IF(M163="","",M163/$K163)</f>
        <v/>
      </c>
      <c r="W163" s="45">
        <f>IF(N163="","",N163/$K163)</f>
        <v/>
      </c>
      <c r="X163" s="45">
        <f>IF(O163="","",O163/$K163)</f>
        <v/>
      </c>
      <c r="Y163" s="45">
        <f>IF(P163="","",P163/$K163)</f>
        <v/>
      </c>
      <c r="Z163" s="45">
        <f>IF(Q163="","",Q163/$K163)</f>
        <v/>
      </c>
      <c r="AA163" s="45">
        <f>IF(R163="","",R163/$K163)</f>
        <v/>
      </c>
      <c r="AB163" s="45">
        <f>IF(S163="","",S163/$K163)</f>
        <v/>
      </c>
      <c r="AC163" s="45">
        <f>IF(T163="","",T163/$K163)</f>
        <v/>
      </c>
      <c r="AD163" s="45">
        <f>IF(U163="","",U163/$K163)</f>
        <v/>
      </c>
    </row>
    <row r="164">
      <c r="A164" s="8" t="inlineStr">
        <is>
          <t>NBL</t>
        </is>
      </c>
      <c r="B164" s="8" t="inlineStr">
        <is>
          <t>Haulage</t>
        </is>
      </c>
      <c r="C164" s="8" t="inlineStr">
        <is>
          <t>Ibadan</t>
        </is>
      </c>
      <c r="D164" s="8" t="inlineStr">
        <is>
          <t>Okigwe</t>
        </is>
      </c>
      <c r="E164" s="8" t="inlineStr">
        <is>
          <t>UMUAHIA&gt;LAGOS</t>
        </is>
      </c>
      <c r="F164" s="8" t="inlineStr">
        <is>
          <t>Lagos bay used</t>
        </is>
      </c>
      <c r="G164" s="44">
        <f>IFERROR(INDEX('Turnaround Table'!$C$5:$C$231,MATCH(E164,'Turnaround Table'!$D$5:$D$231,0)),"")</f>
        <v/>
      </c>
      <c r="H164" s="43" t="n"/>
      <c r="I164" s="44">
        <f>IF(H164&lt;&gt;"",H164,IF(G164&lt;&gt;"",G164,'Truck Requirement'!$B$5))</f>
        <v/>
      </c>
      <c r="J164" s="44">
        <f>2*I164</f>
        <v/>
      </c>
      <c r="K164" s="8">
        <f>MAX(1,INT('Truck Requirement'!$B$4/J164))</f>
        <v/>
      </c>
      <c r="L164" s="8">
        <f>SUM(M164:U164)</f>
        <v/>
      </c>
      <c r="M164" s="8" t="n"/>
      <c r="N164" s="8" t="n"/>
      <c r="O164" s="8" t="n"/>
      <c r="P164" s="8" t="n">
        <v>1</v>
      </c>
      <c r="Q164" s="8" t="n"/>
      <c r="R164" s="8" t="n">
        <v>1</v>
      </c>
      <c r="S164" s="8" t="n"/>
      <c r="T164" s="8" t="n"/>
      <c r="U164" s="8" t="n"/>
      <c r="V164" s="45">
        <f>IF(M164="","",M164/$K164)</f>
        <v/>
      </c>
      <c r="W164" s="45">
        <f>IF(N164="","",N164/$K164)</f>
        <v/>
      </c>
      <c r="X164" s="45">
        <f>IF(O164="","",O164/$K164)</f>
        <v/>
      </c>
      <c r="Y164" s="45">
        <f>IF(P164="","",P164/$K164)</f>
        <v/>
      </c>
      <c r="Z164" s="45">
        <f>IF(Q164="","",Q164/$K164)</f>
        <v/>
      </c>
      <c r="AA164" s="45">
        <f>IF(R164="","",R164/$K164)</f>
        <v/>
      </c>
      <c r="AB164" s="45">
        <f>IF(S164="","",S164/$K164)</f>
        <v/>
      </c>
      <c r="AC164" s="45">
        <f>IF(T164="","",T164/$K164)</f>
        <v/>
      </c>
      <c r="AD164" s="45">
        <f>IF(U164="","",U164/$K164)</f>
        <v/>
      </c>
    </row>
    <row r="165">
      <c r="A165" s="8" t="inlineStr">
        <is>
          <t>NBL</t>
        </is>
      </c>
      <c r="B165" s="8" t="inlineStr">
        <is>
          <t>Haulage</t>
        </is>
      </c>
      <c r="C165" s="8" t="inlineStr">
        <is>
          <t>Ibadan</t>
        </is>
      </c>
      <c r="D165" s="8" t="inlineStr">
        <is>
          <t>Okpella</t>
        </is>
      </c>
      <c r="E165" s="8" t="inlineStr">
        <is>
          <t>AUCHI&gt;LAGOS</t>
        </is>
      </c>
      <c r="F165" s="8" t="inlineStr">
        <is>
          <t>Lagos bay used</t>
        </is>
      </c>
      <c r="G165" s="44">
        <f>IFERROR(INDEX('Turnaround Table'!$C$5:$C$231,MATCH(E165,'Turnaround Table'!$D$5:$D$231,0)),"")</f>
        <v/>
      </c>
      <c r="H165" s="43" t="n"/>
      <c r="I165" s="44">
        <f>IF(H165&lt;&gt;"",H165,IF(G165&lt;&gt;"",G165,'Truck Requirement'!$B$5))</f>
        <v/>
      </c>
      <c r="J165" s="44">
        <f>2*I165</f>
        <v/>
      </c>
      <c r="K165" s="8">
        <f>MAX(1,INT('Truck Requirement'!$B$4/J165))</f>
        <v/>
      </c>
      <c r="L165" s="8">
        <f>SUM(M165:U165)</f>
        <v/>
      </c>
      <c r="M165" s="8" t="n"/>
      <c r="N165" s="8" t="n">
        <v>1</v>
      </c>
      <c r="O165" s="8" t="n"/>
      <c r="P165" s="8" t="n">
        <v>1</v>
      </c>
      <c r="Q165" s="8" t="n"/>
      <c r="R165" s="8" t="n"/>
      <c r="S165" s="8" t="n"/>
      <c r="T165" s="8" t="n"/>
      <c r="U165" s="8" t="n"/>
      <c r="V165" s="45">
        <f>IF(M165="","",M165/$K165)</f>
        <v/>
      </c>
      <c r="W165" s="45">
        <f>IF(N165="","",N165/$K165)</f>
        <v/>
      </c>
      <c r="X165" s="45">
        <f>IF(O165="","",O165/$K165)</f>
        <v/>
      </c>
      <c r="Y165" s="45">
        <f>IF(P165="","",P165/$K165)</f>
        <v/>
      </c>
      <c r="Z165" s="45">
        <f>IF(Q165="","",Q165/$K165)</f>
        <v/>
      </c>
      <c r="AA165" s="45">
        <f>IF(R165="","",R165/$K165)</f>
        <v/>
      </c>
      <c r="AB165" s="45">
        <f>IF(S165="","",S165/$K165)</f>
        <v/>
      </c>
      <c r="AC165" s="45">
        <f>IF(T165="","",T165/$K165)</f>
        <v/>
      </c>
      <c r="AD165" s="45">
        <f>IF(U165="","",U165/$K165)</f>
        <v/>
      </c>
    </row>
    <row r="166">
      <c r="A166" s="8" t="inlineStr">
        <is>
          <t>NBL</t>
        </is>
      </c>
      <c r="B166" s="8" t="inlineStr">
        <is>
          <t>Haulage</t>
        </is>
      </c>
      <c r="C166" s="8" t="inlineStr">
        <is>
          <t>Ibadan</t>
        </is>
      </c>
      <c r="D166" s="8" t="inlineStr">
        <is>
          <t>Ota</t>
        </is>
      </c>
      <c r="E166" s="8" t="inlineStr">
        <is>
          <t>SANGO OTTA&gt;LAGOS</t>
        </is>
      </c>
      <c r="F166" s="8" t="inlineStr">
        <is>
          <t>Lagos bay used</t>
        </is>
      </c>
      <c r="G166" s="44">
        <f>IFERROR(INDEX('Turnaround Table'!$C$5:$C$231,MATCH(E166,'Turnaround Table'!$D$5:$D$231,0)),"")</f>
        <v/>
      </c>
      <c r="H166" s="43" t="n"/>
      <c r="I166" s="44">
        <f>IF(H166&lt;&gt;"",H166,IF(G166&lt;&gt;"",G166,'Truck Requirement'!$B$5))</f>
        <v/>
      </c>
      <c r="J166" s="44">
        <f>2*I166</f>
        <v/>
      </c>
      <c r="K166" s="8">
        <f>MAX(1,INT('Truck Requirement'!$B$4/J166))</f>
        <v/>
      </c>
      <c r="L166" s="8">
        <f>SUM(M166:U166)</f>
        <v/>
      </c>
      <c r="M166" s="8" t="n"/>
      <c r="N166" s="8" t="n">
        <v>2</v>
      </c>
      <c r="O166" s="8" t="n"/>
      <c r="P166" s="8" t="n"/>
      <c r="Q166" s="8" t="n"/>
      <c r="R166" s="8" t="n"/>
      <c r="S166" s="8" t="n"/>
      <c r="T166" s="8" t="n"/>
      <c r="U166" s="8" t="n"/>
      <c r="V166" s="45">
        <f>IF(M166="","",M166/$K166)</f>
        <v/>
      </c>
      <c r="W166" s="45">
        <f>IF(N166="","",N166/$K166)</f>
        <v/>
      </c>
      <c r="X166" s="45">
        <f>IF(O166="","",O166/$K166)</f>
        <v/>
      </c>
      <c r="Y166" s="45">
        <f>IF(P166="","",P166/$K166)</f>
        <v/>
      </c>
      <c r="Z166" s="45">
        <f>IF(Q166="","",Q166/$K166)</f>
        <v/>
      </c>
      <c r="AA166" s="45">
        <f>IF(R166="","",R166/$K166)</f>
        <v/>
      </c>
      <c r="AB166" s="45">
        <f>IF(S166="","",S166/$K166)</f>
        <v/>
      </c>
      <c r="AC166" s="45">
        <f>IF(T166="","",T166/$K166)</f>
        <v/>
      </c>
      <c r="AD166" s="45">
        <f>IF(U166="","",U166/$K166)</f>
        <v/>
      </c>
    </row>
    <row r="167">
      <c r="A167" s="8" t="inlineStr">
        <is>
          <t>NBL</t>
        </is>
      </c>
      <c r="B167" s="8" t="inlineStr">
        <is>
          <t>Haulage</t>
        </is>
      </c>
      <c r="C167" s="8" t="inlineStr">
        <is>
          <t>Ibadan</t>
        </is>
      </c>
      <c r="D167" s="8" t="inlineStr">
        <is>
          <t>Owo</t>
        </is>
      </c>
      <c r="E167" s="8" t="inlineStr">
        <is>
          <t>AKURE&gt;LAGOS</t>
        </is>
      </c>
      <c r="F167" s="8" t="inlineStr">
        <is>
          <t>Lagos bay used</t>
        </is>
      </c>
      <c r="G167" s="44">
        <f>IFERROR(INDEX('Turnaround Table'!$C$5:$C$231,MATCH(E167,'Turnaround Table'!$D$5:$D$231,0)),"")</f>
        <v/>
      </c>
      <c r="H167" s="43" t="n"/>
      <c r="I167" s="44">
        <f>IF(H167&lt;&gt;"",H167,IF(G167&lt;&gt;"",G167,'Truck Requirement'!$B$5))</f>
        <v/>
      </c>
      <c r="J167" s="44">
        <f>2*I167</f>
        <v/>
      </c>
      <c r="K167" s="8">
        <f>MAX(1,INT('Truck Requirement'!$B$4/J167))</f>
        <v/>
      </c>
      <c r="L167" s="8">
        <f>SUM(M167:U167)</f>
        <v/>
      </c>
      <c r="M167" s="8" t="n">
        <v>2</v>
      </c>
      <c r="N167" s="8" t="n"/>
      <c r="O167" s="8" t="n"/>
      <c r="P167" s="8" t="n"/>
      <c r="Q167" s="8" t="n"/>
      <c r="R167" s="8" t="n"/>
      <c r="S167" s="8" t="n"/>
      <c r="T167" s="8" t="n"/>
      <c r="U167" s="8" t="n"/>
      <c r="V167" s="45">
        <f>IF(M167="","",M167/$K167)</f>
        <v/>
      </c>
      <c r="W167" s="45">
        <f>IF(N167="","",N167/$K167)</f>
        <v/>
      </c>
      <c r="X167" s="45">
        <f>IF(O167="","",O167/$K167)</f>
        <v/>
      </c>
      <c r="Y167" s="45">
        <f>IF(P167="","",P167/$K167)</f>
        <v/>
      </c>
      <c r="Z167" s="45">
        <f>IF(Q167="","",Q167/$K167)</f>
        <v/>
      </c>
      <c r="AA167" s="45">
        <f>IF(R167="","",R167/$K167)</f>
        <v/>
      </c>
      <c r="AB167" s="45">
        <f>IF(S167="","",S167/$K167)</f>
        <v/>
      </c>
      <c r="AC167" s="45">
        <f>IF(T167="","",T167/$K167)</f>
        <v/>
      </c>
      <c r="AD167" s="45">
        <f>IF(U167="","",U167/$K167)</f>
        <v/>
      </c>
    </row>
    <row r="168">
      <c r="A168" s="8" t="inlineStr">
        <is>
          <t>NBL</t>
        </is>
      </c>
      <c r="B168" s="8" t="inlineStr">
        <is>
          <t>Haulage</t>
        </is>
      </c>
      <c r="C168" s="8" t="inlineStr">
        <is>
          <t>Ibadan</t>
        </is>
      </c>
      <c r="D168" s="8" t="inlineStr">
        <is>
          <t>Oyo</t>
        </is>
      </c>
      <c r="E168" s="8" t="inlineStr">
        <is>
          <t>OYO&gt;LAGOS</t>
        </is>
      </c>
      <c r="F168" s="8" t="inlineStr">
        <is>
          <t>Lagos bay used</t>
        </is>
      </c>
      <c r="G168" s="44">
        <f>IFERROR(INDEX('Turnaround Table'!$C$5:$C$231,MATCH(E168,'Turnaround Table'!$D$5:$D$231,0)),"")</f>
        <v/>
      </c>
      <c r="H168" s="43" t="n"/>
      <c r="I168" s="44">
        <f>IF(H168&lt;&gt;"",H168,IF(G168&lt;&gt;"",G168,'Truck Requirement'!$B$5))</f>
        <v/>
      </c>
      <c r="J168" s="44">
        <f>2*I168</f>
        <v/>
      </c>
      <c r="K168" s="8">
        <f>MAX(1,INT('Truck Requirement'!$B$4/J168))</f>
        <v/>
      </c>
      <c r="L168" s="8">
        <f>SUM(M168:U168)</f>
        <v/>
      </c>
      <c r="M168" s="8" t="n">
        <v>1</v>
      </c>
      <c r="N168" s="8" t="n"/>
      <c r="O168" s="8" t="n"/>
      <c r="P168" s="8" t="n">
        <v>1</v>
      </c>
      <c r="Q168" s="8" t="n"/>
      <c r="R168" s="8" t="n"/>
      <c r="S168" s="8" t="n"/>
      <c r="T168" s="8" t="n"/>
      <c r="U168" s="8" t="n"/>
      <c r="V168" s="45">
        <f>IF(M168="","",M168/$K168)</f>
        <v/>
      </c>
      <c r="W168" s="45">
        <f>IF(N168="","",N168/$K168)</f>
        <v/>
      </c>
      <c r="X168" s="45">
        <f>IF(O168="","",O168/$K168)</f>
        <v/>
      </c>
      <c r="Y168" s="45">
        <f>IF(P168="","",P168/$K168)</f>
        <v/>
      </c>
      <c r="Z168" s="45">
        <f>IF(Q168="","",Q168/$K168)</f>
        <v/>
      </c>
      <c r="AA168" s="45">
        <f>IF(R168="","",R168/$K168)</f>
        <v/>
      </c>
      <c r="AB168" s="45">
        <f>IF(S168="","",S168/$K168)</f>
        <v/>
      </c>
      <c r="AC168" s="45">
        <f>IF(T168="","",T168/$K168)</f>
        <v/>
      </c>
      <c r="AD168" s="45">
        <f>IF(U168="","",U168/$K168)</f>
        <v/>
      </c>
    </row>
    <row r="169">
      <c r="A169" s="8" t="inlineStr">
        <is>
          <t>NBL</t>
        </is>
      </c>
      <c r="B169" s="8" t="inlineStr">
        <is>
          <t>Haulage</t>
        </is>
      </c>
      <c r="C169" s="8" t="inlineStr">
        <is>
          <t>Ibadan</t>
        </is>
      </c>
      <c r="D169" s="8" t="inlineStr">
        <is>
          <t>Sango Ota</t>
        </is>
      </c>
      <c r="E169" s="8" t="inlineStr">
        <is>
          <t>SANGO OTTA&gt;LAGOS</t>
        </is>
      </c>
      <c r="F169" s="8" t="inlineStr">
        <is>
          <t>Lagos bay used</t>
        </is>
      </c>
      <c r="G169" s="44">
        <f>IFERROR(INDEX('Turnaround Table'!$C$5:$C$231,MATCH(E169,'Turnaround Table'!$D$5:$D$231,0)),"")</f>
        <v/>
      </c>
      <c r="H169" s="43" t="n"/>
      <c r="I169" s="44">
        <f>IF(H169&lt;&gt;"",H169,IF(G169&lt;&gt;"",G169,'Truck Requirement'!$B$5))</f>
        <v/>
      </c>
      <c r="J169" s="44">
        <f>2*I169</f>
        <v/>
      </c>
      <c r="K169" s="8">
        <f>MAX(1,INT('Truck Requirement'!$B$4/J169))</f>
        <v/>
      </c>
      <c r="L169" s="8">
        <f>SUM(M169:U169)</f>
        <v/>
      </c>
      <c r="M169" s="8" t="n">
        <v>2</v>
      </c>
      <c r="N169" s="8" t="n"/>
      <c r="O169" s="8" t="n"/>
      <c r="P169" s="8" t="n"/>
      <c r="Q169" s="8" t="n"/>
      <c r="R169" s="8" t="n"/>
      <c r="S169" s="8" t="n"/>
      <c r="T169" s="8" t="n"/>
      <c r="U169" s="8" t="n"/>
      <c r="V169" s="45">
        <f>IF(M169="","",M169/$K169)</f>
        <v/>
      </c>
      <c r="W169" s="45">
        <f>IF(N169="","",N169/$K169)</f>
        <v/>
      </c>
      <c r="X169" s="45">
        <f>IF(O169="","",O169/$K169)</f>
        <v/>
      </c>
      <c r="Y169" s="45">
        <f>IF(P169="","",P169/$K169)</f>
        <v/>
      </c>
      <c r="Z169" s="45">
        <f>IF(Q169="","",Q169/$K169)</f>
        <v/>
      </c>
      <c r="AA169" s="45">
        <f>IF(R169="","",R169/$K169)</f>
        <v/>
      </c>
      <c r="AB169" s="45">
        <f>IF(S169="","",S169/$K169)</f>
        <v/>
      </c>
      <c r="AC169" s="45">
        <f>IF(T169="","",T169/$K169)</f>
        <v/>
      </c>
      <c r="AD169" s="45">
        <f>IF(U169="","",U169/$K169)</f>
        <v/>
      </c>
    </row>
    <row r="170">
      <c r="A170" s="8" t="inlineStr">
        <is>
          <t>NBL</t>
        </is>
      </c>
      <c r="B170" s="8" t="inlineStr">
        <is>
          <t>Haulage</t>
        </is>
      </c>
      <c r="C170" s="8" t="inlineStr">
        <is>
          <t>Ibadan</t>
        </is>
      </c>
      <c r="D170" s="8" t="inlineStr">
        <is>
          <t>Warri</t>
        </is>
      </c>
      <c r="E170" s="8" t="inlineStr">
        <is>
          <t>WARRI&gt;LAGOS</t>
        </is>
      </c>
      <c r="F170" s="8" t="inlineStr">
        <is>
          <t>Lagos bay used</t>
        </is>
      </c>
      <c r="G170" s="44">
        <f>IFERROR(INDEX('Turnaround Table'!$C$5:$C$231,MATCH(E170,'Turnaround Table'!$D$5:$D$231,0)),"")</f>
        <v/>
      </c>
      <c r="H170" s="43" t="n"/>
      <c r="I170" s="44">
        <f>IF(H170&lt;&gt;"",H170,IF(G170&lt;&gt;"",G170,'Truck Requirement'!$B$5))</f>
        <v/>
      </c>
      <c r="J170" s="44">
        <f>2*I170</f>
        <v/>
      </c>
      <c r="K170" s="8">
        <f>MAX(1,INT('Truck Requirement'!$B$4/J170))</f>
        <v/>
      </c>
      <c r="L170" s="8">
        <f>SUM(M170:U170)</f>
        <v/>
      </c>
      <c r="M170" s="8" t="n">
        <v>1</v>
      </c>
      <c r="N170" s="8" t="n"/>
      <c r="O170" s="8" t="n">
        <v>1</v>
      </c>
      <c r="P170" s="8" t="n"/>
      <c r="Q170" s="8" t="n"/>
      <c r="R170" s="8" t="n"/>
      <c r="S170" s="8" t="n"/>
      <c r="T170" s="8" t="n"/>
      <c r="U170" s="8" t="n"/>
      <c r="V170" s="45">
        <f>IF(M170="","",M170/$K170)</f>
        <v/>
      </c>
      <c r="W170" s="45">
        <f>IF(N170="","",N170/$K170)</f>
        <v/>
      </c>
      <c r="X170" s="45">
        <f>IF(O170="","",O170/$K170)</f>
        <v/>
      </c>
      <c r="Y170" s="45">
        <f>IF(P170="","",P170/$K170)</f>
        <v/>
      </c>
      <c r="Z170" s="45">
        <f>IF(Q170="","",Q170/$K170)</f>
        <v/>
      </c>
      <c r="AA170" s="45">
        <f>IF(R170="","",R170/$K170)</f>
        <v/>
      </c>
      <c r="AB170" s="45">
        <f>IF(S170="","",S170/$K170)</f>
        <v/>
      </c>
      <c r="AC170" s="45">
        <f>IF(T170="","",T170/$K170)</f>
        <v/>
      </c>
      <c r="AD170" s="45">
        <f>IF(U170="","",U170/$K170)</f>
        <v/>
      </c>
    </row>
    <row r="171">
      <c r="A171" s="8" t="inlineStr">
        <is>
          <t>NBL</t>
        </is>
      </c>
      <c r="B171" s="8" t="inlineStr">
        <is>
          <t>Haulage</t>
        </is>
      </c>
      <c r="C171" s="8" t="inlineStr">
        <is>
          <t>Ijebu Ode</t>
        </is>
      </c>
      <c r="D171" s="8" t="inlineStr">
        <is>
          <t>Ado-Ekiti</t>
        </is>
      </c>
      <c r="E171" s="8" t="inlineStr">
        <is>
          <t>ADO-EKITI&gt;LAGOS</t>
        </is>
      </c>
      <c r="F171" s="8" t="inlineStr">
        <is>
          <t>Nearest bay (Lagos)</t>
        </is>
      </c>
      <c r="G171" s="44">
        <f>IFERROR(INDEX('Turnaround Table'!$C$5:$C$231,MATCH(E171,'Turnaround Table'!$D$5:$D$231,0)),"")</f>
        <v/>
      </c>
      <c r="H171" s="43" t="n"/>
      <c r="I171" s="44">
        <f>IF(H171&lt;&gt;"",H171,IF(G171&lt;&gt;"",G171,'Truck Requirement'!$B$5))</f>
        <v/>
      </c>
      <c r="J171" s="44">
        <f>2*I171</f>
        <v/>
      </c>
      <c r="K171" s="8">
        <f>MAX(1,INT('Truck Requirement'!$B$4/J171))</f>
        <v/>
      </c>
      <c r="L171" s="8">
        <f>SUM(M171:U171)</f>
        <v/>
      </c>
      <c r="M171" s="8" t="n"/>
      <c r="N171" s="8" t="n"/>
      <c r="O171" s="8" t="n"/>
      <c r="P171" s="8" t="n">
        <v>1</v>
      </c>
      <c r="Q171" s="8" t="n">
        <v>1</v>
      </c>
      <c r="R171" s="8" t="n"/>
      <c r="S171" s="8" t="n"/>
      <c r="T171" s="8" t="n"/>
      <c r="U171" s="8" t="n"/>
      <c r="V171" s="45">
        <f>IF(M171="","",M171/$K171)</f>
        <v/>
      </c>
      <c r="W171" s="45">
        <f>IF(N171="","",N171/$K171)</f>
        <v/>
      </c>
      <c r="X171" s="45">
        <f>IF(O171="","",O171/$K171)</f>
        <v/>
      </c>
      <c r="Y171" s="45">
        <f>IF(P171="","",P171/$K171)</f>
        <v/>
      </c>
      <c r="Z171" s="45">
        <f>IF(Q171="","",Q171/$K171)</f>
        <v/>
      </c>
      <c r="AA171" s="45">
        <f>IF(R171="","",R171/$K171)</f>
        <v/>
      </c>
      <c r="AB171" s="45">
        <f>IF(S171="","",S171/$K171)</f>
        <v/>
      </c>
      <c r="AC171" s="45">
        <f>IF(T171="","",T171/$K171)</f>
        <v/>
      </c>
      <c r="AD171" s="45">
        <f>IF(U171="","",U171/$K171)</f>
        <v/>
      </c>
    </row>
    <row r="172">
      <c r="A172" s="8" t="inlineStr">
        <is>
          <t>NBL</t>
        </is>
      </c>
      <c r="B172" s="8" t="inlineStr">
        <is>
          <t>Haulage</t>
        </is>
      </c>
      <c r="C172" s="8" t="inlineStr">
        <is>
          <t>Ijebu Ode</t>
        </is>
      </c>
      <c r="D172" s="8" t="inlineStr">
        <is>
          <t>Auchi</t>
        </is>
      </c>
      <c r="E172" s="8" t="inlineStr">
        <is>
          <t>AUCHI&gt;LAGOS</t>
        </is>
      </c>
      <c r="F172" s="8" t="inlineStr">
        <is>
          <t>Nearest bay (Lagos)</t>
        </is>
      </c>
      <c r="G172" s="44">
        <f>IFERROR(INDEX('Turnaround Table'!$C$5:$C$231,MATCH(E172,'Turnaround Table'!$D$5:$D$231,0)),"")</f>
        <v/>
      </c>
      <c r="H172" s="43" t="n"/>
      <c r="I172" s="44">
        <f>IF(H172&lt;&gt;"",H172,IF(G172&lt;&gt;"",G172,'Truck Requirement'!$B$5))</f>
        <v/>
      </c>
      <c r="J172" s="44">
        <f>2*I172</f>
        <v/>
      </c>
      <c r="K172" s="8">
        <f>MAX(1,INT('Truck Requirement'!$B$4/J172))</f>
        <v/>
      </c>
      <c r="L172" s="8">
        <f>SUM(M172:U172)</f>
        <v/>
      </c>
      <c r="M172" s="8" t="n"/>
      <c r="N172" s="8" t="n"/>
      <c r="O172" s="8" t="n">
        <v>1</v>
      </c>
      <c r="P172" s="8" t="n"/>
      <c r="Q172" s="8" t="n">
        <v>1</v>
      </c>
      <c r="R172" s="8" t="n"/>
      <c r="S172" s="8" t="n"/>
      <c r="T172" s="8" t="n"/>
      <c r="U172" s="8" t="n"/>
      <c r="V172" s="45">
        <f>IF(M172="","",M172/$K172)</f>
        <v/>
      </c>
      <c r="W172" s="45">
        <f>IF(N172="","",N172/$K172)</f>
        <v/>
      </c>
      <c r="X172" s="45">
        <f>IF(O172="","",O172/$K172)</f>
        <v/>
      </c>
      <c r="Y172" s="45">
        <f>IF(P172="","",P172/$K172)</f>
        <v/>
      </c>
      <c r="Z172" s="45">
        <f>IF(Q172="","",Q172/$K172)</f>
        <v/>
      </c>
      <c r="AA172" s="45">
        <f>IF(R172="","",R172/$K172)</f>
        <v/>
      </c>
      <c r="AB172" s="45">
        <f>IF(S172="","",S172/$K172)</f>
        <v/>
      </c>
      <c r="AC172" s="45">
        <f>IF(T172="","",T172/$K172)</f>
        <v/>
      </c>
      <c r="AD172" s="45">
        <f>IF(U172="","",U172/$K172)</f>
        <v/>
      </c>
    </row>
    <row r="173">
      <c r="A173" s="8" t="inlineStr">
        <is>
          <t>NBL</t>
        </is>
      </c>
      <c r="B173" s="8" t="inlineStr">
        <is>
          <t>Haulage</t>
        </is>
      </c>
      <c r="C173" s="8" t="inlineStr">
        <is>
          <t>Ijebu Ode</t>
        </is>
      </c>
      <c r="D173" s="8" t="inlineStr">
        <is>
          <t>Gboko</t>
        </is>
      </c>
      <c r="E173" s="8" t="inlineStr">
        <is>
          <t>GBOKO&gt;LAGOS</t>
        </is>
      </c>
      <c r="F173" s="8" t="inlineStr">
        <is>
          <t>Nearest bay (Lagos)</t>
        </is>
      </c>
      <c r="G173" s="44">
        <f>IFERROR(INDEX('Turnaround Table'!$C$5:$C$231,MATCH(E173,'Turnaround Table'!$D$5:$D$231,0)),"")</f>
        <v/>
      </c>
      <c r="H173" s="43" t="n"/>
      <c r="I173" s="44">
        <f>IF(H173&lt;&gt;"",H173,IF(G173&lt;&gt;"",G173,'Truck Requirement'!$B$5))</f>
        <v/>
      </c>
      <c r="J173" s="44">
        <f>2*I173</f>
        <v/>
      </c>
      <c r="K173" s="8">
        <f>MAX(1,INT('Truck Requirement'!$B$4/J173))</f>
        <v/>
      </c>
      <c r="L173" s="8">
        <f>SUM(M173:U173)</f>
        <v/>
      </c>
      <c r="M173" s="8" t="n"/>
      <c r="N173" s="8" t="n"/>
      <c r="O173" s="8" t="n">
        <v>2</v>
      </c>
      <c r="P173" s="8" t="n"/>
      <c r="Q173" s="8" t="n"/>
      <c r="R173" s="8" t="n"/>
      <c r="S173" s="8" t="n"/>
      <c r="T173" s="8" t="n"/>
      <c r="U173" s="8" t="n"/>
      <c r="V173" s="45">
        <f>IF(M173="","",M173/$K173)</f>
        <v/>
      </c>
      <c r="W173" s="45">
        <f>IF(N173="","",N173/$K173)</f>
        <v/>
      </c>
      <c r="X173" s="45">
        <f>IF(O173="","",O173/$K173)</f>
        <v/>
      </c>
      <c r="Y173" s="45">
        <f>IF(P173="","",P173/$K173)</f>
        <v/>
      </c>
      <c r="Z173" s="45">
        <f>IF(Q173="","",Q173/$K173)</f>
        <v/>
      </c>
      <c r="AA173" s="45">
        <f>IF(R173="","",R173/$K173)</f>
        <v/>
      </c>
      <c r="AB173" s="45">
        <f>IF(S173="","",S173/$K173)</f>
        <v/>
      </c>
      <c r="AC173" s="45">
        <f>IF(T173="","",T173/$K173)</f>
        <v/>
      </c>
      <c r="AD173" s="45">
        <f>IF(U173="","",U173/$K173)</f>
        <v/>
      </c>
    </row>
    <row r="174">
      <c r="A174" s="8" t="inlineStr">
        <is>
          <t>NBL</t>
        </is>
      </c>
      <c r="B174" s="8" t="inlineStr">
        <is>
          <t>Haulage</t>
        </is>
      </c>
      <c r="C174" s="8" t="inlineStr">
        <is>
          <t>Ijebu Ode</t>
        </is>
      </c>
      <c r="D174" s="8" t="inlineStr">
        <is>
          <t>Ota</t>
        </is>
      </c>
      <c r="E174" s="8" t="inlineStr">
        <is>
          <t>SANGO OTTA&gt;LAGOS</t>
        </is>
      </c>
      <c r="F174" s="8" t="inlineStr">
        <is>
          <t>Nearest bay (Lagos)</t>
        </is>
      </c>
      <c r="G174" s="44">
        <f>IFERROR(INDEX('Turnaround Table'!$C$5:$C$231,MATCH(E174,'Turnaround Table'!$D$5:$D$231,0)),"")</f>
        <v/>
      </c>
      <c r="H174" s="43" t="n"/>
      <c r="I174" s="44">
        <f>IF(H174&lt;&gt;"",H174,IF(G174&lt;&gt;"",G174,'Truck Requirement'!$B$5))</f>
        <v/>
      </c>
      <c r="J174" s="44">
        <f>2*I174</f>
        <v/>
      </c>
      <c r="K174" s="8">
        <f>MAX(1,INT('Truck Requirement'!$B$4/J174))</f>
        <v/>
      </c>
      <c r="L174" s="8">
        <f>SUM(M174:U174)</f>
        <v/>
      </c>
      <c r="M174" s="8" t="n"/>
      <c r="N174" s="8" t="n"/>
      <c r="O174" s="8" t="n"/>
      <c r="P174" s="8" t="n">
        <v>2</v>
      </c>
      <c r="Q174" s="8" t="n"/>
      <c r="R174" s="8" t="n"/>
      <c r="S174" s="8" t="n"/>
      <c r="T174" s="8" t="n"/>
      <c r="U174" s="8" t="n"/>
      <c r="V174" s="45">
        <f>IF(M174="","",M174/$K174)</f>
        <v/>
      </c>
      <c r="W174" s="45">
        <f>IF(N174="","",N174/$K174)</f>
        <v/>
      </c>
      <c r="X174" s="45">
        <f>IF(O174="","",O174/$K174)</f>
        <v/>
      </c>
      <c r="Y174" s="45">
        <f>IF(P174="","",P174/$K174)</f>
        <v/>
      </c>
      <c r="Z174" s="45">
        <f>IF(Q174="","",Q174/$K174)</f>
        <v/>
      </c>
      <c r="AA174" s="45">
        <f>IF(R174="","",R174/$K174)</f>
        <v/>
      </c>
      <c r="AB174" s="45">
        <f>IF(S174="","",S174/$K174)</f>
        <v/>
      </c>
      <c r="AC174" s="45">
        <f>IF(T174="","",T174/$K174)</f>
        <v/>
      </c>
      <c r="AD174" s="45">
        <f>IF(U174="","",U174/$K174)</f>
        <v/>
      </c>
    </row>
    <row r="175">
      <c r="A175" s="51" t="inlineStr">
        <is>
          <t>NBL</t>
        </is>
      </c>
      <c r="B175" s="51" t="inlineStr">
        <is>
          <t>Haulage</t>
        </is>
      </c>
      <c r="C175" s="51" t="inlineStr">
        <is>
          <t>Jos</t>
        </is>
      </c>
      <c r="D175" s="51" t="inlineStr">
        <is>
          <t>Ngb4</t>
        </is>
      </c>
      <c r="E175" s="51" t="n">
        <v/>
      </c>
      <c r="F175" s="51" t="inlineStr">
        <is>
          <t>Not in table</t>
        </is>
      </c>
      <c r="G175" s="44">
        <f>IFERROR(INDEX('Turnaround Table'!$C$5:$C$231,MATCH(E175,'Turnaround Table'!$D$5:$D$231,0)),"")</f>
        <v/>
      </c>
      <c r="H175" s="43" t="n"/>
      <c r="I175" s="44">
        <f>IF(H175&lt;&gt;"",H175,IF(G175&lt;&gt;"",G175,'Truck Requirement'!$B$5))</f>
        <v/>
      </c>
      <c r="J175" s="44">
        <f>2*I175</f>
        <v/>
      </c>
      <c r="K175" s="8">
        <f>MAX(1,INT('Truck Requirement'!$B$4/J175))</f>
        <v/>
      </c>
      <c r="L175" s="8">
        <f>SUM(M175:U175)</f>
        <v/>
      </c>
      <c r="M175" s="8" t="n"/>
      <c r="N175" s="8" t="n"/>
      <c r="O175" s="8" t="n">
        <v>2</v>
      </c>
      <c r="P175" s="8" t="n"/>
      <c r="Q175" s="8" t="n"/>
      <c r="R175" s="8" t="n"/>
      <c r="S175" s="8" t="n"/>
      <c r="T175" s="8" t="n"/>
      <c r="U175" s="8" t="n"/>
      <c r="V175" s="45">
        <f>IF(M175="","",M175/$K175)</f>
        <v/>
      </c>
      <c r="W175" s="45">
        <f>IF(N175="","",N175/$K175)</f>
        <v/>
      </c>
      <c r="X175" s="45">
        <f>IF(O175="","",O175/$K175)</f>
        <v/>
      </c>
      <c r="Y175" s="45">
        <f>IF(P175="","",P175/$K175)</f>
        <v/>
      </c>
      <c r="Z175" s="45">
        <f>IF(Q175="","",Q175/$K175)</f>
        <v/>
      </c>
      <c r="AA175" s="45">
        <f>IF(R175="","",R175/$K175)</f>
        <v/>
      </c>
      <c r="AB175" s="45">
        <f>IF(S175="","",S175/$K175)</f>
        <v/>
      </c>
      <c r="AC175" s="45">
        <f>IF(T175="","",T175/$K175)</f>
        <v/>
      </c>
      <c r="AD175" s="45">
        <f>IF(U175="","",U175/$K175)</f>
        <v/>
      </c>
    </row>
    <row r="176">
      <c r="A176" s="51" t="inlineStr">
        <is>
          <t>NBL</t>
        </is>
      </c>
      <c r="B176" s="51" t="inlineStr">
        <is>
          <t>Haulage</t>
        </is>
      </c>
      <c r="C176" s="51" t="inlineStr">
        <is>
          <t>Kaduna (Kudenda)</t>
        </is>
      </c>
      <c r="D176" s="51" t="inlineStr">
        <is>
          <t>Ama</t>
        </is>
      </c>
      <c r="E176" s="51" t="n">
        <v/>
      </c>
      <c r="F176" s="51" t="inlineStr">
        <is>
          <t>Not in table</t>
        </is>
      </c>
      <c r="G176" s="44">
        <f>IFERROR(INDEX('Turnaround Table'!$C$5:$C$231,MATCH(E176,'Turnaround Table'!$D$5:$D$231,0)),"")</f>
        <v/>
      </c>
      <c r="H176" s="43" t="n"/>
      <c r="I176" s="44">
        <f>IF(H176&lt;&gt;"",H176,IF(G176&lt;&gt;"",G176,'Truck Requirement'!$B$5))</f>
        <v/>
      </c>
      <c r="J176" s="44">
        <f>2*I176</f>
        <v/>
      </c>
      <c r="K176" s="8">
        <f>MAX(1,INT('Truck Requirement'!$B$4/J176))</f>
        <v/>
      </c>
      <c r="L176" s="8">
        <f>SUM(M176:U176)</f>
        <v/>
      </c>
      <c r="M176" s="8" t="n"/>
      <c r="N176" s="8" t="n"/>
      <c r="O176" s="8" t="n">
        <v>2</v>
      </c>
      <c r="P176" s="8" t="n"/>
      <c r="Q176" s="8" t="n"/>
      <c r="R176" s="8" t="n"/>
      <c r="S176" s="8" t="n"/>
      <c r="T176" s="8" t="n"/>
      <c r="U176" s="8" t="n"/>
      <c r="V176" s="45">
        <f>IF(M176="","",M176/$K176)</f>
        <v/>
      </c>
      <c r="W176" s="45">
        <f>IF(N176="","",N176/$K176)</f>
        <v/>
      </c>
      <c r="X176" s="45">
        <f>IF(O176="","",O176/$K176)</f>
        <v/>
      </c>
      <c r="Y176" s="45">
        <f>IF(P176="","",P176/$K176)</f>
        <v/>
      </c>
      <c r="Z176" s="45">
        <f>IF(Q176="","",Q176/$K176)</f>
        <v/>
      </c>
      <c r="AA176" s="45">
        <f>IF(R176="","",R176/$K176)</f>
        <v/>
      </c>
      <c r="AB176" s="45">
        <f>IF(S176="","",S176/$K176)</f>
        <v/>
      </c>
      <c r="AC176" s="45">
        <f>IF(T176="","",T176/$K176)</f>
        <v/>
      </c>
      <c r="AD176" s="45">
        <f>IF(U176="","",U176/$K176)</f>
        <v/>
      </c>
    </row>
    <row r="177">
      <c r="A177" s="8" t="inlineStr">
        <is>
          <t>NBL</t>
        </is>
      </c>
      <c r="B177" s="8" t="inlineStr">
        <is>
          <t>Haulage</t>
        </is>
      </c>
      <c r="C177" s="8" t="inlineStr">
        <is>
          <t>Lagos</t>
        </is>
      </c>
      <c r="D177" s="8" t="inlineStr">
        <is>
          <t>Benin</t>
        </is>
      </c>
      <c r="E177" s="8" t="inlineStr">
        <is>
          <t>BENIN&gt;LAGOS</t>
        </is>
      </c>
      <c r="F177" s="8" t="inlineStr">
        <is>
          <t>Exact</t>
        </is>
      </c>
      <c r="G177" s="44">
        <f>IFERROR(INDEX('Turnaround Table'!$C$5:$C$231,MATCH(E177,'Turnaround Table'!$D$5:$D$231,0)),"")</f>
        <v/>
      </c>
      <c r="H177" s="43" t="n"/>
      <c r="I177" s="44">
        <f>IF(H177&lt;&gt;"",H177,IF(G177&lt;&gt;"",G177,'Truck Requirement'!$B$5))</f>
        <v/>
      </c>
      <c r="J177" s="44">
        <f>2*I177</f>
        <v/>
      </c>
      <c r="K177" s="8">
        <f>MAX(1,INT('Truck Requirement'!$B$4/J177))</f>
        <v/>
      </c>
      <c r="L177" s="8">
        <f>SUM(M177:U177)</f>
        <v/>
      </c>
      <c r="M177" s="8" t="n"/>
      <c r="N177" s="8" t="n"/>
      <c r="O177" s="8" t="n">
        <v>2</v>
      </c>
      <c r="P177" s="8" t="n"/>
      <c r="Q177" s="8" t="n"/>
      <c r="R177" s="8" t="n"/>
      <c r="S177" s="8" t="n"/>
      <c r="T177" s="8" t="n"/>
      <c r="U177" s="8" t="n"/>
      <c r="V177" s="45">
        <f>IF(M177="","",M177/$K177)</f>
        <v/>
      </c>
      <c r="W177" s="45">
        <f>IF(N177="","",N177/$K177)</f>
        <v/>
      </c>
      <c r="X177" s="45">
        <f>IF(O177="","",O177/$K177)</f>
        <v/>
      </c>
      <c r="Y177" s="45">
        <f>IF(P177="","",P177/$K177)</f>
        <v/>
      </c>
      <c r="Z177" s="45">
        <f>IF(Q177="","",Q177/$K177)</f>
        <v/>
      </c>
      <c r="AA177" s="45">
        <f>IF(R177="","",R177/$K177)</f>
        <v/>
      </c>
      <c r="AB177" s="45">
        <f>IF(S177="","",S177/$K177)</f>
        <v/>
      </c>
      <c r="AC177" s="45">
        <f>IF(T177="","",T177/$K177)</f>
        <v/>
      </c>
      <c r="AD177" s="45">
        <f>IF(U177="","",U177/$K177)</f>
        <v/>
      </c>
    </row>
    <row r="178">
      <c r="A178" s="8" t="inlineStr">
        <is>
          <t>NBL</t>
        </is>
      </c>
      <c r="B178" s="8" t="inlineStr">
        <is>
          <t>Haulage</t>
        </is>
      </c>
      <c r="C178" s="8" t="inlineStr">
        <is>
          <t>Lagos</t>
        </is>
      </c>
      <c r="D178" s="8" t="inlineStr">
        <is>
          <t>Kaduna (Kudenda)</t>
        </is>
      </c>
      <c r="E178" s="8" t="inlineStr">
        <is>
          <t>KADUNA&gt;LAGOS</t>
        </is>
      </c>
      <c r="F178" s="8" t="inlineStr">
        <is>
          <t>Exact</t>
        </is>
      </c>
      <c r="G178" s="44">
        <f>IFERROR(INDEX('Turnaround Table'!$C$5:$C$231,MATCH(E178,'Turnaround Table'!$D$5:$D$231,0)),"")</f>
        <v/>
      </c>
      <c r="H178" s="43" t="n"/>
      <c r="I178" s="44">
        <f>IF(H178&lt;&gt;"",H178,IF(G178&lt;&gt;"",G178,'Truck Requirement'!$B$5))</f>
        <v/>
      </c>
      <c r="J178" s="44">
        <f>2*I178</f>
        <v/>
      </c>
      <c r="K178" s="8">
        <f>MAX(1,INT('Truck Requirement'!$B$4/J178))</f>
        <v/>
      </c>
      <c r="L178" s="8">
        <f>SUM(M178:U178)</f>
        <v/>
      </c>
      <c r="M178" s="8" t="n"/>
      <c r="N178" s="8" t="n"/>
      <c r="O178" s="8" t="n">
        <v>2</v>
      </c>
      <c r="P178" s="8" t="n"/>
      <c r="Q178" s="8" t="n"/>
      <c r="R178" s="8" t="n"/>
      <c r="S178" s="8" t="n"/>
      <c r="T178" s="8" t="n"/>
      <c r="U178" s="8" t="n"/>
      <c r="V178" s="45">
        <f>IF(M178="","",M178/$K178)</f>
        <v/>
      </c>
      <c r="W178" s="45">
        <f>IF(N178="","",N178/$K178)</f>
        <v/>
      </c>
      <c r="X178" s="45">
        <f>IF(O178="","",O178/$K178)</f>
        <v/>
      </c>
      <c r="Y178" s="45">
        <f>IF(P178="","",P178/$K178)</f>
        <v/>
      </c>
      <c r="Z178" s="45">
        <f>IF(Q178="","",Q178/$K178)</f>
        <v/>
      </c>
      <c r="AA178" s="45">
        <f>IF(R178="","",R178/$K178)</f>
        <v/>
      </c>
      <c r="AB178" s="45">
        <f>IF(S178="","",S178/$K178)</f>
        <v/>
      </c>
      <c r="AC178" s="45">
        <f>IF(T178="","",T178/$K178)</f>
        <v/>
      </c>
      <c r="AD178" s="45">
        <f>IF(U178="","",U178/$K178)</f>
        <v/>
      </c>
    </row>
    <row r="179">
      <c r="A179" s="51" t="inlineStr">
        <is>
          <t>NBL</t>
        </is>
      </c>
      <c r="B179" s="51" t="inlineStr">
        <is>
          <t>Haulage</t>
        </is>
      </c>
      <c r="C179" s="51" t="inlineStr">
        <is>
          <t>Ngb8</t>
        </is>
      </c>
      <c r="D179" s="51" t="inlineStr">
        <is>
          <t>Ijebu Ode</t>
        </is>
      </c>
      <c r="E179" s="51" t="n">
        <v/>
      </c>
      <c r="F179" s="51" t="inlineStr">
        <is>
          <t>Not in table</t>
        </is>
      </c>
      <c r="G179" s="44">
        <f>IFERROR(INDEX('Turnaround Table'!$C$5:$C$231,MATCH(E179,'Turnaround Table'!$D$5:$D$231,0)),"")</f>
        <v/>
      </c>
      <c r="H179" s="43" t="n"/>
      <c r="I179" s="44">
        <f>IF(H179&lt;&gt;"",H179,IF(G179&lt;&gt;"",G179,'Truck Requirement'!$B$5))</f>
        <v/>
      </c>
      <c r="J179" s="44">
        <f>2*I179</f>
        <v/>
      </c>
      <c r="K179" s="8">
        <f>MAX(1,INT('Truck Requirement'!$B$4/J179))</f>
        <v/>
      </c>
      <c r="L179" s="8">
        <f>SUM(M179:U179)</f>
        <v/>
      </c>
      <c r="M179" s="8" t="n"/>
      <c r="N179" s="8" t="n"/>
      <c r="O179" s="8" t="n"/>
      <c r="P179" s="8" t="n"/>
      <c r="Q179" s="8" t="n">
        <v>2</v>
      </c>
      <c r="R179" s="8" t="n"/>
      <c r="S179" s="8" t="n"/>
      <c r="T179" s="8" t="n"/>
      <c r="U179" s="8" t="n"/>
      <c r="V179" s="45">
        <f>IF(M179="","",M179/$K179)</f>
        <v/>
      </c>
      <c r="W179" s="45">
        <f>IF(N179="","",N179/$K179)</f>
        <v/>
      </c>
      <c r="X179" s="45">
        <f>IF(O179="","",O179/$K179)</f>
        <v/>
      </c>
      <c r="Y179" s="45">
        <f>IF(P179="","",P179/$K179)</f>
        <v/>
      </c>
      <c r="Z179" s="45">
        <f>IF(Q179="","",Q179/$K179)</f>
        <v/>
      </c>
      <c r="AA179" s="45">
        <f>IF(R179="","",R179/$K179)</f>
        <v/>
      </c>
      <c r="AB179" s="45">
        <f>IF(S179="","",S179/$K179)</f>
        <v/>
      </c>
      <c r="AC179" s="45">
        <f>IF(T179="","",T179/$K179)</f>
        <v/>
      </c>
      <c r="AD179" s="45">
        <f>IF(U179="","",U179/$K179)</f>
        <v/>
      </c>
    </row>
    <row r="180">
      <c r="A180" s="8" t="inlineStr">
        <is>
          <t>NBL</t>
        </is>
      </c>
      <c r="B180" s="8" t="inlineStr">
        <is>
          <t>Haulage</t>
        </is>
      </c>
      <c r="C180" s="8" t="inlineStr">
        <is>
          <t>Ota</t>
        </is>
      </c>
      <c r="D180" s="8" t="inlineStr">
        <is>
          <t>Ibadan</t>
        </is>
      </c>
      <c r="E180" s="8" t="inlineStr">
        <is>
          <t>IBADAN&gt;LAGOS</t>
        </is>
      </c>
      <c r="F180" s="8" t="inlineStr">
        <is>
          <t>Nearest bay (Lagos)</t>
        </is>
      </c>
      <c r="G180" s="44">
        <f>IFERROR(INDEX('Turnaround Table'!$C$5:$C$231,MATCH(E180,'Turnaround Table'!$D$5:$D$231,0)),"")</f>
        <v/>
      </c>
      <c r="H180" s="43" t="n"/>
      <c r="I180" s="44">
        <f>IF(H180&lt;&gt;"",H180,IF(G180&lt;&gt;"",G180,'Truck Requirement'!$B$5))</f>
        <v/>
      </c>
      <c r="J180" s="44">
        <f>2*I180</f>
        <v/>
      </c>
      <c r="K180" s="8">
        <f>MAX(1,INT('Truck Requirement'!$B$4/J180))</f>
        <v/>
      </c>
      <c r="L180" s="8">
        <f>SUM(M180:U180)</f>
        <v/>
      </c>
      <c r="M180" s="8" t="n"/>
      <c r="N180" s="8" t="n">
        <v>1</v>
      </c>
      <c r="O180" s="8" t="n"/>
      <c r="P180" s="8" t="n"/>
      <c r="Q180" s="8" t="n"/>
      <c r="R180" s="8" t="n">
        <v>1</v>
      </c>
      <c r="S180" s="8" t="n"/>
      <c r="T180" s="8" t="n"/>
      <c r="U180" s="8" t="n"/>
      <c r="V180" s="45">
        <f>IF(M180="","",M180/$K180)</f>
        <v/>
      </c>
      <c r="W180" s="45">
        <f>IF(N180="","",N180/$K180)</f>
        <v/>
      </c>
      <c r="X180" s="45">
        <f>IF(O180="","",O180/$K180)</f>
        <v/>
      </c>
      <c r="Y180" s="45">
        <f>IF(P180="","",P180/$K180)</f>
        <v/>
      </c>
      <c r="Z180" s="45">
        <f>IF(Q180="","",Q180/$K180)</f>
        <v/>
      </c>
      <c r="AA180" s="45">
        <f>IF(R180="","",R180/$K180)</f>
        <v/>
      </c>
      <c r="AB180" s="45">
        <f>IF(S180="","",S180/$K180)</f>
        <v/>
      </c>
      <c r="AC180" s="45">
        <f>IF(T180="","",T180/$K180)</f>
        <v/>
      </c>
      <c r="AD180" s="45">
        <f>IF(U180="","",U180/$K180)</f>
        <v/>
      </c>
    </row>
    <row r="181">
      <c r="A181" s="51" t="inlineStr">
        <is>
          <t>NBL</t>
        </is>
      </c>
      <c r="B181" s="51" t="inlineStr">
        <is>
          <t>Haulage</t>
        </is>
      </c>
      <c r="C181" s="51" t="inlineStr">
        <is>
          <t>Aba</t>
        </is>
      </c>
      <c r="D181" s="51" t="inlineStr">
        <is>
          <t>Ngb5</t>
        </is>
      </c>
      <c r="E181" s="51" t="n">
        <v/>
      </c>
      <c r="F181" s="51" t="inlineStr">
        <is>
          <t>Not in table</t>
        </is>
      </c>
      <c r="G181" s="44">
        <f>IFERROR(INDEX('Turnaround Table'!$C$5:$C$231,MATCH(E181,'Turnaround Table'!$D$5:$D$231,0)),"")</f>
        <v/>
      </c>
      <c r="H181" s="43" t="n"/>
      <c r="I181" s="44">
        <f>IF(H181&lt;&gt;"",H181,IF(G181&lt;&gt;"",G181,'Truck Requirement'!$B$5))</f>
        <v/>
      </c>
      <c r="J181" s="44">
        <f>2*I181</f>
        <v/>
      </c>
      <c r="K181" s="8">
        <f>MAX(1,INT('Truck Requirement'!$B$4/J181))</f>
        <v/>
      </c>
      <c r="L181" s="8">
        <f>SUM(M181:U181)</f>
        <v/>
      </c>
      <c r="M181" s="8" t="n"/>
      <c r="N181" s="8" t="n"/>
      <c r="O181" s="8" t="n">
        <v>1</v>
      </c>
      <c r="P181" s="8" t="n"/>
      <c r="Q181" s="8" t="n"/>
      <c r="R181" s="8" t="n"/>
      <c r="S181" s="8" t="n"/>
      <c r="T181" s="8" t="n"/>
      <c r="U181" s="8" t="n"/>
      <c r="V181" s="45">
        <f>IF(M181="","",M181/$K181)</f>
        <v/>
      </c>
      <c r="W181" s="45">
        <f>IF(N181="","",N181/$K181)</f>
        <v/>
      </c>
      <c r="X181" s="45">
        <f>IF(O181="","",O181/$K181)</f>
        <v/>
      </c>
      <c r="Y181" s="45">
        <f>IF(P181="","",P181/$K181)</f>
        <v/>
      </c>
      <c r="Z181" s="45">
        <f>IF(Q181="","",Q181/$K181)</f>
        <v/>
      </c>
      <c r="AA181" s="45">
        <f>IF(R181="","",R181/$K181)</f>
        <v/>
      </c>
      <c r="AB181" s="45">
        <f>IF(S181="","",S181/$K181)</f>
        <v/>
      </c>
      <c r="AC181" s="45">
        <f>IF(T181="","",T181/$K181)</f>
        <v/>
      </c>
      <c r="AD181" s="45">
        <f>IF(U181="","",U181/$K181)</f>
        <v/>
      </c>
    </row>
    <row r="182">
      <c r="A182" s="8" t="inlineStr">
        <is>
          <t>NBL</t>
        </is>
      </c>
      <c r="B182" s="8" t="inlineStr">
        <is>
          <t>Haulage</t>
        </is>
      </c>
      <c r="C182" s="8" t="inlineStr">
        <is>
          <t>Agbara</t>
        </is>
      </c>
      <c r="D182" s="8" t="inlineStr">
        <is>
          <t>Ibadan</t>
        </is>
      </c>
      <c r="E182" s="8" t="inlineStr">
        <is>
          <t>IBADAN&gt;LAGOS</t>
        </is>
      </c>
      <c r="F182" s="8" t="inlineStr">
        <is>
          <t>Nearest bay (Lagos)</t>
        </is>
      </c>
      <c r="G182" s="44">
        <f>IFERROR(INDEX('Turnaround Table'!$C$5:$C$231,MATCH(E182,'Turnaround Table'!$D$5:$D$231,0)),"")</f>
        <v/>
      </c>
      <c r="H182" s="43" t="n"/>
      <c r="I182" s="44">
        <f>IF(H182&lt;&gt;"",H182,IF(G182&lt;&gt;"",G182,'Truck Requirement'!$B$5))</f>
        <v/>
      </c>
      <c r="J182" s="44">
        <f>2*I182</f>
        <v/>
      </c>
      <c r="K182" s="8">
        <f>MAX(1,INT('Truck Requirement'!$B$4/J182))</f>
        <v/>
      </c>
      <c r="L182" s="8">
        <f>SUM(M182:U182)</f>
        <v/>
      </c>
      <c r="M182" s="8" t="n"/>
      <c r="N182" s="8" t="n"/>
      <c r="O182" s="8" t="n">
        <v>1</v>
      </c>
      <c r="P182" s="8" t="n"/>
      <c r="Q182" s="8" t="n"/>
      <c r="R182" s="8" t="n"/>
      <c r="S182" s="8" t="n"/>
      <c r="T182" s="8" t="n"/>
      <c r="U182" s="8" t="n"/>
      <c r="V182" s="45">
        <f>IF(M182="","",M182/$K182)</f>
        <v/>
      </c>
      <c r="W182" s="45">
        <f>IF(N182="","",N182/$K182)</f>
        <v/>
      </c>
      <c r="X182" s="45">
        <f>IF(O182="","",O182/$K182)</f>
        <v/>
      </c>
      <c r="Y182" s="45">
        <f>IF(P182="","",P182/$K182)</f>
        <v/>
      </c>
      <c r="Z182" s="45">
        <f>IF(Q182="","",Q182/$K182)</f>
        <v/>
      </c>
      <c r="AA182" s="45">
        <f>IF(R182="","",R182/$K182)</f>
        <v/>
      </c>
      <c r="AB182" s="45">
        <f>IF(S182="","",S182/$K182)</f>
        <v/>
      </c>
      <c r="AC182" s="45">
        <f>IF(T182="","",T182/$K182)</f>
        <v/>
      </c>
      <c r="AD182" s="45">
        <f>IF(U182="","",U182/$K182)</f>
        <v/>
      </c>
    </row>
    <row r="183">
      <c r="A183" s="51" t="inlineStr">
        <is>
          <t>NBL</t>
        </is>
      </c>
      <c r="B183" s="51" t="inlineStr">
        <is>
          <t>Haulage</t>
        </is>
      </c>
      <c r="C183" s="51" t="inlineStr">
        <is>
          <t>Agbara</t>
        </is>
      </c>
      <c r="D183" s="51" t="inlineStr">
        <is>
          <t>Ngb4</t>
        </is>
      </c>
      <c r="E183" s="51" t="n">
        <v/>
      </c>
      <c r="F183" s="51" t="inlineStr">
        <is>
          <t>Not in table</t>
        </is>
      </c>
      <c r="G183" s="44">
        <f>IFERROR(INDEX('Turnaround Table'!$C$5:$C$231,MATCH(E183,'Turnaround Table'!$D$5:$D$231,0)),"")</f>
        <v/>
      </c>
      <c r="H183" s="43" t="n"/>
      <c r="I183" s="44">
        <f>IF(H183&lt;&gt;"",H183,IF(G183&lt;&gt;"",G183,'Truck Requirement'!$B$5))</f>
        <v/>
      </c>
      <c r="J183" s="44">
        <f>2*I183</f>
        <v/>
      </c>
      <c r="K183" s="8">
        <f>MAX(1,INT('Truck Requirement'!$B$4/J183))</f>
        <v/>
      </c>
      <c r="L183" s="8">
        <f>SUM(M183:U183)</f>
        <v/>
      </c>
      <c r="M183" s="8" t="n"/>
      <c r="N183" s="8" t="n"/>
      <c r="O183" s="8" t="n">
        <v>1</v>
      </c>
      <c r="P183" s="8" t="n"/>
      <c r="Q183" s="8" t="n"/>
      <c r="R183" s="8" t="n"/>
      <c r="S183" s="8" t="n"/>
      <c r="T183" s="8" t="n"/>
      <c r="U183" s="8" t="n"/>
      <c r="V183" s="45">
        <f>IF(M183="","",M183/$K183)</f>
        <v/>
      </c>
      <c r="W183" s="45">
        <f>IF(N183="","",N183/$K183)</f>
        <v/>
      </c>
      <c r="X183" s="45">
        <f>IF(O183="","",O183/$K183)</f>
        <v/>
      </c>
      <c r="Y183" s="45">
        <f>IF(P183="","",P183/$K183)</f>
        <v/>
      </c>
      <c r="Z183" s="45">
        <f>IF(Q183="","",Q183/$K183)</f>
        <v/>
      </c>
      <c r="AA183" s="45">
        <f>IF(R183="","",R183/$K183)</f>
        <v/>
      </c>
      <c r="AB183" s="45">
        <f>IF(S183="","",S183/$K183)</f>
        <v/>
      </c>
      <c r="AC183" s="45">
        <f>IF(T183="","",T183/$K183)</f>
        <v/>
      </c>
      <c r="AD183" s="45">
        <f>IF(U183="","",U183/$K183)</f>
        <v/>
      </c>
    </row>
    <row r="184">
      <c r="A184" s="8" t="inlineStr">
        <is>
          <t>NBL</t>
        </is>
      </c>
      <c r="B184" s="8" t="inlineStr">
        <is>
          <t>Haulage</t>
        </is>
      </c>
      <c r="C184" s="8" t="inlineStr">
        <is>
          <t>Akure</t>
        </is>
      </c>
      <c r="D184" s="8" t="inlineStr">
        <is>
          <t>Ibadan</t>
        </is>
      </c>
      <c r="E184" s="8" t="inlineStr">
        <is>
          <t>IBADAN&gt;IBADAN</t>
        </is>
      </c>
      <c r="F184" s="8" t="inlineStr">
        <is>
          <t>Nearest bay (Ibadan)</t>
        </is>
      </c>
      <c r="G184" s="44">
        <f>IFERROR(INDEX('Turnaround Table'!$C$5:$C$231,MATCH(E184,'Turnaround Table'!$D$5:$D$231,0)),"")</f>
        <v/>
      </c>
      <c r="H184" s="43" t="n"/>
      <c r="I184" s="44">
        <f>IF(H184&lt;&gt;"",H184,IF(G184&lt;&gt;"",G184,'Truck Requirement'!$B$5))</f>
        <v/>
      </c>
      <c r="J184" s="44">
        <f>2*I184</f>
        <v/>
      </c>
      <c r="K184" s="8">
        <f>MAX(1,INT('Truck Requirement'!$B$4/J184))</f>
        <v/>
      </c>
      <c r="L184" s="8">
        <f>SUM(M184:U184)</f>
        <v/>
      </c>
      <c r="M184" s="8" t="n"/>
      <c r="N184" s="8" t="n"/>
      <c r="O184" s="8" t="n"/>
      <c r="P184" s="8" t="n">
        <v>1</v>
      </c>
      <c r="Q184" s="8" t="n"/>
      <c r="R184" s="8" t="n"/>
      <c r="S184" s="8" t="n"/>
      <c r="T184" s="8" t="n"/>
      <c r="U184" s="8" t="n"/>
      <c r="V184" s="45">
        <f>IF(M184="","",M184/$K184)</f>
        <v/>
      </c>
      <c r="W184" s="45">
        <f>IF(N184="","",N184/$K184)</f>
        <v/>
      </c>
      <c r="X184" s="45">
        <f>IF(O184="","",O184/$K184)</f>
        <v/>
      </c>
      <c r="Y184" s="45">
        <f>IF(P184="","",P184/$K184)</f>
        <v/>
      </c>
      <c r="Z184" s="45">
        <f>IF(Q184="","",Q184/$K184)</f>
        <v/>
      </c>
      <c r="AA184" s="45">
        <f>IF(R184="","",R184/$K184)</f>
        <v/>
      </c>
      <c r="AB184" s="45">
        <f>IF(S184="","",S184/$K184)</f>
        <v/>
      </c>
      <c r="AC184" s="45">
        <f>IF(T184="","",T184/$K184)</f>
        <v/>
      </c>
      <c r="AD184" s="45">
        <f>IF(U184="","",U184/$K184)</f>
        <v/>
      </c>
    </row>
    <row r="185">
      <c r="A185" s="8" t="inlineStr">
        <is>
          <t>NBL</t>
        </is>
      </c>
      <c r="B185" s="8" t="inlineStr">
        <is>
          <t>Haulage</t>
        </is>
      </c>
      <c r="C185" s="8" t="inlineStr">
        <is>
          <t>Ama</t>
        </is>
      </c>
      <c r="D185" s="8" t="inlineStr">
        <is>
          <t>Agbara</t>
        </is>
      </c>
      <c r="E185" s="8" t="inlineStr">
        <is>
          <t>ENUGU&gt;LAGOS</t>
        </is>
      </c>
      <c r="F185" s="8" t="inlineStr">
        <is>
          <t>Reverse</t>
        </is>
      </c>
      <c r="G185" s="44">
        <f>IFERROR(INDEX('Turnaround Table'!$C$5:$C$231,MATCH(E185,'Turnaround Table'!$D$5:$D$231,0)),"")</f>
        <v/>
      </c>
      <c r="H185" s="43" t="n"/>
      <c r="I185" s="44">
        <f>IF(H185&lt;&gt;"",H185,IF(G185&lt;&gt;"",G185,'Truck Requirement'!$B$5))</f>
        <v/>
      </c>
      <c r="J185" s="44">
        <f>2*I185</f>
        <v/>
      </c>
      <c r="K185" s="8">
        <f>MAX(1,INT('Truck Requirement'!$B$4/J185))</f>
        <v/>
      </c>
      <c r="L185" s="8">
        <f>SUM(M185:U185)</f>
        <v/>
      </c>
      <c r="M185" s="8" t="n"/>
      <c r="N185" s="8" t="n"/>
      <c r="O185" s="8" t="n">
        <v>1</v>
      </c>
      <c r="P185" s="8" t="n"/>
      <c r="Q185" s="8" t="n"/>
      <c r="R185" s="8" t="n"/>
      <c r="S185" s="8" t="n"/>
      <c r="T185" s="8" t="n"/>
      <c r="U185" s="8" t="n"/>
      <c r="V185" s="45">
        <f>IF(M185="","",M185/$K185)</f>
        <v/>
      </c>
      <c r="W185" s="45">
        <f>IF(N185="","",N185/$K185)</f>
        <v/>
      </c>
      <c r="X185" s="45">
        <f>IF(O185="","",O185/$K185)</f>
        <v/>
      </c>
      <c r="Y185" s="45">
        <f>IF(P185="","",P185/$K185)</f>
        <v/>
      </c>
      <c r="Z185" s="45">
        <f>IF(Q185="","",Q185/$K185)</f>
        <v/>
      </c>
      <c r="AA185" s="45">
        <f>IF(R185="","",R185/$K185)</f>
        <v/>
      </c>
      <c r="AB185" s="45">
        <f>IF(S185="","",S185/$K185)</f>
        <v/>
      </c>
      <c r="AC185" s="45">
        <f>IF(T185="","",T185/$K185)</f>
        <v/>
      </c>
      <c r="AD185" s="45">
        <f>IF(U185="","",U185/$K185)</f>
        <v/>
      </c>
    </row>
    <row r="186">
      <c r="A186" s="51" t="inlineStr">
        <is>
          <t>NBL</t>
        </is>
      </c>
      <c r="B186" s="51" t="inlineStr">
        <is>
          <t>Haulage</t>
        </is>
      </c>
      <c r="C186" s="51" t="inlineStr">
        <is>
          <t>Ama</t>
        </is>
      </c>
      <c r="D186" s="51" t="inlineStr">
        <is>
          <t>Agbor</t>
        </is>
      </c>
      <c r="E186" s="51" t="n">
        <v/>
      </c>
      <c r="F186" s="51" t="inlineStr">
        <is>
          <t>Not in table</t>
        </is>
      </c>
      <c r="G186" s="44">
        <f>IFERROR(INDEX('Turnaround Table'!$C$5:$C$231,MATCH(E186,'Turnaround Table'!$D$5:$D$231,0)),"")</f>
        <v/>
      </c>
      <c r="H186" s="43" t="n"/>
      <c r="I186" s="44">
        <f>IF(H186&lt;&gt;"",H186,IF(G186&lt;&gt;"",G186,'Truck Requirement'!$B$5))</f>
        <v/>
      </c>
      <c r="J186" s="44">
        <f>2*I186</f>
        <v/>
      </c>
      <c r="K186" s="8">
        <f>MAX(1,INT('Truck Requirement'!$B$4/J186))</f>
        <v/>
      </c>
      <c r="L186" s="8">
        <f>SUM(M186:U186)</f>
        <v/>
      </c>
      <c r="M186" s="8" t="n"/>
      <c r="N186" s="8" t="n"/>
      <c r="O186" s="8" t="n">
        <v>1</v>
      </c>
      <c r="P186" s="8" t="n"/>
      <c r="Q186" s="8" t="n"/>
      <c r="R186" s="8" t="n"/>
      <c r="S186" s="8" t="n"/>
      <c r="T186" s="8" t="n"/>
      <c r="U186" s="8" t="n"/>
      <c r="V186" s="45">
        <f>IF(M186="","",M186/$K186)</f>
        <v/>
      </c>
      <c r="W186" s="45">
        <f>IF(N186="","",N186/$K186)</f>
        <v/>
      </c>
      <c r="X186" s="45">
        <f>IF(O186="","",O186/$K186)</f>
        <v/>
      </c>
      <c r="Y186" s="45">
        <f>IF(P186="","",P186/$K186)</f>
        <v/>
      </c>
      <c r="Z186" s="45">
        <f>IF(Q186="","",Q186/$K186)</f>
        <v/>
      </c>
      <c r="AA186" s="45">
        <f>IF(R186="","",R186/$K186)</f>
        <v/>
      </c>
      <c r="AB186" s="45">
        <f>IF(S186="","",S186/$K186)</f>
        <v/>
      </c>
      <c r="AC186" s="45">
        <f>IF(T186="","",T186/$K186)</f>
        <v/>
      </c>
      <c r="AD186" s="45">
        <f>IF(U186="","",U186/$K186)</f>
        <v/>
      </c>
    </row>
    <row r="187">
      <c r="A187" s="51" t="inlineStr">
        <is>
          <t>NBL</t>
        </is>
      </c>
      <c r="B187" s="51" t="inlineStr">
        <is>
          <t>Haulage</t>
        </is>
      </c>
      <c r="C187" s="51" t="inlineStr">
        <is>
          <t>Ama</t>
        </is>
      </c>
      <c r="D187" s="51" t="inlineStr">
        <is>
          <t>Ilorin</t>
        </is>
      </c>
      <c r="E187" s="51" t="n">
        <v/>
      </c>
      <c r="F187" s="51" t="inlineStr">
        <is>
          <t>Not in table</t>
        </is>
      </c>
      <c r="G187" s="44">
        <f>IFERROR(INDEX('Turnaround Table'!$C$5:$C$231,MATCH(E187,'Turnaround Table'!$D$5:$D$231,0)),"")</f>
        <v/>
      </c>
      <c r="H187" s="43" t="n"/>
      <c r="I187" s="44">
        <f>IF(H187&lt;&gt;"",H187,IF(G187&lt;&gt;"",G187,'Truck Requirement'!$B$5))</f>
        <v/>
      </c>
      <c r="J187" s="44">
        <f>2*I187</f>
        <v/>
      </c>
      <c r="K187" s="8">
        <f>MAX(1,INT('Truck Requirement'!$B$4/J187))</f>
        <v/>
      </c>
      <c r="L187" s="8">
        <f>SUM(M187:U187)</f>
        <v/>
      </c>
      <c r="M187" s="8" t="n"/>
      <c r="N187" s="8" t="n"/>
      <c r="O187" s="8" t="n">
        <v>1</v>
      </c>
      <c r="P187" s="8" t="n"/>
      <c r="Q187" s="8" t="n"/>
      <c r="R187" s="8" t="n"/>
      <c r="S187" s="8" t="n"/>
      <c r="T187" s="8" t="n"/>
      <c r="U187" s="8" t="n"/>
      <c r="V187" s="45">
        <f>IF(M187="","",M187/$K187)</f>
        <v/>
      </c>
      <c r="W187" s="45">
        <f>IF(N187="","",N187/$K187)</f>
        <v/>
      </c>
      <c r="X187" s="45">
        <f>IF(O187="","",O187/$K187)</f>
        <v/>
      </c>
      <c r="Y187" s="45">
        <f>IF(P187="","",P187/$K187)</f>
        <v/>
      </c>
      <c r="Z187" s="45">
        <f>IF(Q187="","",Q187/$K187)</f>
        <v/>
      </c>
      <c r="AA187" s="45">
        <f>IF(R187="","",R187/$K187)</f>
        <v/>
      </c>
      <c r="AB187" s="45">
        <f>IF(S187="","",S187/$K187)</f>
        <v/>
      </c>
      <c r="AC187" s="45">
        <f>IF(T187="","",T187/$K187)</f>
        <v/>
      </c>
      <c r="AD187" s="45">
        <f>IF(U187="","",U187/$K187)</f>
        <v/>
      </c>
    </row>
    <row r="188">
      <c r="A188" s="51" t="inlineStr">
        <is>
          <t>NBL</t>
        </is>
      </c>
      <c r="B188" s="51" t="inlineStr">
        <is>
          <t>Haulage</t>
        </is>
      </c>
      <c r="C188" s="51" t="inlineStr">
        <is>
          <t>Ama</t>
        </is>
      </c>
      <c r="D188" s="51" t="inlineStr">
        <is>
          <t>Kano</t>
        </is>
      </c>
      <c r="E188" s="51" t="n">
        <v/>
      </c>
      <c r="F188" s="51" t="inlineStr">
        <is>
          <t>Not in table</t>
        </is>
      </c>
      <c r="G188" s="44">
        <f>IFERROR(INDEX('Turnaround Table'!$C$5:$C$231,MATCH(E188,'Turnaround Table'!$D$5:$D$231,0)),"")</f>
        <v/>
      </c>
      <c r="H188" s="43" t="n"/>
      <c r="I188" s="44">
        <f>IF(H188&lt;&gt;"",H188,IF(G188&lt;&gt;"",G188,'Truck Requirement'!$B$5))</f>
        <v/>
      </c>
      <c r="J188" s="44">
        <f>2*I188</f>
        <v/>
      </c>
      <c r="K188" s="8">
        <f>MAX(1,INT('Truck Requirement'!$B$4/J188))</f>
        <v/>
      </c>
      <c r="L188" s="8">
        <f>SUM(M188:U188)</f>
        <v/>
      </c>
      <c r="M188" s="8" t="n"/>
      <c r="N188" s="8" t="n"/>
      <c r="O188" s="8" t="n"/>
      <c r="P188" s="8" t="n"/>
      <c r="Q188" s="8" t="n">
        <v>1</v>
      </c>
      <c r="R188" s="8" t="n"/>
      <c r="S188" s="8" t="n"/>
      <c r="T188" s="8" t="n"/>
      <c r="U188" s="8" t="n"/>
      <c r="V188" s="45">
        <f>IF(M188="","",M188/$K188)</f>
        <v/>
      </c>
      <c r="W188" s="45">
        <f>IF(N188="","",N188/$K188)</f>
        <v/>
      </c>
      <c r="X188" s="45">
        <f>IF(O188="","",O188/$K188)</f>
        <v/>
      </c>
      <c r="Y188" s="45">
        <f>IF(P188="","",P188/$K188)</f>
        <v/>
      </c>
      <c r="Z188" s="45">
        <f>IF(Q188="","",Q188/$K188)</f>
        <v/>
      </c>
      <c r="AA188" s="45">
        <f>IF(R188="","",R188/$K188)</f>
        <v/>
      </c>
      <c r="AB188" s="45">
        <f>IF(S188="","",S188/$K188)</f>
        <v/>
      </c>
      <c r="AC188" s="45">
        <f>IF(T188="","",T188/$K188)</f>
        <v/>
      </c>
      <c r="AD188" s="45">
        <f>IF(U188="","",U188/$K188)</f>
        <v/>
      </c>
    </row>
    <row r="189">
      <c r="A189" s="51" t="inlineStr">
        <is>
          <t>NBL</t>
        </is>
      </c>
      <c r="B189" s="51" t="inlineStr">
        <is>
          <t>Haulage</t>
        </is>
      </c>
      <c r="C189" s="51" t="inlineStr">
        <is>
          <t>Ama</t>
        </is>
      </c>
      <c r="D189" s="51" t="inlineStr">
        <is>
          <t>Yola</t>
        </is>
      </c>
      <c r="E189" s="51" t="n">
        <v/>
      </c>
      <c r="F189" s="51" t="inlineStr">
        <is>
          <t>Not in table</t>
        </is>
      </c>
      <c r="G189" s="44">
        <f>IFERROR(INDEX('Turnaround Table'!$C$5:$C$231,MATCH(E189,'Turnaround Table'!$D$5:$D$231,0)),"")</f>
        <v/>
      </c>
      <c r="H189" s="43" t="n"/>
      <c r="I189" s="44">
        <f>IF(H189&lt;&gt;"",H189,IF(G189&lt;&gt;"",G189,'Truck Requirement'!$B$5))</f>
        <v/>
      </c>
      <c r="J189" s="44">
        <f>2*I189</f>
        <v/>
      </c>
      <c r="K189" s="8">
        <f>MAX(1,INT('Truck Requirement'!$B$4/J189))</f>
        <v/>
      </c>
      <c r="L189" s="8">
        <f>SUM(M189:U189)</f>
        <v/>
      </c>
      <c r="M189" s="8" t="n"/>
      <c r="N189" s="8" t="n"/>
      <c r="O189" s="8" t="n"/>
      <c r="P189" s="8" t="n"/>
      <c r="Q189" s="8" t="n"/>
      <c r="R189" s="8" t="n">
        <v>1</v>
      </c>
      <c r="S189" s="8" t="n"/>
      <c r="T189" s="8" t="n"/>
      <c r="U189" s="8" t="n"/>
      <c r="V189" s="45">
        <f>IF(M189="","",M189/$K189)</f>
        <v/>
      </c>
      <c r="W189" s="45">
        <f>IF(N189="","",N189/$K189)</f>
        <v/>
      </c>
      <c r="X189" s="45">
        <f>IF(O189="","",O189/$K189)</f>
        <v/>
      </c>
      <c r="Y189" s="45">
        <f>IF(P189="","",P189/$K189)</f>
        <v/>
      </c>
      <c r="Z189" s="45">
        <f>IF(Q189="","",Q189/$K189)</f>
        <v/>
      </c>
      <c r="AA189" s="45">
        <f>IF(R189="","",R189/$K189)</f>
        <v/>
      </c>
      <c r="AB189" s="45">
        <f>IF(S189="","",S189/$K189)</f>
        <v/>
      </c>
      <c r="AC189" s="45">
        <f>IF(T189="","",T189/$K189)</f>
        <v/>
      </c>
      <c r="AD189" s="45">
        <f>IF(U189="","",U189/$K189)</f>
        <v/>
      </c>
    </row>
    <row r="190">
      <c r="A190" s="8" t="inlineStr">
        <is>
          <t>NBL</t>
        </is>
      </c>
      <c r="B190" s="8" t="inlineStr">
        <is>
          <t>Haulage</t>
        </is>
      </c>
      <c r="C190" s="8" t="inlineStr">
        <is>
          <t>Gwagwalada</t>
        </is>
      </c>
      <c r="D190" s="8" t="inlineStr">
        <is>
          <t>Ibadan</t>
        </is>
      </c>
      <c r="E190" s="8" t="inlineStr">
        <is>
          <t>ABUJA&gt;IBADAN</t>
        </is>
      </c>
      <c r="F190" s="8" t="inlineStr">
        <is>
          <t>Reverse</t>
        </is>
      </c>
      <c r="G190" s="44">
        <f>IFERROR(INDEX('Turnaround Table'!$C$5:$C$231,MATCH(E190,'Turnaround Table'!$D$5:$D$231,0)),"")</f>
        <v/>
      </c>
      <c r="H190" s="43" t="n"/>
      <c r="I190" s="44">
        <f>IF(H190&lt;&gt;"",H190,IF(G190&lt;&gt;"",G190,'Truck Requirement'!$B$5))</f>
        <v/>
      </c>
      <c r="J190" s="44">
        <f>2*I190</f>
        <v/>
      </c>
      <c r="K190" s="8">
        <f>MAX(1,INT('Truck Requirement'!$B$4/J190))</f>
        <v/>
      </c>
      <c r="L190" s="8">
        <f>SUM(M190:U190)</f>
        <v/>
      </c>
      <c r="M190" s="8" t="n"/>
      <c r="N190" s="8" t="n"/>
      <c r="O190" s="8" t="n"/>
      <c r="P190" s="8" t="n"/>
      <c r="Q190" s="8" t="n">
        <v>1</v>
      </c>
      <c r="R190" s="8" t="n"/>
      <c r="S190" s="8" t="n"/>
      <c r="T190" s="8" t="n"/>
      <c r="U190" s="8" t="n"/>
      <c r="V190" s="45">
        <f>IF(M190="","",M190/$K190)</f>
        <v/>
      </c>
      <c r="W190" s="45">
        <f>IF(N190="","",N190/$K190)</f>
        <v/>
      </c>
      <c r="X190" s="45">
        <f>IF(O190="","",O190/$K190)</f>
        <v/>
      </c>
      <c r="Y190" s="45">
        <f>IF(P190="","",P190/$K190)</f>
        <v/>
      </c>
      <c r="Z190" s="45">
        <f>IF(Q190="","",Q190/$K190)</f>
        <v/>
      </c>
      <c r="AA190" s="45">
        <f>IF(R190="","",R190/$K190)</f>
        <v/>
      </c>
      <c r="AB190" s="45">
        <f>IF(S190="","",S190/$K190)</f>
        <v/>
      </c>
      <c r="AC190" s="45">
        <f>IF(T190="","",T190/$K190)</f>
        <v/>
      </c>
      <c r="AD190" s="45">
        <f>IF(U190="","",U190/$K190)</f>
        <v/>
      </c>
    </row>
    <row r="191">
      <c r="A191" s="8" t="inlineStr">
        <is>
          <t>NBL</t>
        </is>
      </c>
      <c r="B191" s="8" t="inlineStr">
        <is>
          <t>Haulage</t>
        </is>
      </c>
      <c r="C191" s="8" t="inlineStr">
        <is>
          <t>Ibadan</t>
        </is>
      </c>
      <c r="D191" s="8" t="inlineStr">
        <is>
          <t>Abakaliki</t>
        </is>
      </c>
      <c r="E191" s="8" t="inlineStr">
        <is>
          <t>ABAKALIKI&gt;LAGOS</t>
        </is>
      </c>
      <c r="F191" s="8" t="inlineStr">
        <is>
          <t>Lagos bay used</t>
        </is>
      </c>
      <c r="G191" s="44">
        <f>IFERROR(INDEX('Turnaround Table'!$C$5:$C$231,MATCH(E191,'Turnaround Table'!$D$5:$D$231,0)),"")</f>
        <v/>
      </c>
      <c r="H191" s="43" t="n"/>
      <c r="I191" s="44">
        <f>IF(H191&lt;&gt;"",H191,IF(G191&lt;&gt;"",G191,'Truck Requirement'!$B$5))</f>
        <v/>
      </c>
      <c r="J191" s="44">
        <f>2*I191</f>
        <v/>
      </c>
      <c r="K191" s="8">
        <f>MAX(1,INT('Truck Requirement'!$B$4/J191))</f>
        <v/>
      </c>
      <c r="L191" s="8">
        <f>SUM(M191:U191)</f>
        <v/>
      </c>
      <c r="M191" s="8" t="n"/>
      <c r="N191" s="8" t="n"/>
      <c r="O191" s="8" t="n"/>
      <c r="P191" s="8" t="n"/>
      <c r="Q191" s="8" t="n">
        <v>1</v>
      </c>
      <c r="R191" s="8" t="n"/>
      <c r="S191" s="8" t="n"/>
      <c r="T191" s="8" t="n"/>
      <c r="U191" s="8" t="n"/>
      <c r="V191" s="45">
        <f>IF(M191="","",M191/$K191)</f>
        <v/>
      </c>
      <c r="W191" s="45">
        <f>IF(N191="","",N191/$K191)</f>
        <v/>
      </c>
      <c r="X191" s="45">
        <f>IF(O191="","",O191/$K191)</f>
        <v/>
      </c>
      <c r="Y191" s="45">
        <f>IF(P191="","",P191/$K191)</f>
        <v/>
      </c>
      <c r="Z191" s="45">
        <f>IF(Q191="","",Q191/$K191)</f>
        <v/>
      </c>
      <c r="AA191" s="45">
        <f>IF(R191="","",R191/$K191)</f>
        <v/>
      </c>
      <c r="AB191" s="45">
        <f>IF(S191="","",S191/$K191)</f>
        <v/>
      </c>
      <c r="AC191" s="45">
        <f>IF(T191="","",T191/$K191)</f>
        <v/>
      </c>
      <c r="AD191" s="45">
        <f>IF(U191="","",U191/$K191)</f>
        <v/>
      </c>
    </row>
    <row r="192">
      <c r="A192" s="8" t="inlineStr">
        <is>
          <t>NBL</t>
        </is>
      </c>
      <c r="B192" s="8" t="inlineStr">
        <is>
          <t>Haulage</t>
        </is>
      </c>
      <c r="C192" s="8" t="inlineStr">
        <is>
          <t>Ibadan</t>
        </is>
      </c>
      <c r="D192" s="8" t="inlineStr">
        <is>
          <t>Abeokuta</t>
        </is>
      </c>
      <c r="E192" s="8" t="inlineStr">
        <is>
          <t>ABEOKUTA&gt;LAGOS</t>
        </is>
      </c>
      <c r="F192" s="8" t="inlineStr">
        <is>
          <t>Lagos bay used</t>
        </is>
      </c>
      <c r="G192" s="44">
        <f>IFERROR(INDEX('Turnaround Table'!$C$5:$C$231,MATCH(E192,'Turnaround Table'!$D$5:$D$231,0)),"")</f>
        <v/>
      </c>
      <c r="H192" s="43" t="n"/>
      <c r="I192" s="44">
        <f>IF(H192&lt;&gt;"",H192,IF(G192&lt;&gt;"",G192,'Truck Requirement'!$B$5))</f>
        <v/>
      </c>
      <c r="J192" s="44">
        <f>2*I192</f>
        <v/>
      </c>
      <c r="K192" s="8">
        <f>MAX(1,INT('Truck Requirement'!$B$4/J192))</f>
        <v/>
      </c>
      <c r="L192" s="8">
        <f>SUM(M192:U192)</f>
        <v/>
      </c>
      <c r="M192" s="8" t="n"/>
      <c r="N192" s="8" t="n">
        <v>1</v>
      </c>
      <c r="O192" s="8" t="n"/>
      <c r="P192" s="8" t="n"/>
      <c r="Q192" s="8" t="n"/>
      <c r="R192" s="8" t="n"/>
      <c r="S192" s="8" t="n"/>
      <c r="T192" s="8" t="n"/>
      <c r="U192" s="8" t="n"/>
      <c r="V192" s="45">
        <f>IF(M192="","",M192/$K192)</f>
        <v/>
      </c>
      <c r="W192" s="45">
        <f>IF(N192="","",N192/$K192)</f>
        <v/>
      </c>
      <c r="X192" s="45">
        <f>IF(O192="","",O192/$K192)</f>
        <v/>
      </c>
      <c r="Y192" s="45">
        <f>IF(P192="","",P192/$K192)</f>
        <v/>
      </c>
      <c r="Z192" s="45">
        <f>IF(Q192="","",Q192/$K192)</f>
        <v/>
      </c>
      <c r="AA192" s="45">
        <f>IF(R192="","",R192/$K192)</f>
        <v/>
      </c>
      <c r="AB192" s="45">
        <f>IF(S192="","",S192/$K192)</f>
        <v/>
      </c>
      <c r="AC192" s="45">
        <f>IF(T192="","",T192/$K192)</f>
        <v/>
      </c>
      <c r="AD192" s="45">
        <f>IF(U192="","",U192/$K192)</f>
        <v/>
      </c>
    </row>
    <row r="193">
      <c r="A193" s="8" t="inlineStr">
        <is>
          <t>NBL</t>
        </is>
      </c>
      <c r="B193" s="8" t="inlineStr">
        <is>
          <t>Haulage</t>
        </is>
      </c>
      <c r="C193" s="8" t="inlineStr">
        <is>
          <t>Ibadan</t>
        </is>
      </c>
      <c r="D193" s="8" t="inlineStr">
        <is>
          <t>Abudu</t>
        </is>
      </c>
      <c r="E193" s="8" t="inlineStr">
        <is>
          <t>BENIN&gt;LAGOS</t>
        </is>
      </c>
      <c r="F193" s="8" t="inlineStr">
        <is>
          <t>Lagos bay used</t>
        </is>
      </c>
      <c r="G193" s="44">
        <f>IFERROR(INDEX('Turnaround Table'!$C$5:$C$231,MATCH(E193,'Turnaround Table'!$D$5:$D$231,0)),"")</f>
        <v/>
      </c>
      <c r="H193" s="43" t="n"/>
      <c r="I193" s="44">
        <f>IF(H193&lt;&gt;"",H193,IF(G193&lt;&gt;"",G193,'Truck Requirement'!$B$5))</f>
        <v/>
      </c>
      <c r="J193" s="44">
        <f>2*I193</f>
        <v/>
      </c>
      <c r="K193" s="8">
        <f>MAX(1,INT('Truck Requirement'!$B$4/J193))</f>
        <v/>
      </c>
      <c r="L193" s="8">
        <f>SUM(M193:U193)</f>
        <v/>
      </c>
      <c r="M193" s="8" t="n"/>
      <c r="N193" s="8" t="n"/>
      <c r="O193" s="8" t="n"/>
      <c r="P193" s="8" t="n">
        <v>1</v>
      </c>
      <c r="Q193" s="8" t="n"/>
      <c r="R193" s="8" t="n"/>
      <c r="S193" s="8" t="n"/>
      <c r="T193" s="8" t="n"/>
      <c r="U193" s="8" t="n"/>
      <c r="V193" s="45">
        <f>IF(M193="","",M193/$K193)</f>
        <v/>
      </c>
      <c r="W193" s="45">
        <f>IF(N193="","",N193/$K193)</f>
        <v/>
      </c>
      <c r="X193" s="45">
        <f>IF(O193="","",O193/$K193)</f>
        <v/>
      </c>
      <c r="Y193" s="45">
        <f>IF(P193="","",P193/$K193)</f>
        <v/>
      </c>
      <c r="Z193" s="45">
        <f>IF(Q193="","",Q193/$K193)</f>
        <v/>
      </c>
      <c r="AA193" s="45">
        <f>IF(R193="","",R193/$K193)</f>
        <v/>
      </c>
      <c r="AB193" s="45">
        <f>IF(S193="","",S193/$K193)</f>
        <v/>
      </c>
      <c r="AC193" s="45">
        <f>IF(T193="","",T193/$K193)</f>
        <v/>
      </c>
      <c r="AD193" s="45">
        <f>IF(U193="","",U193/$K193)</f>
        <v/>
      </c>
    </row>
    <row r="194">
      <c r="A194" s="8" t="inlineStr">
        <is>
          <t>NBL</t>
        </is>
      </c>
      <c r="B194" s="8" t="inlineStr">
        <is>
          <t>Haulage</t>
        </is>
      </c>
      <c r="C194" s="8" t="inlineStr">
        <is>
          <t>Ibadan</t>
        </is>
      </c>
      <c r="D194" s="8" t="inlineStr">
        <is>
          <t>Adikpo/Gboko</t>
        </is>
      </c>
      <c r="E194" s="8" t="inlineStr">
        <is>
          <t>ADIKPO&gt;LAGOS</t>
        </is>
      </c>
      <c r="F194" s="8" t="inlineStr">
        <is>
          <t>Lagos bay used</t>
        </is>
      </c>
      <c r="G194" s="44">
        <f>IFERROR(INDEX('Turnaround Table'!$C$5:$C$231,MATCH(E194,'Turnaround Table'!$D$5:$D$231,0)),"")</f>
        <v/>
      </c>
      <c r="H194" s="43" t="n"/>
      <c r="I194" s="44">
        <f>IF(H194&lt;&gt;"",H194,IF(G194&lt;&gt;"",G194,'Truck Requirement'!$B$5))</f>
        <v/>
      </c>
      <c r="J194" s="44">
        <f>2*I194</f>
        <v/>
      </c>
      <c r="K194" s="8">
        <f>MAX(1,INT('Truck Requirement'!$B$4/J194))</f>
        <v/>
      </c>
      <c r="L194" s="8">
        <f>SUM(M194:U194)</f>
        <v/>
      </c>
      <c r="M194" s="8" t="n"/>
      <c r="N194" s="8" t="n">
        <v>1</v>
      </c>
      <c r="O194" s="8" t="n"/>
      <c r="P194" s="8" t="n"/>
      <c r="Q194" s="8" t="n"/>
      <c r="R194" s="8" t="n"/>
      <c r="S194" s="8" t="n"/>
      <c r="T194" s="8" t="n"/>
      <c r="U194" s="8" t="n"/>
      <c r="V194" s="45">
        <f>IF(M194="","",M194/$K194)</f>
        <v/>
      </c>
      <c r="W194" s="45">
        <f>IF(N194="","",N194/$K194)</f>
        <v/>
      </c>
      <c r="X194" s="45">
        <f>IF(O194="","",O194/$K194)</f>
        <v/>
      </c>
      <c r="Y194" s="45">
        <f>IF(P194="","",P194/$K194)</f>
        <v/>
      </c>
      <c r="Z194" s="45">
        <f>IF(Q194="","",Q194/$K194)</f>
        <v/>
      </c>
      <c r="AA194" s="45">
        <f>IF(R194="","",R194/$K194)</f>
        <v/>
      </c>
      <c r="AB194" s="45">
        <f>IF(S194="","",S194/$K194)</f>
        <v/>
      </c>
      <c r="AC194" s="45">
        <f>IF(T194="","",T194/$K194)</f>
        <v/>
      </c>
      <c r="AD194" s="45">
        <f>IF(U194="","",U194/$K194)</f>
        <v/>
      </c>
    </row>
    <row r="195">
      <c r="A195" s="8" t="inlineStr">
        <is>
          <t>NBL</t>
        </is>
      </c>
      <c r="B195" s="8" t="inlineStr">
        <is>
          <t>Haulage</t>
        </is>
      </c>
      <c r="C195" s="8" t="inlineStr">
        <is>
          <t>Ibadan</t>
        </is>
      </c>
      <c r="D195" s="8" t="inlineStr">
        <is>
          <t>Ado-Ekiti</t>
        </is>
      </c>
      <c r="E195" s="8" t="inlineStr">
        <is>
          <t>ADO-EKITI&gt;LAGOS</t>
        </is>
      </c>
      <c r="F195" s="8" t="inlineStr">
        <is>
          <t>Lagos bay used</t>
        </is>
      </c>
      <c r="G195" s="44">
        <f>IFERROR(INDEX('Turnaround Table'!$C$5:$C$231,MATCH(E195,'Turnaround Table'!$D$5:$D$231,0)),"")</f>
        <v/>
      </c>
      <c r="H195" s="43" t="n"/>
      <c r="I195" s="44">
        <f>IF(H195&lt;&gt;"",H195,IF(G195&lt;&gt;"",G195,'Truck Requirement'!$B$5))</f>
        <v/>
      </c>
      <c r="J195" s="44">
        <f>2*I195</f>
        <v/>
      </c>
      <c r="K195" s="8">
        <f>MAX(1,INT('Truck Requirement'!$B$4/J195))</f>
        <v/>
      </c>
      <c r="L195" s="8">
        <f>SUM(M195:U195)</f>
        <v/>
      </c>
      <c r="M195" s="8" t="n"/>
      <c r="N195" s="8" t="n"/>
      <c r="O195" s="8" t="n"/>
      <c r="P195" s="8" t="n"/>
      <c r="Q195" s="8" t="n"/>
      <c r="R195" s="8" t="n"/>
      <c r="S195" s="8" t="n">
        <v>1</v>
      </c>
      <c r="T195" s="8" t="n"/>
      <c r="U195" s="8" t="n"/>
      <c r="V195" s="45">
        <f>IF(M195="","",M195/$K195)</f>
        <v/>
      </c>
      <c r="W195" s="45">
        <f>IF(N195="","",N195/$K195)</f>
        <v/>
      </c>
      <c r="X195" s="45">
        <f>IF(O195="","",O195/$K195)</f>
        <v/>
      </c>
      <c r="Y195" s="45">
        <f>IF(P195="","",P195/$K195)</f>
        <v/>
      </c>
      <c r="Z195" s="45">
        <f>IF(Q195="","",Q195/$K195)</f>
        <v/>
      </c>
      <c r="AA195" s="45">
        <f>IF(R195="","",R195/$K195)</f>
        <v/>
      </c>
      <c r="AB195" s="45">
        <f>IF(S195="","",S195/$K195)</f>
        <v/>
      </c>
      <c r="AC195" s="45">
        <f>IF(T195="","",T195/$K195)</f>
        <v/>
      </c>
      <c r="AD195" s="45">
        <f>IF(U195="","",U195/$K195)</f>
        <v/>
      </c>
    </row>
    <row r="196">
      <c r="A196" s="8" t="inlineStr">
        <is>
          <t>NBL</t>
        </is>
      </c>
      <c r="B196" s="8" t="inlineStr">
        <is>
          <t>Haulage</t>
        </is>
      </c>
      <c r="C196" s="8" t="inlineStr">
        <is>
          <t>Ibadan</t>
        </is>
      </c>
      <c r="D196" s="8" t="inlineStr">
        <is>
          <t>Afikpo</t>
        </is>
      </c>
      <c r="E196" s="8" t="inlineStr">
        <is>
          <t>OBUBRA&gt;LAGOS</t>
        </is>
      </c>
      <c r="F196" s="8" t="inlineStr">
        <is>
          <t>Lagos bay used</t>
        </is>
      </c>
      <c r="G196" s="44">
        <f>IFERROR(INDEX('Turnaround Table'!$C$5:$C$231,MATCH(E196,'Turnaround Table'!$D$5:$D$231,0)),"")</f>
        <v/>
      </c>
      <c r="H196" s="43" t="n"/>
      <c r="I196" s="44">
        <f>IF(H196&lt;&gt;"",H196,IF(G196&lt;&gt;"",G196,'Truck Requirement'!$B$5))</f>
        <v/>
      </c>
      <c r="J196" s="44">
        <f>2*I196</f>
        <v/>
      </c>
      <c r="K196" s="8">
        <f>MAX(1,INT('Truck Requirement'!$B$4/J196))</f>
        <v/>
      </c>
      <c r="L196" s="8">
        <f>SUM(M196:U196)</f>
        <v/>
      </c>
      <c r="M196" s="8" t="n"/>
      <c r="N196" s="8" t="n"/>
      <c r="O196" s="8" t="n"/>
      <c r="P196" s="8" t="n"/>
      <c r="Q196" s="8" t="n"/>
      <c r="R196" s="8" t="n">
        <v>1</v>
      </c>
      <c r="S196" s="8" t="n"/>
      <c r="T196" s="8" t="n"/>
      <c r="U196" s="8" t="n"/>
      <c r="V196" s="45">
        <f>IF(M196="","",M196/$K196)</f>
        <v/>
      </c>
      <c r="W196" s="45">
        <f>IF(N196="","",N196/$K196)</f>
        <v/>
      </c>
      <c r="X196" s="45">
        <f>IF(O196="","",O196/$K196)</f>
        <v/>
      </c>
      <c r="Y196" s="45">
        <f>IF(P196="","",P196/$K196)</f>
        <v/>
      </c>
      <c r="Z196" s="45">
        <f>IF(Q196="","",Q196/$K196)</f>
        <v/>
      </c>
      <c r="AA196" s="45">
        <f>IF(R196="","",R196/$K196)</f>
        <v/>
      </c>
      <c r="AB196" s="45">
        <f>IF(S196="","",S196/$K196)</f>
        <v/>
      </c>
      <c r="AC196" s="45">
        <f>IF(T196="","",T196/$K196)</f>
        <v/>
      </c>
      <c r="AD196" s="45">
        <f>IF(U196="","",U196/$K196)</f>
        <v/>
      </c>
    </row>
    <row r="197">
      <c r="A197" s="8" t="inlineStr">
        <is>
          <t>NBL</t>
        </is>
      </c>
      <c r="B197" s="8" t="inlineStr">
        <is>
          <t>Haulage</t>
        </is>
      </c>
      <c r="C197" s="8" t="inlineStr">
        <is>
          <t>Ibadan</t>
        </is>
      </c>
      <c r="D197" s="8" t="inlineStr">
        <is>
          <t>Agbara</t>
        </is>
      </c>
      <c r="E197" s="8" t="inlineStr">
        <is>
          <t>AGBARA&gt;LAGOS</t>
        </is>
      </c>
      <c r="F197" s="8" t="inlineStr">
        <is>
          <t>Lagos bay used</t>
        </is>
      </c>
      <c r="G197" s="44">
        <f>IFERROR(INDEX('Turnaround Table'!$C$5:$C$231,MATCH(E197,'Turnaround Table'!$D$5:$D$231,0)),"")</f>
        <v/>
      </c>
      <c r="H197" s="43" t="n"/>
      <c r="I197" s="44">
        <f>IF(H197&lt;&gt;"",H197,IF(G197&lt;&gt;"",G197,'Truck Requirement'!$B$5))</f>
        <v/>
      </c>
      <c r="J197" s="44">
        <f>2*I197</f>
        <v/>
      </c>
      <c r="K197" s="8">
        <f>MAX(1,INT('Truck Requirement'!$B$4/J197))</f>
        <v/>
      </c>
      <c r="L197" s="8">
        <f>SUM(M197:U197)</f>
        <v/>
      </c>
      <c r="M197" s="8" t="n"/>
      <c r="N197" s="8" t="n">
        <v>1</v>
      </c>
      <c r="O197" s="8" t="n"/>
      <c r="P197" s="8" t="n"/>
      <c r="Q197" s="8" t="n"/>
      <c r="R197" s="8" t="n"/>
      <c r="S197" s="8" t="n"/>
      <c r="T197" s="8" t="n"/>
      <c r="U197" s="8" t="n"/>
      <c r="V197" s="45">
        <f>IF(M197="","",M197/$K197)</f>
        <v/>
      </c>
      <c r="W197" s="45">
        <f>IF(N197="","",N197/$K197)</f>
        <v/>
      </c>
      <c r="X197" s="45">
        <f>IF(O197="","",O197/$K197)</f>
        <v/>
      </c>
      <c r="Y197" s="45">
        <f>IF(P197="","",P197/$K197)</f>
        <v/>
      </c>
      <c r="Z197" s="45">
        <f>IF(Q197="","",Q197/$K197)</f>
        <v/>
      </c>
      <c r="AA197" s="45">
        <f>IF(R197="","",R197/$K197)</f>
        <v/>
      </c>
      <c r="AB197" s="45">
        <f>IF(S197="","",S197/$K197)</f>
        <v/>
      </c>
      <c r="AC197" s="45">
        <f>IF(T197="","",T197/$K197)</f>
        <v/>
      </c>
      <c r="AD197" s="45">
        <f>IF(U197="","",U197/$K197)</f>
        <v/>
      </c>
    </row>
    <row r="198">
      <c r="A198" s="8" t="inlineStr">
        <is>
          <t>NBL</t>
        </is>
      </c>
      <c r="B198" s="8" t="inlineStr">
        <is>
          <t>Haulage</t>
        </is>
      </c>
      <c r="C198" s="8" t="inlineStr">
        <is>
          <t>Ibadan</t>
        </is>
      </c>
      <c r="D198" s="8" t="inlineStr">
        <is>
          <t>Agege</t>
        </is>
      </c>
      <c r="E198" s="8" t="inlineStr">
        <is>
          <t>IKEJA-AGEGE-DOPEMU-MAGODO&gt;LAGOS</t>
        </is>
      </c>
      <c r="F198" s="8" t="inlineStr">
        <is>
          <t>Lagos bay used</t>
        </is>
      </c>
      <c r="G198" s="44">
        <f>IFERROR(INDEX('Turnaround Table'!$C$5:$C$231,MATCH(E198,'Turnaround Table'!$D$5:$D$231,0)),"")</f>
        <v/>
      </c>
      <c r="H198" s="43" t="n"/>
      <c r="I198" s="44">
        <f>IF(H198&lt;&gt;"",H198,IF(G198&lt;&gt;"",G198,'Truck Requirement'!$B$5))</f>
        <v/>
      </c>
      <c r="J198" s="44">
        <f>2*I198</f>
        <v/>
      </c>
      <c r="K198" s="8">
        <f>MAX(1,INT('Truck Requirement'!$B$4/J198))</f>
        <v/>
      </c>
      <c r="L198" s="8">
        <f>SUM(M198:U198)</f>
        <v/>
      </c>
      <c r="M198" s="8" t="n"/>
      <c r="N198" s="8" t="n"/>
      <c r="O198" s="8" t="n"/>
      <c r="P198" s="8" t="n"/>
      <c r="Q198" s="8" t="n"/>
      <c r="R198" s="8" t="n">
        <v>1</v>
      </c>
      <c r="S198" s="8" t="n"/>
      <c r="T198" s="8" t="n"/>
      <c r="U198" s="8" t="n"/>
      <c r="V198" s="45">
        <f>IF(M198="","",M198/$K198)</f>
        <v/>
      </c>
      <c r="W198" s="45">
        <f>IF(N198="","",N198/$K198)</f>
        <v/>
      </c>
      <c r="X198" s="45">
        <f>IF(O198="","",O198/$K198)</f>
        <v/>
      </c>
      <c r="Y198" s="45">
        <f>IF(P198="","",P198/$K198)</f>
        <v/>
      </c>
      <c r="Z198" s="45">
        <f>IF(Q198="","",Q198/$K198)</f>
        <v/>
      </c>
      <c r="AA198" s="45">
        <f>IF(R198="","",R198/$K198)</f>
        <v/>
      </c>
      <c r="AB198" s="45">
        <f>IF(S198="","",S198/$K198)</f>
        <v/>
      </c>
      <c r="AC198" s="45">
        <f>IF(T198="","",T198/$K198)</f>
        <v/>
      </c>
      <c r="AD198" s="45">
        <f>IF(U198="","",U198/$K198)</f>
        <v/>
      </c>
    </row>
    <row r="199">
      <c r="A199" s="8" t="inlineStr">
        <is>
          <t>NBL</t>
        </is>
      </c>
      <c r="B199" s="8" t="inlineStr">
        <is>
          <t>Haulage</t>
        </is>
      </c>
      <c r="C199" s="8" t="inlineStr">
        <is>
          <t>Ibadan</t>
        </is>
      </c>
      <c r="D199" s="8" t="inlineStr">
        <is>
          <t>Ajah</t>
        </is>
      </c>
      <c r="E199" s="8" t="inlineStr">
        <is>
          <t>VI-LEKKI-AJAH&gt;LAGOS</t>
        </is>
      </c>
      <c r="F199" s="8" t="inlineStr">
        <is>
          <t>Lagos bay used</t>
        </is>
      </c>
      <c r="G199" s="44">
        <f>IFERROR(INDEX('Turnaround Table'!$C$5:$C$231,MATCH(E199,'Turnaround Table'!$D$5:$D$231,0)),"")</f>
        <v/>
      </c>
      <c r="H199" s="43" t="n"/>
      <c r="I199" s="44">
        <f>IF(H199&lt;&gt;"",H199,IF(G199&lt;&gt;"",G199,'Truck Requirement'!$B$5))</f>
        <v/>
      </c>
      <c r="J199" s="44">
        <f>2*I199</f>
        <v/>
      </c>
      <c r="K199" s="8">
        <f>MAX(1,INT('Truck Requirement'!$B$4/J199))</f>
        <v/>
      </c>
      <c r="L199" s="8">
        <f>SUM(M199:U199)</f>
        <v/>
      </c>
      <c r="M199" s="8" t="n"/>
      <c r="N199" s="8" t="n"/>
      <c r="O199" s="8" t="n"/>
      <c r="P199" s="8" t="n"/>
      <c r="Q199" s="8" t="n"/>
      <c r="R199" s="8" t="n"/>
      <c r="S199" s="8" t="n">
        <v>1</v>
      </c>
      <c r="T199" s="8" t="n"/>
      <c r="U199" s="8" t="n"/>
      <c r="V199" s="45">
        <f>IF(M199="","",M199/$K199)</f>
        <v/>
      </c>
      <c r="W199" s="45">
        <f>IF(N199="","",N199/$K199)</f>
        <v/>
      </c>
      <c r="X199" s="45">
        <f>IF(O199="","",O199/$K199)</f>
        <v/>
      </c>
      <c r="Y199" s="45">
        <f>IF(P199="","",P199/$K199)</f>
        <v/>
      </c>
      <c r="Z199" s="45">
        <f>IF(Q199="","",Q199/$K199)</f>
        <v/>
      </c>
      <c r="AA199" s="45">
        <f>IF(R199="","",R199/$K199)</f>
        <v/>
      </c>
      <c r="AB199" s="45">
        <f>IF(S199="","",S199/$K199)</f>
        <v/>
      </c>
      <c r="AC199" s="45">
        <f>IF(T199="","",T199/$K199)</f>
        <v/>
      </c>
      <c r="AD199" s="45">
        <f>IF(U199="","",U199/$K199)</f>
        <v/>
      </c>
    </row>
    <row r="200">
      <c r="A200" s="51" t="inlineStr">
        <is>
          <t>NBL</t>
        </is>
      </c>
      <c r="B200" s="51" t="inlineStr">
        <is>
          <t>Haulage</t>
        </is>
      </c>
      <c r="C200" s="51" t="inlineStr">
        <is>
          <t>Ibadan</t>
        </is>
      </c>
      <c r="D200" s="51" t="inlineStr">
        <is>
          <t>Ama</t>
        </is>
      </c>
      <c r="E200" s="51" t="n">
        <v/>
      </c>
      <c r="F200" s="51" t="inlineStr">
        <is>
          <t>Not in table</t>
        </is>
      </c>
      <c r="G200" s="44">
        <f>IFERROR(INDEX('Turnaround Table'!$C$5:$C$231,MATCH(E200,'Turnaround Table'!$D$5:$D$231,0)),"")</f>
        <v/>
      </c>
      <c r="H200" s="43" t="n"/>
      <c r="I200" s="44">
        <f>IF(H200&lt;&gt;"",H200,IF(G200&lt;&gt;"",G200,'Truck Requirement'!$B$5))</f>
        <v/>
      </c>
      <c r="J200" s="44">
        <f>2*I200</f>
        <v/>
      </c>
      <c r="K200" s="8">
        <f>MAX(1,INT('Truck Requirement'!$B$4/J200))</f>
        <v/>
      </c>
      <c r="L200" s="8">
        <f>SUM(M200:U200)</f>
        <v/>
      </c>
      <c r="M200" s="8" t="n"/>
      <c r="N200" s="8" t="n">
        <v>1</v>
      </c>
      <c r="O200" s="8" t="n"/>
      <c r="P200" s="8" t="n"/>
      <c r="Q200" s="8" t="n"/>
      <c r="R200" s="8" t="n"/>
      <c r="S200" s="8" t="n"/>
      <c r="T200" s="8" t="n"/>
      <c r="U200" s="8" t="n"/>
      <c r="V200" s="45">
        <f>IF(M200="","",M200/$K200)</f>
        <v/>
      </c>
      <c r="W200" s="45">
        <f>IF(N200="","",N200/$K200)</f>
        <v/>
      </c>
      <c r="X200" s="45">
        <f>IF(O200="","",O200/$K200)</f>
        <v/>
      </c>
      <c r="Y200" s="45">
        <f>IF(P200="","",P200/$K200)</f>
        <v/>
      </c>
      <c r="Z200" s="45">
        <f>IF(Q200="","",Q200/$K200)</f>
        <v/>
      </c>
      <c r="AA200" s="45">
        <f>IF(R200="","",R200/$K200)</f>
        <v/>
      </c>
      <c r="AB200" s="45">
        <f>IF(S200="","",S200/$K200)</f>
        <v/>
      </c>
      <c r="AC200" s="45">
        <f>IF(T200="","",T200/$K200)</f>
        <v/>
      </c>
      <c r="AD200" s="45">
        <f>IF(U200="","",U200/$K200)</f>
        <v/>
      </c>
    </row>
    <row r="201">
      <c r="A201" s="8" t="inlineStr">
        <is>
          <t>NBL</t>
        </is>
      </c>
      <c r="B201" s="8" t="inlineStr">
        <is>
          <t>Haulage</t>
        </is>
      </c>
      <c r="C201" s="8" t="inlineStr">
        <is>
          <t>Ibadan</t>
        </is>
      </c>
      <c r="D201" s="8" t="inlineStr">
        <is>
          <t>Apata-Ibadan</t>
        </is>
      </c>
      <c r="E201" s="8" t="inlineStr">
        <is>
          <t>IBADAN&gt;IBADAN</t>
        </is>
      </c>
      <c r="F201" s="8" t="inlineStr">
        <is>
          <t>Exact</t>
        </is>
      </c>
      <c r="G201" s="44">
        <f>IFERROR(INDEX('Turnaround Table'!$C$5:$C$231,MATCH(E201,'Turnaround Table'!$D$5:$D$231,0)),"")</f>
        <v/>
      </c>
      <c r="H201" s="43" t="n"/>
      <c r="I201" s="44">
        <f>IF(H201&lt;&gt;"",H201,IF(G201&lt;&gt;"",G201,'Truck Requirement'!$B$5))</f>
        <v/>
      </c>
      <c r="J201" s="44">
        <f>2*I201</f>
        <v/>
      </c>
      <c r="K201" s="8">
        <f>MAX(1,INT('Truck Requirement'!$B$4/J201))</f>
        <v/>
      </c>
      <c r="L201" s="8">
        <f>SUM(M201:U201)</f>
        <v/>
      </c>
      <c r="M201" s="8" t="n"/>
      <c r="N201" s="8" t="n"/>
      <c r="O201" s="8" t="n"/>
      <c r="P201" s="8" t="n"/>
      <c r="Q201" s="8" t="n"/>
      <c r="R201" s="8" t="n"/>
      <c r="S201" s="8" t="n"/>
      <c r="T201" s="8" t="n">
        <v>1</v>
      </c>
      <c r="U201" s="8" t="n"/>
      <c r="V201" s="45">
        <f>IF(M201="","",M201/$K201)</f>
        <v/>
      </c>
      <c r="W201" s="45">
        <f>IF(N201="","",N201/$K201)</f>
        <v/>
      </c>
      <c r="X201" s="45">
        <f>IF(O201="","",O201/$K201)</f>
        <v/>
      </c>
      <c r="Y201" s="45">
        <f>IF(P201="","",P201/$K201)</f>
        <v/>
      </c>
      <c r="Z201" s="45">
        <f>IF(Q201="","",Q201/$K201)</f>
        <v/>
      </c>
      <c r="AA201" s="45">
        <f>IF(R201="","",R201/$K201)</f>
        <v/>
      </c>
      <c r="AB201" s="45">
        <f>IF(S201="","",S201/$K201)</f>
        <v/>
      </c>
      <c r="AC201" s="45">
        <f>IF(T201="","",T201/$K201)</f>
        <v/>
      </c>
      <c r="AD201" s="45">
        <f>IF(U201="","",U201/$K201)</f>
        <v/>
      </c>
    </row>
    <row r="202">
      <c r="A202" s="8" t="inlineStr">
        <is>
          <t>NBL</t>
        </is>
      </c>
      <c r="B202" s="8" t="inlineStr">
        <is>
          <t>Haulage</t>
        </is>
      </c>
      <c r="C202" s="8" t="inlineStr">
        <is>
          <t>Ibadan</t>
        </is>
      </c>
      <c r="D202" s="8" t="inlineStr">
        <is>
          <t>Badagry</t>
        </is>
      </c>
      <c r="E202" s="8" t="inlineStr">
        <is>
          <t>AGBARA-BADAGRI&gt;LAGOS</t>
        </is>
      </c>
      <c r="F202" s="8" t="inlineStr">
        <is>
          <t>Lagos bay used</t>
        </is>
      </c>
      <c r="G202" s="44">
        <f>IFERROR(INDEX('Turnaround Table'!$C$5:$C$231,MATCH(E202,'Turnaround Table'!$D$5:$D$231,0)),"")</f>
        <v/>
      </c>
      <c r="H202" s="43" t="n"/>
      <c r="I202" s="44">
        <f>IF(H202&lt;&gt;"",H202,IF(G202&lt;&gt;"",G202,'Truck Requirement'!$B$5))</f>
        <v/>
      </c>
      <c r="J202" s="44">
        <f>2*I202</f>
        <v/>
      </c>
      <c r="K202" s="8">
        <f>MAX(1,INT('Truck Requirement'!$B$4/J202))</f>
        <v/>
      </c>
      <c r="L202" s="8">
        <f>SUM(M202:U202)</f>
        <v/>
      </c>
      <c r="M202" s="8" t="n"/>
      <c r="N202" s="8" t="n"/>
      <c r="O202" s="8" t="n"/>
      <c r="P202" s="8" t="n"/>
      <c r="Q202" s="8" t="n">
        <v>1</v>
      </c>
      <c r="R202" s="8" t="n"/>
      <c r="S202" s="8" t="n"/>
      <c r="T202" s="8" t="n"/>
      <c r="U202" s="8" t="n"/>
      <c r="V202" s="45">
        <f>IF(M202="","",M202/$K202)</f>
        <v/>
      </c>
      <c r="W202" s="45">
        <f>IF(N202="","",N202/$K202)</f>
        <v/>
      </c>
      <c r="X202" s="45">
        <f>IF(O202="","",O202/$K202)</f>
        <v/>
      </c>
      <c r="Y202" s="45">
        <f>IF(P202="","",P202/$K202)</f>
        <v/>
      </c>
      <c r="Z202" s="45">
        <f>IF(Q202="","",Q202/$K202)</f>
        <v/>
      </c>
      <c r="AA202" s="45">
        <f>IF(R202="","",R202/$K202)</f>
        <v/>
      </c>
      <c r="AB202" s="45">
        <f>IF(S202="","",S202/$K202)</f>
        <v/>
      </c>
      <c r="AC202" s="45">
        <f>IF(T202="","",T202/$K202)</f>
        <v/>
      </c>
      <c r="AD202" s="45">
        <f>IF(U202="","",U202/$K202)</f>
        <v/>
      </c>
    </row>
    <row r="203">
      <c r="A203" s="8" t="inlineStr">
        <is>
          <t>NBL</t>
        </is>
      </c>
      <c r="B203" s="8" t="inlineStr">
        <is>
          <t>Haulage</t>
        </is>
      </c>
      <c r="C203" s="8" t="inlineStr">
        <is>
          <t>Ibadan</t>
        </is>
      </c>
      <c r="D203" s="8" t="inlineStr">
        <is>
          <t>Bashorun</t>
        </is>
      </c>
      <c r="E203" s="8" t="inlineStr">
        <is>
          <t>ILUPEJU-GBD-APAPA-MUSHIN-OKOTA-FADEYI&gt;LAGOS</t>
        </is>
      </c>
      <c r="F203" s="8" t="inlineStr">
        <is>
          <t>Lagos bay used</t>
        </is>
      </c>
      <c r="G203" s="44">
        <f>IFERROR(INDEX('Turnaround Table'!$C$5:$C$231,MATCH(E203,'Turnaround Table'!$D$5:$D$231,0)),"")</f>
        <v/>
      </c>
      <c r="H203" s="43" t="n"/>
      <c r="I203" s="44">
        <f>IF(H203&lt;&gt;"",H203,IF(G203&lt;&gt;"",G203,'Truck Requirement'!$B$5))</f>
        <v/>
      </c>
      <c r="J203" s="44">
        <f>2*I203</f>
        <v/>
      </c>
      <c r="K203" s="8">
        <f>MAX(1,INT('Truck Requirement'!$B$4/J203))</f>
        <v/>
      </c>
      <c r="L203" s="8">
        <f>SUM(M203:U203)</f>
        <v/>
      </c>
      <c r="M203" s="8" t="n">
        <v>1</v>
      </c>
      <c r="N203" s="8" t="n"/>
      <c r="O203" s="8" t="n"/>
      <c r="P203" s="8" t="n"/>
      <c r="Q203" s="8" t="n"/>
      <c r="R203" s="8" t="n"/>
      <c r="S203" s="8" t="n"/>
      <c r="T203" s="8" t="n"/>
      <c r="U203" s="8" t="n"/>
      <c r="V203" s="45">
        <f>IF(M203="","",M203/$K203)</f>
        <v/>
      </c>
      <c r="W203" s="45">
        <f>IF(N203="","",N203/$K203)</f>
        <v/>
      </c>
      <c r="X203" s="45">
        <f>IF(O203="","",O203/$K203)</f>
        <v/>
      </c>
      <c r="Y203" s="45">
        <f>IF(P203="","",P203/$K203)</f>
        <v/>
      </c>
      <c r="Z203" s="45">
        <f>IF(Q203="","",Q203/$K203)</f>
        <v/>
      </c>
      <c r="AA203" s="45">
        <f>IF(R203="","",R203/$K203)</f>
        <v/>
      </c>
      <c r="AB203" s="45">
        <f>IF(S203="","",S203/$K203)</f>
        <v/>
      </c>
      <c r="AC203" s="45">
        <f>IF(T203="","",T203/$K203)</f>
        <v/>
      </c>
      <c r="AD203" s="45">
        <f>IF(U203="","",U203/$K203)</f>
        <v/>
      </c>
    </row>
    <row r="204">
      <c r="A204" s="8" t="inlineStr">
        <is>
          <t>NBL</t>
        </is>
      </c>
      <c r="B204" s="8" t="inlineStr">
        <is>
          <t>Haulage</t>
        </is>
      </c>
      <c r="C204" s="8" t="inlineStr">
        <is>
          <t>Ibadan</t>
        </is>
      </c>
      <c r="D204" s="8" t="inlineStr">
        <is>
          <t>Egbe</t>
        </is>
      </c>
      <c r="E204" s="8" t="inlineStr">
        <is>
          <t>KABBA&gt;IBADAN</t>
        </is>
      </c>
      <c r="F204" s="8" t="inlineStr">
        <is>
          <t>Exact</t>
        </is>
      </c>
      <c r="G204" s="44">
        <f>IFERROR(INDEX('Turnaround Table'!$C$5:$C$231,MATCH(E204,'Turnaround Table'!$D$5:$D$231,0)),"")</f>
        <v/>
      </c>
      <c r="H204" s="43" t="n"/>
      <c r="I204" s="44">
        <f>IF(H204&lt;&gt;"",H204,IF(G204&lt;&gt;"",G204,'Truck Requirement'!$B$5))</f>
        <v/>
      </c>
      <c r="J204" s="44">
        <f>2*I204</f>
        <v/>
      </c>
      <c r="K204" s="8">
        <f>MAX(1,INT('Truck Requirement'!$B$4/J204))</f>
        <v/>
      </c>
      <c r="L204" s="8">
        <f>SUM(M204:U204)</f>
        <v/>
      </c>
      <c r="M204" s="8" t="n">
        <v>1</v>
      </c>
      <c r="N204" s="8" t="n"/>
      <c r="O204" s="8" t="n"/>
      <c r="P204" s="8" t="n"/>
      <c r="Q204" s="8" t="n"/>
      <c r="R204" s="8" t="n"/>
      <c r="S204" s="8" t="n"/>
      <c r="T204" s="8" t="n"/>
      <c r="U204" s="8" t="n"/>
      <c r="V204" s="45">
        <f>IF(M204="","",M204/$K204)</f>
        <v/>
      </c>
      <c r="W204" s="45">
        <f>IF(N204="","",N204/$K204)</f>
        <v/>
      </c>
      <c r="X204" s="45">
        <f>IF(O204="","",O204/$K204)</f>
        <v/>
      </c>
      <c r="Y204" s="45">
        <f>IF(P204="","",P204/$K204)</f>
        <v/>
      </c>
      <c r="Z204" s="45">
        <f>IF(Q204="","",Q204/$K204)</f>
        <v/>
      </c>
      <c r="AA204" s="45">
        <f>IF(R204="","",R204/$K204)</f>
        <v/>
      </c>
      <c r="AB204" s="45">
        <f>IF(S204="","",S204/$K204)</f>
        <v/>
      </c>
      <c r="AC204" s="45">
        <f>IF(T204="","",T204/$K204)</f>
        <v/>
      </c>
      <c r="AD204" s="45">
        <f>IF(U204="","",U204/$K204)</f>
        <v/>
      </c>
    </row>
    <row r="205">
      <c r="A205" s="8" t="inlineStr">
        <is>
          <t>NBL</t>
        </is>
      </c>
      <c r="B205" s="8" t="inlineStr">
        <is>
          <t>Haulage</t>
        </is>
      </c>
      <c r="C205" s="8" t="inlineStr">
        <is>
          <t>Ibadan</t>
        </is>
      </c>
      <c r="D205" s="8" t="inlineStr">
        <is>
          <t>Ekpoma</t>
        </is>
      </c>
      <c r="E205" s="8" t="inlineStr">
        <is>
          <t>UROMI&gt;LAGOS</t>
        </is>
      </c>
      <c r="F205" s="8" t="inlineStr">
        <is>
          <t>Lagos bay used</t>
        </is>
      </c>
      <c r="G205" s="44">
        <f>IFERROR(INDEX('Turnaround Table'!$C$5:$C$231,MATCH(E205,'Turnaround Table'!$D$5:$D$231,0)),"")</f>
        <v/>
      </c>
      <c r="H205" s="43" t="n"/>
      <c r="I205" s="44">
        <f>IF(H205&lt;&gt;"",H205,IF(G205&lt;&gt;"",G205,'Truck Requirement'!$B$5))</f>
        <v/>
      </c>
      <c r="J205" s="44">
        <f>2*I205</f>
        <v/>
      </c>
      <c r="K205" s="8">
        <f>MAX(1,INT('Truck Requirement'!$B$4/J205))</f>
        <v/>
      </c>
      <c r="L205" s="8">
        <f>SUM(M205:U205)</f>
        <v/>
      </c>
      <c r="M205" s="8" t="n"/>
      <c r="N205" s="8" t="n"/>
      <c r="O205" s="8" t="n">
        <v>1</v>
      </c>
      <c r="P205" s="8" t="n"/>
      <c r="Q205" s="8" t="n"/>
      <c r="R205" s="8" t="n"/>
      <c r="S205" s="8" t="n"/>
      <c r="T205" s="8" t="n"/>
      <c r="U205" s="8" t="n"/>
      <c r="V205" s="45">
        <f>IF(M205="","",M205/$K205)</f>
        <v/>
      </c>
      <c r="W205" s="45">
        <f>IF(N205="","",N205/$K205)</f>
        <v/>
      </c>
      <c r="X205" s="45">
        <f>IF(O205="","",O205/$K205)</f>
        <v/>
      </c>
      <c r="Y205" s="45">
        <f>IF(P205="","",P205/$K205)</f>
        <v/>
      </c>
      <c r="Z205" s="45">
        <f>IF(Q205="","",Q205/$K205)</f>
        <v/>
      </c>
      <c r="AA205" s="45">
        <f>IF(R205="","",R205/$K205)</f>
        <v/>
      </c>
      <c r="AB205" s="45">
        <f>IF(S205="","",S205/$K205)</f>
        <v/>
      </c>
      <c r="AC205" s="45">
        <f>IF(T205="","",T205/$K205)</f>
        <v/>
      </c>
      <c r="AD205" s="45">
        <f>IF(U205="","",U205/$K205)</f>
        <v/>
      </c>
    </row>
    <row r="206">
      <c r="A206" s="8" t="inlineStr">
        <is>
          <t>NBL</t>
        </is>
      </c>
      <c r="B206" s="8" t="inlineStr">
        <is>
          <t>Haulage</t>
        </is>
      </c>
      <c r="C206" s="8" t="inlineStr">
        <is>
          <t>Ibadan</t>
        </is>
      </c>
      <c r="D206" s="8" t="inlineStr">
        <is>
          <t>Ifon Osun</t>
        </is>
      </c>
      <c r="E206" s="8" t="inlineStr">
        <is>
          <t>IFON&gt;LAGOS</t>
        </is>
      </c>
      <c r="F206" s="8" t="inlineStr">
        <is>
          <t>Lagos bay used</t>
        </is>
      </c>
      <c r="G206" s="44">
        <f>IFERROR(INDEX('Turnaround Table'!$C$5:$C$231,MATCH(E206,'Turnaround Table'!$D$5:$D$231,0)),"")</f>
        <v/>
      </c>
      <c r="H206" s="43" t="n"/>
      <c r="I206" s="44">
        <f>IF(H206&lt;&gt;"",H206,IF(G206&lt;&gt;"",G206,'Truck Requirement'!$B$5))</f>
        <v/>
      </c>
      <c r="J206" s="44">
        <f>2*I206</f>
        <v/>
      </c>
      <c r="K206" s="8">
        <f>MAX(1,INT('Truck Requirement'!$B$4/J206))</f>
        <v/>
      </c>
      <c r="L206" s="8">
        <f>SUM(M206:U206)</f>
        <v/>
      </c>
      <c r="M206" s="8" t="n"/>
      <c r="N206" s="8" t="n"/>
      <c r="O206" s="8" t="n"/>
      <c r="P206" s="8" t="n"/>
      <c r="Q206" s="8" t="n">
        <v>1</v>
      </c>
      <c r="R206" s="8" t="n"/>
      <c r="S206" s="8" t="n"/>
      <c r="T206" s="8" t="n"/>
      <c r="U206" s="8" t="n"/>
      <c r="V206" s="45">
        <f>IF(M206="","",M206/$K206)</f>
        <v/>
      </c>
      <c r="W206" s="45">
        <f>IF(N206="","",N206/$K206)</f>
        <v/>
      </c>
      <c r="X206" s="45">
        <f>IF(O206="","",O206/$K206)</f>
        <v/>
      </c>
      <c r="Y206" s="45">
        <f>IF(P206="","",P206/$K206)</f>
        <v/>
      </c>
      <c r="Z206" s="45">
        <f>IF(Q206="","",Q206/$K206)</f>
        <v/>
      </c>
      <c r="AA206" s="45">
        <f>IF(R206="","",R206/$K206)</f>
        <v/>
      </c>
      <c r="AB206" s="45">
        <f>IF(S206="","",S206/$K206)</f>
        <v/>
      </c>
      <c r="AC206" s="45">
        <f>IF(T206="","",T206/$K206)</f>
        <v/>
      </c>
      <c r="AD206" s="45">
        <f>IF(U206="","",U206/$K206)</f>
        <v/>
      </c>
    </row>
    <row r="207">
      <c r="A207" s="8" t="inlineStr">
        <is>
          <t>NBL</t>
        </is>
      </c>
      <c r="B207" s="8" t="inlineStr">
        <is>
          <t>Haulage</t>
        </is>
      </c>
      <c r="C207" s="8" t="inlineStr">
        <is>
          <t>Ibadan</t>
        </is>
      </c>
      <c r="D207" s="8" t="inlineStr">
        <is>
          <t>Igboora</t>
        </is>
      </c>
      <c r="E207" s="8" t="inlineStr">
        <is>
          <t>ISEYIN&gt;LAGOS</t>
        </is>
      </c>
      <c r="F207" s="8" t="inlineStr">
        <is>
          <t>Lagos bay used</t>
        </is>
      </c>
      <c r="G207" s="44">
        <f>IFERROR(INDEX('Turnaround Table'!$C$5:$C$231,MATCH(E207,'Turnaround Table'!$D$5:$D$231,0)),"")</f>
        <v/>
      </c>
      <c r="H207" s="43" t="n"/>
      <c r="I207" s="44">
        <f>IF(H207&lt;&gt;"",H207,IF(G207&lt;&gt;"",G207,'Truck Requirement'!$B$5))</f>
        <v/>
      </c>
      <c r="J207" s="44">
        <f>2*I207</f>
        <v/>
      </c>
      <c r="K207" s="8">
        <f>MAX(1,INT('Truck Requirement'!$B$4/J207))</f>
        <v/>
      </c>
      <c r="L207" s="8">
        <f>SUM(M207:U207)</f>
        <v/>
      </c>
      <c r="M207" s="8" t="n"/>
      <c r="N207" s="8" t="n"/>
      <c r="O207" s="8" t="n">
        <v>1</v>
      </c>
      <c r="P207" s="8" t="n"/>
      <c r="Q207" s="8" t="n"/>
      <c r="R207" s="8" t="n"/>
      <c r="S207" s="8" t="n"/>
      <c r="T207" s="8" t="n"/>
      <c r="U207" s="8" t="n"/>
      <c r="V207" s="45">
        <f>IF(M207="","",M207/$K207)</f>
        <v/>
      </c>
      <c r="W207" s="45">
        <f>IF(N207="","",N207/$K207)</f>
        <v/>
      </c>
      <c r="X207" s="45">
        <f>IF(O207="","",O207/$K207)</f>
        <v/>
      </c>
      <c r="Y207" s="45">
        <f>IF(P207="","",P207/$K207)</f>
        <v/>
      </c>
      <c r="Z207" s="45">
        <f>IF(Q207="","",Q207/$K207)</f>
        <v/>
      </c>
      <c r="AA207" s="45">
        <f>IF(R207="","",R207/$K207)</f>
        <v/>
      </c>
      <c r="AB207" s="45">
        <f>IF(S207="","",S207/$K207)</f>
        <v/>
      </c>
      <c r="AC207" s="45">
        <f>IF(T207="","",T207/$K207)</f>
        <v/>
      </c>
      <c r="AD207" s="45">
        <f>IF(U207="","",U207/$K207)</f>
        <v/>
      </c>
    </row>
    <row r="208">
      <c r="A208" s="8" t="inlineStr">
        <is>
          <t>NBL</t>
        </is>
      </c>
      <c r="B208" s="8" t="inlineStr">
        <is>
          <t>Haulage</t>
        </is>
      </c>
      <c r="C208" s="8" t="inlineStr">
        <is>
          <t>Ibadan</t>
        </is>
      </c>
      <c r="D208" s="8" t="inlineStr">
        <is>
          <t>Ihiala</t>
        </is>
      </c>
      <c r="E208" s="8" t="inlineStr">
        <is>
          <t>ONITSHA&gt;IBADAN</t>
        </is>
      </c>
      <c r="F208" s="8" t="inlineStr">
        <is>
          <t>Exact</t>
        </is>
      </c>
      <c r="G208" s="44">
        <f>IFERROR(INDEX('Turnaround Table'!$C$5:$C$231,MATCH(E208,'Turnaround Table'!$D$5:$D$231,0)),"")</f>
        <v/>
      </c>
      <c r="H208" s="43" t="n"/>
      <c r="I208" s="44">
        <f>IF(H208&lt;&gt;"",H208,IF(G208&lt;&gt;"",G208,'Truck Requirement'!$B$5))</f>
        <v/>
      </c>
      <c r="J208" s="44">
        <f>2*I208</f>
        <v/>
      </c>
      <c r="K208" s="8">
        <f>MAX(1,INT('Truck Requirement'!$B$4/J208))</f>
        <v/>
      </c>
      <c r="L208" s="8">
        <f>SUM(M208:U208)</f>
        <v/>
      </c>
      <c r="M208" s="8" t="n"/>
      <c r="N208" s="8" t="n"/>
      <c r="O208" s="8" t="n"/>
      <c r="P208" s="8" t="n"/>
      <c r="Q208" s="8" t="n">
        <v>1</v>
      </c>
      <c r="R208" s="8" t="n"/>
      <c r="S208" s="8" t="n"/>
      <c r="T208" s="8" t="n"/>
      <c r="U208" s="8" t="n"/>
      <c r="V208" s="45">
        <f>IF(M208="","",M208/$K208)</f>
        <v/>
      </c>
      <c r="W208" s="45">
        <f>IF(N208="","",N208/$K208)</f>
        <v/>
      </c>
      <c r="X208" s="45">
        <f>IF(O208="","",O208/$K208)</f>
        <v/>
      </c>
      <c r="Y208" s="45">
        <f>IF(P208="","",P208/$K208)</f>
        <v/>
      </c>
      <c r="Z208" s="45">
        <f>IF(Q208="","",Q208/$K208)</f>
        <v/>
      </c>
      <c r="AA208" s="45">
        <f>IF(R208="","",R208/$K208)</f>
        <v/>
      </c>
      <c r="AB208" s="45">
        <f>IF(S208="","",S208/$K208)</f>
        <v/>
      </c>
      <c r="AC208" s="45">
        <f>IF(T208="","",T208/$K208)</f>
        <v/>
      </c>
      <c r="AD208" s="45">
        <f>IF(U208="","",U208/$K208)</f>
        <v/>
      </c>
    </row>
    <row r="209">
      <c r="A209" s="8" t="inlineStr">
        <is>
          <t>NBL</t>
        </is>
      </c>
      <c r="B209" s="8" t="inlineStr">
        <is>
          <t>Haulage</t>
        </is>
      </c>
      <c r="C209" s="8" t="inlineStr">
        <is>
          <t>Ibadan</t>
        </is>
      </c>
      <c r="D209" s="8" t="inlineStr">
        <is>
          <t>Ikare Akoko</t>
        </is>
      </c>
      <c r="E209" s="8" t="inlineStr">
        <is>
          <t>IKARE&gt;LAGOS</t>
        </is>
      </c>
      <c r="F209" s="8" t="inlineStr">
        <is>
          <t>Lagos bay used</t>
        </is>
      </c>
      <c r="G209" s="44">
        <f>IFERROR(INDEX('Turnaround Table'!$C$5:$C$231,MATCH(E209,'Turnaround Table'!$D$5:$D$231,0)),"")</f>
        <v/>
      </c>
      <c r="H209" s="43" t="n"/>
      <c r="I209" s="44">
        <f>IF(H209&lt;&gt;"",H209,IF(G209&lt;&gt;"",G209,'Truck Requirement'!$B$5))</f>
        <v/>
      </c>
      <c r="J209" s="44">
        <f>2*I209</f>
        <v/>
      </c>
      <c r="K209" s="8">
        <f>MAX(1,INT('Truck Requirement'!$B$4/J209))</f>
        <v/>
      </c>
      <c r="L209" s="8">
        <f>SUM(M209:U209)</f>
        <v/>
      </c>
      <c r="M209" s="8" t="n">
        <v>1</v>
      </c>
      <c r="N209" s="8" t="n"/>
      <c r="O209" s="8" t="n"/>
      <c r="P209" s="8" t="n"/>
      <c r="Q209" s="8" t="n"/>
      <c r="R209" s="8" t="n"/>
      <c r="S209" s="8" t="n"/>
      <c r="T209" s="8" t="n"/>
      <c r="U209" s="8" t="n"/>
      <c r="V209" s="45">
        <f>IF(M209="","",M209/$K209)</f>
        <v/>
      </c>
      <c r="W209" s="45">
        <f>IF(N209="","",N209/$K209)</f>
        <v/>
      </c>
      <c r="X209" s="45">
        <f>IF(O209="","",O209/$K209)</f>
        <v/>
      </c>
      <c r="Y209" s="45">
        <f>IF(P209="","",P209/$K209)</f>
        <v/>
      </c>
      <c r="Z209" s="45">
        <f>IF(Q209="","",Q209/$K209)</f>
        <v/>
      </c>
      <c r="AA209" s="45">
        <f>IF(R209="","",R209/$K209)</f>
        <v/>
      </c>
      <c r="AB209" s="45">
        <f>IF(S209="","",S209/$K209)</f>
        <v/>
      </c>
      <c r="AC209" s="45">
        <f>IF(T209="","",T209/$K209)</f>
        <v/>
      </c>
      <c r="AD209" s="45">
        <f>IF(U209="","",U209/$K209)</f>
        <v/>
      </c>
    </row>
    <row r="210">
      <c r="A210" s="8" t="inlineStr">
        <is>
          <t>NBL</t>
        </is>
      </c>
      <c r="B210" s="8" t="inlineStr">
        <is>
          <t>Haulage</t>
        </is>
      </c>
      <c r="C210" s="8" t="inlineStr">
        <is>
          <t>Ibadan</t>
        </is>
      </c>
      <c r="D210" s="8" t="inlineStr">
        <is>
          <t>Ilesa</t>
        </is>
      </c>
      <c r="E210" s="8" t="inlineStr">
        <is>
          <t>ILESA&gt;LAGOS</t>
        </is>
      </c>
      <c r="F210" s="8" t="inlineStr">
        <is>
          <t>Lagos bay used</t>
        </is>
      </c>
      <c r="G210" s="44">
        <f>IFERROR(INDEX('Turnaround Table'!$C$5:$C$231,MATCH(E210,'Turnaround Table'!$D$5:$D$231,0)),"")</f>
        <v/>
      </c>
      <c r="H210" s="43" t="n"/>
      <c r="I210" s="44">
        <f>IF(H210&lt;&gt;"",H210,IF(G210&lt;&gt;"",G210,'Truck Requirement'!$B$5))</f>
        <v/>
      </c>
      <c r="J210" s="44">
        <f>2*I210</f>
        <v/>
      </c>
      <c r="K210" s="8">
        <f>MAX(1,INT('Truck Requirement'!$B$4/J210))</f>
        <v/>
      </c>
      <c r="L210" s="8">
        <f>SUM(M210:U210)</f>
        <v/>
      </c>
      <c r="M210" s="8" t="n"/>
      <c r="N210" s="8" t="n"/>
      <c r="O210" s="8" t="n"/>
      <c r="P210" s="8" t="n"/>
      <c r="Q210" s="8" t="n">
        <v>1</v>
      </c>
      <c r="R210" s="8" t="n"/>
      <c r="S210" s="8" t="n"/>
      <c r="T210" s="8" t="n"/>
      <c r="U210" s="8" t="n"/>
      <c r="V210" s="45">
        <f>IF(M210="","",M210/$K210)</f>
        <v/>
      </c>
      <c r="W210" s="45">
        <f>IF(N210="","",N210/$K210)</f>
        <v/>
      </c>
      <c r="X210" s="45">
        <f>IF(O210="","",O210/$K210)</f>
        <v/>
      </c>
      <c r="Y210" s="45">
        <f>IF(P210="","",P210/$K210)</f>
        <v/>
      </c>
      <c r="Z210" s="45">
        <f>IF(Q210="","",Q210/$K210)</f>
        <v/>
      </c>
      <c r="AA210" s="45">
        <f>IF(R210="","",R210/$K210)</f>
        <v/>
      </c>
      <c r="AB210" s="45">
        <f>IF(S210="","",S210/$K210)</f>
        <v/>
      </c>
      <c r="AC210" s="45">
        <f>IF(T210="","",T210/$K210)</f>
        <v/>
      </c>
      <c r="AD210" s="45">
        <f>IF(U210="","",U210/$K210)</f>
        <v/>
      </c>
    </row>
    <row r="211">
      <c r="A211" s="8" t="inlineStr">
        <is>
          <t>NBL</t>
        </is>
      </c>
      <c r="B211" s="8" t="inlineStr">
        <is>
          <t>Haulage</t>
        </is>
      </c>
      <c r="C211" s="8" t="inlineStr">
        <is>
          <t>Ibadan</t>
        </is>
      </c>
      <c r="D211" s="8" t="inlineStr">
        <is>
          <t>Imo</t>
        </is>
      </c>
      <c r="E211" s="8" t="inlineStr">
        <is>
          <t>OWERRI&gt;LAGOS</t>
        </is>
      </c>
      <c r="F211" s="8" t="inlineStr">
        <is>
          <t>Lagos bay used</t>
        </is>
      </c>
      <c r="G211" s="44">
        <f>IFERROR(INDEX('Turnaround Table'!$C$5:$C$231,MATCH(E211,'Turnaround Table'!$D$5:$D$231,0)),"")</f>
        <v/>
      </c>
      <c r="H211" s="43" t="n"/>
      <c r="I211" s="44">
        <f>IF(H211&lt;&gt;"",H211,IF(G211&lt;&gt;"",G211,'Truck Requirement'!$B$5))</f>
        <v/>
      </c>
      <c r="J211" s="44">
        <f>2*I211</f>
        <v/>
      </c>
      <c r="K211" s="8">
        <f>MAX(1,INT('Truck Requirement'!$B$4/J211))</f>
        <v/>
      </c>
      <c r="L211" s="8">
        <f>SUM(M211:U211)</f>
        <v/>
      </c>
      <c r="M211" s="8" t="n"/>
      <c r="N211" s="8" t="n">
        <v>1</v>
      </c>
      <c r="O211" s="8" t="n"/>
      <c r="P211" s="8" t="n"/>
      <c r="Q211" s="8" t="n"/>
      <c r="R211" s="8" t="n"/>
      <c r="S211" s="8" t="n"/>
      <c r="T211" s="8" t="n"/>
      <c r="U211" s="8" t="n"/>
      <c r="V211" s="45">
        <f>IF(M211="","",M211/$K211)</f>
        <v/>
      </c>
      <c r="W211" s="45">
        <f>IF(N211="","",N211/$K211)</f>
        <v/>
      </c>
      <c r="X211" s="45">
        <f>IF(O211="","",O211/$K211)</f>
        <v/>
      </c>
      <c r="Y211" s="45">
        <f>IF(P211="","",P211/$K211)</f>
        <v/>
      </c>
      <c r="Z211" s="45">
        <f>IF(Q211="","",Q211/$K211)</f>
        <v/>
      </c>
      <c r="AA211" s="45">
        <f>IF(R211="","",R211/$K211)</f>
        <v/>
      </c>
      <c r="AB211" s="45">
        <f>IF(S211="","",S211/$K211)</f>
        <v/>
      </c>
      <c r="AC211" s="45">
        <f>IF(T211="","",T211/$K211)</f>
        <v/>
      </c>
      <c r="AD211" s="45">
        <f>IF(U211="","",U211/$K211)</f>
        <v/>
      </c>
    </row>
    <row r="212">
      <c r="A212" s="8" t="inlineStr">
        <is>
          <t>NBL</t>
        </is>
      </c>
      <c r="B212" s="8" t="inlineStr">
        <is>
          <t>Haulage</t>
        </is>
      </c>
      <c r="C212" s="8" t="inlineStr">
        <is>
          <t>Ibadan</t>
        </is>
      </c>
      <c r="D212" s="8" t="inlineStr">
        <is>
          <t>Jalingo</t>
        </is>
      </c>
      <c r="E212" s="8" t="inlineStr">
        <is>
          <t>JALINGO&gt;IBADAN</t>
        </is>
      </c>
      <c r="F212" s="8" t="inlineStr">
        <is>
          <t>Exact</t>
        </is>
      </c>
      <c r="G212" s="44">
        <f>IFERROR(INDEX('Turnaround Table'!$C$5:$C$231,MATCH(E212,'Turnaround Table'!$D$5:$D$231,0)),"")</f>
        <v/>
      </c>
      <c r="H212" s="43" t="n"/>
      <c r="I212" s="44">
        <f>IF(H212&lt;&gt;"",H212,IF(G212&lt;&gt;"",G212,'Truck Requirement'!$B$5))</f>
        <v/>
      </c>
      <c r="J212" s="44">
        <f>2*I212</f>
        <v/>
      </c>
      <c r="K212" s="8">
        <f>MAX(1,INT('Truck Requirement'!$B$4/J212))</f>
        <v/>
      </c>
      <c r="L212" s="8">
        <f>SUM(M212:U212)</f>
        <v/>
      </c>
      <c r="M212" s="8" t="n"/>
      <c r="N212" s="8" t="n"/>
      <c r="O212" s="8" t="n"/>
      <c r="P212" s="8" t="n">
        <v>1</v>
      </c>
      <c r="Q212" s="8" t="n"/>
      <c r="R212" s="8" t="n"/>
      <c r="S212" s="8" t="n"/>
      <c r="T212" s="8" t="n"/>
      <c r="U212" s="8" t="n"/>
      <c r="V212" s="45">
        <f>IF(M212="","",M212/$K212)</f>
        <v/>
      </c>
      <c r="W212" s="45">
        <f>IF(N212="","",N212/$K212)</f>
        <v/>
      </c>
      <c r="X212" s="45">
        <f>IF(O212="","",O212/$K212)</f>
        <v/>
      </c>
      <c r="Y212" s="45">
        <f>IF(P212="","",P212/$K212)</f>
        <v/>
      </c>
      <c r="Z212" s="45">
        <f>IF(Q212="","",Q212/$K212)</f>
        <v/>
      </c>
      <c r="AA212" s="45">
        <f>IF(R212="","",R212/$K212)</f>
        <v/>
      </c>
      <c r="AB212" s="45">
        <f>IF(S212="","",S212/$K212)</f>
        <v/>
      </c>
      <c r="AC212" s="45">
        <f>IF(T212="","",T212/$K212)</f>
        <v/>
      </c>
      <c r="AD212" s="45">
        <f>IF(U212="","",U212/$K212)</f>
        <v/>
      </c>
    </row>
    <row r="213">
      <c r="A213" s="8" t="inlineStr">
        <is>
          <t>NBL</t>
        </is>
      </c>
      <c r="B213" s="8" t="inlineStr">
        <is>
          <t>Haulage</t>
        </is>
      </c>
      <c r="C213" s="8" t="inlineStr">
        <is>
          <t>Ibadan</t>
        </is>
      </c>
      <c r="D213" s="8" t="inlineStr">
        <is>
          <t>Kaduna (Kudenda)</t>
        </is>
      </c>
      <c r="E213" s="8" t="inlineStr">
        <is>
          <t>KADUNA&gt;IBADAN</t>
        </is>
      </c>
      <c r="F213" s="8" t="inlineStr">
        <is>
          <t>Exact</t>
        </is>
      </c>
      <c r="G213" s="44">
        <f>IFERROR(INDEX('Turnaround Table'!$C$5:$C$231,MATCH(E213,'Turnaround Table'!$D$5:$D$231,0)),"")</f>
        <v/>
      </c>
      <c r="H213" s="43" t="n"/>
      <c r="I213" s="44">
        <f>IF(H213&lt;&gt;"",H213,IF(G213&lt;&gt;"",G213,'Truck Requirement'!$B$5))</f>
        <v/>
      </c>
      <c r="J213" s="44">
        <f>2*I213</f>
        <v/>
      </c>
      <c r="K213" s="8">
        <f>MAX(1,INT('Truck Requirement'!$B$4/J213))</f>
        <v/>
      </c>
      <c r="L213" s="8">
        <f>SUM(M213:U213)</f>
        <v/>
      </c>
      <c r="M213" s="8" t="n"/>
      <c r="N213" s="8" t="n"/>
      <c r="O213" s="8" t="n">
        <v>1</v>
      </c>
      <c r="P213" s="8" t="n"/>
      <c r="Q213" s="8" t="n"/>
      <c r="R213" s="8" t="n"/>
      <c r="S213" s="8" t="n"/>
      <c r="T213" s="8" t="n"/>
      <c r="U213" s="8" t="n"/>
      <c r="V213" s="45">
        <f>IF(M213="","",M213/$K213)</f>
        <v/>
      </c>
      <c r="W213" s="45">
        <f>IF(N213="","",N213/$K213)</f>
        <v/>
      </c>
      <c r="X213" s="45">
        <f>IF(O213="","",O213/$K213)</f>
        <v/>
      </c>
      <c r="Y213" s="45">
        <f>IF(P213="","",P213/$K213)</f>
        <v/>
      </c>
      <c r="Z213" s="45">
        <f>IF(Q213="","",Q213/$K213)</f>
        <v/>
      </c>
      <c r="AA213" s="45">
        <f>IF(R213="","",R213/$K213)</f>
        <v/>
      </c>
      <c r="AB213" s="45">
        <f>IF(S213="","",S213/$K213)</f>
        <v/>
      </c>
      <c r="AC213" s="45">
        <f>IF(T213="","",T213/$K213)</f>
        <v/>
      </c>
      <c r="AD213" s="45">
        <f>IF(U213="","",U213/$K213)</f>
        <v/>
      </c>
    </row>
    <row r="214">
      <c r="A214" s="8" t="inlineStr">
        <is>
          <t>NBL</t>
        </is>
      </c>
      <c r="B214" s="8" t="inlineStr">
        <is>
          <t>Haulage</t>
        </is>
      </c>
      <c r="C214" s="8" t="inlineStr">
        <is>
          <t>Ibadan</t>
        </is>
      </c>
      <c r="D214" s="8" t="inlineStr">
        <is>
          <t>Lakowe</t>
        </is>
      </c>
      <c r="E214" s="8" t="inlineStr">
        <is>
          <t>VI-LEKKI-AJAH&gt;LAGOS</t>
        </is>
      </c>
      <c r="F214" s="8" t="inlineStr">
        <is>
          <t>Lagos bay used</t>
        </is>
      </c>
      <c r="G214" s="44">
        <f>IFERROR(INDEX('Turnaround Table'!$C$5:$C$231,MATCH(E214,'Turnaround Table'!$D$5:$D$231,0)),"")</f>
        <v/>
      </c>
      <c r="H214" s="43" t="n"/>
      <c r="I214" s="44">
        <f>IF(H214&lt;&gt;"",H214,IF(G214&lt;&gt;"",G214,'Truck Requirement'!$B$5))</f>
        <v/>
      </c>
      <c r="J214" s="44">
        <f>2*I214</f>
        <v/>
      </c>
      <c r="K214" s="8">
        <f>MAX(1,INT('Truck Requirement'!$B$4/J214))</f>
        <v/>
      </c>
      <c r="L214" s="8">
        <f>SUM(M214:U214)</f>
        <v/>
      </c>
      <c r="M214" s="8" t="n"/>
      <c r="N214" s="8" t="n">
        <v>1</v>
      </c>
      <c r="O214" s="8" t="n"/>
      <c r="P214" s="8" t="n"/>
      <c r="Q214" s="8" t="n"/>
      <c r="R214" s="8" t="n"/>
      <c r="S214" s="8" t="n"/>
      <c r="T214" s="8" t="n"/>
      <c r="U214" s="8" t="n"/>
      <c r="V214" s="45">
        <f>IF(M214="","",M214/$K214)</f>
        <v/>
      </c>
      <c r="W214" s="45">
        <f>IF(N214="","",N214/$K214)</f>
        <v/>
      </c>
      <c r="X214" s="45">
        <f>IF(O214="","",O214/$K214)</f>
        <v/>
      </c>
      <c r="Y214" s="45">
        <f>IF(P214="","",P214/$K214)</f>
        <v/>
      </c>
      <c r="Z214" s="45">
        <f>IF(Q214="","",Q214/$K214)</f>
        <v/>
      </c>
      <c r="AA214" s="45">
        <f>IF(R214="","",R214/$K214)</f>
        <v/>
      </c>
      <c r="AB214" s="45">
        <f>IF(S214="","",S214/$K214)</f>
        <v/>
      </c>
      <c r="AC214" s="45">
        <f>IF(T214="","",T214/$K214)</f>
        <v/>
      </c>
      <c r="AD214" s="45">
        <f>IF(U214="","",U214/$K214)</f>
        <v/>
      </c>
    </row>
    <row r="215">
      <c r="A215" s="8" t="inlineStr">
        <is>
          <t>NBL</t>
        </is>
      </c>
      <c r="B215" s="8" t="inlineStr">
        <is>
          <t>Haulage</t>
        </is>
      </c>
      <c r="C215" s="8" t="inlineStr">
        <is>
          <t>Ibadan</t>
        </is>
      </c>
      <c r="D215" s="8" t="inlineStr">
        <is>
          <t>Mararaba</t>
        </is>
      </c>
      <c r="E215" s="8" t="inlineStr">
        <is>
          <t>MARABA&gt;LAGOS</t>
        </is>
      </c>
      <c r="F215" s="8" t="inlineStr">
        <is>
          <t>Lagos bay used</t>
        </is>
      </c>
      <c r="G215" s="44">
        <f>IFERROR(INDEX('Turnaround Table'!$C$5:$C$231,MATCH(E215,'Turnaround Table'!$D$5:$D$231,0)),"")</f>
        <v/>
      </c>
      <c r="H215" s="43" t="n"/>
      <c r="I215" s="44">
        <f>IF(H215&lt;&gt;"",H215,IF(G215&lt;&gt;"",G215,'Truck Requirement'!$B$5))</f>
        <v/>
      </c>
      <c r="J215" s="44">
        <f>2*I215</f>
        <v/>
      </c>
      <c r="K215" s="8">
        <f>MAX(1,INT('Truck Requirement'!$B$4/J215))</f>
        <v/>
      </c>
      <c r="L215" s="8">
        <f>SUM(M215:U215)</f>
        <v/>
      </c>
      <c r="M215" s="8" t="n"/>
      <c r="N215" s="8" t="n"/>
      <c r="O215" s="8" t="n">
        <v>1</v>
      </c>
      <c r="P215" s="8" t="n"/>
      <c r="Q215" s="8" t="n"/>
      <c r="R215" s="8" t="n"/>
      <c r="S215" s="8" t="n"/>
      <c r="T215" s="8" t="n"/>
      <c r="U215" s="8" t="n"/>
      <c r="V215" s="45">
        <f>IF(M215="","",M215/$K215)</f>
        <v/>
      </c>
      <c r="W215" s="45">
        <f>IF(N215="","",N215/$K215)</f>
        <v/>
      </c>
      <c r="X215" s="45">
        <f>IF(O215="","",O215/$K215)</f>
        <v/>
      </c>
      <c r="Y215" s="45">
        <f>IF(P215="","",P215/$K215)</f>
        <v/>
      </c>
      <c r="Z215" s="45">
        <f>IF(Q215="","",Q215/$K215)</f>
        <v/>
      </c>
      <c r="AA215" s="45">
        <f>IF(R215="","",R215/$K215)</f>
        <v/>
      </c>
      <c r="AB215" s="45">
        <f>IF(S215="","",S215/$K215)</f>
        <v/>
      </c>
      <c r="AC215" s="45">
        <f>IF(T215="","",T215/$K215)</f>
        <v/>
      </c>
      <c r="AD215" s="45">
        <f>IF(U215="","",U215/$K215)</f>
        <v/>
      </c>
    </row>
    <row r="216">
      <c r="A216" s="8" t="inlineStr">
        <is>
          <t>NBL</t>
        </is>
      </c>
      <c r="B216" s="8" t="inlineStr">
        <is>
          <t>Haulage</t>
        </is>
      </c>
      <c r="C216" s="8" t="inlineStr">
        <is>
          <t>Ibadan</t>
        </is>
      </c>
      <c r="D216" s="8" t="inlineStr">
        <is>
          <t>Mbaise</t>
        </is>
      </c>
      <c r="E216" s="8" t="inlineStr">
        <is>
          <t>OWERRI&gt;LAGOS</t>
        </is>
      </c>
      <c r="F216" s="8" t="inlineStr">
        <is>
          <t>Lagos bay used</t>
        </is>
      </c>
      <c r="G216" s="44">
        <f>IFERROR(INDEX('Turnaround Table'!$C$5:$C$231,MATCH(E216,'Turnaround Table'!$D$5:$D$231,0)),"")</f>
        <v/>
      </c>
      <c r="H216" s="43" t="n"/>
      <c r="I216" s="44">
        <f>IF(H216&lt;&gt;"",H216,IF(G216&lt;&gt;"",G216,'Truck Requirement'!$B$5))</f>
        <v/>
      </c>
      <c r="J216" s="44">
        <f>2*I216</f>
        <v/>
      </c>
      <c r="K216" s="8">
        <f>MAX(1,INT('Truck Requirement'!$B$4/J216))</f>
        <v/>
      </c>
      <c r="L216" s="8">
        <f>SUM(M216:U216)</f>
        <v/>
      </c>
      <c r="M216" s="8" t="n">
        <v>1</v>
      </c>
      <c r="N216" s="8" t="n"/>
      <c r="O216" s="8" t="n"/>
      <c r="P216" s="8" t="n"/>
      <c r="Q216" s="8" t="n"/>
      <c r="R216" s="8" t="n"/>
      <c r="S216" s="8" t="n"/>
      <c r="T216" s="8" t="n"/>
      <c r="U216" s="8" t="n"/>
      <c r="V216" s="45">
        <f>IF(M216="","",M216/$K216)</f>
        <v/>
      </c>
      <c r="W216" s="45">
        <f>IF(N216="","",N216/$K216)</f>
        <v/>
      </c>
      <c r="X216" s="45">
        <f>IF(O216="","",O216/$K216)</f>
        <v/>
      </c>
      <c r="Y216" s="45">
        <f>IF(P216="","",P216/$K216)</f>
        <v/>
      </c>
      <c r="Z216" s="45">
        <f>IF(Q216="","",Q216/$K216)</f>
        <v/>
      </c>
      <c r="AA216" s="45">
        <f>IF(R216="","",R216/$K216)</f>
        <v/>
      </c>
      <c r="AB216" s="45">
        <f>IF(S216="","",S216/$K216)</f>
        <v/>
      </c>
      <c r="AC216" s="45">
        <f>IF(T216="","",T216/$K216)</f>
        <v/>
      </c>
      <c r="AD216" s="45">
        <f>IF(U216="","",U216/$K216)</f>
        <v/>
      </c>
    </row>
    <row r="217">
      <c r="A217" s="8" t="inlineStr">
        <is>
          <t>NBL</t>
        </is>
      </c>
      <c r="B217" s="8" t="inlineStr">
        <is>
          <t>Haulage</t>
        </is>
      </c>
      <c r="C217" s="8" t="inlineStr">
        <is>
          <t>Ibadan</t>
        </is>
      </c>
      <c r="D217" s="8" t="inlineStr">
        <is>
          <t>Minna</t>
        </is>
      </c>
      <c r="E217" s="8" t="inlineStr">
        <is>
          <t>MINNA&gt;IBADAN</t>
        </is>
      </c>
      <c r="F217" s="8" t="inlineStr">
        <is>
          <t>Exact</t>
        </is>
      </c>
      <c r="G217" s="44">
        <f>IFERROR(INDEX('Turnaround Table'!$C$5:$C$231,MATCH(E217,'Turnaround Table'!$D$5:$D$231,0)),"")</f>
        <v/>
      </c>
      <c r="H217" s="43" t="n"/>
      <c r="I217" s="44">
        <f>IF(H217&lt;&gt;"",H217,IF(G217&lt;&gt;"",G217,'Truck Requirement'!$B$5))</f>
        <v/>
      </c>
      <c r="J217" s="44">
        <f>2*I217</f>
        <v/>
      </c>
      <c r="K217" s="8">
        <f>MAX(1,INT('Truck Requirement'!$B$4/J217))</f>
        <v/>
      </c>
      <c r="L217" s="8">
        <f>SUM(M217:U217)</f>
        <v/>
      </c>
      <c r="M217" s="8" t="n">
        <v>1</v>
      </c>
      <c r="N217" s="8" t="n"/>
      <c r="O217" s="8" t="n"/>
      <c r="P217" s="8" t="n"/>
      <c r="Q217" s="8" t="n"/>
      <c r="R217" s="8" t="n"/>
      <c r="S217" s="8" t="n"/>
      <c r="T217" s="8" t="n"/>
      <c r="U217" s="8" t="n"/>
      <c r="V217" s="45">
        <f>IF(M217="","",M217/$K217)</f>
        <v/>
      </c>
      <c r="W217" s="45">
        <f>IF(N217="","",N217/$K217)</f>
        <v/>
      </c>
      <c r="X217" s="45">
        <f>IF(O217="","",O217/$K217)</f>
        <v/>
      </c>
      <c r="Y217" s="45">
        <f>IF(P217="","",P217/$K217)</f>
        <v/>
      </c>
      <c r="Z217" s="45">
        <f>IF(Q217="","",Q217/$K217)</f>
        <v/>
      </c>
      <c r="AA217" s="45">
        <f>IF(R217="","",R217/$K217)</f>
        <v/>
      </c>
      <c r="AB217" s="45">
        <f>IF(S217="","",S217/$K217)</f>
        <v/>
      </c>
      <c r="AC217" s="45">
        <f>IF(T217="","",T217/$K217)</f>
        <v/>
      </c>
      <c r="AD217" s="45">
        <f>IF(U217="","",U217/$K217)</f>
        <v/>
      </c>
    </row>
    <row r="218">
      <c r="A218" s="8" t="inlineStr">
        <is>
          <t>NBL</t>
        </is>
      </c>
      <c r="B218" s="8" t="inlineStr">
        <is>
          <t>Haulage</t>
        </is>
      </c>
      <c r="C218" s="8" t="inlineStr">
        <is>
          <t>Ibadan</t>
        </is>
      </c>
      <c r="D218" s="8" t="inlineStr">
        <is>
          <t>Moniya</t>
        </is>
      </c>
      <c r="E218" s="8" t="inlineStr">
        <is>
          <t>IBADAN&gt;IBADAN</t>
        </is>
      </c>
      <c r="F218" s="8" t="inlineStr">
        <is>
          <t>Exact</t>
        </is>
      </c>
      <c r="G218" s="44">
        <f>IFERROR(INDEX('Turnaround Table'!$C$5:$C$231,MATCH(E218,'Turnaround Table'!$D$5:$D$231,0)),"")</f>
        <v/>
      </c>
      <c r="H218" s="43" t="n"/>
      <c r="I218" s="44">
        <f>IF(H218&lt;&gt;"",H218,IF(G218&lt;&gt;"",G218,'Truck Requirement'!$B$5))</f>
        <v/>
      </c>
      <c r="J218" s="44">
        <f>2*I218</f>
        <v/>
      </c>
      <c r="K218" s="8">
        <f>MAX(1,INT('Truck Requirement'!$B$4/J218))</f>
        <v/>
      </c>
      <c r="L218" s="8">
        <f>SUM(M218:U218)</f>
        <v/>
      </c>
      <c r="M218" s="8" t="n">
        <v>1</v>
      </c>
      <c r="N218" s="8" t="n"/>
      <c r="O218" s="8" t="n"/>
      <c r="P218" s="8" t="n"/>
      <c r="Q218" s="8" t="n"/>
      <c r="R218" s="8" t="n"/>
      <c r="S218" s="8" t="n"/>
      <c r="T218" s="8" t="n"/>
      <c r="U218" s="8" t="n"/>
      <c r="V218" s="45">
        <f>IF(M218="","",M218/$K218)</f>
        <v/>
      </c>
      <c r="W218" s="45">
        <f>IF(N218="","",N218/$K218)</f>
        <v/>
      </c>
      <c r="X218" s="45">
        <f>IF(O218="","",O218/$K218)</f>
        <v/>
      </c>
      <c r="Y218" s="45">
        <f>IF(P218="","",P218/$K218)</f>
        <v/>
      </c>
      <c r="Z218" s="45">
        <f>IF(Q218="","",Q218/$K218)</f>
        <v/>
      </c>
      <c r="AA218" s="45">
        <f>IF(R218="","",R218/$K218)</f>
        <v/>
      </c>
      <c r="AB218" s="45">
        <f>IF(S218="","",S218/$K218)</f>
        <v/>
      </c>
      <c r="AC218" s="45">
        <f>IF(T218="","",T218/$K218)</f>
        <v/>
      </c>
      <c r="AD218" s="45">
        <f>IF(U218="","",U218/$K218)</f>
        <v/>
      </c>
    </row>
    <row r="219">
      <c r="A219" s="8" t="inlineStr">
        <is>
          <t>NBL</t>
        </is>
      </c>
      <c r="B219" s="8" t="inlineStr">
        <is>
          <t>Haulage</t>
        </is>
      </c>
      <c r="C219" s="8" t="inlineStr">
        <is>
          <t>Ibadan</t>
        </is>
      </c>
      <c r="D219" s="8" t="inlineStr">
        <is>
          <t>Nkpor</t>
        </is>
      </c>
      <c r="E219" s="8" t="inlineStr">
        <is>
          <t>ONITSHA&gt;IBADAN</t>
        </is>
      </c>
      <c r="F219" s="8" t="inlineStr">
        <is>
          <t>Exact</t>
        </is>
      </c>
      <c r="G219" s="44">
        <f>IFERROR(INDEX('Turnaround Table'!$C$5:$C$231,MATCH(E219,'Turnaround Table'!$D$5:$D$231,0)),"")</f>
        <v/>
      </c>
      <c r="H219" s="43" t="n"/>
      <c r="I219" s="44">
        <f>IF(H219&lt;&gt;"",H219,IF(G219&lt;&gt;"",G219,'Truck Requirement'!$B$5))</f>
        <v/>
      </c>
      <c r="J219" s="44">
        <f>2*I219</f>
        <v/>
      </c>
      <c r="K219" s="8">
        <f>MAX(1,INT('Truck Requirement'!$B$4/J219))</f>
        <v/>
      </c>
      <c r="L219" s="8">
        <f>SUM(M219:U219)</f>
        <v/>
      </c>
      <c r="M219" s="8" t="n"/>
      <c r="N219" s="8" t="n"/>
      <c r="O219" s="8" t="n"/>
      <c r="P219" s="8" t="n"/>
      <c r="Q219" s="8" t="n">
        <v>1</v>
      </c>
      <c r="R219" s="8" t="n"/>
      <c r="S219" s="8" t="n"/>
      <c r="T219" s="8" t="n"/>
      <c r="U219" s="8" t="n"/>
      <c r="V219" s="45">
        <f>IF(M219="","",M219/$K219)</f>
        <v/>
      </c>
      <c r="W219" s="45">
        <f>IF(N219="","",N219/$K219)</f>
        <v/>
      </c>
      <c r="X219" s="45">
        <f>IF(O219="","",O219/$K219)</f>
        <v/>
      </c>
      <c r="Y219" s="45">
        <f>IF(P219="","",P219/$K219)</f>
        <v/>
      </c>
      <c r="Z219" s="45">
        <f>IF(Q219="","",Q219/$K219)</f>
        <v/>
      </c>
      <c r="AA219" s="45">
        <f>IF(R219="","",R219/$K219)</f>
        <v/>
      </c>
      <c r="AB219" s="45">
        <f>IF(S219="","",S219/$K219)</f>
        <v/>
      </c>
      <c r="AC219" s="45">
        <f>IF(T219="","",T219/$K219)</f>
        <v/>
      </c>
      <c r="AD219" s="45">
        <f>IF(U219="","",U219/$K219)</f>
        <v/>
      </c>
    </row>
    <row r="220">
      <c r="A220" s="8" t="inlineStr">
        <is>
          <t>NBL</t>
        </is>
      </c>
      <c r="B220" s="8" t="inlineStr">
        <is>
          <t>Haulage</t>
        </is>
      </c>
      <c r="C220" s="8" t="inlineStr">
        <is>
          <t>Ibadan</t>
        </is>
      </c>
      <c r="D220" s="8" t="inlineStr">
        <is>
          <t>Nsukka / Orba</t>
        </is>
      </c>
      <c r="E220" s="8" t="inlineStr">
        <is>
          <t>NSUKKA&gt;LAGOS</t>
        </is>
      </c>
      <c r="F220" s="8" t="inlineStr">
        <is>
          <t>Lagos bay used</t>
        </is>
      </c>
      <c r="G220" s="44">
        <f>IFERROR(INDEX('Turnaround Table'!$C$5:$C$231,MATCH(E220,'Turnaround Table'!$D$5:$D$231,0)),"")</f>
        <v/>
      </c>
      <c r="H220" s="43" t="n"/>
      <c r="I220" s="44">
        <f>IF(H220&lt;&gt;"",H220,IF(G220&lt;&gt;"",G220,'Truck Requirement'!$B$5))</f>
        <v/>
      </c>
      <c r="J220" s="44">
        <f>2*I220</f>
        <v/>
      </c>
      <c r="K220" s="8">
        <f>MAX(1,INT('Truck Requirement'!$B$4/J220))</f>
        <v/>
      </c>
      <c r="L220" s="8">
        <f>SUM(M220:U220)</f>
        <v/>
      </c>
      <c r="M220" s="8" t="n"/>
      <c r="N220" s="8" t="n"/>
      <c r="O220" s="8" t="n"/>
      <c r="P220" s="8" t="n"/>
      <c r="Q220" s="8" t="n"/>
      <c r="R220" s="8" t="n">
        <v>1</v>
      </c>
      <c r="S220" s="8" t="n"/>
      <c r="T220" s="8" t="n"/>
      <c r="U220" s="8" t="n"/>
      <c r="V220" s="45">
        <f>IF(M220="","",M220/$K220)</f>
        <v/>
      </c>
      <c r="W220" s="45">
        <f>IF(N220="","",N220/$K220)</f>
        <v/>
      </c>
      <c r="X220" s="45">
        <f>IF(O220="","",O220/$K220)</f>
        <v/>
      </c>
      <c r="Y220" s="45">
        <f>IF(P220="","",P220/$K220)</f>
        <v/>
      </c>
      <c r="Z220" s="45">
        <f>IF(Q220="","",Q220/$K220)</f>
        <v/>
      </c>
      <c r="AA220" s="45">
        <f>IF(R220="","",R220/$K220)</f>
        <v/>
      </c>
      <c r="AB220" s="45">
        <f>IF(S220="","",S220/$K220)</f>
        <v/>
      </c>
      <c r="AC220" s="45">
        <f>IF(T220="","",T220/$K220)</f>
        <v/>
      </c>
      <c r="AD220" s="45">
        <f>IF(U220="","",U220/$K220)</f>
        <v/>
      </c>
    </row>
    <row r="221">
      <c r="A221" s="8" t="inlineStr">
        <is>
          <t>NBL</t>
        </is>
      </c>
      <c r="B221" s="8" t="inlineStr">
        <is>
          <t>Haulage</t>
        </is>
      </c>
      <c r="C221" s="8" t="inlineStr">
        <is>
          <t>Ibadan</t>
        </is>
      </c>
      <c r="D221" s="8" t="inlineStr">
        <is>
          <t>Ogbomosho</t>
        </is>
      </c>
      <c r="E221" s="8" t="inlineStr">
        <is>
          <t>OGBOMOSHO&gt;LAGOS</t>
        </is>
      </c>
      <c r="F221" s="8" t="inlineStr">
        <is>
          <t>Lagos bay used</t>
        </is>
      </c>
      <c r="G221" s="44">
        <f>IFERROR(INDEX('Turnaround Table'!$C$5:$C$231,MATCH(E221,'Turnaround Table'!$D$5:$D$231,0)),"")</f>
        <v/>
      </c>
      <c r="H221" s="43" t="n"/>
      <c r="I221" s="44">
        <f>IF(H221&lt;&gt;"",H221,IF(G221&lt;&gt;"",G221,'Truck Requirement'!$B$5))</f>
        <v/>
      </c>
      <c r="J221" s="44">
        <f>2*I221</f>
        <v/>
      </c>
      <c r="K221" s="8">
        <f>MAX(1,INT('Truck Requirement'!$B$4/J221))</f>
        <v/>
      </c>
      <c r="L221" s="8">
        <f>SUM(M221:U221)</f>
        <v/>
      </c>
      <c r="M221" s="8" t="n"/>
      <c r="N221" s="8" t="n"/>
      <c r="O221" s="8" t="n"/>
      <c r="P221" s="8" t="n"/>
      <c r="Q221" s="8" t="n">
        <v>1</v>
      </c>
      <c r="R221" s="8" t="n"/>
      <c r="S221" s="8" t="n"/>
      <c r="T221" s="8" t="n"/>
      <c r="U221" s="8" t="n"/>
      <c r="V221" s="45">
        <f>IF(M221="","",M221/$K221)</f>
        <v/>
      </c>
      <c r="W221" s="45">
        <f>IF(N221="","",N221/$K221)</f>
        <v/>
      </c>
      <c r="X221" s="45">
        <f>IF(O221="","",O221/$K221)</f>
        <v/>
      </c>
      <c r="Y221" s="45">
        <f>IF(P221="","",P221/$K221)</f>
        <v/>
      </c>
      <c r="Z221" s="45">
        <f>IF(Q221="","",Q221/$K221)</f>
        <v/>
      </c>
      <c r="AA221" s="45">
        <f>IF(R221="","",R221/$K221)</f>
        <v/>
      </c>
      <c r="AB221" s="45">
        <f>IF(S221="","",S221/$K221)</f>
        <v/>
      </c>
      <c r="AC221" s="45">
        <f>IF(T221="","",T221/$K221)</f>
        <v/>
      </c>
      <c r="AD221" s="45">
        <f>IF(U221="","",U221/$K221)</f>
        <v/>
      </c>
    </row>
    <row r="222">
      <c r="A222" s="8" t="inlineStr">
        <is>
          <t>NBL</t>
        </is>
      </c>
      <c r="B222" s="8" t="inlineStr">
        <is>
          <t>Haulage</t>
        </is>
      </c>
      <c r="C222" s="8" t="inlineStr">
        <is>
          <t>Ibadan</t>
        </is>
      </c>
      <c r="D222" s="8" t="inlineStr">
        <is>
          <t>Okitipupa</t>
        </is>
      </c>
      <c r="E222" s="8" t="inlineStr">
        <is>
          <t>ORE&gt;LAGOS</t>
        </is>
      </c>
      <c r="F222" s="8" t="inlineStr">
        <is>
          <t>Lagos bay used</t>
        </is>
      </c>
      <c r="G222" s="44">
        <f>IFERROR(INDEX('Turnaround Table'!$C$5:$C$231,MATCH(E222,'Turnaround Table'!$D$5:$D$231,0)),"")</f>
        <v/>
      </c>
      <c r="H222" s="43" t="n"/>
      <c r="I222" s="44">
        <f>IF(H222&lt;&gt;"",H222,IF(G222&lt;&gt;"",G222,'Truck Requirement'!$B$5))</f>
        <v/>
      </c>
      <c r="J222" s="44">
        <f>2*I222</f>
        <v/>
      </c>
      <c r="K222" s="8">
        <f>MAX(1,INT('Truck Requirement'!$B$4/J222))</f>
        <v/>
      </c>
      <c r="L222" s="8">
        <f>SUM(M222:U222)</f>
        <v/>
      </c>
      <c r="M222" s="8" t="n"/>
      <c r="N222" s="8" t="n"/>
      <c r="O222" s="8" t="n"/>
      <c r="P222" s="8" t="n"/>
      <c r="Q222" s="8" t="n"/>
      <c r="R222" s="8" t="n"/>
      <c r="S222" s="8" t="n">
        <v>1</v>
      </c>
      <c r="T222" s="8" t="n"/>
      <c r="U222" s="8" t="n"/>
      <c r="V222" s="45">
        <f>IF(M222="","",M222/$K222)</f>
        <v/>
      </c>
      <c r="W222" s="45">
        <f>IF(N222="","",N222/$K222)</f>
        <v/>
      </c>
      <c r="X222" s="45">
        <f>IF(O222="","",O222/$K222)</f>
        <v/>
      </c>
      <c r="Y222" s="45">
        <f>IF(P222="","",P222/$K222)</f>
        <v/>
      </c>
      <c r="Z222" s="45">
        <f>IF(Q222="","",Q222/$K222)</f>
        <v/>
      </c>
      <c r="AA222" s="45">
        <f>IF(R222="","",R222/$K222)</f>
        <v/>
      </c>
      <c r="AB222" s="45">
        <f>IF(S222="","",S222/$K222)</f>
        <v/>
      </c>
      <c r="AC222" s="45">
        <f>IF(T222="","",T222/$K222)</f>
        <v/>
      </c>
      <c r="AD222" s="45">
        <f>IF(U222="","",U222/$K222)</f>
        <v/>
      </c>
    </row>
    <row r="223">
      <c r="A223" s="8" t="inlineStr">
        <is>
          <t>NBL</t>
        </is>
      </c>
      <c r="B223" s="8" t="inlineStr">
        <is>
          <t>Haulage</t>
        </is>
      </c>
      <c r="C223" s="8" t="inlineStr">
        <is>
          <t>Ibadan</t>
        </is>
      </c>
      <c r="D223" s="8" t="inlineStr">
        <is>
          <t>Orba</t>
        </is>
      </c>
      <c r="E223" s="8" t="inlineStr">
        <is>
          <t>NSUKKA&gt;LAGOS</t>
        </is>
      </c>
      <c r="F223" s="8" t="inlineStr">
        <is>
          <t>Lagos bay used</t>
        </is>
      </c>
      <c r="G223" s="44">
        <f>IFERROR(INDEX('Turnaround Table'!$C$5:$C$231,MATCH(E223,'Turnaround Table'!$D$5:$D$231,0)),"")</f>
        <v/>
      </c>
      <c r="H223" s="43" t="n"/>
      <c r="I223" s="44">
        <f>IF(H223&lt;&gt;"",H223,IF(G223&lt;&gt;"",G223,'Truck Requirement'!$B$5))</f>
        <v/>
      </c>
      <c r="J223" s="44">
        <f>2*I223</f>
        <v/>
      </c>
      <c r="K223" s="8">
        <f>MAX(1,INT('Truck Requirement'!$B$4/J223))</f>
        <v/>
      </c>
      <c r="L223" s="8">
        <f>SUM(M223:U223)</f>
        <v/>
      </c>
      <c r="M223" s="8" t="n"/>
      <c r="N223" s="8" t="n"/>
      <c r="O223" s="8" t="n"/>
      <c r="P223" s="8" t="n"/>
      <c r="Q223" s="8" t="n"/>
      <c r="R223" s="8" t="n">
        <v>1</v>
      </c>
      <c r="S223" s="8" t="n"/>
      <c r="T223" s="8" t="n"/>
      <c r="U223" s="8" t="n"/>
      <c r="V223" s="45">
        <f>IF(M223="","",M223/$K223)</f>
        <v/>
      </c>
      <c r="W223" s="45">
        <f>IF(N223="","",N223/$K223)</f>
        <v/>
      </c>
      <c r="X223" s="45">
        <f>IF(O223="","",O223/$K223)</f>
        <v/>
      </c>
      <c r="Y223" s="45">
        <f>IF(P223="","",P223/$K223)</f>
        <v/>
      </c>
      <c r="Z223" s="45">
        <f>IF(Q223="","",Q223/$K223)</f>
        <v/>
      </c>
      <c r="AA223" s="45">
        <f>IF(R223="","",R223/$K223)</f>
        <v/>
      </c>
      <c r="AB223" s="45">
        <f>IF(S223="","",S223/$K223)</f>
        <v/>
      </c>
      <c r="AC223" s="45">
        <f>IF(T223="","",T223/$K223)</f>
        <v/>
      </c>
      <c r="AD223" s="45">
        <f>IF(U223="","",U223/$K223)</f>
        <v/>
      </c>
    </row>
    <row r="224">
      <c r="A224" s="8" t="inlineStr">
        <is>
          <t>NBL</t>
        </is>
      </c>
      <c r="B224" s="8" t="inlineStr">
        <is>
          <t>Haulage</t>
        </is>
      </c>
      <c r="C224" s="8" t="inlineStr">
        <is>
          <t>Ibadan</t>
        </is>
      </c>
      <c r="D224" s="8" t="inlineStr">
        <is>
          <t>Ore</t>
        </is>
      </c>
      <c r="E224" s="8" t="inlineStr">
        <is>
          <t>ORE&gt;LAGOS</t>
        </is>
      </c>
      <c r="F224" s="8" t="inlineStr">
        <is>
          <t>Lagos bay used</t>
        </is>
      </c>
      <c r="G224" s="44">
        <f>IFERROR(INDEX('Turnaround Table'!$C$5:$C$231,MATCH(E224,'Turnaround Table'!$D$5:$D$231,0)),"")</f>
        <v/>
      </c>
      <c r="H224" s="43" t="n"/>
      <c r="I224" s="44">
        <f>IF(H224&lt;&gt;"",H224,IF(G224&lt;&gt;"",G224,'Truck Requirement'!$B$5))</f>
        <v/>
      </c>
      <c r="J224" s="44">
        <f>2*I224</f>
        <v/>
      </c>
      <c r="K224" s="8">
        <f>MAX(1,INT('Truck Requirement'!$B$4/J224))</f>
        <v/>
      </c>
      <c r="L224" s="8">
        <f>SUM(M224:U224)</f>
        <v/>
      </c>
      <c r="M224" s="8" t="n"/>
      <c r="N224" s="8" t="n">
        <v>1</v>
      </c>
      <c r="O224" s="8" t="n"/>
      <c r="P224" s="8" t="n"/>
      <c r="Q224" s="8" t="n"/>
      <c r="R224" s="8" t="n"/>
      <c r="S224" s="8" t="n"/>
      <c r="T224" s="8" t="n"/>
      <c r="U224" s="8" t="n"/>
      <c r="V224" s="45">
        <f>IF(M224="","",M224/$K224)</f>
        <v/>
      </c>
      <c r="W224" s="45">
        <f>IF(N224="","",N224/$K224)</f>
        <v/>
      </c>
      <c r="X224" s="45">
        <f>IF(O224="","",O224/$K224)</f>
        <v/>
      </c>
      <c r="Y224" s="45">
        <f>IF(P224="","",P224/$K224)</f>
        <v/>
      </c>
      <c r="Z224" s="45">
        <f>IF(Q224="","",Q224/$K224)</f>
        <v/>
      </c>
      <c r="AA224" s="45">
        <f>IF(R224="","",R224/$K224)</f>
        <v/>
      </c>
      <c r="AB224" s="45">
        <f>IF(S224="","",S224/$K224)</f>
        <v/>
      </c>
      <c r="AC224" s="45">
        <f>IF(T224="","",T224/$K224)</f>
        <v/>
      </c>
      <c r="AD224" s="45">
        <f>IF(U224="","",U224/$K224)</f>
        <v/>
      </c>
    </row>
    <row r="225">
      <c r="A225" s="8" t="inlineStr">
        <is>
          <t>NBL</t>
        </is>
      </c>
      <c r="B225" s="8" t="inlineStr">
        <is>
          <t>Haulage</t>
        </is>
      </c>
      <c r="C225" s="8" t="inlineStr">
        <is>
          <t>Ibadan</t>
        </is>
      </c>
      <c r="D225" s="8" t="inlineStr">
        <is>
          <t>Orlu</t>
        </is>
      </c>
      <c r="E225" s="8" t="inlineStr">
        <is>
          <t>OWERRI&gt;LAGOS</t>
        </is>
      </c>
      <c r="F225" s="8" t="inlineStr">
        <is>
          <t>Lagos bay used</t>
        </is>
      </c>
      <c r="G225" s="44">
        <f>IFERROR(INDEX('Turnaround Table'!$C$5:$C$231,MATCH(E225,'Turnaround Table'!$D$5:$D$231,0)),"")</f>
        <v/>
      </c>
      <c r="H225" s="43" t="n"/>
      <c r="I225" s="44">
        <f>IF(H225&lt;&gt;"",H225,IF(G225&lt;&gt;"",G225,'Truck Requirement'!$B$5))</f>
        <v/>
      </c>
      <c r="J225" s="44">
        <f>2*I225</f>
        <v/>
      </c>
      <c r="K225" s="8">
        <f>MAX(1,INT('Truck Requirement'!$B$4/J225))</f>
        <v/>
      </c>
      <c r="L225" s="8">
        <f>SUM(M225:U225)</f>
        <v/>
      </c>
      <c r="M225" s="8" t="n"/>
      <c r="N225" s="8" t="n">
        <v>1</v>
      </c>
      <c r="O225" s="8" t="n"/>
      <c r="P225" s="8" t="n"/>
      <c r="Q225" s="8" t="n"/>
      <c r="R225" s="8" t="n"/>
      <c r="S225" s="8" t="n"/>
      <c r="T225" s="8" t="n"/>
      <c r="U225" s="8" t="n"/>
      <c r="V225" s="45">
        <f>IF(M225="","",M225/$K225)</f>
        <v/>
      </c>
      <c r="W225" s="45">
        <f>IF(N225="","",N225/$K225)</f>
        <v/>
      </c>
      <c r="X225" s="45">
        <f>IF(O225="","",O225/$K225)</f>
        <v/>
      </c>
      <c r="Y225" s="45">
        <f>IF(P225="","",P225/$K225)</f>
        <v/>
      </c>
      <c r="Z225" s="45">
        <f>IF(Q225="","",Q225/$K225)</f>
        <v/>
      </c>
      <c r="AA225" s="45">
        <f>IF(R225="","",R225/$K225)</f>
        <v/>
      </c>
      <c r="AB225" s="45">
        <f>IF(S225="","",S225/$K225)</f>
        <v/>
      </c>
      <c r="AC225" s="45">
        <f>IF(T225="","",T225/$K225)</f>
        <v/>
      </c>
      <c r="AD225" s="45">
        <f>IF(U225="","",U225/$K225)</f>
        <v/>
      </c>
    </row>
    <row r="226">
      <c r="A226" s="8" t="inlineStr">
        <is>
          <t>NBL</t>
        </is>
      </c>
      <c r="B226" s="8" t="inlineStr">
        <is>
          <t>Haulage</t>
        </is>
      </c>
      <c r="C226" s="8" t="inlineStr">
        <is>
          <t>Ibadan</t>
        </is>
      </c>
      <c r="D226" s="8" t="inlineStr">
        <is>
          <t>Oron</t>
        </is>
      </c>
      <c r="E226" s="8" t="inlineStr">
        <is>
          <t>ORON&gt;LAGOS</t>
        </is>
      </c>
      <c r="F226" s="8" t="inlineStr">
        <is>
          <t>Lagos bay used</t>
        </is>
      </c>
      <c r="G226" s="44">
        <f>IFERROR(INDEX('Turnaround Table'!$C$5:$C$231,MATCH(E226,'Turnaround Table'!$D$5:$D$231,0)),"")</f>
        <v/>
      </c>
      <c r="H226" s="43" t="n"/>
      <c r="I226" s="44">
        <f>IF(H226&lt;&gt;"",H226,IF(G226&lt;&gt;"",G226,'Truck Requirement'!$B$5))</f>
        <v/>
      </c>
      <c r="J226" s="44">
        <f>2*I226</f>
        <v/>
      </c>
      <c r="K226" s="8">
        <f>MAX(1,INT('Truck Requirement'!$B$4/J226))</f>
        <v/>
      </c>
      <c r="L226" s="8">
        <f>SUM(M226:U226)</f>
        <v/>
      </c>
      <c r="M226" s="8" t="n"/>
      <c r="N226" s="8" t="n"/>
      <c r="O226" s="8" t="n"/>
      <c r="P226" s="8" t="n"/>
      <c r="Q226" s="8" t="n"/>
      <c r="R226" s="8" t="n"/>
      <c r="S226" s="8" t="n">
        <v>1</v>
      </c>
      <c r="T226" s="8" t="n"/>
      <c r="U226" s="8" t="n"/>
      <c r="V226" s="45">
        <f>IF(M226="","",M226/$K226)</f>
        <v/>
      </c>
      <c r="W226" s="45">
        <f>IF(N226="","",N226/$K226)</f>
        <v/>
      </c>
      <c r="X226" s="45">
        <f>IF(O226="","",O226/$K226)</f>
        <v/>
      </c>
      <c r="Y226" s="45">
        <f>IF(P226="","",P226/$K226)</f>
        <v/>
      </c>
      <c r="Z226" s="45">
        <f>IF(Q226="","",Q226/$K226)</f>
        <v/>
      </c>
      <c r="AA226" s="45">
        <f>IF(R226="","",R226/$K226)</f>
        <v/>
      </c>
      <c r="AB226" s="45">
        <f>IF(S226="","",S226/$K226)</f>
        <v/>
      </c>
      <c r="AC226" s="45">
        <f>IF(T226="","",T226/$K226)</f>
        <v/>
      </c>
      <c r="AD226" s="45">
        <f>IF(U226="","",U226/$K226)</f>
        <v/>
      </c>
    </row>
    <row r="227">
      <c r="A227" s="8" t="inlineStr">
        <is>
          <t>NBL</t>
        </is>
      </c>
      <c r="B227" s="8" t="inlineStr">
        <is>
          <t>Haulage</t>
        </is>
      </c>
      <c r="C227" s="8" t="inlineStr">
        <is>
          <t>Ibadan</t>
        </is>
      </c>
      <c r="D227" s="8" t="inlineStr">
        <is>
          <t>Uli</t>
        </is>
      </c>
      <c r="E227" s="8" t="inlineStr">
        <is>
          <t>ONITSHA&gt;IBADAN</t>
        </is>
      </c>
      <c r="F227" s="8" t="inlineStr">
        <is>
          <t>Exact</t>
        </is>
      </c>
      <c r="G227" s="44">
        <f>IFERROR(INDEX('Turnaround Table'!$C$5:$C$231,MATCH(E227,'Turnaround Table'!$D$5:$D$231,0)),"")</f>
        <v/>
      </c>
      <c r="H227" s="43" t="n"/>
      <c r="I227" s="44">
        <f>IF(H227&lt;&gt;"",H227,IF(G227&lt;&gt;"",G227,'Truck Requirement'!$B$5))</f>
        <v/>
      </c>
      <c r="J227" s="44">
        <f>2*I227</f>
        <v/>
      </c>
      <c r="K227" s="8">
        <f>MAX(1,INT('Truck Requirement'!$B$4/J227))</f>
        <v/>
      </c>
      <c r="L227" s="8">
        <f>SUM(M227:U227)</f>
        <v/>
      </c>
      <c r="M227" s="8" t="n">
        <v>1</v>
      </c>
      <c r="N227" s="8" t="n"/>
      <c r="O227" s="8" t="n"/>
      <c r="P227" s="8" t="n"/>
      <c r="Q227" s="8" t="n"/>
      <c r="R227" s="8" t="n"/>
      <c r="S227" s="8" t="n"/>
      <c r="T227" s="8" t="n"/>
      <c r="U227" s="8" t="n"/>
      <c r="V227" s="45">
        <f>IF(M227="","",M227/$K227)</f>
        <v/>
      </c>
      <c r="W227" s="45">
        <f>IF(N227="","",N227/$K227)</f>
        <v/>
      </c>
      <c r="X227" s="45">
        <f>IF(O227="","",O227/$K227)</f>
        <v/>
      </c>
      <c r="Y227" s="45">
        <f>IF(P227="","",P227/$K227)</f>
        <v/>
      </c>
      <c r="Z227" s="45">
        <f>IF(Q227="","",Q227/$K227)</f>
        <v/>
      </c>
      <c r="AA227" s="45">
        <f>IF(R227="","",R227/$K227)</f>
        <v/>
      </c>
      <c r="AB227" s="45">
        <f>IF(S227="","",S227/$K227)</f>
        <v/>
      </c>
      <c r="AC227" s="45">
        <f>IF(T227="","",T227/$K227)</f>
        <v/>
      </c>
      <c r="AD227" s="45">
        <f>IF(U227="","",U227/$K227)</f>
        <v/>
      </c>
    </row>
    <row r="228">
      <c r="A228" s="8" t="inlineStr">
        <is>
          <t>NBL</t>
        </is>
      </c>
      <c r="B228" s="8" t="inlineStr">
        <is>
          <t>Haulage</t>
        </is>
      </c>
      <c r="C228" s="8" t="inlineStr">
        <is>
          <t>Ibadan</t>
        </is>
      </c>
      <c r="D228" s="8" t="inlineStr">
        <is>
          <t>Uromi</t>
        </is>
      </c>
      <c r="E228" s="8" t="inlineStr">
        <is>
          <t>UROMI&gt;LAGOS</t>
        </is>
      </c>
      <c r="F228" s="8" t="inlineStr">
        <is>
          <t>Lagos bay used</t>
        </is>
      </c>
      <c r="G228" s="44">
        <f>IFERROR(INDEX('Turnaround Table'!$C$5:$C$231,MATCH(E228,'Turnaround Table'!$D$5:$D$231,0)),"")</f>
        <v/>
      </c>
      <c r="H228" s="43" t="n"/>
      <c r="I228" s="44">
        <f>IF(H228&lt;&gt;"",H228,IF(G228&lt;&gt;"",G228,'Truck Requirement'!$B$5))</f>
        <v/>
      </c>
      <c r="J228" s="44">
        <f>2*I228</f>
        <v/>
      </c>
      <c r="K228" s="8">
        <f>MAX(1,INT('Truck Requirement'!$B$4/J228))</f>
        <v/>
      </c>
      <c r="L228" s="8">
        <f>SUM(M228:U228)</f>
        <v/>
      </c>
      <c r="M228" s="8" t="n"/>
      <c r="N228" s="8" t="n">
        <v>1</v>
      </c>
      <c r="O228" s="8" t="n"/>
      <c r="P228" s="8" t="n"/>
      <c r="Q228" s="8" t="n"/>
      <c r="R228" s="8" t="n"/>
      <c r="S228" s="8" t="n"/>
      <c r="T228" s="8" t="n"/>
      <c r="U228" s="8" t="n"/>
      <c r="V228" s="45">
        <f>IF(M228="","",M228/$K228)</f>
        <v/>
      </c>
      <c r="W228" s="45">
        <f>IF(N228="","",N228/$K228)</f>
        <v/>
      </c>
      <c r="X228" s="45">
        <f>IF(O228="","",O228/$K228)</f>
        <v/>
      </c>
      <c r="Y228" s="45">
        <f>IF(P228="","",P228/$K228)</f>
        <v/>
      </c>
      <c r="Z228" s="45">
        <f>IF(Q228="","",Q228/$K228)</f>
        <v/>
      </c>
      <c r="AA228" s="45">
        <f>IF(R228="","",R228/$K228)</f>
        <v/>
      </c>
      <c r="AB228" s="45">
        <f>IF(S228="","",S228/$K228)</f>
        <v/>
      </c>
      <c r="AC228" s="45">
        <f>IF(T228="","",T228/$K228)</f>
        <v/>
      </c>
      <c r="AD228" s="45">
        <f>IF(U228="","",U228/$K228)</f>
        <v/>
      </c>
    </row>
    <row r="229">
      <c r="A229" s="8" t="inlineStr">
        <is>
          <t>NBL</t>
        </is>
      </c>
      <c r="B229" s="8" t="inlineStr">
        <is>
          <t>Haulage</t>
        </is>
      </c>
      <c r="C229" s="8" t="inlineStr">
        <is>
          <t>Ibadan</t>
        </is>
      </c>
      <c r="D229" s="8" t="inlineStr">
        <is>
          <t>Uromi/Ekpoma</t>
        </is>
      </c>
      <c r="E229" s="8" t="inlineStr">
        <is>
          <t>UROMI&gt;LAGOS</t>
        </is>
      </c>
      <c r="F229" s="8" t="inlineStr">
        <is>
          <t>Lagos bay used</t>
        </is>
      </c>
      <c r="G229" s="44">
        <f>IFERROR(INDEX('Turnaround Table'!$C$5:$C$231,MATCH(E229,'Turnaround Table'!$D$5:$D$231,0)),"")</f>
        <v/>
      </c>
      <c r="H229" s="43" t="n"/>
      <c r="I229" s="44">
        <f>IF(H229&lt;&gt;"",H229,IF(G229&lt;&gt;"",G229,'Truck Requirement'!$B$5))</f>
        <v/>
      </c>
      <c r="J229" s="44">
        <f>2*I229</f>
        <v/>
      </c>
      <c r="K229" s="8">
        <f>MAX(1,INT('Truck Requirement'!$B$4/J229))</f>
        <v/>
      </c>
      <c r="L229" s="8">
        <f>SUM(M229:U229)</f>
        <v/>
      </c>
      <c r="M229" s="8" t="n"/>
      <c r="N229" s="8" t="n">
        <v>1</v>
      </c>
      <c r="O229" s="8" t="n"/>
      <c r="P229" s="8" t="n"/>
      <c r="Q229" s="8" t="n"/>
      <c r="R229" s="8" t="n"/>
      <c r="S229" s="8" t="n"/>
      <c r="T229" s="8" t="n"/>
      <c r="U229" s="8" t="n"/>
      <c r="V229" s="45">
        <f>IF(M229="","",M229/$K229)</f>
        <v/>
      </c>
      <c r="W229" s="45">
        <f>IF(N229="","",N229/$K229)</f>
        <v/>
      </c>
      <c r="X229" s="45">
        <f>IF(O229="","",O229/$K229)</f>
        <v/>
      </c>
      <c r="Y229" s="45">
        <f>IF(P229="","",P229/$K229)</f>
        <v/>
      </c>
      <c r="Z229" s="45">
        <f>IF(Q229="","",Q229/$K229)</f>
        <v/>
      </c>
      <c r="AA229" s="45">
        <f>IF(R229="","",R229/$K229)</f>
        <v/>
      </c>
      <c r="AB229" s="45">
        <f>IF(S229="","",S229/$K229)</f>
        <v/>
      </c>
      <c r="AC229" s="45">
        <f>IF(T229="","",T229/$K229)</f>
        <v/>
      </c>
      <c r="AD229" s="45">
        <f>IF(U229="","",U229/$K229)</f>
        <v/>
      </c>
    </row>
    <row r="230">
      <c r="A230" s="8" t="inlineStr">
        <is>
          <t>NBL</t>
        </is>
      </c>
      <c r="B230" s="8" t="inlineStr">
        <is>
          <t>Haulage</t>
        </is>
      </c>
      <c r="C230" s="8" t="inlineStr">
        <is>
          <t>Ibadan</t>
        </is>
      </c>
      <c r="D230" s="8" t="inlineStr">
        <is>
          <t>Yola</t>
        </is>
      </c>
      <c r="E230" s="8" t="inlineStr">
        <is>
          <t>YOLA&gt;IBADAN</t>
        </is>
      </c>
      <c r="F230" s="8" t="inlineStr">
        <is>
          <t>Exact</t>
        </is>
      </c>
      <c r="G230" s="44">
        <f>IFERROR(INDEX('Turnaround Table'!$C$5:$C$231,MATCH(E230,'Turnaround Table'!$D$5:$D$231,0)),"")</f>
        <v/>
      </c>
      <c r="H230" s="43" t="n"/>
      <c r="I230" s="44">
        <f>IF(H230&lt;&gt;"",H230,IF(G230&lt;&gt;"",G230,'Truck Requirement'!$B$5))</f>
        <v/>
      </c>
      <c r="J230" s="44">
        <f>2*I230</f>
        <v/>
      </c>
      <c r="K230" s="8">
        <f>MAX(1,INT('Truck Requirement'!$B$4/J230))</f>
        <v/>
      </c>
      <c r="L230" s="8">
        <f>SUM(M230:U230)</f>
        <v/>
      </c>
      <c r="M230" s="8" t="n">
        <v>1</v>
      </c>
      <c r="N230" s="8" t="n"/>
      <c r="O230" s="8" t="n"/>
      <c r="P230" s="8" t="n"/>
      <c r="Q230" s="8" t="n"/>
      <c r="R230" s="8" t="n"/>
      <c r="S230" s="8" t="n"/>
      <c r="T230" s="8" t="n"/>
      <c r="U230" s="8" t="n"/>
      <c r="V230" s="45">
        <f>IF(M230="","",M230/$K230)</f>
        <v/>
      </c>
      <c r="W230" s="45">
        <f>IF(N230="","",N230/$K230)</f>
        <v/>
      </c>
      <c r="X230" s="45">
        <f>IF(O230="","",O230/$K230)</f>
        <v/>
      </c>
      <c r="Y230" s="45">
        <f>IF(P230="","",P230/$K230)</f>
        <v/>
      </c>
      <c r="Z230" s="45">
        <f>IF(Q230="","",Q230/$K230)</f>
        <v/>
      </c>
      <c r="AA230" s="45">
        <f>IF(R230="","",R230/$K230)</f>
        <v/>
      </c>
      <c r="AB230" s="45">
        <f>IF(S230="","",S230/$K230)</f>
        <v/>
      </c>
      <c r="AC230" s="45">
        <f>IF(T230="","",T230/$K230)</f>
        <v/>
      </c>
      <c r="AD230" s="45">
        <f>IF(U230="","",U230/$K230)</f>
        <v/>
      </c>
    </row>
    <row r="231">
      <c r="A231" s="8" t="inlineStr">
        <is>
          <t>NBL</t>
        </is>
      </c>
      <c r="B231" s="8" t="inlineStr">
        <is>
          <t>Haulage</t>
        </is>
      </c>
      <c r="C231" s="8" t="inlineStr">
        <is>
          <t>Ijebu Ode</t>
        </is>
      </c>
      <c r="D231" s="8" t="inlineStr">
        <is>
          <t>Ajah</t>
        </is>
      </c>
      <c r="E231" s="8" t="inlineStr">
        <is>
          <t>VI-LEKKI-AJAH&gt;LAGOS</t>
        </is>
      </c>
      <c r="F231" s="8" t="inlineStr">
        <is>
          <t>Nearest bay (Lagos)</t>
        </is>
      </c>
      <c r="G231" s="44">
        <f>IFERROR(INDEX('Turnaround Table'!$C$5:$C$231,MATCH(E231,'Turnaround Table'!$D$5:$D$231,0)),"")</f>
        <v/>
      </c>
      <c r="H231" s="43" t="n"/>
      <c r="I231" s="44">
        <f>IF(H231&lt;&gt;"",H231,IF(G231&lt;&gt;"",G231,'Truck Requirement'!$B$5))</f>
        <v/>
      </c>
      <c r="J231" s="44">
        <f>2*I231</f>
        <v/>
      </c>
      <c r="K231" s="8">
        <f>MAX(1,INT('Truck Requirement'!$B$4/J231))</f>
        <v/>
      </c>
      <c r="L231" s="8">
        <f>SUM(M231:U231)</f>
        <v/>
      </c>
      <c r="M231" s="8" t="n"/>
      <c r="N231" s="8" t="n"/>
      <c r="O231" s="8" t="n"/>
      <c r="P231" s="8" t="n"/>
      <c r="Q231" s="8" t="n">
        <v>1</v>
      </c>
      <c r="R231" s="8" t="n"/>
      <c r="S231" s="8" t="n"/>
      <c r="T231" s="8" t="n"/>
      <c r="U231" s="8" t="n"/>
      <c r="V231" s="45">
        <f>IF(M231="","",M231/$K231)</f>
        <v/>
      </c>
      <c r="W231" s="45">
        <f>IF(N231="","",N231/$K231)</f>
        <v/>
      </c>
      <c r="X231" s="45">
        <f>IF(O231="","",O231/$K231)</f>
        <v/>
      </c>
      <c r="Y231" s="45">
        <f>IF(P231="","",P231/$K231)</f>
        <v/>
      </c>
      <c r="Z231" s="45">
        <f>IF(Q231="","",Q231/$K231)</f>
        <v/>
      </c>
      <c r="AA231" s="45">
        <f>IF(R231="","",R231/$K231)</f>
        <v/>
      </c>
      <c r="AB231" s="45">
        <f>IF(S231="","",S231/$K231)</f>
        <v/>
      </c>
      <c r="AC231" s="45">
        <f>IF(T231="","",T231/$K231)</f>
        <v/>
      </c>
      <c r="AD231" s="45">
        <f>IF(U231="","",U231/$K231)</f>
        <v/>
      </c>
    </row>
    <row r="232">
      <c r="A232" s="8" t="inlineStr">
        <is>
          <t>NBL</t>
        </is>
      </c>
      <c r="B232" s="8" t="inlineStr">
        <is>
          <t>Haulage</t>
        </is>
      </c>
      <c r="C232" s="8" t="inlineStr">
        <is>
          <t>Ijebu Ode</t>
        </is>
      </c>
      <c r="D232" s="8" t="inlineStr">
        <is>
          <t>Ibadan</t>
        </is>
      </c>
      <c r="E232" s="8" t="inlineStr">
        <is>
          <t>IBADAN&gt;LAGOS</t>
        </is>
      </c>
      <c r="F232" s="8" t="inlineStr">
        <is>
          <t>Nearest bay (Lagos)</t>
        </is>
      </c>
      <c r="G232" s="44">
        <f>IFERROR(INDEX('Turnaround Table'!$C$5:$C$231,MATCH(E232,'Turnaround Table'!$D$5:$D$231,0)),"")</f>
        <v/>
      </c>
      <c r="H232" s="43" t="n"/>
      <c r="I232" s="44">
        <f>IF(H232&lt;&gt;"",H232,IF(G232&lt;&gt;"",G232,'Truck Requirement'!$B$5))</f>
        <v/>
      </c>
      <c r="J232" s="44">
        <f>2*I232</f>
        <v/>
      </c>
      <c r="K232" s="8">
        <f>MAX(1,INT('Truck Requirement'!$B$4/J232))</f>
        <v/>
      </c>
      <c r="L232" s="8">
        <f>SUM(M232:U232)</f>
        <v/>
      </c>
      <c r="M232" s="8" t="n"/>
      <c r="N232" s="8" t="n"/>
      <c r="O232" s="8" t="n"/>
      <c r="P232" s="8" t="n">
        <v>1</v>
      </c>
      <c r="Q232" s="8" t="n"/>
      <c r="R232" s="8" t="n"/>
      <c r="S232" s="8" t="n"/>
      <c r="T232" s="8" t="n"/>
      <c r="U232" s="8" t="n"/>
      <c r="V232" s="45">
        <f>IF(M232="","",M232/$K232)</f>
        <v/>
      </c>
      <c r="W232" s="45">
        <f>IF(N232="","",N232/$K232)</f>
        <v/>
      </c>
      <c r="X232" s="45">
        <f>IF(O232="","",O232/$K232)</f>
        <v/>
      </c>
      <c r="Y232" s="45">
        <f>IF(P232="","",P232/$K232)</f>
        <v/>
      </c>
      <c r="Z232" s="45">
        <f>IF(Q232="","",Q232/$K232)</f>
        <v/>
      </c>
      <c r="AA232" s="45">
        <f>IF(R232="","",R232/$K232)</f>
        <v/>
      </c>
      <c r="AB232" s="45">
        <f>IF(S232="","",S232/$K232)</f>
        <v/>
      </c>
      <c r="AC232" s="45">
        <f>IF(T232="","",T232/$K232)</f>
        <v/>
      </c>
      <c r="AD232" s="45">
        <f>IF(U232="","",U232/$K232)</f>
        <v/>
      </c>
    </row>
    <row r="233">
      <c r="A233" s="8" t="inlineStr">
        <is>
          <t>NBL</t>
        </is>
      </c>
      <c r="B233" s="8" t="inlineStr">
        <is>
          <t>Haulage</t>
        </is>
      </c>
      <c r="C233" s="8" t="inlineStr">
        <is>
          <t>Ijebu Ode</t>
        </is>
      </c>
      <c r="D233" s="8" t="inlineStr">
        <is>
          <t>Ikere Ekiti</t>
        </is>
      </c>
      <c r="E233" s="8" t="inlineStr">
        <is>
          <t>ADO-EKITI&gt;LAGOS</t>
        </is>
      </c>
      <c r="F233" s="8" t="inlineStr">
        <is>
          <t>Nearest bay (Lagos)</t>
        </is>
      </c>
      <c r="G233" s="44">
        <f>IFERROR(INDEX('Turnaround Table'!$C$5:$C$231,MATCH(E233,'Turnaround Table'!$D$5:$D$231,0)),"")</f>
        <v/>
      </c>
      <c r="H233" s="43" t="n"/>
      <c r="I233" s="44">
        <f>IF(H233&lt;&gt;"",H233,IF(G233&lt;&gt;"",G233,'Truck Requirement'!$B$5))</f>
        <v/>
      </c>
      <c r="J233" s="44">
        <f>2*I233</f>
        <v/>
      </c>
      <c r="K233" s="8">
        <f>MAX(1,INT('Truck Requirement'!$B$4/J233))</f>
        <v/>
      </c>
      <c r="L233" s="8">
        <f>SUM(M233:U233)</f>
        <v/>
      </c>
      <c r="M233" s="8" t="n"/>
      <c r="N233" s="8" t="n"/>
      <c r="O233" s="8" t="n">
        <v>1</v>
      </c>
      <c r="P233" s="8" t="n"/>
      <c r="Q233" s="8" t="n"/>
      <c r="R233" s="8" t="n"/>
      <c r="S233" s="8" t="n"/>
      <c r="T233" s="8" t="n"/>
      <c r="U233" s="8" t="n"/>
      <c r="V233" s="45">
        <f>IF(M233="","",M233/$K233)</f>
        <v/>
      </c>
      <c r="W233" s="45">
        <f>IF(N233="","",N233/$K233)</f>
        <v/>
      </c>
      <c r="X233" s="45">
        <f>IF(O233="","",O233/$K233)</f>
        <v/>
      </c>
      <c r="Y233" s="45">
        <f>IF(P233="","",P233/$K233)</f>
        <v/>
      </c>
      <c r="Z233" s="45">
        <f>IF(Q233="","",Q233/$K233)</f>
        <v/>
      </c>
      <c r="AA233" s="45">
        <f>IF(R233="","",R233/$K233)</f>
        <v/>
      </c>
      <c r="AB233" s="45">
        <f>IF(S233="","",S233/$K233)</f>
        <v/>
      </c>
      <c r="AC233" s="45">
        <f>IF(T233="","",T233/$K233)</f>
        <v/>
      </c>
      <c r="AD233" s="45">
        <f>IF(U233="","",U233/$K233)</f>
        <v/>
      </c>
    </row>
    <row r="234">
      <c r="A234" s="8" t="inlineStr">
        <is>
          <t>NBL</t>
        </is>
      </c>
      <c r="B234" s="8" t="inlineStr">
        <is>
          <t>Haulage</t>
        </is>
      </c>
      <c r="C234" s="8" t="inlineStr">
        <is>
          <t>Ijebu Ode</t>
        </is>
      </c>
      <c r="D234" s="8" t="inlineStr">
        <is>
          <t>Ipaja</t>
        </is>
      </c>
      <c r="E234" s="8" t="inlineStr">
        <is>
          <t>IKM-SHAGARI-EGIGBO-IPAJA-AYOBO-OKOKOMAIKO-OSHODI-ISOLO&gt;LAGOS</t>
        </is>
      </c>
      <c r="F234" s="8" t="inlineStr">
        <is>
          <t>Nearest bay (Lagos)</t>
        </is>
      </c>
      <c r="G234" s="44">
        <f>IFERROR(INDEX('Turnaround Table'!$C$5:$C$231,MATCH(E234,'Turnaround Table'!$D$5:$D$231,0)),"")</f>
        <v/>
      </c>
      <c r="H234" s="43" t="n"/>
      <c r="I234" s="44">
        <f>IF(H234&lt;&gt;"",H234,IF(G234&lt;&gt;"",G234,'Truck Requirement'!$B$5))</f>
        <v/>
      </c>
      <c r="J234" s="44">
        <f>2*I234</f>
        <v/>
      </c>
      <c r="K234" s="8">
        <f>MAX(1,INT('Truck Requirement'!$B$4/J234))</f>
        <v/>
      </c>
      <c r="L234" s="8">
        <f>SUM(M234:U234)</f>
        <v/>
      </c>
      <c r="M234" s="8" t="n"/>
      <c r="N234" s="8" t="n"/>
      <c r="O234" s="8" t="n"/>
      <c r="P234" s="8" t="n">
        <v>1</v>
      </c>
      <c r="Q234" s="8" t="n"/>
      <c r="R234" s="8" t="n"/>
      <c r="S234" s="8" t="n"/>
      <c r="T234" s="8" t="n"/>
      <c r="U234" s="8" t="n"/>
      <c r="V234" s="45">
        <f>IF(M234="","",M234/$K234)</f>
        <v/>
      </c>
      <c r="W234" s="45">
        <f>IF(N234="","",N234/$K234)</f>
        <v/>
      </c>
      <c r="X234" s="45">
        <f>IF(O234="","",O234/$K234)</f>
        <v/>
      </c>
      <c r="Y234" s="45">
        <f>IF(P234="","",P234/$K234)</f>
        <v/>
      </c>
      <c r="Z234" s="45">
        <f>IF(Q234="","",Q234/$K234)</f>
        <v/>
      </c>
      <c r="AA234" s="45">
        <f>IF(R234="","",R234/$K234)</f>
        <v/>
      </c>
      <c r="AB234" s="45">
        <f>IF(S234="","",S234/$K234)</f>
        <v/>
      </c>
      <c r="AC234" s="45">
        <f>IF(T234="","",T234/$K234)</f>
        <v/>
      </c>
      <c r="AD234" s="45">
        <f>IF(U234="","",U234/$K234)</f>
        <v/>
      </c>
    </row>
    <row r="235">
      <c r="A235" s="8" t="inlineStr">
        <is>
          <t>NBL</t>
        </is>
      </c>
      <c r="B235" s="8" t="inlineStr">
        <is>
          <t>Haulage</t>
        </is>
      </c>
      <c r="C235" s="8" t="inlineStr">
        <is>
          <t>Ijebu Ode</t>
        </is>
      </c>
      <c r="D235" s="8" t="inlineStr">
        <is>
          <t>Makurdi</t>
        </is>
      </c>
      <c r="E235" s="8" t="inlineStr">
        <is>
          <t>MAKURDI&gt;LAGOS</t>
        </is>
      </c>
      <c r="F235" s="8" t="inlineStr">
        <is>
          <t>Nearest bay (Lagos)</t>
        </is>
      </c>
      <c r="G235" s="44">
        <f>IFERROR(INDEX('Turnaround Table'!$C$5:$C$231,MATCH(E235,'Turnaround Table'!$D$5:$D$231,0)),"")</f>
        <v/>
      </c>
      <c r="H235" s="43" t="n"/>
      <c r="I235" s="44">
        <f>IF(H235&lt;&gt;"",H235,IF(G235&lt;&gt;"",G235,'Truck Requirement'!$B$5))</f>
        <v/>
      </c>
      <c r="J235" s="44">
        <f>2*I235</f>
        <v/>
      </c>
      <c r="K235" s="8">
        <f>MAX(1,INT('Truck Requirement'!$B$4/J235))</f>
        <v/>
      </c>
      <c r="L235" s="8">
        <f>SUM(M235:U235)</f>
        <v/>
      </c>
      <c r="M235" s="8" t="n"/>
      <c r="N235" s="8" t="n"/>
      <c r="O235" s="8" t="n"/>
      <c r="P235" s="8" t="n"/>
      <c r="Q235" s="8" t="n">
        <v>1</v>
      </c>
      <c r="R235" s="8" t="n"/>
      <c r="S235" s="8" t="n"/>
      <c r="T235" s="8" t="n"/>
      <c r="U235" s="8" t="n"/>
      <c r="V235" s="45">
        <f>IF(M235="","",M235/$K235)</f>
        <v/>
      </c>
      <c r="W235" s="45">
        <f>IF(N235="","",N235/$K235)</f>
        <v/>
      </c>
      <c r="X235" s="45">
        <f>IF(O235="","",O235/$K235)</f>
        <v/>
      </c>
      <c r="Y235" s="45">
        <f>IF(P235="","",P235/$K235)</f>
        <v/>
      </c>
      <c r="Z235" s="45">
        <f>IF(Q235="","",Q235/$K235)</f>
        <v/>
      </c>
      <c r="AA235" s="45">
        <f>IF(R235="","",R235/$K235)</f>
        <v/>
      </c>
      <c r="AB235" s="45">
        <f>IF(S235="","",S235/$K235)</f>
        <v/>
      </c>
      <c r="AC235" s="45">
        <f>IF(T235="","",T235/$K235)</f>
        <v/>
      </c>
      <c r="AD235" s="45">
        <f>IF(U235="","",U235/$K235)</f>
        <v/>
      </c>
    </row>
    <row r="236">
      <c r="A236" s="8" t="inlineStr">
        <is>
          <t>NBL</t>
        </is>
      </c>
      <c r="B236" s="8" t="inlineStr">
        <is>
          <t>Haulage</t>
        </is>
      </c>
      <c r="C236" s="8" t="inlineStr">
        <is>
          <t>Ijebu Ode</t>
        </is>
      </c>
      <c r="D236" s="8" t="inlineStr">
        <is>
          <t>Okpella</t>
        </is>
      </c>
      <c r="E236" s="8" t="inlineStr">
        <is>
          <t>AUCHI&gt;LAGOS</t>
        </is>
      </c>
      <c r="F236" s="8" t="inlineStr">
        <is>
          <t>Nearest bay (Lagos)</t>
        </is>
      </c>
      <c r="G236" s="44">
        <f>IFERROR(INDEX('Turnaround Table'!$C$5:$C$231,MATCH(E236,'Turnaround Table'!$D$5:$D$231,0)),"")</f>
        <v/>
      </c>
      <c r="H236" s="43" t="n"/>
      <c r="I236" s="44">
        <f>IF(H236&lt;&gt;"",H236,IF(G236&lt;&gt;"",G236,'Truck Requirement'!$B$5))</f>
        <v/>
      </c>
      <c r="J236" s="44">
        <f>2*I236</f>
        <v/>
      </c>
      <c r="K236" s="8">
        <f>MAX(1,INT('Truck Requirement'!$B$4/J236))</f>
        <v/>
      </c>
      <c r="L236" s="8">
        <f>SUM(M236:U236)</f>
        <v/>
      </c>
      <c r="M236" s="8" t="n"/>
      <c r="N236" s="8" t="n"/>
      <c r="O236" s="8" t="n"/>
      <c r="P236" s="8" t="n"/>
      <c r="Q236" s="8" t="n"/>
      <c r="R236" s="8" t="n">
        <v>1</v>
      </c>
      <c r="S236" s="8" t="n"/>
      <c r="T236" s="8" t="n"/>
      <c r="U236" s="8" t="n"/>
      <c r="V236" s="45">
        <f>IF(M236="","",M236/$K236)</f>
        <v/>
      </c>
      <c r="W236" s="45">
        <f>IF(N236="","",N236/$K236)</f>
        <v/>
      </c>
      <c r="X236" s="45">
        <f>IF(O236="","",O236/$K236)</f>
        <v/>
      </c>
      <c r="Y236" s="45">
        <f>IF(P236="","",P236/$K236)</f>
        <v/>
      </c>
      <c r="Z236" s="45">
        <f>IF(Q236="","",Q236/$K236)</f>
        <v/>
      </c>
      <c r="AA236" s="45">
        <f>IF(R236="","",R236/$K236)</f>
        <v/>
      </c>
      <c r="AB236" s="45">
        <f>IF(S236="","",S236/$K236)</f>
        <v/>
      </c>
      <c r="AC236" s="45">
        <f>IF(T236="","",T236/$K236)</f>
        <v/>
      </c>
      <c r="AD236" s="45">
        <f>IF(U236="","",U236/$K236)</f>
        <v/>
      </c>
    </row>
    <row r="237">
      <c r="A237" s="8" t="inlineStr">
        <is>
          <t>NBL</t>
        </is>
      </c>
      <c r="B237" s="8" t="inlineStr">
        <is>
          <t>Haulage</t>
        </is>
      </c>
      <c r="C237" s="8" t="inlineStr">
        <is>
          <t>Ijebu Ode</t>
        </is>
      </c>
      <c r="D237" s="8" t="inlineStr">
        <is>
          <t>Vandeikya</t>
        </is>
      </c>
      <c r="E237" s="8" t="inlineStr">
        <is>
          <t>ADIKPO&gt;LAGOS</t>
        </is>
      </c>
      <c r="F237" s="8" t="inlineStr">
        <is>
          <t>Nearest bay (Lagos)</t>
        </is>
      </c>
      <c r="G237" s="44">
        <f>IFERROR(INDEX('Turnaround Table'!$C$5:$C$231,MATCH(E237,'Turnaround Table'!$D$5:$D$231,0)),"")</f>
        <v/>
      </c>
      <c r="H237" s="43" t="n"/>
      <c r="I237" s="44">
        <f>IF(H237&lt;&gt;"",H237,IF(G237&lt;&gt;"",G237,'Truck Requirement'!$B$5))</f>
        <v/>
      </c>
      <c r="J237" s="44">
        <f>2*I237</f>
        <v/>
      </c>
      <c r="K237" s="8">
        <f>MAX(1,INT('Truck Requirement'!$B$4/J237))</f>
        <v/>
      </c>
      <c r="L237" s="8">
        <f>SUM(M237:U237)</f>
        <v/>
      </c>
      <c r="M237" s="8" t="n"/>
      <c r="N237" s="8" t="n"/>
      <c r="O237" s="8" t="n">
        <v>1</v>
      </c>
      <c r="P237" s="8" t="n"/>
      <c r="Q237" s="8" t="n"/>
      <c r="R237" s="8" t="n"/>
      <c r="S237" s="8" t="n"/>
      <c r="T237" s="8" t="n"/>
      <c r="U237" s="8" t="n"/>
      <c r="V237" s="45">
        <f>IF(M237="","",M237/$K237)</f>
        <v/>
      </c>
      <c r="W237" s="45">
        <f>IF(N237="","",N237/$K237)</f>
        <v/>
      </c>
      <c r="X237" s="45">
        <f>IF(O237="","",O237/$K237)</f>
        <v/>
      </c>
      <c r="Y237" s="45">
        <f>IF(P237="","",P237/$K237)</f>
        <v/>
      </c>
      <c r="Z237" s="45">
        <f>IF(Q237="","",Q237/$K237)</f>
        <v/>
      </c>
      <c r="AA237" s="45">
        <f>IF(R237="","",R237/$K237)</f>
        <v/>
      </c>
      <c r="AB237" s="45">
        <f>IF(S237="","",S237/$K237)</f>
        <v/>
      </c>
      <c r="AC237" s="45">
        <f>IF(T237="","",T237/$K237)</f>
        <v/>
      </c>
      <c r="AD237" s="45">
        <f>IF(U237="","",U237/$K237)</f>
        <v/>
      </c>
    </row>
    <row r="238">
      <c r="A238" s="8" t="inlineStr">
        <is>
          <t>NBL</t>
        </is>
      </c>
      <c r="B238" s="8" t="inlineStr">
        <is>
          <t>Haulage</t>
        </is>
      </c>
      <c r="C238" s="8" t="inlineStr">
        <is>
          <t>Ilorin</t>
        </is>
      </c>
      <c r="D238" s="8" t="inlineStr">
        <is>
          <t>Ibadan</t>
        </is>
      </c>
      <c r="E238" s="8" t="inlineStr">
        <is>
          <t>IBADAN&gt;IBADAN</t>
        </is>
      </c>
      <c r="F238" s="8" t="inlineStr">
        <is>
          <t>Nearest bay (Ibadan)</t>
        </is>
      </c>
      <c r="G238" s="44">
        <f>IFERROR(INDEX('Turnaround Table'!$C$5:$C$231,MATCH(E238,'Turnaround Table'!$D$5:$D$231,0)),"")</f>
        <v/>
      </c>
      <c r="H238" s="43" t="n"/>
      <c r="I238" s="44">
        <f>IF(H238&lt;&gt;"",H238,IF(G238&lt;&gt;"",G238,'Truck Requirement'!$B$5))</f>
        <v/>
      </c>
      <c r="J238" s="44">
        <f>2*I238</f>
        <v/>
      </c>
      <c r="K238" s="8">
        <f>MAX(1,INT('Truck Requirement'!$B$4/J238))</f>
        <v/>
      </c>
      <c r="L238" s="8">
        <f>SUM(M238:U238)</f>
        <v/>
      </c>
      <c r="M238" s="8" t="n"/>
      <c r="N238" s="8" t="n"/>
      <c r="O238" s="8" t="n"/>
      <c r="P238" s="8" t="n"/>
      <c r="Q238" s="8" t="n"/>
      <c r="R238" s="8" t="n"/>
      <c r="S238" s="8" t="n"/>
      <c r="T238" s="8" t="n">
        <v>1</v>
      </c>
      <c r="U238" s="8" t="n"/>
      <c r="V238" s="45">
        <f>IF(M238="","",M238/$K238)</f>
        <v/>
      </c>
      <c r="W238" s="45">
        <f>IF(N238="","",N238/$K238)</f>
        <v/>
      </c>
      <c r="X238" s="45">
        <f>IF(O238="","",O238/$K238)</f>
        <v/>
      </c>
      <c r="Y238" s="45">
        <f>IF(P238="","",P238/$K238)</f>
        <v/>
      </c>
      <c r="Z238" s="45">
        <f>IF(Q238="","",Q238/$K238)</f>
        <v/>
      </c>
      <c r="AA238" s="45">
        <f>IF(R238="","",R238/$K238)</f>
        <v/>
      </c>
      <c r="AB238" s="45">
        <f>IF(S238="","",S238/$K238)</f>
        <v/>
      </c>
      <c r="AC238" s="45">
        <f>IF(T238="","",T238/$K238)</f>
        <v/>
      </c>
      <c r="AD238" s="45">
        <f>IF(U238="","",U238/$K238)</f>
        <v/>
      </c>
    </row>
    <row r="239">
      <c r="A239" s="8" t="inlineStr">
        <is>
          <t>NBL</t>
        </is>
      </c>
      <c r="B239" s="8" t="inlineStr">
        <is>
          <t>Haulage</t>
        </is>
      </c>
      <c r="C239" s="8" t="inlineStr">
        <is>
          <t>Ilorin</t>
        </is>
      </c>
      <c r="D239" s="8" t="inlineStr">
        <is>
          <t>Lagos</t>
        </is>
      </c>
      <c r="E239" s="8" t="inlineStr">
        <is>
          <t>IKEJA&gt;LAGOS</t>
        </is>
      </c>
      <c r="F239" s="8" t="inlineStr">
        <is>
          <t>Lagos bay used</t>
        </is>
      </c>
      <c r="G239" s="44">
        <f>IFERROR(INDEX('Turnaround Table'!$C$5:$C$231,MATCH(E239,'Turnaround Table'!$D$5:$D$231,0)),"")</f>
        <v/>
      </c>
      <c r="H239" s="43" t="n"/>
      <c r="I239" s="44">
        <f>IF(H239&lt;&gt;"",H239,IF(G239&lt;&gt;"",G239,'Truck Requirement'!$B$5))</f>
        <v/>
      </c>
      <c r="J239" s="44">
        <f>2*I239</f>
        <v/>
      </c>
      <c r="K239" s="8">
        <f>MAX(1,INT('Truck Requirement'!$B$4/J239))</f>
        <v/>
      </c>
      <c r="L239" s="8">
        <f>SUM(M239:U239)</f>
        <v/>
      </c>
      <c r="M239" s="8" t="n"/>
      <c r="N239" s="8" t="n"/>
      <c r="O239" s="8" t="n">
        <v>1</v>
      </c>
      <c r="P239" s="8" t="n"/>
      <c r="Q239" s="8" t="n"/>
      <c r="R239" s="8" t="n"/>
      <c r="S239" s="8" t="n"/>
      <c r="T239" s="8" t="n"/>
      <c r="U239" s="8" t="n"/>
      <c r="V239" s="45">
        <f>IF(M239="","",M239/$K239)</f>
        <v/>
      </c>
      <c r="W239" s="45">
        <f>IF(N239="","",N239/$K239)</f>
        <v/>
      </c>
      <c r="X239" s="45">
        <f>IF(O239="","",O239/$K239)</f>
        <v/>
      </c>
      <c r="Y239" s="45">
        <f>IF(P239="","",P239/$K239)</f>
        <v/>
      </c>
      <c r="Z239" s="45">
        <f>IF(Q239="","",Q239/$K239)</f>
        <v/>
      </c>
      <c r="AA239" s="45">
        <f>IF(R239="","",R239/$K239)</f>
        <v/>
      </c>
      <c r="AB239" s="45">
        <f>IF(S239="","",S239/$K239)</f>
        <v/>
      </c>
      <c r="AC239" s="45">
        <f>IF(T239="","",T239/$K239)</f>
        <v/>
      </c>
      <c r="AD239" s="45">
        <f>IF(U239="","",U239/$K239)</f>
        <v/>
      </c>
    </row>
    <row r="240">
      <c r="A240" s="51" t="inlineStr">
        <is>
          <t>NBL</t>
        </is>
      </c>
      <c r="B240" s="51" t="inlineStr">
        <is>
          <t>Haulage</t>
        </is>
      </c>
      <c r="C240" s="51" t="inlineStr">
        <is>
          <t>Jalingo</t>
        </is>
      </c>
      <c r="D240" s="51" t="inlineStr">
        <is>
          <t>Ama</t>
        </is>
      </c>
      <c r="E240" s="51" t="n">
        <v/>
      </c>
      <c r="F240" s="51" t="inlineStr">
        <is>
          <t>Not in table</t>
        </is>
      </c>
      <c r="G240" s="44">
        <f>IFERROR(INDEX('Turnaround Table'!$C$5:$C$231,MATCH(E240,'Turnaround Table'!$D$5:$D$231,0)),"")</f>
        <v/>
      </c>
      <c r="H240" s="43" t="n"/>
      <c r="I240" s="44">
        <f>IF(H240&lt;&gt;"",H240,IF(G240&lt;&gt;"",G240,'Truck Requirement'!$B$5))</f>
        <v/>
      </c>
      <c r="J240" s="44">
        <f>2*I240</f>
        <v/>
      </c>
      <c r="K240" s="8">
        <f>MAX(1,INT('Truck Requirement'!$B$4/J240))</f>
        <v/>
      </c>
      <c r="L240" s="8">
        <f>SUM(M240:U240)</f>
        <v/>
      </c>
      <c r="M240" s="8" t="n"/>
      <c r="N240" s="8" t="n"/>
      <c r="O240" s="8" t="n"/>
      <c r="P240" s="8" t="n"/>
      <c r="Q240" s="8" t="n">
        <v>1</v>
      </c>
      <c r="R240" s="8" t="n"/>
      <c r="S240" s="8" t="n"/>
      <c r="T240" s="8" t="n"/>
      <c r="U240" s="8" t="n"/>
      <c r="V240" s="45">
        <f>IF(M240="","",M240/$K240)</f>
        <v/>
      </c>
      <c r="W240" s="45">
        <f>IF(N240="","",N240/$K240)</f>
        <v/>
      </c>
      <c r="X240" s="45">
        <f>IF(O240="","",O240/$K240)</f>
        <v/>
      </c>
      <c r="Y240" s="45">
        <f>IF(P240="","",P240/$K240)</f>
        <v/>
      </c>
      <c r="Z240" s="45">
        <f>IF(Q240="","",Q240/$K240)</f>
        <v/>
      </c>
      <c r="AA240" s="45">
        <f>IF(R240="","",R240/$K240)</f>
        <v/>
      </c>
      <c r="AB240" s="45">
        <f>IF(S240="","",S240/$K240)</f>
        <v/>
      </c>
      <c r="AC240" s="45">
        <f>IF(T240="","",T240/$K240)</f>
        <v/>
      </c>
      <c r="AD240" s="45">
        <f>IF(U240="","",U240/$K240)</f>
        <v/>
      </c>
    </row>
    <row r="241">
      <c r="A241" s="51" t="inlineStr">
        <is>
          <t>NBL</t>
        </is>
      </c>
      <c r="B241" s="51" t="inlineStr">
        <is>
          <t>Haulage</t>
        </is>
      </c>
      <c r="C241" s="51" t="inlineStr">
        <is>
          <t>Kaduna (Kudenda)</t>
        </is>
      </c>
      <c r="D241" s="51" t="inlineStr">
        <is>
          <t>Auchi</t>
        </is>
      </c>
      <c r="E241" s="51" t="n">
        <v/>
      </c>
      <c r="F241" s="51" t="inlineStr">
        <is>
          <t>Not in table</t>
        </is>
      </c>
      <c r="G241" s="44">
        <f>IFERROR(INDEX('Turnaround Table'!$C$5:$C$231,MATCH(E241,'Turnaround Table'!$D$5:$D$231,0)),"")</f>
        <v/>
      </c>
      <c r="H241" s="43" t="n"/>
      <c r="I241" s="44">
        <f>IF(H241&lt;&gt;"",H241,IF(G241&lt;&gt;"",G241,'Truck Requirement'!$B$5))</f>
        <v/>
      </c>
      <c r="J241" s="44">
        <f>2*I241</f>
        <v/>
      </c>
      <c r="K241" s="8">
        <f>MAX(1,INT('Truck Requirement'!$B$4/J241))</f>
        <v/>
      </c>
      <c r="L241" s="8">
        <f>SUM(M241:U241)</f>
        <v/>
      </c>
      <c r="M241" s="8" t="n"/>
      <c r="N241" s="8" t="n"/>
      <c r="O241" s="8" t="n">
        <v>1</v>
      </c>
      <c r="P241" s="8" t="n"/>
      <c r="Q241" s="8" t="n"/>
      <c r="R241" s="8" t="n"/>
      <c r="S241" s="8" t="n"/>
      <c r="T241" s="8" t="n"/>
      <c r="U241" s="8" t="n"/>
      <c r="V241" s="45">
        <f>IF(M241="","",M241/$K241)</f>
        <v/>
      </c>
      <c r="W241" s="45">
        <f>IF(N241="","",N241/$K241)</f>
        <v/>
      </c>
      <c r="X241" s="45">
        <f>IF(O241="","",O241/$K241)</f>
        <v/>
      </c>
      <c r="Y241" s="45">
        <f>IF(P241="","",P241/$K241)</f>
        <v/>
      </c>
      <c r="Z241" s="45">
        <f>IF(Q241="","",Q241/$K241)</f>
        <v/>
      </c>
      <c r="AA241" s="45">
        <f>IF(R241="","",R241/$K241)</f>
        <v/>
      </c>
      <c r="AB241" s="45">
        <f>IF(S241="","",S241/$K241)</f>
        <v/>
      </c>
      <c r="AC241" s="45">
        <f>IF(T241="","",T241/$K241)</f>
        <v/>
      </c>
      <c r="AD241" s="45">
        <f>IF(U241="","",U241/$K241)</f>
        <v/>
      </c>
    </row>
    <row r="242">
      <c r="A242" s="51" t="inlineStr">
        <is>
          <t>NBL</t>
        </is>
      </c>
      <c r="B242" s="51" t="inlineStr">
        <is>
          <t>Haulage</t>
        </is>
      </c>
      <c r="C242" s="51" t="inlineStr">
        <is>
          <t>Kaduna (Kudenda)</t>
        </is>
      </c>
      <c r="D242" s="51" t="inlineStr">
        <is>
          <t>Benin</t>
        </is>
      </c>
      <c r="E242" s="51" t="n">
        <v/>
      </c>
      <c r="F242" s="51" t="inlineStr">
        <is>
          <t>Not in table</t>
        </is>
      </c>
      <c r="G242" s="44">
        <f>IFERROR(INDEX('Turnaround Table'!$C$5:$C$231,MATCH(E242,'Turnaround Table'!$D$5:$D$231,0)),"")</f>
        <v/>
      </c>
      <c r="H242" s="43" t="n"/>
      <c r="I242" s="44">
        <f>IF(H242&lt;&gt;"",H242,IF(G242&lt;&gt;"",G242,'Truck Requirement'!$B$5))</f>
        <v/>
      </c>
      <c r="J242" s="44">
        <f>2*I242</f>
        <v/>
      </c>
      <c r="K242" s="8">
        <f>MAX(1,INT('Truck Requirement'!$B$4/J242))</f>
        <v/>
      </c>
      <c r="L242" s="8">
        <f>SUM(M242:U242)</f>
        <v/>
      </c>
      <c r="M242" s="8" t="n"/>
      <c r="N242" s="8" t="n"/>
      <c r="O242" s="8" t="n">
        <v>1</v>
      </c>
      <c r="P242" s="8" t="n"/>
      <c r="Q242" s="8" t="n"/>
      <c r="R242" s="8" t="n"/>
      <c r="S242" s="8" t="n"/>
      <c r="T242" s="8" t="n"/>
      <c r="U242" s="8" t="n"/>
      <c r="V242" s="45">
        <f>IF(M242="","",M242/$K242)</f>
        <v/>
      </c>
      <c r="W242" s="45">
        <f>IF(N242="","",N242/$K242)</f>
        <v/>
      </c>
      <c r="X242" s="45">
        <f>IF(O242="","",O242/$K242)</f>
        <v/>
      </c>
      <c r="Y242" s="45">
        <f>IF(P242="","",P242/$K242)</f>
        <v/>
      </c>
      <c r="Z242" s="45">
        <f>IF(Q242="","",Q242/$K242)</f>
        <v/>
      </c>
      <c r="AA242" s="45">
        <f>IF(R242="","",R242/$K242)</f>
        <v/>
      </c>
      <c r="AB242" s="45">
        <f>IF(S242="","",S242/$K242)</f>
        <v/>
      </c>
      <c r="AC242" s="45">
        <f>IF(T242="","",T242/$K242)</f>
        <v/>
      </c>
      <c r="AD242" s="45">
        <f>IF(U242="","",U242/$K242)</f>
        <v/>
      </c>
    </row>
    <row r="243">
      <c r="A243" s="8" t="inlineStr">
        <is>
          <t>NBL</t>
        </is>
      </c>
      <c r="B243" s="8" t="inlineStr">
        <is>
          <t>Haulage</t>
        </is>
      </c>
      <c r="C243" s="8" t="inlineStr">
        <is>
          <t>Kaduna (Kudenda)</t>
        </is>
      </c>
      <c r="D243" s="8" t="inlineStr">
        <is>
          <t>Ibadan</t>
        </is>
      </c>
      <c r="E243" s="8" t="inlineStr">
        <is>
          <t>KADUNA&gt;IBADAN</t>
        </is>
      </c>
      <c r="F243" s="8" t="inlineStr">
        <is>
          <t>Reverse</t>
        </is>
      </c>
      <c r="G243" s="44">
        <f>IFERROR(INDEX('Turnaround Table'!$C$5:$C$231,MATCH(E243,'Turnaround Table'!$D$5:$D$231,0)),"")</f>
        <v/>
      </c>
      <c r="H243" s="43" t="n"/>
      <c r="I243" s="44">
        <f>IF(H243&lt;&gt;"",H243,IF(G243&lt;&gt;"",G243,'Truck Requirement'!$B$5))</f>
        <v/>
      </c>
      <c r="J243" s="44">
        <f>2*I243</f>
        <v/>
      </c>
      <c r="K243" s="8">
        <f>MAX(1,INT('Truck Requirement'!$B$4/J243))</f>
        <v/>
      </c>
      <c r="L243" s="8">
        <f>SUM(M243:U243)</f>
        <v/>
      </c>
      <c r="M243" s="8" t="n"/>
      <c r="N243" s="8" t="n"/>
      <c r="O243" s="8" t="n"/>
      <c r="P243" s="8" t="n"/>
      <c r="Q243" s="8" t="n"/>
      <c r="R243" s="8" t="n"/>
      <c r="S243" s="8" t="n"/>
      <c r="T243" s="8" t="n">
        <v>1</v>
      </c>
      <c r="U243" s="8" t="n"/>
      <c r="V243" s="45">
        <f>IF(M243="","",M243/$K243)</f>
        <v/>
      </c>
      <c r="W243" s="45">
        <f>IF(N243="","",N243/$K243)</f>
        <v/>
      </c>
      <c r="X243" s="45">
        <f>IF(O243="","",O243/$K243)</f>
        <v/>
      </c>
      <c r="Y243" s="45">
        <f>IF(P243="","",P243/$K243)</f>
        <v/>
      </c>
      <c r="Z243" s="45">
        <f>IF(Q243="","",Q243/$K243)</f>
        <v/>
      </c>
      <c r="AA243" s="45">
        <f>IF(R243="","",R243/$K243)</f>
        <v/>
      </c>
      <c r="AB243" s="45">
        <f>IF(S243="","",S243/$K243)</f>
        <v/>
      </c>
      <c r="AC243" s="45">
        <f>IF(T243="","",T243/$K243)</f>
        <v/>
      </c>
      <c r="AD243" s="45">
        <f>IF(U243="","",U243/$K243)</f>
        <v/>
      </c>
    </row>
    <row r="244">
      <c r="A244" s="51" t="inlineStr">
        <is>
          <t>NBL</t>
        </is>
      </c>
      <c r="B244" s="51" t="inlineStr">
        <is>
          <t>Haulage</t>
        </is>
      </c>
      <c r="C244" s="51" t="inlineStr">
        <is>
          <t>Kaduna (Kudenda)</t>
        </is>
      </c>
      <c r="D244" s="51" t="inlineStr">
        <is>
          <t>Ilorin</t>
        </is>
      </c>
      <c r="E244" s="51" t="n">
        <v/>
      </c>
      <c r="F244" s="51" t="inlineStr">
        <is>
          <t>Not in table</t>
        </is>
      </c>
      <c r="G244" s="44">
        <f>IFERROR(INDEX('Turnaround Table'!$C$5:$C$231,MATCH(E244,'Turnaround Table'!$D$5:$D$231,0)),"")</f>
        <v/>
      </c>
      <c r="H244" s="43" t="n"/>
      <c r="I244" s="44">
        <f>IF(H244&lt;&gt;"",H244,IF(G244&lt;&gt;"",G244,'Truck Requirement'!$B$5))</f>
        <v/>
      </c>
      <c r="J244" s="44">
        <f>2*I244</f>
        <v/>
      </c>
      <c r="K244" s="8">
        <f>MAX(1,INT('Truck Requirement'!$B$4/J244))</f>
        <v/>
      </c>
      <c r="L244" s="8">
        <f>SUM(M244:U244)</f>
        <v/>
      </c>
      <c r="M244" s="8" t="n"/>
      <c r="N244" s="8" t="n"/>
      <c r="O244" s="8" t="n">
        <v>1</v>
      </c>
      <c r="P244" s="8" t="n"/>
      <c r="Q244" s="8" t="n"/>
      <c r="R244" s="8" t="n"/>
      <c r="S244" s="8" t="n"/>
      <c r="T244" s="8" t="n"/>
      <c r="U244" s="8" t="n"/>
      <c r="V244" s="45">
        <f>IF(M244="","",M244/$K244)</f>
        <v/>
      </c>
      <c r="W244" s="45">
        <f>IF(N244="","",N244/$K244)</f>
        <v/>
      </c>
      <c r="X244" s="45">
        <f>IF(O244="","",O244/$K244)</f>
        <v/>
      </c>
      <c r="Y244" s="45">
        <f>IF(P244="","",P244/$K244)</f>
        <v/>
      </c>
      <c r="Z244" s="45">
        <f>IF(Q244="","",Q244/$K244)</f>
        <v/>
      </c>
      <c r="AA244" s="45">
        <f>IF(R244="","",R244/$K244)</f>
        <v/>
      </c>
      <c r="AB244" s="45">
        <f>IF(S244="","",S244/$K244)</f>
        <v/>
      </c>
      <c r="AC244" s="45">
        <f>IF(T244="","",T244/$K244)</f>
        <v/>
      </c>
      <c r="AD244" s="45">
        <f>IF(U244="","",U244/$K244)</f>
        <v/>
      </c>
    </row>
    <row r="245">
      <c r="A245" s="51" t="inlineStr">
        <is>
          <t>NBL</t>
        </is>
      </c>
      <c r="B245" s="51" t="inlineStr">
        <is>
          <t>Haulage</t>
        </is>
      </c>
      <c r="C245" s="51" t="inlineStr">
        <is>
          <t>Kaduna (Kudenda)</t>
        </is>
      </c>
      <c r="D245" s="51" t="inlineStr">
        <is>
          <t>Makurdi</t>
        </is>
      </c>
      <c r="E245" s="51" t="n">
        <v/>
      </c>
      <c r="F245" s="51" t="inlineStr">
        <is>
          <t>Not in table</t>
        </is>
      </c>
      <c r="G245" s="44">
        <f>IFERROR(INDEX('Turnaround Table'!$C$5:$C$231,MATCH(E245,'Turnaround Table'!$D$5:$D$231,0)),"")</f>
        <v/>
      </c>
      <c r="H245" s="43" t="n"/>
      <c r="I245" s="44">
        <f>IF(H245&lt;&gt;"",H245,IF(G245&lt;&gt;"",G245,'Truck Requirement'!$B$5))</f>
        <v/>
      </c>
      <c r="J245" s="44">
        <f>2*I245</f>
        <v/>
      </c>
      <c r="K245" s="8">
        <f>MAX(1,INT('Truck Requirement'!$B$4/J245))</f>
        <v/>
      </c>
      <c r="L245" s="8">
        <f>SUM(M245:U245)</f>
        <v/>
      </c>
      <c r="M245" s="8" t="n"/>
      <c r="N245" s="8" t="n"/>
      <c r="O245" s="8" t="n">
        <v>1</v>
      </c>
      <c r="P245" s="8" t="n"/>
      <c r="Q245" s="8" t="n"/>
      <c r="R245" s="8" t="n"/>
      <c r="S245" s="8" t="n"/>
      <c r="T245" s="8" t="n"/>
      <c r="U245" s="8" t="n"/>
      <c r="V245" s="45">
        <f>IF(M245="","",M245/$K245)</f>
        <v/>
      </c>
      <c r="W245" s="45">
        <f>IF(N245="","",N245/$K245)</f>
        <v/>
      </c>
      <c r="X245" s="45">
        <f>IF(O245="","",O245/$K245)</f>
        <v/>
      </c>
      <c r="Y245" s="45">
        <f>IF(P245="","",P245/$K245)</f>
        <v/>
      </c>
      <c r="Z245" s="45">
        <f>IF(Q245="","",Q245/$K245)</f>
        <v/>
      </c>
      <c r="AA245" s="45">
        <f>IF(R245="","",R245/$K245)</f>
        <v/>
      </c>
      <c r="AB245" s="45">
        <f>IF(S245="","",S245/$K245)</f>
        <v/>
      </c>
      <c r="AC245" s="45">
        <f>IF(T245="","",T245/$K245)</f>
        <v/>
      </c>
      <c r="AD245" s="45">
        <f>IF(U245="","",U245/$K245)</f>
        <v/>
      </c>
    </row>
    <row r="246">
      <c r="A246" s="51" t="inlineStr">
        <is>
          <t>NBL</t>
        </is>
      </c>
      <c r="B246" s="51" t="inlineStr">
        <is>
          <t>Haulage</t>
        </is>
      </c>
      <c r="C246" s="51" t="inlineStr">
        <is>
          <t>Kaduna (Kudenda)</t>
        </is>
      </c>
      <c r="D246" s="51" t="inlineStr">
        <is>
          <t>Okigwe</t>
        </is>
      </c>
      <c r="E246" s="51" t="n">
        <v/>
      </c>
      <c r="F246" s="51" t="inlineStr">
        <is>
          <t>Not in table</t>
        </is>
      </c>
      <c r="G246" s="44">
        <f>IFERROR(INDEX('Turnaround Table'!$C$5:$C$231,MATCH(E246,'Turnaround Table'!$D$5:$D$231,0)),"")</f>
        <v/>
      </c>
      <c r="H246" s="43" t="n"/>
      <c r="I246" s="44">
        <f>IF(H246&lt;&gt;"",H246,IF(G246&lt;&gt;"",G246,'Truck Requirement'!$B$5))</f>
        <v/>
      </c>
      <c r="J246" s="44">
        <f>2*I246</f>
        <v/>
      </c>
      <c r="K246" s="8">
        <f>MAX(1,INT('Truck Requirement'!$B$4/J246))</f>
        <v/>
      </c>
      <c r="L246" s="8">
        <f>SUM(M246:U246)</f>
        <v/>
      </c>
      <c r="M246" s="8" t="n"/>
      <c r="N246" s="8" t="n"/>
      <c r="O246" s="8" t="n"/>
      <c r="P246" s="8" t="n">
        <v>1</v>
      </c>
      <c r="Q246" s="8" t="n"/>
      <c r="R246" s="8" t="n"/>
      <c r="S246" s="8" t="n"/>
      <c r="T246" s="8" t="n"/>
      <c r="U246" s="8" t="n"/>
      <c r="V246" s="45">
        <f>IF(M246="","",M246/$K246)</f>
        <v/>
      </c>
      <c r="W246" s="45">
        <f>IF(N246="","",N246/$K246)</f>
        <v/>
      </c>
      <c r="X246" s="45">
        <f>IF(O246="","",O246/$K246)</f>
        <v/>
      </c>
      <c r="Y246" s="45">
        <f>IF(P246="","",P246/$K246)</f>
        <v/>
      </c>
      <c r="Z246" s="45">
        <f>IF(Q246="","",Q246/$K246)</f>
        <v/>
      </c>
      <c r="AA246" s="45">
        <f>IF(R246="","",R246/$K246)</f>
        <v/>
      </c>
      <c r="AB246" s="45">
        <f>IF(S246="","",S246/$K246)</f>
        <v/>
      </c>
      <c r="AC246" s="45">
        <f>IF(T246="","",T246/$K246)</f>
        <v/>
      </c>
      <c r="AD246" s="45">
        <f>IF(U246="","",U246/$K246)</f>
        <v/>
      </c>
    </row>
    <row r="247">
      <c r="A247" s="51" t="inlineStr">
        <is>
          <t>NBL</t>
        </is>
      </c>
      <c r="B247" s="51" t="inlineStr">
        <is>
          <t>Haulage</t>
        </is>
      </c>
      <c r="C247" s="51" t="inlineStr">
        <is>
          <t>Kaduna (Kudenda)</t>
        </is>
      </c>
      <c r="D247" s="51" t="inlineStr">
        <is>
          <t>Osogbo</t>
        </is>
      </c>
      <c r="E247" s="51" t="n">
        <v/>
      </c>
      <c r="F247" s="51" t="inlineStr">
        <is>
          <t>Not in table</t>
        </is>
      </c>
      <c r="G247" s="44">
        <f>IFERROR(INDEX('Turnaround Table'!$C$5:$C$231,MATCH(E247,'Turnaround Table'!$D$5:$D$231,0)),"")</f>
        <v/>
      </c>
      <c r="H247" s="43" t="n"/>
      <c r="I247" s="44">
        <f>IF(H247&lt;&gt;"",H247,IF(G247&lt;&gt;"",G247,'Truck Requirement'!$B$5))</f>
        <v/>
      </c>
      <c r="J247" s="44">
        <f>2*I247</f>
        <v/>
      </c>
      <c r="K247" s="8">
        <f>MAX(1,INT('Truck Requirement'!$B$4/J247))</f>
        <v/>
      </c>
      <c r="L247" s="8">
        <f>SUM(M247:U247)</f>
        <v/>
      </c>
      <c r="M247" s="8" t="n"/>
      <c r="N247" s="8" t="n"/>
      <c r="O247" s="8" t="n">
        <v>1</v>
      </c>
      <c r="P247" s="8" t="n"/>
      <c r="Q247" s="8" t="n"/>
      <c r="R247" s="8" t="n"/>
      <c r="S247" s="8" t="n"/>
      <c r="T247" s="8" t="n"/>
      <c r="U247" s="8" t="n"/>
      <c r="V247" s="45">
        <f>IF(M247="","",M247/$K247)</f>
        <v/>
      </c>
      <c r="W247" s="45">
        <f>IF(N247="","",N247/$K247)</f>
        <v/>
      </c>
      <c r="X247" s="45">
        <f>IF(O247="","",O247/$K247)</f>
        <v/>
      </c>
      <c r="Y247" s="45">
        <f>IF(P247="","",P247/$K247)</f>
        <v/>
      </c>
      <c r="Z247" s="45">
        <f>IF(Q247="","",Q247/$K247)</f>
        <v/>
      </c>
      <c r="AA247" s="45">
        <f>IF(R247="","",R247/$K247)</f>
        <v/>
      </c>
      <c r="AB247" s="45">
        <f>IF(S247="","",S247/$K247)</f>
        <v/>
      </c>
      <c r="AC247" s="45">
        <f>IF(T247="","",T247/$K247)</f>
        <v/>
      </c>
      <c r="AD247" s="45">
        <f>IF(U247="","",U247/$K247)</f>
        <v/>
      </c>
    </row>
    <row r="248">
      <c r="A248" s="51" t="inlineStr">
        <is>
          <t>NBL</t>
        </is>
      </c>
      <c r="B248" s="51" t="inlineStr">
        <is>
          <t>Haulage</t>
        </is>
      </c>
      <c r="C248" s="51" t="inlineStr">
        <is>
          <t>Kaduna (Kudenda)</t>
        </is>
      </c>
      <c r="D248" s="51" t="inlineStr">
        <is>
          <t>Sokoto</t>
        </is>
      </c>
      <c r="E248" s="51" t="n">
        <v/>
      </c>
      <c r="F248" s="51" t="inlineStr">
        <is>
          <t>Not in table</t>
        </is>
      </c>
      <c r="G248" s="44">
        <f>IFERROR(INDEX('Turnaround Table'!$C$5:$C$231,MATCH(E248,'Turnaround Table'!$D$5:$D$231,0)),"")</f>
        <v/>
      </c>
      <c r="H248" s="43" t="n"/>
      <c r="I248" s="44">
        <f>IF(H248&lt;&gt;"",H248,IF(G248&lt;&gt;"",G248,'Truck Requirement'!$B$5))</f>
        <v/>
      </c>
      <c r="J248" s="44">
        <f>2*I248</f>
        <v/>
      </c>
      <c r="K248" s="8">
        <f>MAX(1,INT('Truck Requirement'!$B$4/J248))</f>
        <v/>
      </c>
      <c r="L248" s="8">
        <f>SUM(M248:U248)</f>
        <v/>
      </c>
      <c r="M248" s="8" t="n"/>
      <c r="N248" s="8" t="n"/>
      <c r="O248" s="8" t="n">
        <v>1</v>
      </c>
      <c r="P248" s="8" t="n"/>
      <c r="Q248" s="8" t="n"/>
      <c r="R248" s="8" t="n"/>
      <c r="S248" s="8" t="n"/>
      <c r="T248" s="8" t="n"/>
      <c r="U248" s="8" t="n"/>
      <c r="V248" s="45">
        <f>IF(M248="","",M248/$K248)</f>
        <v/>
      </c>
      <c r="W248" s="45">
        <f>IF(N248="","",N248/$K248)</f>
        <v/>
      </c>
      <c r="X248" s="45">
        <f>IF(O248="","",O248/$K248)</f>
        <v/>
      </c>
      <c r="Y248" s="45">
        <f>IF(P248="","",P248/$K248)</f>
        <v/>
      </c>
      <c r="Z248" s="45">
        <f>IF(Q248="","",Q248/$K248)</f>
        <v/>
      </c>
      <c r="AA248" s="45">
        <f>IF(R248="","",R248/$K248)</f>
        <v/>
      </c>
      <c r="AB248" s="45">
        <f>IF(S248="","",S248/$K248)</f>
        <v/>
      </c>
      <c r="AC248" s="45">
        <f>IF(T248="","",T248/$K248)</f>
        <v/>
      </c>
      <c r="AD248" s="45">
        <f>IF(U248="","",U248/$K248)</f>
        <v/>
      </c>
    </row>
    <row r="249">
      <c r="A249" s="51" t="inlineStr">
        <is>
          <t>NBL</t>
        </is>
      </c>
      <c r="B249" s="51" t="inlineStr">
        <is>
          <t>Haulage</t>
        </is>
      </c>
      <c r="C249" s="51" t="inlineStr">
        <is>
          <t>Kaduna (Kudenda)</t>
        </is>
      </c>
      <c r="D249" s="51" t="inlineStr">
        <is>
          <t>Yola</t>
        </is>
      </c>
      <c r="E249" s="51" t="n">
        <v/>
      </c>
      <c r="F249" s="51" t="inlineStr">
        <is>
          <t>Not in table</t>
        </is>
      </c>
      <c r="G249" s="44">
        <f>IFERROR(INDEX('Turnaround Table'!$C$5:$C$231,MATCH(E249,'Turnaround Table'!$D$5:$D$231,0)),"")</f>
        <v/>
      </c>
      <c r="H249" s="43" t="n"/>
      <c r="I249" s="44">
        <f>IF(H249&lt;&gt;"",H249,IF(G249&lt;&gt;"",G249,'Truck Requirement'!$B$5))</f>
        <v/>
      </c>
      <c r="J249" s="44">
        <f>2*I249</f>
        <v/>
      </c>
      <c r="K249" s="8">
        <f>MAX(1,INT('Truck Requirement'!$B$4/J249))</f>
        <v/>
      </c>
      <c r="L249" s="8">
        <f>SUM(M249:U249)</f>
        <v/>
      </c>
      <c r="M249" s="8" t="n"/>
      <c r="N249" s="8" t="n"/>
      <c r="O249" s="8" t="n"/>
      <c r="P249" s="8" t="n">
        <v>1</v>
      </c>
      <c r="Q249" s="8" t="n"/>
      <c r="R249" s="8" t="n"/>
      <c r="S249" s="8" t="n"/>
      <c r="T249" s="8" t="n"/>
      <c r="U249" s="8" t="n"/>
      <c r="V249" s="45">
        <f>IF(M249="","",M249/$K249)</f>
        <v/>
      </c>
      <c r="W249" s="45">
        <f>IF(N249="","",N249/$K249)</f>
        <v/>
      </c>
      <c r="X249" s="45">
        <f>IF(O249="","",O249/$K249)</f>
        <v/>
      </c>
      <c r="Y249" s="45">
        <f>IF(P249="","",P249/$K249)</f>
        <v/>
      </c>
      <c r="Z249" s="45">
        <f>IF(Q249="","",Q249/$K249)</f>
        <v/>
      </c>
      <c r="AA249" s="45">
        <f>IF(R249="","",R249/$K249)</f>
        <v/>
      </c>
      <c r="AB249" s="45">
        <f>IF(S249="","",S249/$K249)</f>
        <v/>
      </c>
      <c r="AC249" s="45">
        <f>IF(T249="","",T249/$K249)</f>
        <v/>
      </c>
      <c r="AD249" s="45">
        <f>IF(U249="","",U249/$K249)</f>
        <v/>
      </c>
    </row>
    <row r="250">
      <c r="A250" s="51" t="inlineStr">
        <is>
          <t>NBL</t>
        </is>
      </c>
      <c r="B250" s="51" t="inlineStr">
        <is>
          <t>Haulage</t>
        </is>
      </c>
      <c r="C250" s="51" t="inlineStr">
        <is>
          <t>Kaduna (Kudenda)</t>
        </is>
      </c>
      <c r="D250" s="51" t="inlineStr">
        <is>
          <t>Zaki Biam</t>
        </is>
      </c>
      <c r="E250" s="51" t="n">
        <v/>
      </c>
      <c r="F250" s="51" t="inlineStr">
        <is>
          <t>Not in table</t>
        </is>
      </c>
      <c r="G250" s="44">
        <f>IFERROR(INDEX('Turnaround Table'!$C$5:$C$231,MATCH(E250,'Turnaround Table'!$D$5:$D$231,0)),"")</f>
        <v/>
      </c>
      <c r="H250" s="43" t="n"/>
      <c r="I250" s="44">
        <f>IF(H250&lt;&gt;"",H250,IF(G250&lt;&gt;"",G250,'Truck Requirement'!$B$5))</f>
        <v/>
      </c>
      <c r="J250" s="44">
        <f>2*I250</f>
        <v/>
      </c>
      <c r="K250" s="8">
        <f>MAX(1,INT('Truck Requirement'!$B$4/J250))</f>
        <v/>
      </c>
      <c r="L250" s="8">
        <f>SUM(M250:U250)</f>
        <v/>
      </c>
      <c r="M250" s="8" t="n"/>
      <c r="N250" s="8" t="n"/>
      <c r="O250" s="8" t="n"/>
      <c r="P250" s="8" t="n">
        <v>1</v>
      </c>
      <c r="Q250" s="8" t="n"/>
      <c r="R250" s="8" t="n"/>
      <c r="S250" s="8" t="n"/>
      <c r="T250" s="8" t="n"/>
      <c r="U250" s="8" t="n"/>
      <c r="V250" s="45">
        <f>IF(M250="","",M250/$K250)</f>
        <v/>
      </c>
      <c r="W250" s="45">
        <f>IF(N250="","",N250/$K250)</f>
        <v/>
      </c>
      <c r="X250" s="45">
        <f>IF(O250="","",O250/$K250)</f>
        <v/>
      </c>
      <c r="Y250" s="45">
        <f>IF(P250="","",P250/$K250)</f>
        <v/>
      </c>
      <c r="Z250" s="45">
        <f>IF(Q250="","",Q250/$K250)</f>
        <v/>
      </c>
      <c r="AA250" s="45">
        <f>IF(R250="","",R250/$K250)</f>
        <v/>
      </c>
      <c r="AB250" s="45">
        <f>IF(S250="","",S250/$K250)</f>
        <v/>
      </c>
      <c r="AC250" s="45">
        <f>IF(T250="","",T250/$K250)</f>
        <v/>
      </c>
      <c r="AD250" s="45">
        <f>IF(U250="","",U250/$K250)</f>
        <v/>
      </c>
    </row>
    <row r="251">
      <c r="A251" s="8" t="inlineStr">
        <is>
          <t>NBL</t>
        </is>
      </c>
      <c r="B251" s="8" t="inlineStr">
        <is>
          <t>Haulage</t>
        </is>
      </c>
      <c r="C251" s="8" t="inlineStr">
        <is>
          <t>Lagos</t>
        </is>
      </c>
      <c r="D251" s="8" t="inlineStr">
        <is>
          <t>Akure</t>
        </is>
      </c>
      <c r="E251" s="8" t="inlineStr">
        <is>
          <t>AKURE&gt;LAGOS</t>
        </is>
      </c>
      <c r="F251" s="8" t="inlineStr">
        <is>
          <t>Exact</t>
        </is>
      </c>
      <c r="G251" s="44">
        <f>IFERROR(INDEX('Turnaround Table'!$C$5:$C$231,MATCH(E251,'Turnaround Table'!$D$5:$D$231,0)),"")</f>
        <v/>
      </c>
      <c r="H251" s="43" t="n"/>
      <c r="I251" s="44">
        <f>IF(H251&lt;&gt;"",H251,IF(G251&lt;&gt;"",G251,'Truck Requirement'!$B$5))</f>
        <v/>
      </c>
      <c r="J251" s="44">
        <f>2*I251</f>
        <v/>
      </c>
      <c r="K251" s="8">
        <f>MAX(1,INT('Truck Requirement'!$B$4/J251))</f>
        <v/>
      </c>
      <c r="L251" s="8">
        <f>SUM(M251:U251)</f>
        <v/>
      </c>
      <c r="M251" s="8" t="n"/>
      <c r="N251" s="8" t="n"/>
      <c r="O251" s="8" t="n">
        <v>1</v>
      </c>
      <c r="P251" s="8" t="n"/>
      <c r="Q251" s="8" t="n"/>
      <c r="R251" s="8" t="n"/>
      <c r="S251" s="8" t="n"/>
      <c r="T251" s="8" t="n"/>
      <c r="U251" s="8" t="n"/>
      <c r="V251" s="45">
        <f>IF(M251="","",M251/$K251)</f>
        <v/>
      </c>
      <c r="W251" s="45">
        <f>IF(N251="","",N251/$K251)</f>
        <v/>
      </c>
      <c r="X251" s="45">
        <f>IF(O251="","",O251/$K251)</f>
        <v/>
      </c>
      <c r="Y251" s="45">
        <f>IF(P251="","",P251/$K251)</f>
        <v/>
      </c>
      <c r="Z251" s="45">
        <f>IF(Q251="","",Q251/$K251)</f>
        <v/>
      </c>
      <c r="AA251" s="45">
        <f>IF(R251="","",R251/$K251)</f>
        <v/>
      </c>
      <c r="AB251" s="45">
        <f>IF(S251="","",S251/$K251)</f>
        <v/>
      </c>
      <c r="AC251" s="45">
        <f>IF(T251="","",T251/$K251)</f>
        <v/>
      </c>
      <c r="AD251" s="45">
        <f>IF(U251="","",U251/$K251)</f>
        <v/>
      </c>
    </row>
    <row r="252">
      <c r="A252" s="51" t="inlineStr">
        <is>
          <t>NBL</t>
        </is>
      </c>
      <c r="B252" s="51" t="inlineStr">
        <is>
          <t>Haulage</t>
        </is>
      </c>
      <c r="C252" s="51" t="inlineStr">
        <is>
          <t>Lagos</t>
        </is>
      </c>
      <c r="D252" s="51" t="inlineStr">
        <is>
          <t>Ama</t>
        </is>
      </c>
      <c r="E252" s="51" t="n">
        <v/>
      </c>
      <c r="F252" s="51" t="inlineStr">
        <is>
          <t>Not in table</t>
        </is>
      </c>
      <c r="G252" s="44">
        <f>IFERROR(INDEX('Turnaround Table'!$C$5:$C$231,MATCH(E252,'Turnaround Table'!$D$5:$D$231,0)),"")</f>
        <v/>
      </c>
      <c r="H252" s="43" t="n"/>
      <c r="I252" s="44">
        <f>IF(H252&lt;&gt;"",H252,IF(G252&lt;&gt;"",G252,'Truck Requirement'!$B$5))</f>
        <v/>
      </c>
      <c r="J252" s="44">
        <f>2*I252</f>
        <v/>
      </c>
      <c r="K252" s="8">
        <f>MAX(1,INT('Truck Requirement'!$B$4/J252))</f>
        <v/>
      </c>
      <c r="L252" s="8">
        <f>SUM(M252:U252)</f>
        <v/>
      </c>
      <c r="M252" s="8" t="n"/>
      <c r="N252" s="8" t="n"/>
      <c r="O252" s="8" t="n"/>
      <c r="P252" s="8" t="n"/>
      <c r="Q252" s="8" t="n">
        <v>1</v>
      </c>
      <c r="R252" s="8" t="n"/>
      <c r="S252" s="8" t="n"/>
      <c r="T252" s="8" t="n"/>
      <c r="U252" s="8" t="n"/>
      <c r="V252" s="45">
        <f>IF(M252="","",M252/$K252)</f>
        <v/>
      </c>
      <c r="W252" s="45">
        <f>IF(N252="","",N252/$K252)</f>
        <v/>
      </c>
      <c r="X252" s="45">
        <f>IF(O252="","",O252/$K252)</f>
        <v/>
      </c>
      <c r="Y252" s="45">
        <f>IF(P252="","",P252/$K252)</f>
        <v/>
      </c>
      <c r="Z252" s="45">
        <f>IF(Q252="","",Q252/$K252)</f>
        <v/>
      </c>
      <c r="AA252" s="45">
        <f>IF(R252="","",R252/$K252)</f>
        <v/>
      </c>
      <c r="AB252" s="45">
        <f>IF(S252="","",S252/$K252)</f>
        <v/>
      </c>
      <c r="AC252" s="45">
        <f>IF(T252="","",T252/$K252)</f>
        <v/>
      </c>
      <c r="AD252" s="45">
        <f>IF(U252="","",U252/$K252)</f>
        <v/>
      </c>
    </row>
    <row r="253">
      <c r="A253" s="8" t="inlineStr">
        <is>
          <t>NBL</t>
        </is>
      </c>
      <c r="B253" s="8" t="inlineStr">
        <is>
          <t>Haulage</t>
        </is>
      </c>
      <c r="C253" s="8" t="inlineStr">
        <is>
          <t>Lagos</t>
        </is>
      </c>
      <c r="D253" s="8" t="inlineStr">
        <is>
          <t>Auchi</t>
        </is>
      </c>
      <c r="E253" s="8" t="inlineStr">
        <is>
          <t>AUCHI&gt;LAGOS</t>
        </is>
      </c>
      <c r="F253" s="8" t="inlineStr">
        <is>
          <t>Exact</t>
        </is>
      </c>
      <c r="G253" s="44">
        <f>IFERROR(INDEX('Turnaround Table'!$C$5:$C$231,MATCH(E253,'Turnaround Table'!$D$5:$D$231,0)),"")</f>
        <v/>
      </c>
      <c r="H253" s="43" t="n"/>
      <c r="I253" s="44">
        <f>IF(H253&lt;&gt;"",H253,IF(G253&lt;&gt;"",G253,'Truck Requirement'!$B$5))</f>
        <v/>
      </c>
      <c r="J253" s="44">
        <f>2*I253</f>
        <v/>
      </c>
      <c r="K253" s="8">
        <f>MAX(1,INT('Truck Requirement'!$B$4/J253))</f>
        <v/>
      </c>
      <c r="L253" s="8">
        <f>SUM(M253:U253)</f>
        <v/>
      </c>
      <c r="M253" s="8" t="n"/>
      <c r="N253" s="8" t="n"/>
      <c r="O253" s="8" t="n">
        <v>1</v>
      </c>
      <c r="P253" s="8" t="n"/>
      <c r="Q253" s="8" t="n"/>
      <c r="R253" s="8" t="n"/>
      <c r="S253" s="8" t="n"/>
      <c r="T253" s="8" t="n"/>
      <c r="U253" s="8" t="n"/>
      <c r="V253" s="45">
        <f>IF(M253="","",M253/$K253)</f>
        <v/>
      </c>
      <c r="W253" s="45">
        <f>IF(N253="","",N253/$K253)</f>
        <v/>
      </c>
      <c r="X253" s="45">
        <f>IF(O253="","",O253/$K253)</f>
        <v/>
      </c>
      <c r="Y253" s="45">
        <f>IF(P253="","",P253/$K253)</f>
        <v/>
      </c>
      <c r="Z253" s="45">
        <f>IF(Q253="","",Q253/$K253)</f>
        <v/>
      </c>
      <c r="AA253" s="45">
        <f>IF(R253="","",R253/$K253)</f>
        <v/>
      </c>
      <c r="AB253" s="45">
        <f>IF(S253="","",S253/$K253)</f>
        <v/>
      </c>
      <c r="AC253" s="45">
        <f>IF(T253="","",T253/$K253)</f>
        <v/>
      </c>
      <c r="AD253" s="45">
        <f>IF(U253="","",U253/$K253)</f>
        <v/>
      </c>
    </row>
    <row r="254">
      <c r="A254" s="8" t="inlineStr">
        <is>
          <t>NBL</t>
        </is>
      </c>
      <c r="B254" s="8" t="inlineStr">
        <is>
          <t>Haulage</t>
        </is>
      </c>
      <c r="C254" s="8" t="inlineStr">
        <is>
          <t>Lagos</t>
        </is>
      </c>
      <c r="D254" s="8" t="inlineStr">
        <is>
          <t>Ijebu Ode</t>
        </is>
      </c>
      <c r="E254" s="8" t="inlineStr">
        <is>
          <t>IJEBU-ODE&gt;LAGOS</t>
        </is>
      </c>
      <c r="F254" s="8" t="inlineStr">
        <is>
          <t>Exact</t>
        </is>
      </c>
      <c r="G254" s="44">
        <f>IFERROR(INDEX('Turnaround Table'!$C$5:$C$231,MATCH(E254,'Turnaround Table'!$D$5:$D$231,0)),"")</f>
        <v/>
      </c>
      <c r="H254" s="43" t="n"/>
      <c r="I254" s="44">
        <f>IF(H254&lt;&gt;"",H254,IF(G254&lt;&gt;"",G254,'Truck Requirement'!$B$5))</f>
        <v/>
      </c>
      <c r="J254" s="44">
        <f>2*I254</f>
        <v/>
      </c>
      <c r="K254" s="8">
        <f>MAX(1,INT('Truck Requirement'!$B$4/J254))</f>
        <v/>
      </c>
      <c r="L254" s="8">
        <f>SUM(M254:U254)</f>
        <v/>
      </c>
      <c r="M254" s="8" t="n"/>
      <c r="N254" s="8" t="n"/>
      <c r="O254" s="8" t="n"/>
      <c r="P254" s="8" t="n"/>
      <c r="Q254" s="8" t="n">
        <v>1</v>
      </c>
      <c r="R254" s="8" t="n"/>
      <c r="S254" s="8" t="n"/>
      <c r="T254" s="8" t="n"/>
      <c r="U254" s="8" t="n"/>
      <c r="V254" s="45">
        <f>IF(M254="","",M254/$K254)</f>
        <v/>
      </c>
      <c r="W254" s="45">
        <f>IF(N254="","",N254/$K254)</f>
        <v/>
      </c>
      <c r="X254" s="45">
        <f>IF(O254="","",O254/$K254)</f>
        <v/>
      </c>
      <c r="Y254" s="45">
        <f>IF(P254="","",P254/$K254)</f>
        <v/>
      </c>
      <c r="Z254" s="45">
        <f>IF(Q254="","",Q254/$K254)</f>
        <v/>
      </c>
      <c r="AA254" s="45">
        <f>IF(R254="","",R254/$K254)</f>
        <v/>
      </c>
      <c r="AB254" s="45">
        <f>IF(S254="","",S254/$K254)</f>
        <v/>
      </c>
      <c r="AC254" s="45">
        <f>IF(T254="","",T254/$K254)</f>
        <v/>
      </c>
      <c r="AD254" s="45">
        <f>IF(U254="","",U254/$K254)</f>
        <v/>
      </c>
    </row>
    <row r="255">
      <c r="A255" s="8" t="inlineStr">
        <is>
          <t>NBL</t>
        </is>
      </c>
      <c r="B255" s="8" t="inlineStr">
        <is>
          <t>Haulage</t>
        </is>
      </c>
      <c r="C255" s="8" t="inlineStr">
        <is>
          <t>Lagos</t>
        </is>
      </c>
      <c r="D255" s="8" t="inlineStr">
        <is>
          <t>Ilorin</t>
        </is>
      </c>
      <c r="E255" s="8" t="inlineStr">
        <is>
          <t>ILORIN&gt;LAGOS</t>
        </is>
      </c>
      <c r="F255" s="8" t="inlineStr">
        <is>
          <t>Exact</t>
        </is>
      </c>
      <c r="G255" s="44">
        <f>IFERROR(INDEX('Turnaround Table'!$C$5:$C$231,MATCH(E255,'Turnaround Table'!$D$5:$D$231,0)),"")</f>
        <v/>
      </c>
      <c r="H255" s="43" t="n"/>
      <c r="I255" s="44">
        <f>IF(H255&lt;&gt;"",H255,IF(G255&lt;&gt;"",G255,'Truck Requirement'!$B$5))</f>
        <v/>
      </c>
      <c r="J255" s="44">
        <f>2*I255</f>
        <v/>
      </c>
      <c r="K255" s="8">
        <f>MAX(1,INT('Truck Requirement'!$B$4/J255))</f>
        <v/>
      </c>
      <c r="L255" s="8">
        <f>SUM(M255:U255)</f>
        <v/>
      </c>
      <c r="M255" s="8" t="n"/>
      <c r="N255" s="8" t="n">
        <v>1</v>
      </c>
      <c r="O255" s="8" t="n"/>
      <c r="P255" s="8" t="n"/>
      <c r="Q255" s="8" t="n"/>
      <c r="R255" s="8" t="n"/>
      <c r="S255" s="8" t="n"/>
      <c r="T255" s="8" t="n"/>
      <c r="U255" s="8" t="n"/>
      <c r="V255" s="45">
        <f>IF(M255="","",M255/$K255)</f>
        <v/>
      </c>
      <c r="W255" s="45">
        <f>IF(N255="","",N255/$K255)</f>
        <v/>
      </c>
      <c r="X255" s="45">
        <f>IF(O255="","",O255/$K255)</f>
        <v/>
      </c>
      <c r="Y255" s="45">
        <f>IF(P255="","",P255/$K255)</f>
        <v/>
      </c>
      <c r="Z255" s="45">
        <f>IF(Q255="","",Q255/$K255)</f>
        <v/>
      </c>
      <c r="AA255" s="45">
        <f>IF(R255="","",R255/$K255)</f>
        <v/>
      </c>
      <c r="AB255" s="45">
        <f>IF(S255="","",S255/$K255)</f>
        <v/>
      </c>
      <c r="AC255" s="45">
        <f>IF(T255="","",T255/$K255)</f>
        <v/>
      </c>
      <c r="AD255" s="45">
        <f>IF(U255="","",U255/$K255)</f>
        <v/>
      </c>
    </row>
    <row r="256">
      <c r="A256" s="8" t="inlineStr">
        <is>
          <t>NBL</t>
        </is>
      </c>
      <c r="B256" s="8" t="inlineStr">
        <is>
          <t>Haulage</t>
        </is>
      </c>
      <c r="C256" s="8" t="inlineStr">
        <is>
          <t>Lagos</t>
        </is>
      </c>
      <c r="D256" s="8" t="inlineStr">
        <is>
          <t>Ipaja</t>
        </is>
      </c>
      <c r="E256" s="8" t="inlineStr">
        <is>
          <t>IKM-SHAGARI-EGIGBO-IPAJA-AYOBO-OKOKOMAIKO-OSHODI-ISOLO&gt;LAGOS</t>
        </is>
      </c>
      <c r="F256" s="8" t="inlineStr">
        <is>
          <t>Exact</t>
        </is>
      </c>
      <c r="G256" s="44">
        <f>IFERROR(INDEX('Turnaround Table'!$C$5:$C$231,MATCH(E256,'Turnaround Table'!$D$5:$D$231,0)),"")</f>
        <v/>
      </c>
      <c r="H256" s="43" t="n"/>
      <c r="I256" s="44">
        <f>IF(H256&lt;&gt;"",H256,IF(G256&lt;&gt;"",G256,'Truck Requirement'!$B$5))</f>
        <v/>
      </c>
      <c r="J256" s="44">
        <f>2*I256</f>
        <v/>
      </c>
      <c r="K256" s="8">
        <f>MAX(1,INT('Truck Requirement'!$B$4/J256))</f>
        <v/>
      </c>
      <c r="L256" s="8">
        <f>SUM(M256:U256)</f>
        <v/>
      </c>
      <c r="M256" s="8" t="n"/>
      <c r="N256" s="8" t="n"/>
      <c r="O256" s="8" t="n">
        <v>1</v>
      </c>
      <c r="P256" s="8" t="n"/>
      <c r="Q256" s="8" t="n"/>
      <c r="R256" s="8" t="n"/>
      <c r="S256" s="8" t="n"/>
      <c r="T256" s="8" t="n"/>
      <c r="U256" s="8" t="n"/>
      <c r="V256" s="45">
        <f>IF(M256="","",M256/$K256)</f>
        <v/>
      </c>
      <c r="W256" s="45">
        <f>IF(N256="","",N256/$K256)</f>
        <v/>
      </c>
      <c r="X256" s="45">
        <f>IF(O256="","",O256/$K256)</f>
        <v/>
      </c>
      <c r="Y256" s="45">
        <f>IF(P256="","",P256/$K256)</f>
        <v/>
      </c>
      <c r="Z256" s="45">
        <f>IF(Q256="","",Q256/$K256)</f>
        <v/>
      </c>
      <c r="AA256" s="45">
        <f>IF(R256="","",R256/$K256)</f>
        <v/>
      </c>
      <c r="AB256" s="45">
        <f>IF(S256="","",S256/$K256)</f>
        <v/>
      </c>
      <c r="AC256" s="45">
        <f>IF(T256="","",T256/$K256)</f>
        <v/>
      </c>
      <c r="AD256" s="45">
        <f>IF(U256="","",U256/$K256)</f>
        <v/>
      </c>
    </row>
    <row r="257">
      <c r="A257" s="8" t="inlineStr">
        <is>
          <t>NBL</t>
        </is>
      </c>
      <c r="B257" s="8" t="inlineStr">
        <is>
          <t>Haulage</t>
        </is>
      </c>
      <c r="C257" s="8" t="inlineStr">
        <is>
          <t>Lagos</t>
        </is>
      </c>
      <c r="D257" s="8" t="inlineStr">
        <is>
          <t>Irrua</t>
        </is>
      </c>
      <c r="E257" s="8" t="inlineStr">
        <is>
          <t>UROMI&gt;LAGOS</t>
        </is>
      </c>
      <c r="F257" s="8" t="inlineStr">
        <is>
          <t>Exact</t>
        </is>
      </c>
      <c r="G257" s="44">
        <f>IFERROR(INDEX('Turnaround Table'!$C$5:$C$231,MATCH(E257,'Turnaround Table'!$D$5:$D$231,0)),"")</f>
        <v/>
      </c>
      <c r="H257" s="43" t="n"/>
      <c r="I257" s="44">
        <f>IF(H257&lt;&gt;"",H257,IF(G257&lt;&gt;"",G257,'Truck Requirement'!$B$5))</f>
        <v/>
      </c>
      <c r="J257" s="44">
        <f>2*I257</f>
        <v/>
      </c>
      <c r="K257" s="8">
        <f>MAX(1,INT('Truck Requirement'!$B$4/J257))</f>
        <v/>
      </c>
      <c r="L257" s="8">
        <f>SUM(M257:U257)</f>
        <v/>
      </c>
      <c r="M257" s="8" t="n"/>
      <c r="N257" s="8" t="n">
        <v>1</v>
      </c>
      <c r="O257" s="8" t="n"/>
      <c r="P257" s="8" t="n"/>
      <c r="Q257" s="8" t="n"/>
      <c r="R257" s="8" t="n"/>
      <c r="S257" s="8" t="n"/>
      <c r="T257" s="8" t="n"/>
      <c r="U257" s="8" t="n"/>
      <c r="V257" s="45">
        <f>IF(M257="","",M257/$K257)</f>
        <v/>
      </c>
      <c r="W257" s="45">
        <f>IF(N257="","",N257/$K257)</f>
        <v/>
      </c>
      <c r="X257" s="45">
        <f>IF(O257="","",O257/$K257)</f>
        <v/>
      </c>
      <c r="Y257" s="45">
        <f>IF(P257="","",P257/$K257)</f>
        <v/>
      </c>
      <c r="Z257" s="45">
        <f>IF(Q257="","",Q257/$K257)</f>
        <v/>
      </c>
      <c r="AA257" s="45">
        <f>IF(R257="","",R257/$K257)</f>
        <v/>
      </c>
      <c r="AB257" s="45">
        <f>IF(S257="","",S257/$K257)</f>
        <v/>
      </c>
      <c r="AC257" s="45">
        <f>IF(T257="","",T257/$K257)</f>
        <v/>
      </c>
      <c r="AD257" s="45">
        <f>IF(U257="","",U257/$K257)</f>
        <v/>
      </c>
    </row>
    <row r="258">
      <c r="A258" s="8" t="inlineStr">
        <is>
          <t>NBL</t>
        </is>
      </c>
      <c r="B258" s="8" t="inlineStr">
        <is>
          <t>Haulage</t>
        </is>
      </c>
      <c r="C258" s="8" t="inlineStr">
        <is>
          <t>Lagos</t>
        </is>
      </c>
      <c r="D258" s="8" t="inlineStr">
        <is>
          <t>Osogbo</t>
        </is>
      </c>
      <c r="E258" s="8" t="inlineStr">
        <is>
          <t>OSOGBO&gt;LAGOS</t>
        </is>
      </c>
      <c r="F258" s="8" t="inlineStr">
        <is>
          <t>Exact</t>
        </is>
      </c>
      <c r="G258" s="44">
        <f>IFERROR(INDEX('Turnaround Table'!$C$5:$C$231,MATCH(E258,'Turnaround Table'!$D$5:$D$231,0)),"")</f>
        <v/>
      </c>
      <c r="H258" s="43" t="n"/>
      <c r="I258" s="44">
        <f>IF(H258&lt;&gt;"",H258,IF(G258&lt;&gt;"",G258,'Truck Requirement'!$B$5))</f>
        <v/>
      </c>
      <c r="J258" s="44">
        <f>2*I258</f>
        <v/>
      </c>
      <c r="K258" s="8">
        <f>MAX(1,INT('Truck Requirement'!$B$4/J258))</f>
        <v/>
      </c>
      <c r="L258" s="8">
        <f>SUM(M258:U258)</f>
        <v/>
      </c>
      <c r="M258" s="8" t="n"/>
      <c r="N258" s="8" t="n">
        <v>1</v>
      </c>
      <c r="O258" s="8" t="n"/>
      <c r="P258" s="8" t="n"/>
      <c r="Q258" s="8" t="n"/>
      <c r="R258" s="8" t="n"/>
      <c r="S258" s="8" t="n"/>
      <c r="T258" s="8" t="n"/>
      <c r="U258" s="8" t="n"/>
      <c r="V258" s="45">
        <f>IF(M258="","",M258/$K258)</f>
        <v/>
      </c>
      <c r="W258" s="45">
        <f>IF(N258="","",N258/$K258)</f>
        <v/>
      </c>
      <c r="X258" s="45">
        <f>IF(O258="","",O258/$K258)</f>
        <v/>
      </c>
      <c r="Y258" s="45">
        <f>IF(P258="","",P258/$K258)</f>
        <v/>
      </c>
      <c r="Z258" s="45">
        <f>IF(Q258="","",Q258/$K258)</f>
        <v/>
      </c>
      <c r="AA258" s="45">
        <f>IF(R258="","",R258/$K258)</f>
        <v/>
      </c>
      <c r="AB258" s="45">
        <f>IF(S258="","",S258/$K258)</f>
        <v/>
      </c>
      <c r="AC258" s="45">
        <f>IF(T258="","",T258/$K258)</f>
        <v/>
      </c>
      <c r="AD258" s="45">
        <f>IF(U258="","",U258/$K258)</f>
        <v/>
      </c>
    </row>
    <row r="259">
      <c r="A259" s="51" t="inlineStr">
        <is>
          <t>NBL</t>
        </is>
      </c>
      <c r="B259" s="51" t="inlineStr">
        <is>
          <t>Haulage</t>
        </is>
      </c>
      <c r="C259" s="51" t="inlineStr">
        <is>
          <t>Ngb4</t>
        </is>
      </c>
      <c r="D259" s="51" t="inlineStr">
        <is>
          <t>Abuja</t>
        </is>
      </c>
      <c r="E259" s="51" t="n">
        <v/>
      </c>
      <c r="F259" s="51" t="inlineStr">
        <is>
          <t>Not in table</t>
        </is>
      </c>
      <c r="G259" s="44">
        <f>IFERROR(INDEX('Turnaround Table'!$C$5:$C$231,MATCH(E259,'Turnaround Table'!$D$5:$D$231,0)),"")</f>
        <v/>
      </c>
      <c r="H259" s="43" t="n"/>
      <c r="I259" s="44">
        <f>IF(H259&lt;&gt;"",H259,IF(G259&lt;&gt;"",G259,'Truck Requirement'!$B$5))</f>
        <v/>
      </c>
      <c r="J259" s="44">
        <f>2*I259</f>
        <v/>
      </c>
      <c r="K259" s="8">
        <f>MAX(1,INT('Truck Requirement'!$B$4/J259))</f>
        <v/>
      </c>
      <c r="L259" s="8">
        <f>SUM(M259:U259)</f>
        <v/>
      </c>
      <c r="M259" s="8" t="n"/>
      <c r="N259" s="8" t="n"/>
      <c r="O259" s="8" t="n"/>
      <c r="P259" s="8" t="n"/>
      <c r="Q259" s="8" t="n">
        <v>1</v>
      </c>
      <c r="R259" s="8" t="n"/>
      <c r="S259" s="8" t="n"/>
      <c r="T259" s="8" t="n"/>
      <c r="U259" s="8" t="n"/>
      <c r="V259" s="45">
        <f>IF(M259="","",M259/$K259)</f>
        <v/>
      </c>
      <c r="W259" s="45">
        <f>IF(N259="","",N259/$K259)</f>
        <v/>
      </c>
      <c r="X259" s="45">
        <f>IF(O259="","",O259/$K259)</f>
        <v/>
      </c>
      <c r="Y259" s="45">
        <f>IF(P259="","",P259/$K259)</f>
        <v/>
      </c>
      <c r="Z259" s="45">
        <f>IF(Q259="","",Q259/$K259)</f>
        <v/>
      </c>
      <c r="AA259" s="45">
        <f>IF(R259="","",R259/$K259)</f>
        <v/>
      </c>
      <c r="AB259" s="45">
        <f>IF(S259="","",S259/$K259)</f>
        <v/>
      </c>
      <c r="AC259" s="45">
        <f>IF(T259="","",T259/$K259)</f>
        <v/>
      </c>
      <c r="AD259" s="45">
        <f>IF(U259="","",U259/$K259)</f>
        <v/>
      </c>
    </row>
    <row r="260">
      <c r="A260" s="51" t="inlineStr">
        <is>
          <t>NBL</t>
        </is>
      </c>
      <c r="B260" s="51" t="inlineStr">
        <is>
          <t>Haulage</t>
        </is>
      </c>
      <c r="C260" s="51" t="inlineStr">
        <is>
          <t>Ngb4</t>
        </is>
      </c>
      <c r="D260" s="51" t="inlineStr">
        <is>
          <t>Auchi</t>
        </is>
      </c>
      <c r="E260" s="51" t="n">
        <v/>
      </c>
      <c r="F260" s="51" t="inlineStr">
        <is>
          <t>Not in table</t>
        </is>
      </c>
      <c r="G260" s="44">
        <f>IFERROR(INDEX('Turnaround Table'!$C$5:$C$231,MATCH(E260,'Turnaround Table'!$D$5:$D$231,0)),"")</f>
        <v/>
      </c>
      <c r="H260" s="43" t="n"/>
      <c r="I260" s="44">
        <f>IF(H260&lt;&gt;"",H260,IF(G260&lt;&gt;"",G260,'Truck Requirement'!$B$5))</f>
        <v/>
      </c>
      <c r="J260" s="44">
        <f>2*I260</f>
        <v/>
      </c>
      <c r="K260" s="8">
        <f>MAX(1,INT('Truck Requirement'!$B$4/J260))</f>
        <v/>
      </c>
      <c r="L260" s="8">
        <f>SUM(M260:U260)</f>
        <v/>
      </c>
      <c r="M260" s="8" t="n"/>
      <c r="N260" s="8" t="n"/>
      <c r="O260" s="8" t="n"/>
      <c r="P260" s="8" t="n"/>
      <c r="Q260" s="8" t="n">
        <v>1</v>
      </c>
      <c r="R260" s="8" t="n"/>
      <c r="S260" s="8" t="n"/>
      <c r="T260" s="8" t="n"/>
      <c r="U260" s="8" t="n"/>
      <c r="V260" s="45">
        <f>IF(M260="","",M260/$K260)</f>
        <v/>
      </c>
      <c r="W260" s="45">
        <f>IF(N260="","",N260/$K260)</f>
        <v/>
      </c>
      <c r="X260" s="45">
        <f>IF(O260="","",O260/$K260)</f>
        <v/>
      </c>
      <c r="Y260" s="45">
        <f>IF(P260="","",P260/$K260)</f>
        <v/>
      </c>
      <c r="Z260" s="45">
        <f>IF(Q260="","",Q260/$K260)</f>
        <v/>
      </c>
      <c r="AA260" s="45">
        <f>IF(R260="","",R260/$K260)</f>
        <v/>
      </c>
      <c r="AB260" s="45">
        <f>IF(S260="","",S260/$K260)</f>
        <v/>
      </c>
      <c r="AC260" s="45">
        <f>IF(T260="","",T260/$K260)</f>
        <v/>
      </c>
      <c r="AD260" s="45">
        <f>IF(U260="","",U260/$K260)</f>
        <v/>
      </c>
    </row>
    <row r="261">
      <c r="A261" s="51" t="inlineStr">
        <is>
          <t>NBL</t>
        </is>
      </c>
      <c r="B261" s="51" t="inlineStr">
        <is>
          <t>Haulage</t>
        </is>
      </c>
      <c r="C261" s="51" t="inlineStr">
        <is>
          <t>Ngb4</t>
        </is>
      </c>
      <c r="D261" s="51" t="inlineStr">
        <is>
          <t>Gwagwalada</t>
        </is>
      </c>
      <c r="E261" s="51" t="n">
        <v/>
      </c>
      <c r="F261" s="51" t="inlineStr">
        <is>
          <t>Not in table</t>
        </is>
      </c>
      <c r="G261" s="44">
        <f>IFERROR(INDEX('Turnaround Table'!$C$5:$C$231,MATCH(E261,'Turnaround Table'!$D$5:$D$231,0)),"")</f>
        <v/>
      </c>
      <c r="H261" s="43" t="n"/>
      <c r="I261" s="44">
        <f>IF(H261&lt;&gt;"",H261,IF(G261&lt;&gt;"",G261,'Truck Requirement'!$B$5))</f>
        <v/>
      </c>
      <c r="J261" s="44">
        <f>2*I261</f>
        <v/>
      </c>
      <c r="K261" s="8">
        <f>MAX(1,INT('Truck Requirement'!$B$4/J261))</f>
        <v/>
      </c>
      <c r="L261" s="8">
        <f>SUM(M261:U261)</f>
        <v/>
      </c>
      <c r="M261" s="8" t="n"/>
      <c r="N261" s="8" t="n"/>
      <c r="O261" s="8" t="n"/>
      <c r="P261" s="8" t="n"/>
      <c r="Q261" s="8" t="n">
        <v>1</v>
      </c>
      <c r="R261" s="8" t="n"/>
      <c r="S261" s="8" t="n"/>
      <c r="T261" s="8" t="n"/>
      <c r="U261" s="8" t="n"/>
      <c r="V261" s="45">
        <f>IF(M261="","",M261/$K261)</f>
        <v/>
      </c>
      <c r="W261" s="45">
        <f>IF(N261="","",N261/$K261)</f>
        <v/>
      </c>
      <c r="X261" s="45">
        <f>IF(O261="","",O261/$K261)</f>
        <v/>
      </c>
      <c r="Y261" s="45">
        <f>IF(P261="","",P261/$K261)</f>
        <v/>
      </c>
      <c r="Z261" s="45">
        <f>IF(Q261="","",Q261/$K261)</f>
        <v/>
      </c>
      <c r="AA261" s="45">
        <f>IF(R261="","",R261/$K261)</f>
        <v/>
      </c>
      <c r="AB261" s="45">
        <f>IF(S261="","",S261/$K261)</f>
        <v/>
      </c>
      <c r="AC261" s="45">
        <f>IF(T261="","",T261/$K261)</f>
        <v/>
      </c>
      <c r="AD261" s="45">
        <f>IF(U261="","",U261/$K261)</f>
        <v/>
      </c>
    </row>
    <row r="262">
      <c r="A262" s="51" t="inlineStr">
        <is>
          <t>NBL</t>
        </is>
      </c>
      <c r="B262" s="51" t="inlineStr">
        <is>
          <t>Haulage</t>
        </is>
      </c>
      <c r="C262" s="51" t="inlineStr">
        <is>
          <t>Ngb4</t>
        </is>
      </c>
      <c r="D262" s="51" t="inlineStr">
        <is>
          <t>Ibadan</t>
        </is>
      </c>
      <c r="E262" s="51" t="n">
        <v/>
      </c>
      <c r="F262" s="51" t="inlineStr">
        <is>
          <t>Not in table</t>
        </is>
      </c>
      <c r="G262" s="44">
        <f>IFERROR(INDEX('Turnaround Table'!$C$5:$C$231,MATCH(E262,'Turnaround Table'!$D$5:$D$231,0)),"")</f>
        <v/>
      </c>
      <c r="H262" s="43" t="n"/>
      <c r="I262" s="44">
        <f>IF(H262&lt;&gt;"",H262,IF(G262&lt;&gt;"",G262,'Truck Requirement'!$B$5))</f>
        <v/>
      </c>
      <c r="J262" s="44">
        <f>2*I262</f>
        <v/>
      </c>
      <c r="K262" s="8">
        <f>MAX(1,INT('Truck Requirement'!$B$4/J262))</f>
        <v/>
      </c>
      <c r="L262" s="8">
        <f>SUM(M262:U262)</f>
        <v/>
      </c>
      <c r="M262" s="8" t="n"/>
      <c r="N262" s="8" t="n"/>
      <c r="O262" s="8" t="n"/>
      <c r="P262" s="8" t="n"/>
      <c r="Q262" s="8" t="n">
        <v>1</v>
      </c>
      <c r="R262" s="8" t="n"/>
      <c r="S262" s="8" t="n"/>
      <c r="T262" s="8" t="n"/>
      <c r="U262" s="8" t="n"/>
      <c r="V262" s="45">
        <f>IF(M262="","",M262/$K262)</f>
        <v/>
      </c>
      <c r="W262" s="45">
        <f>IF(N262="","",N262/$K262)</f>
        <v/>
      </c>
      <c r="X262" s="45">
        <f>IF(O262="","",O262/$K262)</f>
        <v/>
      </c>
      <c r="Y262" s="45">
        <f>IF(P262="","",P262/$K262)</f>
        <v/>
      </c>
      <c r="Z262" s="45">
        <f>IF(Q262="","",Q262/$K262)</f>
        <v/>
      </c>
      <c r="AA262" s="45">
        <f>IF(R262="","",R262/$K262)</f>
        <v/>
      </c>
      <c r="AB262" s="45">
        <f>IF(S262="","",S262/$K262)</f>
        <v/>
      </c>
      <c r="AC262" s="45">
        <f>IF(T262="","",T262/$K262)</f>
        <v/>
      </c>
      <c r="AD262" s="45">
        <f>IF(U262="","",U262/$K262)</f>
        <v/>
      </c>
    </row>
    <row r="263">
      <c r="A263" s="51" t="inlineStr">
        <is>
          <t>NBL</t>
        </is>
      </c>
      <c r="B263" s="51" t="inlineStr">
        <is>
          <t>Haulage</t>
        </is>
      </c>
      <c r="C263" s="51" t="inlineStr">
        <is>
          <t>Ngb4</t>
        </is>
      </c>
      <c r="D263" s="51" t="inlineStr">
        <is>
          <t>Makurdi</t>
        </is>
      </c>
      <c r="E263" s="51" t="n">
        <v/>
      </c>
      <c r="F263" s="51" t="inlineStr">
        <is>
          <t>Not in table</t>
        </is>
      </c>
      <c r="G263" s="44">
        <f>IFERROR(INDEX('Turnaround Table'!$C$5:$C$231,MATCH(E263,'Turnaround Table'!$D$5:$D$231,0)),"")</f>
        <v/>
      </c>
      <c r="H263" s="43" t="n"/>
      <c r="I263" s="44">
        <f>IF(H263&lt;&gt;"",H263,IF(G263&lt;&gt;"",G263,'Truck Requirement'!$B$5))</f>
        <v/>
      </c>
      <c r="J263" s="44">
        <f>2*I263</f>
        <v/>
      </c>
      <c r="K263" s="8">
        <f>MAX(1,INT('Truck Requirement'!$B$4/J263))</f>
        <v/>
      </c>
      <c r="L263" s="8">
        <f>SUM(M263:U263)</f>
        <v/>
      </c>
      <c r="M263" s="8" t="n"/>
      <c r="N263" s="8" t="n"/>
      <c r="O263" s="8" t="n"/>
      <c r="P263" s="8" t="n"/>
      <c r="Q263" s="8" t="n">
        <v>1</v>
      </c>
      <c r="R263" s="8" t="n"/>
      <c r="S263" s="8" t="n"/>
      <c r="T263" s="8" t="n"/>
      <c r="U263" s="8" t="n"/>
      <c r="V263" s="45">
        <f>IF(M263="","",M263/$K263)</f>
        <v/>
      </c>
      <c r="W263" s="45">
        <f>IF(N263="","",N263/$K263)</f>
        <v/>
      </c>
      <c r="X263" s="45">
        <f>IF(O263="","",O263/$K263)</f>
        <v/>
      </c>
      <c r="Y263" s="45">
        <f>IF(P263="","",P263/$K263)</f>
        <v/>
      </c>
      <c r="Z263" s="45">
        <f>IF(Q263="","",Q263/$K263)</f>
        <v/>
      </c>
      <c r="AA263" s="45">
        <f>IF(R263="","",R263/$K263)</f>
        <v/>
      </c>
      <c r="AB263" s="45">
        <f>IF(S263="","",S263/$K263)</f>
        <v/>
      </c>
      <c r="AC263" s="45">
        <f>IF(T263="","",T263/$K263)</f>
        <v/>
      </c>
      <c r="AD263" s="45">
        <f>IF(U263="","",U263/$K263)</f>
        <v/>
      </c>
    </row>
    <row r="264">
      <c r="A264" s="51" t="inlineStr">
        <is>
          <t>NBL</t>
        </is>
      </c>
      <c r="B264" s="51" t="inlineStr">
        <is>
          <t>Haulage</t>
        </is>
      </c>
      <c r="C264" s="51" t="inlineStr">
        <is>
          <t>Ngb4</t>
        </is>
      </c>
      <c r="D264" s="51" t="inlineStr">
        <is>
          <t>Mararaba</t>
        </is>
      </c>
      <c r="E264" s="51" t="n">
        <v/>
      </c>
      <c r="F264" s="51" t="inlineStr">
        <is>
          <t>Not in table</t>
        </is>
      </c>
      <c r="G264" s="44">
        <f>IFERROR(INDEX('Turnaround Table'!$C$5:$C$231,MATCH(E264,'Turnaround Table'!$D$5:$D$231,0)),"")</f>
        <v/>
      </c>
      <c r="H264" s="43" t="n"/>
      <c r="I264" s="44">
        <f>IF(H264&lt;&gt;"",H264,IF(G264&lt;&gt;"",G264,'Truck Requirement'!$B$5))</f>
        <v/>
      </c>
      <c r="J264" s="44">
        <f>2*I264</f>
        <v/>
      </c>
      <c r="K264" s="8">
        <f>MAX(1,INT('Truck Requirement'!$B$4/J264))</f>
        <v/>
      </c>
      <c r="L264" s="8">
        <f>SUM(M264:U264)</f>
        <v/>
      </c>
      <c r="M264" s="8" t="n"/>
      <c r="N264" s="8" t="n"/>
      <c r="O264" s="8" t="n"/>
      <c r="P264" s="8" t="n"/>
      <c r="Q264" s="8" t="n">
        <v>1</v>
      </c>
      <c r="R264" s="8" t="n"/>
      <c r="S264" s="8" t="n"/>
      <c r="T264" s="8" t="n"/>
      <c r="U264" s="8" t="n"/>
      <c r="V264" s="45">
        <f>IF(M264="","",M264/$K264)</f>
        <v/>
      </c>
      <c r="W264" s="45">
        <f>IF(N264="","",N264/$K264)</f>
        <v/>
      </c>
      <c r="X264" s="45">
        <f>IF(O264="","",O264/$K264)</f>
        <v/>
      </c>
      <c r="Y264" s="45">
        <f>IF(P264="","",P264/$K264)</f>
        <v/>
      </c>
      <c r="Z264" s="45">
        <f>IF(Q264="","",Q264/$K264)</f>
        <v/>
      </c>
      <c r="AA264" s="45">
        <f>IF(R264="","",R264/$K264)</f>
        <v/>
      </c>
      <c r="AB264" s="45">
        <f>IF(S264="","",S264/$K264)</f>
        <v/>
      </c>
      <c r="AC264" s="45">
        <f>IF(T264="","",T264/$K264)</f>
        <v/>
      </c>
      <c r="AD264" s="45">
        <f>IF(U264="","",U264/$K264)</f>
        <v/>
      </c>
    </row>
    <row r="265">
      <c r="A265" s="51" t="inlineStr">
        <is>
          <t>NBL</t>
        </is>
      </c>
      <c r="B265" s="51" t="inlineStr">
        <is>
          <t>Haulage</t>
        </is>
      </c>
      <c r="C265" s="51" t="inlineStr">
        <is>
          <t>Ngb4</t>
        </is>
      </c>
      <c r="D265" s="51" t="inlineStr">
        <is>
          <t>Okitipupa</t>
        </is>
      </c>
      <c r="E265" s="51" t="n">
        <v/>
      </c>
      <c r="F265" s="51" t="inlineStr">
        <is>
          <t>Not in table</t>
        </is>
      </c>
      <c r="G265" s="44">
        <f>IFERROR(INDEX('Turnaround Table'!$C$5:$C$231,MATCH(E265,'Turnaround Table'!$D$5:$D$231,0)),"")</f>
        <v/>
      </c>
      <c r="H265" s="43" t="n"/>
      <c r="I265" s="44">
        <f>IF(H265&lt;&gt;"",H265,IF(G265&lt;&gt;"",G265,'Truck Requirement'!$B$5))</f>
        <v/>
      </c>
      <c r="J265" s="44">
        <f>2*I265</f>
        <v/>
      </c>
      <c r="K265" s="8">
        <f>MAX(1,INT('Truck Requirement'!$B$4/J265))</f>
        <v/>
      </c>
      <c r="L265" s="8">
        <f>SUM(M265:U265)</f>
        <v/>
      </c>
      <c r="M265" s="8" t="n"/>
      <c r="N265" s="8" t="n"/>
      <c r="O265" s="8" t="n"/>
      <c r="P265" s="8" t="n"/>
      <c r="Q265" s="8" t="n">
        <v>1</v>
      </c>
      <c r="R265" s="8" t="n"/>
      <c r="S265" s="8" t="n"/>
      <c r="T265" s="8" t="n"/>
      <c r="U265" s="8" t="n"/>
      <c r="V265" s="45">
        <f>IF(M265="","",M265/$K265)</f>
        <v/>
      </c>
      <c r="W265" s="45">
        <f>IF(N265="","",N265/$K265)</f>
        <v/>
      </c>
      <c r="X265" s="45">
        <f>IF(O265="","",O265/$K265)</f>
        <v/>
      </c>
      <c r="Y265" s="45">
        <f>IF(P265="","",P265/$K265)</f>
        <v/>
      </c>
      <c r="Z265" s="45">
        <f>IF(Q265="","",Q265/$K265)</f>
        <v/>
      </c>
      <c r="AA265" s="45">
        <f>IF(R265="","",R265/$K265)</f>
        <v/>
      </c>
      <c r="AB265" s="45">
        <f>IF(S265="","",S265/$K265)</f>
        <v/>
      </c>
      <c r="AC265" s="45">
        <f>IF(T265="","",T265/$K265)</f>
        <v/>
      </c>
      <c r="AD265" s="45">
        <f>IF(U265="","",U265/$K265)</f>
        <v/>
      </c>
    </row>
    <row r="266">
      <c r="A266" s="51" t="inlineStr">
        <is>
          <t>NBL</t>
        </is>
      </c>
      <c r="B266" s="51" t="inlineStr">
        <is>
          <t>Haulage</t>
        </is>
      </c>
      <c r="C266" s="51" t="inlineStr">
        <is>
          <t>Ngb4</t>
        </is>
      </c>
      <c r="D266" s="51" t="inlineStr">
        <is>
          <t>Saki</t>
        </is>
      </c>
      <c r="E266" s="51" t="n">
        <v/>
      </c>
      <c r="F266" s="51" t="inlineStr">
        <is>
          <t>Not in table</t>
        </is>
      </c>
      <c r="G266" s="44">
        <f>IFERROR(INDEX('Turnaround Table'!$C$5:$C$231,MATCH(E266,'Turnaround Table'!$D$5:$D$231,0)),"")</f>
        <v/>
      </c>
      <c r="H266" s="43" t="n"/>
      <c r="I266" s="44">
        <f>IF(H266&lt;&gt;"",H266,IF(G266&lt;&gt;"",G266,'Truck Requirement'!$B$5))</f>
        <v/>
      </c>
      <c r="J266" s="44">
        <f>2*I266</f>
        <v/>
      </c>
      <c r="K266" s="8">
        <f>MAX(1,INT('Truck Requirement'!$B$4/J266))</f>
        <v/>
      </c>
      <c r="L266" s="8">
        <f>SUM(M266:U266)</f>
        <v/>
      </c>
      <c r="M266" s="8" t="n"/>
      <c r="N266" s="8" t="n"/>
      <c r="O266" s="8" t="n"/>
      <c r="P266" s="8" t="n"/>
      <c r="Q266" s="8" t="n">
        <v>1</v>
      </c>
      <c r="R266" s="8" t="n"/>
      <c r="S266" s="8" t="n"/>
      <c r="T266" s="8" t="n"/>
      <c r="U266" s="8" t="n"/>
      <c r="V266" s="45">
        <f>IF(M266="","",M266/$K266)</f>
        <v/>
      </c>
      <c r="W266" s="45">
        <f>IF(N266="","",N266/$K266)</f>
        <v/>
      </c>
      <c r="X266" s="45">
        <f>IF(O266="","",O266/$K266)</f>
        <v/>
      </c>
      <c r="Y266" s="45">
        <f>IF(P266="","",P266/$K266)</f>
        <v/>
      </c>
      <c r="Z266" s="45">
        <f>IF(Q266="","",Q266/$K266)</f>
        <v/>
      </c>
      <c r="AA266" s="45">
        <f>IF(R266="","",R266/$K266)</f>
        <v/>
      </c>
      <c r="AB266" s="45">
        <f>IF(S266="","",S266/$K266)</f>
        <v/>
      </c>
      <c r="AC266" s="45">
        <f>IF(T266="","",T266/$K266)</f>
        <v/>
      </c>
      <c r="AD266" s="45">
        <f>IF(U266="","",U266/$K266)</f>
        <v/>
      </c>
    </row>
    <row r="267">
      <c r="A267" s="51" t="inlineStr">
        <is>
          <t>NBL</t>
        </is>
      </c>
      <c r="B267" s="51" t="inlineStr">
        <is>
          <t>Haulage</t>
        </is>
      </c>
      <c r="C267" s="51" t="inlineStr">
        <is>
          <t>Ngb4</t>
        </is>
      </c>
      <c r="D267" s="51" t="inlineStr">
        <is>
          <t>Shasha</t>
        </is>
      </c>
      <c r="E267" s="51" t="n">
        <v/>
      </c>
      <c r="F267" s="51" t="inlineStr">
        <is>
          <t>Not in table</t>
        </is>
      </c>
      <c r="G267" s="44">
        <f>IFERROR(INDEX('Turnaround Table'!$C$5:$C$231,MATCH(E267,'Turnaround Table'!$D$5:$D$231,0)),"")</f>
        <v/>
      </c>
      <c r="H267" s="43" t="n"/>
      <c r="I267" s="44">
        <f>IF(H267&lt;&gt;"",H267,IF(G267&lt;&gt;"",G267,'Truck Requirement'!$B$5))</f>
        <v/>
      </c>
      <c r="J267" s="44">
        <f>2*I267</f>
        <v/>
      </c>
      <c r="K267" s="8">
        <f>MAX(1,INT('Truck Requirement'!$B$4/J267))</f>
        <v/>
      </c>
      <c r="L267" s="8">
        <f>SUM(M267:U267)</f>
        <v/>
      </c>
      <c r="M267" s="8" t="n"/>
      <c r="N267" s="8" t="n"/>
      <c r="O267" s="8" t="n"/>
      <c r="P267" s="8" t="n"/>
      <c r="Q267" s="8" t="n">
        <v>1</v>
      </c>
      <c r="R267" s="8" t="n"/>
      <c r="S267" s="8" t="n"/>
      <c r="T267" s="8" t="n"/>
      <c r="U267" s="8" t="n"/>
      <c r="V267" s="45">
        <f>IF(M267="","",M267/$K267)</f>
        <v/>
      </c>
      <c r="W267" s="45">
        <f>IF(N267="","",N267/$K267)</f>
        <v/>
      </c>
      <c r="X267" s="45">
        <f>IF(O267="","",O267/$K267)</f>
        <v/>
      </c>
      <c r="Y267" s="45">
        <f>IF(P267="","",P267/$K267)</f>
        <v/>
      </c>
      <c r="Z267" s="45">
        <f>IF(Q267="","",Q267/$K267)</f>
        <v/>
      </c>
      <c r="AA267" s="45">
        <f>IF(R267="","",R267/$K267)</f>
        <v/>
      </c>
      <c r="AB267" s="45">
        <f>IF(S267="","",S267/$K267)</f>
        <v/>
      </c>
      <c r="AC267" s="45">
        <f>IF(T267="","",T267/$K267)</f>
        <v/>
      </c>
      <c r="AD267" s="45">
        <f>IF(U267="","",U267/$K267)</f>
        <v/>
      </c>
    </row>
    <row r="268">
      <c r="A268" s="51" t="inlineStr">
        <is>
          <t>NBL</t>
        </is>
      </c>
      <c r="B268" s="51" t="inlineStr">
        <is>
          <t>Haulage</t>
        </is>
      </c>
      <c r="C268" s="51" t="inlineStr">
        <is>
          <t>Ngb5</t>
        </is>
      </c>
      <c r="D268" s="51" t="inlineStr">
        <is>
          <t>Calabar</t>
        </is>
      </c>
      <c r="E268" s="51" t="n">
        <v/>
      </c>
      <c r="F268" s="51" t="inlineStr">
        <is>
          <t>Not in table</t>
        </is>
      </c>
      <c r="G268" s="44">
        <f>IFERROR(INDEX('Turnaround Table'!$C$5:$C$231,MATCH(E268,'Turnaround Table'!$D$5:$D$231,0)),"")</f>
        <v/>
      </c>
      <c r="H268" s="43" t="n"/>
      <c r="I268" s="44">
        <f>IF(H268&lt;&gt;"",H268,IF(G268&lt;&gt;"",G268,'Truck Requirement'!$B$5))</f>
        <v/>
      </c>
      <c r="J268" s="44">
        <f>2*I268</f>
        <v/>
      </c>
      <c r="K268" s="8">
        <f>MAX(1,INT('Truck Requirement'!$B$4/J268))</f>
        <v/>
      </c>
      <c r="L268" s="8">
        <f>SUM(M268:U268)</f>
        <v/>
      </c>
      <c r="M268" s="8" t="n"/>
      <c r="N268" s="8" t="n"/>
      <c r="O268" s="8" t="n"/>
      <c r="P268" s="8" t="n"/>
      <c r="Q268" s="8" t="n">
        <v>1</v>
      </c>
      <c r="R268" s="8" t="n"/>
      <c r="S268" s="8" t="n"/>
      <c r="T268" s="8" t="n"/>
      <c r="U268" s="8" t="n"/>
      <c r="V268" s="45">
        <f>IF(M268="","",M268/$K268)</f>
        <v/>
      </c>
      <c r="W268" s="45">
        <f>IF(N268="","",N268/$K268)</f>
        <v/>
      </c>
      <c r="X268" s="45">
        <f>IF(O268="","",O268/$K268)</f>
        <v/>
      </c>
      <c r="Y268" s="45">
        <f>IF(P268="","",P268/$K268)</f>
        <v/>
      </c>
      <c r="Z268" s="45">
        <f>IF(Q268="","",Q268/$K268)</f>
        <v/>
      </c>
      <c r="AA268" s="45">
        <f>IF(R268="","",R268/$K268)</f>
        <v/>
      </c>
      <c r="AB268" s="45">
        <f>IF(S268="","",S268/$K268)</f>
        <v/>
      </c>
      <c r="AC268" s="45">
        <f>IF(T268="","",T268/$K268)</f>
        <v/>
      </c>
      <c r="AD268" s="45">
        <f>IF(U268="","",U268/$K268)</f>
        <v/>
      </c>
    </row>
    <row r="269">
      <c r="A269" s="51" t="inlineStr">
        <is>
          <t>NBL</t>
        </is>
      </c>
      <c r="B269" s="51" t="inlineStr">
        <is>
          <t>Haulage</t>
        </is>
      </c>
      <c r="C269" s="51" t="inlineStr">
        <is>
          <t>Ngb5</t>
        </is>
      </c>
      <c r="D269" s="51" t="inlineStr">
        <is>
          <t>Gusau</t>
        </is>
      </c>
      <c r="E269" s="51" t="n">
        <v/>
      </c>
      <c r="F269" s="51" t="inlineStr">
        <is>
          <t>Not in table</t>
        </is>
      </c>
      <c r="G269" s="44">
        <f>IFERROR(INDEX('Turnaround Table'!$C$5:$C$231,MATCH(E269,'Turnaround Table'!$D$5:$D$231,0)),"")</f>
        <v/>
      </c>
      <c r="H269" s="43" t="n"/>
      <c r="I269" s="44">
        <f>IF(H269&lt;&gt;"",H269,IF(G269&lt;&gt;"",G269,'Truck Requirement'!$B$5))</f>
        <v/>
      </c>
      <c r="J269" s="44">
        <f>2*I269</f>
        <v/>
      </c>
      <c r="K269" s="8">
        <f>MAX(1,INT('Truck Requirement'!$B$4/J269))</f>
        <v/>
      </c>
      <c r="L269" s="8">
        <f>SUM(M269:U269)</f>
        <v/>
      </c>
      <c r="M269" s="8" t="n"/>
      <c r="N269" s="8" t="n"/>
      <c r="O269" s="8" t="n"/>
      <c r="P269" s="8" t="n"/>
      <c r="Q269" s="8" t="n">
        <v>1</v>
      </c>
      <c r="R269" s="8" t="n"/>
      <c r="S269" s="8" t="n"/>
      <c r="T269" s="8" t="n"/>
      <c r="U269" s="8" t="n"/>
      <c r="V269" s="45">
        <f>IF(M269="","",M269/$K269)</f>
        <v/>
      </c>
      <c r="W269" s="45">
        <f>IF(N269="","",N269/$K269)</f>
        <v/>
      </c>
      <c r="X269" s="45">
        <f>IF(O269="","",O269/$K269)</f>
        <v/>
      </c>
      <c r="Y269" s="45">
        <f>IF(P269="","",P269/$K269)</f>
        <v/>
      </c>
      <c r="Z269" s="45">
        <f>IF(Q269="","",Q269/$K269)</f>
        <v/>
      </c>
      <c r="AA269" s="45">
        <f>IF(R269="","",R269/$K269)</f>
        <v/>
      </c>
      <c r="AB269" s="45">
        <f>IF(S269="","",S269/$K269)</f>
        <v/>
      </c>
      <c r="AC269" s="45">
        <f>IF(T269="","",T269/$K269)</f>
        <v/>
      </c>
      <c r="AD269" s="45">
        <f>IF(U269="","",U269/$K269)</f>
        <v/>
      </c>
    </row>
    <row r="270">
      <c r="A270" s="51" t="inlineStr">
        <is>
          <t>NBL</t>
        </is>
      </c>
      <c r="B270" s="51" t="inlineStr">
        <is>
          <t>Haulage</t>
        </is>
      </c>
      <c r="C270" s="51" t="inlineStr">
        <is>
          <t>Ngb5</t>
        </is>
      </c>
      <c r="D270" s="51" t="inlineStr">
        <is>
          <t>Jalingo</t>
        </is>
      </c>
      <c r="E270" s="51" t="n">
        <v/>
      </c>
      <c r="F270" s="51" t="inlineStr">
        <is>
          <t>Not in table</t>
        </is>
      </c>
      <c r="G270" s="44">
        <f>IFERROR(INDEX('Turnaround Table'!$C$5:$C$231,MATCH(E270,'Turnaround Table'!$D$5:$D$231,0)),"")</f>
        <v/>
      </c>
      <c r="H270" s="43" t="n"/>
      <c r="I270" s="44">
        <f>IF(H270&lt;&gt;"",H270,IF(G270&lt;&gt;"",G270,'Truck Requirement'!$B$5))</f>
        <v/>
      </c>
      <c r="J270" s="44">
        <f>2*I270</f>
        <v/>
      </c>
      <c r="K270" s="8">
        <f>MAX(1,INT('Truck Requirement'!$B$4/J270))</f>
        <v/>
      </c>
      <c r="L270" s="8">
        <f>SUM(M270:U270)</f>
        <v/>
      </c>
      <c r="M270" s="8" t="n"/>
      <c r="N270" s="8" t="n"/>
      <c r="O270" s="8" t="n"/>
      <c r="P270" s="8" t="n"/>
      <c r="Q270" s="8" t="n">
        <v>1</v>
      </c>
      <c r="R270" s="8" t="n"/>
      <c r="S270" s="8" t="n"/>
      <c r="T270" s="8" t="n"/>
      <c r="U270" s="8" t="n"/>
      <c r="V270" s="45">
        <f>IF(M270="","",M270/$K270)</f>
        <v/>
      </c>
      <c r="W270" s="45">
        <f>IF(N270="","",N270/$K270)</f>
        <v/>
      </c>
      <c r="X270" s="45">
        <f>IF(O270="","",O270/$K270)</f>
        <v/>
      </c>
      <c r="Y270" s="45">
        <f>IF(P270="","",P270/$K270)</f>
        <v/>
      </c>
      <c r="Z270" s="45">
        <f>IF(Q270="","",Q270/$K270)</f>
        <v/>
      </c>
      <c r="AA270" s="45">
        <f>IF(R270="","",R270/$K270)</f>
        <v/>
      </c>
      <c r="AB270" s="45">
        <f>IF(S270="","",S270/$K270)</f>
        <v/>
      </c>
      <c r="AC270" s="45">
        <f>IF(T270="","",T270/$K270)</f>
        <v/>
      </c>
      <c r="AD270" s="45">
        <f>IF(U270="","",U270/$K270)</f>
        <v/>
      </c>
    </row>
    <row r="271">
      <c r="A271" s="51" t="inlineStr">
        <is>
          <t>NBL</t>
        </is>
      </c>
      <c r="B271" s="51" t="inlineStr">
        <is>
          <t>Haulage</t>
        </is>
      </c>
      <c r="C271" s="51" t="inlineStr">
        <is>
          <t>Ngb8</t>
        </is>
      </c>
      <c r="D271" s="51" t="inlineStr">
        <is>
          <t>Ajah</t>
        </is>
      </c>
      <c r="E271" s="51" t="n">
        <v/>
      </c>
      <c r="F271" s="51" t="inlineStr">
        <is>
          <t>Not in table</t>
        </is>
      </c>
      <c r="G271" s="44">
        <f>IFERROR(INDEX('Turnaround Table'!$C$5:$C$231,MATCH(E271,'Turnaround Table'!$D$5:$D$231,0)),"")</f>
        <v/>
      </c>
      <c r="H271" s="43" t="n"/>
      <c r="I271" s="44">
        <f>IF(H271&lt;&gt;"",H271,IF(G271&lt;&gt;"",G271,'Truck Requirement'!$B$5))</f>
        <v/>
      </c>
      <c r="J271" s="44">
        <f>2*I271</f>
        <v/>
      </c>
      <c r="K271" s="8">
        <f>MAX(1,INT('Truck Requirement'!$B$4/J271))</f>
        <v/>
      </c>
      <c r="L271" s="8">
        <f>SUM(M271:U271)</f>
        <v/>
      </c>
      <c r="M271" s="8" t="n"/>
      <c r="N271" s="8" t="n"/>
      <c r="O271" s="8" t="n"/>
      <c r="P271" s="8" t="n"/>
      <c r="Q271" s="8" t="n">
        <v>1</v>
      </c>
      <c r="R271" s="8" t="n"/>
      <c r="S271" s="8" t="n"/>
      <c r="T271" s="8" t="n"/>
      <c r="U271" s="8" t="n"/>
      <c r="V271" s="45">
        <f>IF(M271="","",M271/$K271)</f>
        <v/>
      </c>
      <c r="W271" s="45">
        <f>IF(N271="","",N271/$K271)</f>
        <v/>
      </c>
      <c r="X271" s="45">
        <f>IF(O271="","",O271/$K271)</f>
        <v/>
      </c>
      <c r="Y271" s="45">
        <f>IF(P271="","",P271/$K271)</f>
        <v/>
      </c>
      <c r="Z271" s="45">
        <f>IF(Q271="","",Q271/$K271)</f>
        <v/>
      </c>
      <c r="AA271" s="45">
        <f>IF(R271="","",R271/$K271)</f>
        <v/>
      </c>
      <c r="AB271" s="45">
        <f>IF(S271="","",S271/$K271)</f>
        <v/>
      </c>
      <c r="AC271" s="45">
        <f>IF(T271="","",T271/$K271)</f>
        <v/>
      </c>
      <c r="AD271" s="45">
        <f>IF(U271="","",U271/$K271)</f>
        <v/>
      </c>
    </row>
    <row r="272">
      <c r="A272" s="51" t="inlineStr">
        <is>
          <t>NBL</t>
        </is>
      </c>
      <c r="B272" s="51" t="inlineStr">
        <is>
          <t>Haulage</t>
        </is>
      </c>
      <c r="C272" s="51" t="inlineStr">
        <is>
          <t>Ngb8</t>
        </is>
      </c>
      <c r="D272" s="51" t="inlineStr">
        <is>
          <t>Ama</t>
        </is>
      </c>
      <c r="E272" s="51" t="n">
        <v/>
      </c>
      <c r="F272" s="51" t="inlineStr">
        <is>
          <t>Not in table</t>
        </is>
      </c>
      <c r="G272" s="44">
        <f>IFERROR(INDEX('Turnaround Table'!$C$5:$C$231,MATCH(E272,'Turnaround Table'!$D$5:$D$231,0)),"")</f>
        <v/>
      </c>
      <c r="H272" s="43" t="n"/>
      <c r="I272" s="44">
        <f>IF(H272&lt;&gt;"",H272,IF(G272&lt;&gt;"",G272,'Truck Requirement'!$B$5))</f>
        <v/>
      </c>
      <c r="J272" s="44">
        <f>2*I272</f>
        <v/>
      </c>
      <c r="K272" s="8">
        <f>MAX(1,INT('Truck Requirement'!$B$4/J272))</f>
        <v/>
      </c>
      <c r="L272" s="8">
        <f>SUM(M272:U272)</f>
        <v/>
      </c>
      <c r="M272" s="8" t="n"/>
      <c r="N272" s="8" t="n"/>
      <c r="O272" s="8" t="n"/>
      <c r="P272" s="8" t="n"/>
      <c r="Q272" s="8" t="n">
        <v>1</v>
      </c>
      <c r="R272" s="8" t="n"/>
      <c r="S272" s="8" t="n"/>
      <c r="T272" s="8" t="n"/>
      <c r="U272" s="8" t="n"/>
      <c r="V272" s="45">
        <f>IF(M272="","",M272/$K272)</f>
        <v/>
      </c>
      <c r="W272" s="45">
        <f>IF(N272="","",N272/$K272)</f>
        <v/>
      </c>
      <c r="X272" s="45">
        <f>IF(O272="","",O272/$K272)</f>
        <v/>
      </c>
      <c r="Y272" s="45">
        <f>IF(P272="","",P272/$K272)</f>
        <v/>
      </c>
      <c r="Z272" s="45">
        <f>IF(Q272="","",Q272/$K272)</f>
        <v/>
      </c>
      <c r="AA272" s="45">
        <f>IF(R272="","",R272/$K272)</f>
        <v/>
      </c>
      <c r="AB272" s="45">
        <f>IF(S272="","",S272/$K272)</f>
        <v/>
      </c>
      <c r="AC272" s="45">
        <f>IF(T272="","",T272/$K272)</f>
        <v/>
      </c>
      <c r="AD272" s="45">
        <f>IF(U272="","",U272/$K272)</f>
        <v/>
      </c>
    </row>
    <row r="273">
      <c r="A273" s="51" t="inlineStr">
        <is>
          <t>NBL</t>
        </is>
      </c>
      <c r="B273" s="51" t="inlineStr">
        <is>
          <t>Haulage</t>
        </is>
      </c>
      <c r="C273" s="51" t="inlineStr">
        <is>
          <t>Ngb8</t>
        </is>
      </c>
      <c r="D273" s="51" t="inlineStr">
        <is>
          <t>Kaduna (Kudenda)</t>
        </is>
      </c>
      <c r="E273" s="51" t="n">
        <v/>
      </c>
      <c r="F273" s="51" t="inlineStr">
        <is>
          <t>Not in table</t>
        </is>
      </c>
      <c r="G273" s="44">
        <f>IFERROR(INDEX('Turnaround Table'!$C$5:$C$231,MATCH(E273,'Turnaround Table'!$D$5:$D$231,0)),"")</f>
        <v/>
      </c>
      <c r="H273" s="43" t="n"/>
      <c r="I273" s="44">
        <f>IF(H273&lt;&gt;"",H273,IF(G273&lt;&gt;"",G273,'Truck Requirement'!$B$5))</f>
        <v/>
      </c>
      <c r="J273" s="44">
        <f>2*I273</f>
        <v/>
      </c>
      <c r="K273" s="8">
        <f>MAX(1,INT('Truck Requirement'!$B$4/J273))</f>
        <v/>
      </c>
      <c r="L273" s="8">
        <f>SUM(M273:U273)</f>
        <v/>
      </c>
      <c r="M273" s="8" t="n"/>
      <c r="N273" s="8" t="n"/>
      <c r="O273" s="8" t="n"/>
      <c r="P273" s="8" t="n"/>
      <c r="Q273" s="8" t="n">
        <v>1</v>
      </c>
      <c r="R273" s="8" t="n"/>
      <c r="S273" s="8" t="n"/>
      <c r="T273" s="8" t="n"/>
      <c r="U273" s="8" t="n"/>
      <c r="V273" s="45">
        <f>IF(M273="","",M273/$K273)</f>
        <v/>
      </c>
      <c r="W273" s="45">
        <f>IF(N273="","",N273/$K273)</f>
        <v/>
      </c>
      <c r="X273" s="45">
        <f>IF(O273="","",O273/$K273)</f>
        <v/>
      </c>
      <c r="Y273" s="45">
        <f>IF(P273="","",P273/$K273)</f>
        <v/>
      </c>
      <c r="Z273" s="45">
        <f>IF(Q273="","",Q273/$K273)</f>
        <v/>
      </c>
      <c r="AA273" s="45">
        <f>IF(R273="","",R273/$K273)</f>
        <v/>
      </c>
      <c r="AB273" s="45">
        <f>IF(S273="","",S273/$K273)</f>
        <v/>
      </c>
      <c r="AC273" s="45">
        <f>IF(T273="","",T273/$K273)</f>
        <v/>
      </c>
      <c r="AD273" s="45">
        <f>IF(U273="","",U273/$K273)</f>
        <v/>
      </c>
    </row>
    <row r="274">
      <c r="A274" s="51" t="inlineStr">
        <is>
          <t>NBL</t>
        </is>
      </c>
      <c r="B274" s="51" t="inlineStr">
        <is>
          <t>Haulage</t>
        </is>
      </c>
      <c r="C274" s="51" t="inlineStr">
        <is>
          <t>Okigwe</t>
        </is>
      </c>
      <c r="D274" s="51" t="inlineStr">
        <is>
          <t>Ibadan</t>
        </is>
      </c>
      <c r="E274" s="51" t="n">
        <v/>
      </c>
      <c r="F274" s="51" t="inlineStr">
        <is>
          <t>Not in table</t>
        </is>
      </c>
      <c r="G274" s="44">
        <f>IFERROR(INDEX('Turnaround Table'!$C$5:$C$231,MATCH(E274,'Turnaround Table'!$D$5:$D$231,0)),"")</f>
        <v/>
      </c>
      <c r="H274" s="43" t="n"/>
      <c r="I274" s="44">
        <f>IF(H274&lt;&gt;"",H274,IF(G274&lt;&gt;"",G274,'Truck Requirement'!$B$5))</f>
        <v/>
      </c>
      <c r="J274" s="44">
        <f>2*I274</f>
        <v/>
      </c>
      <c r="K274" s="8">
        <f>MAX(1,INT('Truck Requirement'!$B$4/J274))</f>
        <v/>
      </c>
      <c r="L274" s="8">
        <f>SUM(M274:U274)</f>
        <v/>
      </c>
      <c r="M274" s="8" t="n"/>
      <c r="N274" s="8" t="n"/>
      <c r="O274" s="8" t="n"/>
      <c r="P274" s="8" t="n"/>
      <c r="Q274" s="8" t="n">
        <v>1</v>
      </c>
      <c r="R274" s="8" t="n"/>
      <c r="S274" s="8" t="n"/>
      <c r="T274" s="8" t="n"/>
      <c r="U274" s="8" t="n"/>
      <c r="V274" s="45">
        <f>IF(M274="","",M274/$K274)</f>
        <v/>
      </c>
      <c r="W274" s="45">
        <f>IF(N274="","",N274/$K274)</f>
        <v/>
      </c>
      <c r="X274" s="45">
        <f>IF(O274="","",O274/$K274)</f>
        <v/>
      </c>
      <c r="Y274" s="45">
        <f>IF(P274="","",P274/$K274)</f>
        <v/>
      </c>
      <c r="Z274" s="45">
        <f>IF(Q274="","",Q274/$K274)</f>
        <v/>
      </c>
      <c r="AA274" s="45">
        <f>IF(R274="","",R274/$K274)</f>
        <v/>
      </c>
      <c r="AB274" s="45">
        <f>IF(S274="","",S274/$K274)</f>
        <v/>
      </c>
      <c r="AC274" s="45">
        <f>IF(T274="","",T274/$K274)</f>
        <v/>
      </c>
      <c r="AD274" s="45">
        <f>IF(U274="","",U274/$K274)</f>
        <v/>
      </c>
    </row>
    <row r="275">
      <c r="A275" s="51" t="inlineStr">
        <is>
          <t>NBL</t>
        </is>
      </c>
      <c r="B275" s="51" t="inlineStr">
        <is>
          <t>Haulage</t>
        </is>
      </c>
      <c r="C275" s="51" t="inlineStr">
        <is>
          <t>Ore</t>
        </is>
      </c>
      <c r="D275" s="51" t="inlineStr">
        <is>
          <t>Ngb4</t>
        </is>
      </c>
      <c r="E275" s="51" t="n">
        <v/>
      </c>
      <c r="F275" s="51" t="inlineStr">
        <is>
          <t>Not in table</t>
        </is>
      </c>
      <c r="G275" s="44">
        <f>IFERROR(INDEX('Turnaround Table'!$C$5:$C$231,MATCH(E275,'Turnaround Table'!$D$5:$D$231,0)),"")</f>
        <v/>
      </c>
      <c r="H275" s="43" t="n"/>
      <c r="I275" s="44">
        <f>IF(H275&lt;&gt;"",H275,IF(G275&lt;&gt;"",G275,'Truck Requirement'!$B$5))</f>
        <v/>
      </c>
      <c r="J275" s="44">
        <f>2*I275</f>
        <v/>
      </c>
      <c r="K275" s="8">
        <f>MAX(1,INT('Truck Requirement'!$B$4/J275))</f>
        <v/>
      </c>
      <c r="L275" s="8">
        <f>SUM(M275:U275)</f>
        <v/>
      </c>
      <c r="M275" s="8" t="n"/>
      <c r="N275" s="8" t="n"/>
      <c r="O275" s="8" t="n">
        <v>1</v>
      </c>
      <c r="P275" s="8" t="n"/>
      <c r="Q275" s="8" t="n"/>
      <c r="R275" s="8" t="n"/>
      <c r="S275" s="8" t="n"/>
      <c r="T275" s="8" t="n"/>
      <c r="U275" s="8" t="n"/>
      <c r="V275" s="45">
        <f>IF(M275="","",M275/$K275)</f>
        <v/>
      </c>
      <c r="W275" s="45">
        <f>IF(N275="","",N275/$K275)</f>
        <v/>
      </c>
      <c r="X275" s="45">
        <f>IF(O275="","",O275/$K275)</f>
        <v/>
      </c>
      <c r="Y275" s="45">
        <f>IF(P275="","",P275/$K275)</f>
        <v/>
      </c>
      <c r="Z275" s="45">
        <f>IF(Q275="","",Q275/$K275)</f>
        <v/>
      </c>
      <c r="AA275" s="45">
        <f>IF(R275="","",R275/$K275)</f>
        <v/>
      </c>
      <c r="AB275" s="45">
        <f>IF(S275="","",S275/$K275)</f>
        <v/>
      </c>
      <c r="AC275" s="45">
        <f>IF(T275="","",T275/$K275)</f>
        <v/>
      </c>
      <c r="AD275" s="45">
        <f>IF(U275="","",U275/$K275)</f>
        <v/>
      </c>
    </row>
    <row r="276">
      <c r="A276" s="8" t="inlineStr">
        <is>
          <t>NBL</t>
        </is>
      </c>
      <c r="B276" s="8" t="inlineStr">
        <is>
          <t>Haulage</t>
        </is>
      </c>
      <c r="C276" s="8" t="inlineStr">
        <is>
          <t>Ota</t>
        </is>
      </c>
      <c r="D276" s="8" t="inlineStr">
        <is>
          <t>Agege</t>
        </is>
      </c>
      <c r="E276" s="8" t="inlineStr">
        <is>
          <t>IKEJA-AGEGE-DOPEMU-MAGODO&gt;LAGOS</t>
        </is>
      </c>
      <c r="F276" s="8" t="inlineStr">
        <is>
          <t>Nearest bay (Lagos)</t>
        </is>
      </c>
      <c r="G276" s="44">
        <f>IFERROR(INDEX('Turnaround Table'!$C$5:$C$231,MATCH(E276,'Turnaround Table'!$D$5:$D$231,0)),"")</f>
        <v/>
      </c>
      <c r="H276" s="43" t="n"/>
      <c r="I276" s="44">
        <f>IF(H276&lt;&gt;"",H276,IF(G276&lt;&gt;"",G276,'Truck Requirement'!$B$5))</f>
        <v/>
      </c>
      <c r="J276" s="44">
        <f>2*I276</f>
        <v/>
      </c>
      <c r="K276" s="8">
        <f>MAX(1,INT('Truck Requirement'!$B$4/J276))</f>
        <v/>
      </c>
      <c r="L276" s="8">
        <f>SUM(M276:U276)</f>
        <v/>
      </c>
      <c r="M276" s="8" t="n"/>
      <c r="N276" s="8" t="n"/>
      <c r="O276" s="8" t="n"/>
      <c r="P276" s="8" t="n"/>
      <c r="Q276" s="8" t="n">
        <v>1</v>
      </c>
      <c r="R276" s="8" t="n"/>
      <c r="S276" s="8" t="n"/>
      <c r="T276" s="8" t="n"/>
      <c r="U276" s="8" t="n"/>
      <c r="V276" s="45">
        <f>IF(M276="","",M276/$K276)</f>
        <v/>
      </c>
      <c r="W276" s="45">
        <f>IF(N276="","",N276/$K276)</f>
        <v/>
      </c>
      <c r="X276" s="45">
        <f>IF(O276="","",O276/$K276)</f>
        <v/>
      </c>
      <c r="Y276" s="45">
        <f>IF(P276="","",P276/$K276)</f>
        <v/>
      </c>
      <c r="Z276" s="45">
        <f>IF(Q276="","",Q276/$K276)</f>
        <v/>
      </c>
      <c r="AA276" s="45">
        <f>IF(R276="","",R276/$K276)</f>
        <v/>
      </c>
      <c r="AB276" s="45">
        <f>IF(S276="","",S276/$K276)</f>
        <v/>
      </c>
      <c r="AC276" s="45">
        <f>IF(T276="","",T276/$K276)</f>
        <v/>
      </c>
      <c r="AD276" s="45">
        <f>IF(U276="","",U276/$K276)</f>
        <v/>
      </c>
    </row>
    <row r="277">
      <c r="A277" s="8" t="inlineStr">
        <is>
          <t>NBL</t>
        </is>
      </c>
      <c r="B277" s="8" t="inlineStr">
        <is>
          <t>Haulage</t>
        </is>
      </c>
      <c r="C277" s="8" t="inlineStr">
        <is>
          <t>Ota</t>
        </is>
      </c>
      <c r="D277" s="8" t="inlineStr">
        <is>
          <t>Auchi</t>
        </is>
      </c>
      <c r="E277" s="8" t="inlineStr">
        <is>
          <t>AUCHI&gt;LAGOS</t>
        </is>
      </c>
      <c r="F277" s="8" t="inlineStr">
        <is>
          <t>Nearest bay (Lagos)</t>
        </is>
      </c>
      <c r="G277" s="44">
        <f>IFERROR(INDEX('Turnaround Table'!$C$5:$C$231,MATCH(E277,'Turnaround Table'!$D$5:$D$231,0)),"")</f>
        <v/>
      </c>
      <c r="H277" s="43" t="n"/>
      <c r="I277" s="44">
        <f>IF(H277&lt;&gt;"",H277,IF(G277&lt;&gt;"",G277,'Truck Requirement'!$B$5))</f>
        <v/>
      </c>
      <c r="J277" s="44">
        <f>2*I277</f>
        <v/>
      </c>
      <c r="K277" s="8">
        <f>MAX(1,INT('Truck Requirement'!$B$4/J277))</f>
        <v/>
      </c>
      <c r="L277" s="8">
        <f>SUM(M277:U277)</f>
        <v/>
      </c>
      <c r="M277" s="8" t="n"/>
      <c r="N277" s="8" t="n"/>
      <c r="O277" s="8" t="n"/>
      <c r="P277" s="8" t="n">
        <v>1</v>
      </c>
      <c r="Q277" s="8" t="n"/>
      <c r="R277" s="8" t="n"/>
      <c r="S277" s="8" t="n"/>
      <c r="T277" s="8" t="n"/>
      <c r="U277" s="8" t="n"/>
      <c r="V277" s="45">
        <f>IF(M277="","",M277/$K277)</f>
        <v/>
      </c>
      <c r="W277" s="45">
        <f>IF(N277="","",N277/$K277)</f>
        <v/>
      </c>
      <c r="X277" s="45">
        <f>IF(O277="","",O277/$K277)</f>
        <v/>
      </c>
      <c r="Y277" s="45">
        <f>IF(P277="","",P277/$K277)</f>
        <v/>
      </c>
      <c r="Z277" s="45">
        <f>IF(Q277="","",Q277/$K277)</f>
        <v/>
      </c>
      <c r="AA277" s="45">
        <f>IF(R277="","",R277/$K277)</f>
        <v/>
      </c>
      <c r="AB277" s="45">
        <f>IF(S277="","",S277/$K277)</f>
        <v/>
      </c>
      <c r="AC277" s="45">
        <f>IF(T277="","",T277/$K277)</f>
        <v/>
      </c>
      <c r="AD277" s="45">
        <f>IF(U277="","",U277/$K277)</f>
        <v/>
      </c>
    </row>
    <row r="278">
      <c r="A278" s="8" t="inlineStr">
        <is>
          <t>NBL</t>
        </is>
      </c>
      <c r="B278" s="8" t="inlineStr">
        <is>
          <t>Haulage</t>
        </is>
      </c>
      <c r="C278" s="8" t="inlineStr">
        <is>
          <t>Ota</t>
        </is>
      </c>
      <c r="D278" s="8" t="inlineStr">
        <is>
          <t>Benin</t>
        </is>
      </c>
      <c r="E278" s="8" t="inlineStr">
        <is>
          <t>BENIN&gt;LAGOS</t>
        </is>
      </c>
      <c r="F278" s="8" t="inlineStr">
        <is>
          <t>Nearest bay (Lagos)</t>
        </is>
      </c>
      <c r="G278" s="44">
        <f>IFERROR(INDEX('Turnaround Table'!$C$5:$C$231,MATCH(E278,'Turnaround Table'!$D$5:$D$231,0)),"")</f>
        <v/>
      </c>
      <c r="H278" s="43" t="n"/>
      <c r="I278" s="44">
        <f>IF(H278&lt;&gt;"",H278,IF(G278&lt;&gt;"",G278,'Truck Requirement'!$B$5))</f>
        <v/>
      </c>
      <c r="J278" s="44">
        <f>2*I278</f>
        <v/>
      </c>
      <c r="K278" s="8">
        <f>MAX(1,INT('Truck Requirement'!$B$4/J278))</f>
        <v/>
      </c>
      <c r="L278" s="8">
        <f>SUM(M278:U278)</f>
        <v/>
      </c>
      <c r="M278" s="8" t="n"/>
      <c r="N278" s="8" t="n"/>
      <c r="O278" s="8" t="n"/>
      <c r="P278" s="8" t="n">
        <v>1</v>
      </c>
      <c r="Q278" s="8" t="n"/>
      <c r="R278" s="8" t="n"/>
      <c r="S278" s="8" t="n"/>
      <c r="T278" s="8" t="n"/>
      <c r="U278" s="8" t="n"/>
      <c r="V278" s="45">
        <f>IF(M278="","",M278/$K278)</f>
        <v/>
      </c>
      <c r="W278" s="45">
        <f>IF(N278="","",N278/$K278)</f>
        <v/>
      </c>
      <c r="X278" s="45">
        <f>IF(O278="","",O278/$K278)</f>
        <v/>
      </c>
      <c r="Y278" s="45">
        <f>IF(P278="","",P278/$K278)</f>
        <v/>
      </c>
      <c r="Z278" s="45">
        <f>IF(Q278="","",Q278/$K278)</f>
        <v/>
      </c>
      <c r="AA278" s="45">
        <f>IF(R278="","",R278/$K278)</f>
        <v/>
      </c>
      <c r="AB278" s="45">
        <f>IF(S278="","",S278/$K278)</f>
        <v/>
      </c>
      <c r="AC278" s="45">
        <f>IF(T278="","",T278/$K278)</f>
        <v/>
      </c>
      <c r="AD278" s="45">
        <f>IF(U278="","",U278/$K278)</f>
        <v/>
      </c>
    </row>
    <row r="279">
      <c r="A279" s="8" t="inlineStr">
        <is>
          <t>NBL</t>
        </is>
      </c>
      <c r="B279" s="8" t="inlineStr">
        <is>
          <t>Haulage</t>
        </is>
      </c>
      <c r="C279" s="8" t="inlineStr">
        <is>
          <t>Ota</t>
        </is>
      </c>
      <c r="D279" s="8" t="inlineStr">
        <is>
          <t>Ile-Ife</t>
        </is>
      </c>
      <c r="E279" s="8" t="inlineStr">
        <is>
          <t>ILE-IFE&gt;LAGOS</t>
        </is>
      </c>
      <c r="F279" s="8" t="inlineStr">
        <is>
          <t>Nearest bay (Lagos)</t>
        </is>
      </c>
      <c r="G279" s="44">
        <f>IFERROR(INDEX('Turnaround Table'!$C$5:$C$231,MATCH(E279,'Turnaround Table'!$D$5:$D$231,0)),"")</f>
        <v/>
      </c>
      <c r="H279" s="43" t="n"/>
      <c r="I279" s="44">
        <f>IF(H279&lt;&gt;"",H279,IF(G279&lt;&gt;"",G279,'Truck Requirement'!$B$5))</f>
        <v/>
      </c>
      <c r="J279" s="44">
        <f>2*I279</f>
        <v/>
      </c>
      <c r="K279" s="8">
        <f>MAX(1,INT('Truck Requirement'!$B$4/J279))</f>
        <v/>
      </c>
      <c r="L279" s="8">
        <f>SUM(M279:U279)</f>
        <v/>
      </c>
      <c r="M279" s="8" t="n"/>
      <c r="N279" s="8" t="n"/>
      <c r="O279" s="8" t="n"/>
      <c r="P279" s="8" t="n"/>
      <c r="Q279" s="8" t="n">
        <v>1</v>
      </c>
      <c r="R279" s="8" t="n"/>
      <c r="S279" s="8" t="n"/>
      <c r="T279" s="8" t="n"/>
      <c r="U279" s="8" t="n"/>
      <c r="V279" s="45">
        <f>IF(M279="","",M279/$K279)</f>
        <v/>
      </c>
      <c r="W279" s="45">
        <f>IF(N279="","",N279/$K279)</f>
        <v/>
      </c>
      <c r="X279" s="45">
        <f>IF(O279="","",O279/$K279)</f>
        <v/>
      </c>
      <c r="Y279" s="45">
        <f>IF(P279="","",P279/$K279)</f>
        <v/>
      </c>
      <c r="Z279" s="45">
        <f>IF(Q279="","",Q279/$K279)</f>
        <v/>
      </c>
      <c r="AA279" s="45">
        <f>IF(R279="","",R279/$K279)</f>
        <v/>
      </c>
      <c r="AB279" s="45">
        <f>IF(S279="","",S279/$K279)</f>
        <v/>
      </c>
      <c r="AC279" s="45">
        <f>IF(T279="","",T279/$K279)</f>
        <v/>
      </c>
      <c r="AD279" s="45">
        <f>IF(U279="","",U279/$K279)</f>
        <v/>
      </c>
    </row>
    <row r="280">
      <c r="A280" s="8" t="inlineStr">
        <is>
          <t>NBL</t>
        </is>
      </c>
      <c r="B280" s="8" t="inlineStr">
        <is>
          <t>Haulage</t>
        </is>
      </c>
      <c r="C280" s="8" t="inlineStr">
        <is>
          <t>Ota</t>
        </is>
      </c>
      <c r="D280" s="8" t="inlineStr">
        <is>
          <t>Shasha</t>
        </is>
      </c>
      <c r="E280" s="8" t="inlineStr">
        <is>
          <t>IKEJA-AGEGE-DOPEMU-MAGODO&gt;LAGOS</t>
        </is>
      </c>
      <c r="F280" s="8" t="inlineStr">
        <is>
          <t>Nearest bay (Lagos)</t>
        </is>
      </c>
      <c r="G280" s="44">
        <f>IFERROR(INDEX('Turnaround Table'!$C$5:$C$231,MATCH(E280,'Turnaround Table'!$D$5:$D$231,0)),"")</f>
        <v/>
      </c>
      <c r="H280" s="43" t="n"/>
      <c r="I280" s="44">
        <f>IF(H280&lt;&gt;"",H280,IF(G280&lt;&gt;"",G280,'Truck Requirement'!$B$5))</f>
        <v/>
      </c>
      <c r="J280" s="44">
        <f>2*I280</f>
        <v/>
      </c>
      <c r="K280" s="8">
        <f>MAX(1,INT('Truck Requirement'!$B$4/J280))</f>
        <v/>
      </c>
      <c r="L280" s="8">
        <f>SUM(M280:U280)</f>
        <v/>
      </c>
      <c r="M280" s="8" t="n"/>
      <c r="N280" s="8" t="n"/>
      <c r="O280" s="8" t="n"/>
      <c r="P280" s="8" t="n"/>
      <c r="Q280" s="8" t="n"/>
      <c r="R280" s="8" t="n">
        <v>1</v>
      </c>
      <c r="S280" s="8" t="n"/>
      <c r="T280" s="8" t="n"/>
      <c r="U280" s="8" t="n"/>
      <c r="V280" s="45">
        <f>IF(M280="","",M280/$K280)</f>
        <v/>
      </c>
      <c r="W280" s="45">
        <f>IF(N280="","",N280/$K280)</f>
        <v/>
      </c>
      <c r="X280" s="45">
        <f>IF(O280="","",O280/$K280)</f>
        <v/>
      </c>
      <c r="Y280" s="45">
        <f>IF(P280="","",P280/$K280)</f>
        <v/>
      </c>
      <c r="Z280" s="45">
        <f>IF(Q280="","",Q280/$K280)</f>
        <v/>
      </c>
      <c r="AA280" s="45">
        <f>IF(R280="","",R280/$K280)</f>
        <v/>
      </c>
      <c r="AB280" s="45">
        <f>IF(S280="","",S280/$K280)</f>
        <v/>
      </c>
      <c r="AC280" s="45">
        <f>IF(T280="","",T280/$K280)</f>
        <v/>
      </c>
      <c r="AD280" s="45">
        <f>IF(U280="","",U280/$K280)</f>
        <v/>
      </c>
    </row>
    <row r="281">
      <c r="A281" s="8" t="inlineStr">
        <is>
          <t>NBL</t>
        </is>
      </c>
      <c r="B281" s="8" t="inlineStr">
        <is>
          <t>Haulage</t>
        </is>
      </c>
      <c r="C281" s="8" t="inlineStr">
        <is>
          <t>Otukpa</t>
        </is>
      </c>
      <c r="D281" s="8" t="inlineStr">
        <is>
          <t>Ibadan</t>
        </is>
      </c>
      <c r="E281" s="8" t="inlineStr">
        <is>
          <t>OTUKPO&gt;IBADAN</t>
        </is>
      </c>
      <c r="F281" s="8" t="inlineStr">
        <is>
          <t>Reverse</t>
        </is>
      </c>
      <c r="G281" s="44">
        <f>IFERROR(INDEX('Turnaround Table'!$C$5:$C$231,MATCH(E281,'Turnaround Table'!$D$5:$D$231,0)),"")</f>
        <v/>
      </c>
      <c r="H281" s="43" t="n"/>
      <c r="I281" s="44">
        <f>IF(H281&lt;&gt;"",H281,IF(G281&lt;&gt;"",G281,'Truck Requirement'!$B$5))</f>
        <v/>
      </c>
      <c r="J281" s="44">
        <f>2*I281</f>
        <v/>
      </c>
      <c r="K281" s="8">
        <f>MAX(1,INT('Truck Requirement'!$B$4/J281))</f>
        <v/>
      </c>
      <c r="L281" s="8">
        <f>SUM(M281:U281)</f>
        <v/>
      </c>
      <c r="M281" s="8" t="n"/>
      <c r="N281" s="8" t="n"/>
      <c r="O281" s="8" t="n"/>
      <c r="P281" s="8" t="n"/>
      <c r="Q281" s="8" t="n"/>
      <c r="R281" s="8" t="n">
        <v>1</v>
      </c>
      <c r="S281" s="8" t="n"/>
      <c r="T281" s="8" t="n"/>
      <c r="U281" s="8" t="n"/>
      <c r="V281" s="45">
        <f>IF(M281="","",M281/$K281)</f>
        <v/>
      </c>
      <c r="W281" s="45">
        <f>IF(N281="","",N281/$K281)</f>
        <v/>
      </c>
      <c r="X281" s="45">
        <f>IF(O281="","",O281/$K281)</f>
        <v/>
      </c>
      <c r="Y281" s="45">
        <f>IF(P281="","",P281/$K281)</f>
        <v/>
      </c>
      <c r="Z281" s="45">
        <f>IF(Q281="","",Q281/$K281)</f>
        <v/>
      </c>
      <c r="AA281" s="45">
        <f>IF(R281="","",R281/$K281)</f>
        <v/>
      </c>
      <c r="AB281" s="45">
        <f>IF(S281="","",S281/$K281)</f>
        <v/>
      </c>
      <c r="AC281" s="45">
        <f>IF(T281="","",T281/$K281)</f>
        <v/>
      </c>
      <c r="AD281" s="45">
        <f>IF(U281="","",U281/$K281)</f>
        <v/>
      </c>
    </row>
    <row r="282">
      <c r="A282" s="51" t="inlineStr">
        <is>
          <t>NBL</t>
        </is>
      </c>
      <c r="B282" s="51" t="inlineStr">
        <is>
          <t>Haulage</t>
        </is>
      </c>
      <c r="C282" s="51" t="inlineStr">
        <is>
          <t>Yola</t>
        </is>
      </c>
      <c r="D282" s="51" t="inlineStr">
        <is>
          <t>Ama</t>
        </is>
      </c>
      <c r="E282" s="51" t="n">
        <v/>
      </c>
      <c r="F282" s="51" t="inlineStr">
        <is>
          <t>Not in table</t>
        </is>
      </c>
      <c r="G282" s="44">
        <f>IFERROR(INDEX('Turnaround Table'!$C$5:$C$231,MATCH(E282,'Turnaround Table'!$D$5:$D$231,0)),"")</f>
        <v/>
      </c>
      <c r="H282" s="43" t="n"/>
      <c r="I282" s="44">
        <f>IF(H282&lt;&gt;"",H282,IF(G282&lt;&gt;"",G282,'Truck Requirement'!$B$5))</f>
        <v/>
      </c>
      <c r="J282" s="44">
        <f>2*I282</f>
        <v/>
      </c>
      <c r="K282" s="8">
        <f>MAX(1,INT('Truck Requirement'!$B$4/J282))</f>
        <v/>
      </c>
      <c r="L282" s="8">
        <f>SUM(M282:U282)</f>
        <v/>
      </c>
      <c r="M282" s="8" t="n"/>
      <c r="N282" s="8" t="n"/>
      <c r="O282" s="8" t="n"/>
      <c r="P282" s="8" t="n"/>
      <c r="Q282" s="8" t="n"/>
      <c r="R282" s="8" t="n">
        <v>1</v>
      </c>
      <c r="S282" s="8" t="n"/>
      <c r="T282" s="8" t="n"/>
      <c r="U282" s="8" t="n"/>
      <c r="V282" s="45">
        <f>IF(M282="","",M282/$K282)</f>
        <v/>
      </c>
      <c r="W282" s="45">
        <f>IF(N282="","",N282/$K282)</f>
        <v/>
      </c>
      <c r="X282" s="45">
        <f>IF(O282="","",O282/$K282)</f>
        <v/>
      </c>
      <c r="Y282" s="45">
        <f>IF(P282="","",P282/$K282)</f>
        <v/>
      </c>
      <c r="Z282" s="45">
        <f>IF(Q282="","",Q282/$K282)</f>
        <v/>
      </c>
      <c r="AA282" s="45">
        <f>IF(R282="","",R282/$K282)</f>
        <v/>
      </c>
      <c r="AB282" s="45">
        <f>IF(S282="","",S282/$K282)</f>
        <v/>
      </c>
      <c r="AC282" s="45">
        <f>IF(T282="","",T282/$K282)</f>
        <v/>
      </c>
      <c r="AD282" s="45">
        <f>IF(U282="","",U282/$K282)</f>
        <v/>
      </c>
    </row>
    <row r="283">
      <c r="A283" s="51" t="inlineStr">
        <is>
          <t>NBL</t>
        </is>
      </c>
      <c r="B283" s="51" t="inlineStr">
        <is>
          <t>Haulage</t>
        </is>
      </c>
      <c r="C283" s="51" t="inlineStr">
        <is>
          <t>Yola</t>
        </is>
      </c>
      <c r="D283" s="51" t="inlineStr">
        <is>
          <t>Kaduna (Kudenda)</t>
        </is>
      </c>
      <c r="E283" s="51" t="n">
        <v/>
      </c>
      <c r="F283" s="51" t="inlineStr">
        <is>
          <t>Not in table</t>
        </is>
      </c>
      <c r="G283" s="44">
        <f>IFERROR(INDEX('Turnaround Table'!$C$5:$C$231,MATCH(E283,'Turnaround Table'!$D$5:$D$231,0)),"")</f>
        <v/>
      </c>
      <c r="H283" s="43" t="n"/>
      <c r="I283" s="44">
        <f>IF(H283&lt;&gt;"",H283,IF(G283&lt;&gt;"",G283,'Truck Requirement'!$B$5))</f>
        <v/>
      </c>
      <c r="J283" s="44">
        <f>2*I283</f>
        <v/>
      </c>
      <c r="K283" s="8">
        <f>MAX(1,INT('Truck Requirement'!$B$4/J283))</f>
        <v/>
      </c>
      <c r="L283" s="8">
        <f>SUM(M283:U283)</f>
        <v/>
      </c>
      <c r="M283" s="8" t="n"/>
      <c r="N283" s="8" t="n"/>
      <c r="O283" s="8" t="n"/>
      <c r="P283" s="8" t="n">
        <v>1</v>
      </c>
      <c r="Q283" s="8" t="n"/>
      <c r="R283" s="8" t="n"/>
      <c r="S283" s="8" t="n"/>
      <c r="T283" s="8" t="n"/>
      <c r="U283" s="8" t="n"/>
      <c r="V283" s="45">
        <f>IF(M283="","",M283/$K283)</f>
        <v/>
      </c>
      <c r="W283" s="45">
        <f>IF(N283="","",N283/$K283)</f>
        <v/>
      </c>
      <c r="X283" s="45">
        <f>IF(O283="","",O283/$K283)</f>
        <v/>
      </c>
      <c r="Y283" s="45">
        <f>IF(P283="","",P283/$K283)</f>
        <v/>
      </c>
      <c r="Z283" s="45">
        <f>IF(Q283="","",Q283/$K283)</f>
        <v/>
      </c>
      <c r="AA283" s="45">
        <f>IF(R283="","",R283/$K283)</f>
        <v/>
      </c>
      <c r="AB283" s="45">
        <f>IF(S283="","",S283/$K283)</f>
        <v/>
      </c>
      <c r="AC283" s="45">
        <f>IF(T283="","",T283/$K283)</f>
        <v/>
      </c>
      <c r="AD283" s="45">
        <f>IF(U283="","",U283/$K283)</f>
        <v/>
      </c>
    </row>
    <row r="284">
      <c r="A284" s="8" t="inlineStr">
        <is>
          <t>NIGER BISCUITS</t>
        </is>
      </c>
      <c r="B284" s="8" t="inlineStr">
        <is>
          <t>Haulage</t>
        </is>
      </c>
      <c r="C284" s="8" t="inlineStr">
        <is>
          <t>Lagos</t>
        </is>
      </c>
      <c r="D284" s="8" t="inlineStr">
        <is>
          <t>Phc</t>
        </is>
      </c>
      <c r="E284" s="8" t="inlineStr">
        <is>
          <t>PORT HARCOURT&gt;LAGOS</t>
        </is>
      </c>
      <c r="F284" s="8" t="inlineStr">
        <is>
          <t>Exact</t>
        </is>
      </c>
      <c r="G284" s="44">
        <f>IFERROR(INDEX('Turnaround Table'!$C$5:$C$231,MATCH(E284,'Turnaround Table'!$D$5:$D$231,0)),"")</f>
        <v/>
      </c>
      <c r="H284" s="43" t="n"/>
      <c r="I284" s="44">
        <f>IF(H284&lt;&gt;"",H284,IF(G284&lt;&gt;"",G284,'Truck Requirement'!$B$5))</f>
        <v/>
      </c>
      <c r="J284" s="44">
        <f>2*I284</f>
        <v/>
      </c>
      <c r="K284" s="8">
        <f>MAX(1,INT('Truck Requirement'!$B$4/J284))</f>
        <v/>
      </c>
      <c r="L284" s="8">
        <f>SUM(M284:U284)</f>
        <v/>
      </c>
      <c r="M284" s="8" t="n"/>
      <c r="N284" s="8" t="n"/>
      <c r="O284" s="8" t="n"/>
      <c r="P284" s="8" t="n"/>
      <c r="Q284" s="8" t="n"/>
      <c r="R284" s="8" t="n"/>
      <c r="S284" s="8" t="n"/>
      <c r="T284" s="8" t="n">
        <v>3</v>
      </c>
      <c r="U284" s="8" t="n">
        <v>1</v>
      </c>
      <c r="V284" s="45">
        <f>IF(M284="","",M284/$K284)</f>
        <v/>
      </c>
      <c r="W284" s="45">
        <f>IF(N284="","",N284/$K284)</f>
        <v/>
      </c>
      <c r="X284" s="45">
        <f>IF(O284="","",O284/$K284)</f>
        <v/>
      </c>
      <c r="Y284" s="45">
        <f>IF(P284="","",P284/$K284)</f>
        <v/>
      </c>
      <c r="Z284" s="45">
        <f>IF(Q284="","",Q284/$K284)</f>
        <v/>
      </c>
      <c r="AA284" s="45">
        <f>IF(R284="","",R284/$K284)</f>
        <v/>
      </c>
      <c r="AB284" s="45">
        <f>IF(S284="","",S284/$K284)</f>
        <v/>
      </c>
      <c r="AC284" s="45">
        <f>IF(T284="","",T284/$K284)</f>
        <v/>
      </c>
      <c r="AD284" s="45">
        <f>IF(U284="","",U284/$K284)</f>
        <v/>
      </c>
    </row>
    <row r="285">
      <c r="A285" s="8" t="inlineStr">
        <is>
          <t>NIGER BISCUITS</t>
        </is>
      </c>
      <c r="B285" s="8" t="inlineStr">
        <is>
          <t>Haulage</t>
        </is>
      </c>
      <c r="C285" s="8" t="inlineStr">
        <is>
          <t>Lagos</t>
        </is>
      </c>
      <c r="D285" s="8" t="inlineStr">
        <is>
          <t>Owerri</t>
        </is>
      </c>
      <c r="E285" s="8" t="inlineStr">
        <is>
          <t>OWERRI&gt;LAGOS</t>
        </is>
      </c>
      <c r="F285" s="8" t="inlineStr">
        <is>
          <t>Exact</t>
        </is>
      </c>
      <c r="G285" s="44">
        <f>IFERROR(INDEX('Turnaround Table'!$C$5:$C$231,MATCH(E285,'Turnaround Table'!$D$5:$D$231,0)),"")</f>
        <v/>
      </c>
      <c r="H285" s="43" t="n"/>
      <c r="I285" s="44">
        <f>IF(H285&lt;&gt;"",H285,IF(G285&lt;&gt;"",G285,'Truck Requirement'!$B$5))</f>
        <v/>
      </c>
      <c r="J285" s="44">
        <f>2*I285</f>
        <v/>
      </c>
      <c r="K285" s="8">
        <f>MAX(1,INT('Truck Requirement'!$B$4/J285))</f>
        <v/>
      </c>
      <c r="L285" s="8">
        <f>SUM(M285:U285)</f>
        <v/>
      </c>
      <c r="M285" s="8" t="n"/>
      <c r="N285" s="8" t="n"/>
      <c r="O285" s="8" t="n"/>
      <c r="P285" s="8" t="n"/>
      <c r="Q285" s="8" t="n"/>
      <c r="R285" s="8" t="n"/>
      <c r="S285" s="8" t="n"/>
      <c r="T285" s="8" t="n">
        <v>1</v>
      </c>
      <c r="U285" s="8" t="n">
        <v>2</v>
      </c>
      <c r="V285" s="45">
        <f>IF(M285="","",M285/$K285)</f>
        <v/>
      </c>
      <c r="W285" s="45">
        <f>IF(N285="","",N285/$K285)</f>
        <v/>
      </c>
      <c r="X285" s="45">
        <f>IF(O285="","",O285/$K285)</f>
        <v/>
      </c>
      <c r="Y285" s="45">
        <f>IF(P285="","",P285/$K285)</f>
        <v/>
      </c>
      <c r="Z285" s="45">
        <f>IF(Q285="","",Q285/$K285)</f>
        <v/>
      </c>
      <c r="AA285" s="45">
        <f>IF(R285="","",R285/$K285)</f>
        <v/>
      </c>
      <c r="AB285" s="45">
        <f>IF(S285="","",S285/$K285)</f>
        <v/>
      </c>
      <c r="AC285" s="45">
        <f>IF(T285="","",T285/$K285)</f>
        <v/>
      </c>
      <c r="AD285" s="45">
        <f>IF(U285="","",U285/$K285)</f>
        <v/>
      </c>
    </row>
    <row r="286">
      <c r="A286" s="8" t="inlineStr">
        <is>
          <t>NIGER BISCUITS</t>
        </is>
      </c>
      <c r="B286" s="8" t="inlineStr">
        <is>
          <t>Haulage</t>
        </is>
      </c>
      <c r="C286" s="8" t="inlineStr">
        <is>
          <t>Lagos</t>
        </is>
      </c>
      <c r="D286" s="8" t="inlineStr">
        <is>
          <t>Aba</t>
        </is>
      </c>
      <c r="E286" s="8" t="inlineStr">
        <is>
          <t>ABA&gt;LAGOS</t>
        </is>
      </c>
      <c r="F286" s="8" t="inlineStr">
        <is>
          <t>Exact</t>
        </is>
      </c>
      <c r="G286" s="44">
        <f>IFERROR(INDEX('Turnaround Table'!$C$5:$C$231,MATCH(E286,'Turnaround Table'!$D$5:$D$231,0)),"")</f>
        <v/>
      </c>
      <c r="H286" s="43" t="n"/>
      <c r="I286" s="44">
        <f>IF(H286&lt;&gt;"",H286,IF(G286&lt;&gt;"",G286,'Truck Requirement'!$B$5))</f>
        <v/>
      </c>
      <c r="J286" s="44">
        <f>2*I286</f>
        <v/>
      </c>
      <c r="K286" s="8">
        <f>MAX(1,INT('Truck Requirement'!$B$4/J286))</f>
        <v/>
      </c>
      <c r="L286" s="8">
        <f>SUM(M286:U286)</f>
        <v/>
      </c>
      <c r="M286" s="8" t="n"/>
      <c r="N286" s="8" t="n"/>
      <c r="O286" s="8" t="n"/>
      <c r="P286" s="8" t="n"/>
      <c r="Q286" s="8" t="n"/>
      <c r="R286" s="8" t="n"/>
      <c r="S286" s="8" t="n"/>
      <c r="T286" s="8" t="n">
        <v>1</v>
      </c>
      <c r="U286" s="8" t="n">
        <v>1</v>
      </c>
      <c r="V286" s="45">
        <f>IF(M286="","",M286/$K286)</f>
        <v/>
      </c>
      <c r="W286" s="45">
        <f>IF(N286="","",N286/$K286)</f>
        <v/>
      </c>
      <c r="X286" s="45">
        <f>IF(O286="","",O286/$K286)</f>
        <v/>
      </c>
      <c r="Y286" s="45">
        <f>IF(P286="","",P286/$K286)</f>
        <v/>
      </c>
      <c r="Z286" s="45">
        <f>IF(Q286="","",Q286/$K286)</f>
        <v/>
      </c>
      <c r="AA286" s="45">
        <f>IF(R286="","",R286/$K286)</f>
        <v/>
      </c>
      <c r="AB286" s="45">
        <f>IF(S286="","",S286/$K286)</f>
        <v/>
      </c>
      <c r="AC286" s="45">
        <f>IF(T286="","",T286/$K286)</f>
        <v/>
      </c>
      <c r="AD286" s="45">
        <f>IF(U286="","",U286/$K286)</f>
        <v/>
      </c>
    </row>
    <row r="287">
      <c r="A287" s="8" t="inlineStr">
        <is>
          <t>NIGER BISCUITS</t>
        </is>
      </c>
      <c r="B287" s="8" t="inlineStr">
        <is>
          <t>Haulage</t>
        </is>
      </c>
      <c r="C287" s="8" t="inlineStr">
        <is>
          <t>Lagos</t>
        </is>
      </c>
      <c r="D287" s="8" t="inlineStr">
        <is>
          <t>Uyo</t>
        </is>
      </c>
      <c r="E287" s="8" t="inlineStr">
        <is>
          <t>UYO&gt;LAGOS</t>
        </is>
      </c>
      <c r="F287" s="8" t="inlineStr">
        <is>
          <t>Exact</t>
        </is>
      </c>
      <c r="G287" s="44">
        <f>IFERROR(INDEX('Turnaround Table'!$C$5:$C$231,MATCH(E287,'Turnaround Table'!$D$5:$D$231,0)),"")</f>
        <v/>
      </c>
      <c r="H287" s="43" t="n"/>
      <c r="I287" s="44">
        <f>IF(H287&lt;&gt;"",H287,IF(G287&lt;&gt;"",G287,'Truck Requirement'!$B$5))</f>
        <v/>
      </c>
      <c r="J287" s="44">
        <f>2*I287</f>
        <v/>
      </c>
      <c r="K287" s="8">
        <f>MAX(1,INT('Truck Requirement'!$B$4/J287))</f>
        <v/>
      </c>
      <c r="L287" s="8">
        <f>SUM(M287:U287)</f>
        <v/>
      </c>
      <c r="M287" s="8" t="n"/>
      <c r="N287" s="8" t="n"/>
      <c r="O287" s="8" t="n"/>
      <c r="P287" s="8" t="n"/>
      <c r="Q287" s="8" t="n"/>
      <c r="R287" s="8" t="n"/>
      <c r="S287" s="8" t="n"/>
      <c r="T287" s="8" t="n">
        <v>2</v>
      </c>
      <c r="U287" s="8" t="n"/>
      <c r="V287" s="45">
        <f>IF(M287="","",M287/$K287)</f>
        <v/>
      </c>
      <c r="W287" s="45">
        <f>IF(N287="","",N287/$K287)</f>
        <v/>
      </c>
      <c r="X287" s="45">
        <f>IF(O287="","",O287/$K287)</f>
        <v/>
      </c>
      <c r="Y287" s="45">
        <f>IF(P287="","",P287/$K287)</f>
        <v/>
      </c>
      <c r="Z287" s="45">
        <f>IF(Q287="","",Q287/$K287)</f>
        <v/>
      </c>
      <c r="AA287" s="45">
        <f>IF(R287="","",R287/$K287)</f>
        <v/>
      </c>
      <c r="AB287" s="45">
        <f>IF(S287="","",S287/$K287)</f>
        <v/>
      </c>
      <c r="AC287" s="45">
        <f>IF(T287="","",T287/$K287)</f>
        <v/>
      </c>
      <c r="AD287" s="45">
        <f>IF(U287="","",U287/$K287)</f>
        <v/>
      </c>
    </row>
    <row r="288">
      <c r="A288" s="51" t="inlineStr">
        <is>
          <t>NIGER BISCUITS</t>
        </is>
      </c>
      <c r="B288" s="51" t="inlineStr">
        <is>
          <t>Haulage</t>
        </is>
      </c>
      <c r="C288" s="51" t="inlineStr">
        <is>
          <t>Lagos</t>
        </is>
      </c>
      <c r="D288" s="51" t="inlineStr">
        <is>
          <t>(Not Recorded)</t>
        </is>
      </c>
      <c r="E288" s="51" t="n">
        <v/>
      </c>
      <c r="F288" s="51" t="inlineStr">
        <is>
          <t>Not in table</t>
        </is>
      </c>
      <c r="G288" s="44">
        <f>IFERROR(INDEX('Turnaround Table'!$C$5:$C$231,MATCH(E288,'Turnaround Table'!$D$5:$D$231,0)),"")</f>
        <v/>
      </c>
      <c r="H288" s="43" t="n"/>
      <c r="I288" s="44">
        <f>IF(H288&lt;&gt;"",H288,IF(G288&lt;&gt;"",G288,'Truck Requirement'!$B$5))</f>
        <v/>
      </c>
      <c r="J288" s="44">
        <f>2*I288</f>
        <v/>
      </c>
      <c r="K288" s="8">
        <f>MAX(1,INT('Truck Requirement'!$B$4/J288))</f>
        <v/>
      </c>
      <c r="L288" s="8">
        <f>SUM(M288:U288)</f>
        <v/>
      </c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>
        <v>1</v>
      </c>
      <c r="V288" s="45">
        <f>IF(M288="","",M288/$K288)</f>
        <v/>
      </c>
      <c r="W288" s="45">
        <f>IF(N288="","",N288/$K288)</f>
        <v/>
      </c>
      <c r="X288" s="45">
        <f>IF(O288="","",O288/$K288)</f>
        <v/>
      </c>
      <c r="Y288" s="45">
        <f>IF(P288="","",P288/$K288)</f>
        <v/>
      </c>
      <c r="Z288" s="45">
        <f>IF(Q288="","",Q288/$K288)</f>
        <v/>
      </c>
      <c r="AA288" s="45">
        <f>IF(R288="","",R288/$K288)</f>
        <v/>
      </c>
      <c r="AB288" s="45">
        <f>IF(S288="","",S288/$K288)</f>
        <v/>
      </c>
      <c r="AC288" s="45">
        <f>IF(T288="","",T288/$K288)</f>
        <v/>
      </c>
      <c r="AD288" s="45">
        <f>IF(U288="","",U288/$K288)</f>
        <v/>
      </c>
    </row>
    <row r="289">
      <c r="A289" s="8" t="inlineStr">
        <is>
          <t>NIGER BISCUITS</t>
        </is>
      </c>
      <c r="B289" s="8" t="inlineStr">
        <is>
          <t>Haulage</t>
        </is>
      </c>
      <c r="C289" s="8" t="inlineStr">
        <is>
          <t>Lagos</t>
        </is>
      </c>
      <c r="D289" s="8" t="inlineStr">
        <is>
          <t>Abakaliki</t>
        </is>
      </c>
      <c r="E289" s="8" t="inlineStr">
        <is>
          <t>ABAKALIKI&gt;LAGOS</t>
        </is>
      </c>
      <c r="F289" s="8" t="inlineStr">
        <is>
          <t>Exact</t>
        </is>
      </c>
      <c r="G289" s="44">
        <f>IFERROR(INDEX('Turnaround Table'!$C$5:$C$231,MATCH(E289,'Turnaround Table'!$D$5:$D$231,0)),"")</f>
        <v/>
      </c>
      <c r="H289" s="43" t="n"/>
      <c r="I289" s="44">
        <f>IF(H289&lt;&gt;"",H289,IF(G289&lt;&gt;"",G289,'Truck Requirement'!$B$5))</f>
        <v/>
      </c>
      <c r="J289" s="44">
        <f>2*I289</f>
        <v/>
      </c>
      <c r="K289" s="8">
        <f>MAX(1,INT('Truck Requirement'!$B$4/J289))</f>
        <v/>
      </c>
      <c r="L289" s="8">
        <f>SUM(M289:U289)</f>
        <v/>
      </c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>
        <v>1</v>
      </c>
      <c r="V289" s="45">
        <f>IF(M289="","",M289/$K289)</f>
        <v/>
      </c>
      <c r="W289" s="45">
        <f>IF(N289="","",N289/$K289)</f>
        <v/>
      </c>
      <c r="X289" s="45">
        <f>IF(O289="","",O289/$K289)</f>
        <v/>
      </c>
      <c r="Y289" s="45">
        <f>IF(P289="","",P289/$K289)</f>
        <v/>
      </c>
      <c r="Z289" s="45">
        <f>IF(Q289="","",Q289/$K289)</f>
        <v/>
      </c>
      <c r="AA289" s="45">
        <f>IF(R289="","",R289/$K289)</f>
        <v/>
      </c>
      <c r="AB289" s="45">
        <f>IF(S289="","",S289/$K289)</f>
        <v/>
      </c>
      <c r="AC289" s="45">
        <f>IF(T289="","",T289/$K289)</f>
        <v/>
      </c>
      <c r="AD289" s="45">
        <f>IF(U289="","",U289/$K289)</f>
        <v/>
      </c>
    </row>
    <row r="290">
      <c r="A290" s="8" t="inlineStr">
        <is>
          <t>NIGER BISCUITS</t>
        </is>
      </c>
      <c r="B290" s="8" t="inlineStr">
        <is>
          <t>Haulage</t>
        </is>
      </c>
      <c r="C290" s="8" t="inlineStr">
        <is>
          <t>Lagos</t>
        </is>
      </c>
      <c r="D290" s="8" t="inlineStr">
        <is>
          <t>Abuja</t>
        </is>
      </c>
      <c r="E290" s="8" t="inlineStr">
        <is>
          <t>ABUJA&gt;LAGOS</t>
        </is>
      </c>
      <c r="F290" s="8" t="inlineStr">
        <is>
          <t>Exact</t>
        </is>
      </c>
      <c r="G290" s="44">
        <f>IFERROR(INDEX('Turnaround Table'!$C$5:$C$231,MATCH(E290,'Turnaround Table'!$D$5:$D$231,0)),"")</f>
        <v/>
      </c>
      <c r="H290" s="43" t="n"/>
      <c r="I290" s="44">
        <f>IF(H290&lt;&gt;"",H290,IF(G290&lt;&gt;"",G290,'Truck Requirement'!$B$5))</f>
        <v/>
      </c>
      <c r="J290" s="44">
        <f>2*I290</f>
        <v/>
      </c>
      <c r="K290" s="8">
        <f>MAX(1,INT('Truck Requirement'!$B$4/J290))</f>
        <v/>
      </c>
      <c r="L290" s="8">
        <f>SUM(M290:U290)</f>
        <v/>
      </c>
      <c r="M290" s="8" t="n"/>
      <c r="N290" s="8" t="n"/>
      <c r="O290" s="8" t="n"/>
      <c r="P290" s="8" t="n"/>
      <c r="Q290" s="8" t="n"/>
      <c r="R290" s="8" t="n"/>
      <c r="S290" s="8" t="n"/>
      <c r="T290" s="8" t="n">
        <v>1</v>
      </c>
      <c r="U290" s="8" t="n"/>
      <c r="V290" s="45">
        <f>IF(M290="","",M290/$K290)</f>
        <v/>
      </c>
      <c r="W290" s="45">
        <f>IF(N290="","",N290/$K290)</f>
        <v/>
      </c>
      <c r="X290" s="45">
        <f>IF(O290="","",O290/$K290)</f>
        <v/>
      </c>
      <c r="Y290" s="45">
        <f>IF(P290="","",P290/$K290)</f>
        <v/>
      </c>
      <c r="Z290" s="45">
        <f>IF(Q290="","",Q290/$K290)</f>
        <v/>
      </c>
      <c r="AA290" s="45">
        <f>IF(R290="","",R290/$K290)</f>
        <v/>
      </c>
      <c r="AB290" s="45">
        <f>IF(S290="","",S290/$K290)</f>
        <v/>
      </c>
      <c r="AC290" s="45">
        <f>IF(T290="","",T290/$K290)</f>
        <v/>
      </c>
      <c r="AD290" s="45">
        <f>IF(U290="","",U290/$K290)</f>
        <v/>
      </c>
    </row>
    <row r="291">
      <c r="A291" s="8" t="inlineStr">
        <is>
          <t>NIGER BISCUITS</t>
        </is>
      </c>
      <c r="B291" s="8" t="inlineStr">
        <is>
          <t>Haulage</t>
        </is>
      </c>
      <c r="C291" s="8" t="inlineStr">
        <is>
          <t>Lagos</t>
        </is>
      </c>
      <c r="D291" s="8" t="inlineStr">
        <is>
          <t>Anambra</t>
        </is>
      </c>
      <c r="E291" s="8" t="inlineStr">
        <is>
          <t>AWKA&gt;LAGOS</t>
        </is>
      </c>
      <c r="F291" s="8" t="inlineStr">
        <is>
          <t>Exact</t>
        </is>
      </c>
      <c r="G291" s="44">
        <f>IFERROR(INDEX('Turnaround Table'!$C$5:$C$231,MATCH(E291,'Turnaround Table'!$D$5:$D$231,0)),"")</f>
        <v/>
      </c>
      <c r="H291" s="43" t="n"/>
      <c r="I291" s="44">
        <f>IF(H291&lt;&gt;"",H291,IF(G291&lt;&gt;"",G291,'Truck Requirement'!$B$5))</f>
        <v/>
      </c>
      <c r="J291" s="44">
        <f>2*I291</f>
        <v/>
      </c>
      <c r="K291" s="8">
        <f>MAX(1,INT('Truck Requirement'!$B$4/J291))</f>
        <v/>
      </c>
      <c r="L291" s="8">
        <f>SUM(M291:U291)</f>
        <v/>
      </c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>
        <v>1</v>
      </c>
      <c r="V291" s="45">
        <f>IF(M291="","",M291/$K291)</f>
        <v/>
      </c>
      <c r="W291" s="45">
        <f>IF(N291="","",N291/$K291)</f>
        <v/>
      </c>
      <c r="X291" s="45">
        <f>IF(O291="","",O291/$K291)</f>
        <v/>
      </c>
      <c r="Y291" s="45">
        <f>IF(P291="","",P291/$K291)</f>
        <v/>
      </c>
      <c r="Z291" s="45">
        <f>IF(Q291="","",Q291/$K291)</f>
        <v/>
      </c>
      <c r="AA291" s="45">
        <f>IF(R291="","",R291/$K291)</f>
        <v/>
      </c>
      <c r="AB291" s="45">
        <f>IF(S291="","",S291/$K291)</f>
        <v/>
      </c>
      <c r="AC291" s="45">
        <f>IF(T291="","",T291/$K291)</f>
        <v/>
      </c>
      <c r="AD291" s="45">
        <f>IF(U291="","",U291/$K291)</f>
        <v/>
      </c>
    </row>
    <row r="292">
      <c r="A292" s="8" t="inlineStr">
        <is>
          <t>NIGER BISCUITS</t>
        </is>
      </c>
      <c r="B292" s="8" t="inlineStr">
        <is>
          <t>Haulage</t>
        </is>
      </c>
      <c r="C292" s="8" t="inlineStr">
        <is>
          <t>Lagos</t>
        </is>
      </c>
      <c r="D292" s="8" t="inlineStr">
        <is>
          <t>Maiduguri</t>
        </is>
      </c>
      <c r="E292" s="8" t="inlineStr">
        <is>
          <t>MAIDUGURI&gt;LAGOS</t>
        </is>
      </c>
      <c r="F292" s="8" t="inlineStr">
        <is>
          <t>Exact</t>
        </is>
      </c>
      <c r="G292" s="44">
        <f>IFERROR(INDEX('Turnaround Table'!$C$5:$C$231,MATCH(E292,'Turnaround Table'!$D$5:$D$231,0)),"")</f>
        <v/>
      </c>
      <c r="H292" s="43" t="n"/>
      <c r="I292" s="44">
        <f>IF(H292&lt;&gt;"",H292,IF(G292&lt;&gt;"",G292,'Truck Requirement'!$B$5))</f>
        <v/>
      </c>
      <c r="J292" s="44">
        <f>2*I292</f>
        <v/>
      </c>
      <c r="K292" s="8">
        <f>MAX(1,INT('Truck Requirement'!$B$4/J292))</f>
        <v/>
      </c>
      <c r="L292" s="8">
        <f>SUM(M292:U292)</f>
        <v/>
      </c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>
        <v>1</v>
      </c>
      <c r="V292" s="45">
        <f>IF(M292="","",M292/$K292)</f>
        <v/>
      </c>
      <c r="W292" s="45">
        <f>IF(N292="","",N292/$K292)</f>
        <v/>
      </c>
      <c r="X292" s="45">
        <f>IF(O292="","",O292/$K292)</f>
        <v/>
      </c>
      <c r="Y292" s="45">
        <f>IF(P292="","",P292/$K292)</f>
        <v/>
      </c>
      <c r="Z292" s="45">
        <f>IF(Q292="","",Q292/$K292)</f>
        <v/>
      </c>
      <c r="AA292" s="45">
        <f>IF(R292="","",R292/$K292)</f>
        <v/>
      </c>
      <c r="AB292" s="45">
        <f>IF(S292="","",S292/$K292)</f>
        <v/>
      </c>
      <c r="AC292" s="45">
        <f>IF(T292="","",T292/$K292)</f>
        <v/>
      </c>
      <c r="AD292" s="45">
        <f>IF(U292="","",U292/$K292)</f>
        <v/>
      </c>
    </row>
    <row r="293">
      <c r="A293" s="8" t="inlineStr">
        <is>
          <t>NIGER BISCUITS</t>
        </is>
      </c>
      <c r="B293" s="8" t="inlineStr">
        <is>
          <t>Haulage</t>
        </is>
      </c>
      <c r="C293" s="8" t="inlineStr">
        <is>
          <t>Lagos</t>
        </is>
      </c>
      <c r="D293" s="8" t="inlineStr">
        <is>
          <t>Warri</t>
        </is>
      </c>
      <c r="E293" s="8" t="inlineStr">
        <is>
          <t>WARRI&gt;LAGOS</t>
        </is>
      </c>
      <c r="F293" s="8" t="inlineStr">
        <is>
          <t>Exact</t>
        </is>
      </c>
      <c r="G293" s="44">
        <f>IFERROR(INDEX('Turnaround Table'!$C$5:$C$231,MATCH(E293,'Turnaround Table'!$D$5:$D$231,0)),"")</f>
        <v/>
      </c>
      <c r="H293" s="43" t="n"/>
      <c r="I293" s="44">
        <f>IF(H293&lt;&gt;"",H293,IF(G293&lt;&gt;"",G293,'Truck Requirement'!$B$5))</f>
        <v/>
      </c>
      <c r="J293" s="44">
        <f>2*I293</f>
        <v/>
      </c>
      <c r="K293" s="8">
        <f>MAX(1,INT('Truck Requirement'!$B$4/J293))</f>
        <v/>
      </c>
      <c r="L293" s="8">
        <f>SUM(M293:U293)</f>
        <v/>
      </c>
      <c r="M293" s="8" t="n"/>
      <c r="N293" s="8" t="n"/>
      <c r="O293" s="8" t="n"/>
      <c r="P293" s="8" t="n"/>
      <c r="Q293" s="8" t="n"/>
      <c r="R293" s="8" t="n"/>
      <c r="S293" s="8" t="n"/>
      <c r="T293" s="8" t="n">
        <v>1</v>
      </c>
      <c r="U293" s="8" t="n"/>
      <c r="V293" s="45">
        <f>IF(M293="","",M293/$K293)</f>
        <v/>
      </c>
      <c r="W293" s="45">
        <f>IF(N293="","",N293/$K293)</f>
        <v/>
      </c>
      <c r="X293" s="45">
        <f>IF(O293="","",O293/$K293)</f>
        <v/>
      </c>
      <c r="Y293" s="45">
        <f>IF(P293="","",P293/$K293)</f>
        <v/>
      </c>
      <c r="Z293" s="45">
        <f>IF(Q293="","",Q293/$K293)</f>
        <v/>
      </c>
      <c r="AA293" s="45">
        <f>IF(R293="","",R293/$K293)</f>
        <v/>
      </c>
      <c r="AB293" s="45">
        <f>IF(S293="","",S293/$K293)</f>
        <v/>
      </c>
      <c r="AC293" s="45">
        <f>IF(T293="","",T293/$K293)</f>
        <v/>
      </c>
      <c r="AD293" s="45">
        <f>IF(U293="","",U293/$K293)</f>
        <v/>
      </c>
    </row>
    <row r="294">
      <c r="A294" s="8" t="inlineStr">
        <is>
          <t>ORCA DECO LIMITED</t>
        </is>
      </c>
      <c r="B294" s="8" t="inlineStr">
        <is>
          <t>Haulage</t>
        </is>
      </c>
      <c r="C294" s="8" t="inlineStr">
        <is>
          <t>Lagos</t>
        </is>
      </c>
      <c r="D294" s="8" t="inlineStr">
        <is>
          <t>Vi</t>
        </is>
      </c>
      <c r="E294" s="8" t="inlineStr">
        <is>
          <t>VI-LEKKI-AJAH&gt;LAGOS</t>
        </is>
      </c>
      <c r="F294" s="8" t="inlineStr">
        <is>
          <t>Exact</t>
        </is>
      </c>
      <c r="G294" s="44">
        <f>IFERROR(INDEX('Turnaround Table'!$C$5:$C$231,MATCH(E294,'Turnaround Table'!$D$5:$D$231,0)),"")</f>
        <v/>
      </c>
      <c r="H294" s="43" t="n"/>
      <c r="I294" s="44">
        <f>IF(H294&lt;&gt;"",H294,IF(G294&lt;&gt;"",G294,'Truck Requirement'!$B$5))</f>
        <v/>
      </c>
      <c r="J294" s="44">
        <f>2*I294</f>
        <v/>
      </c>
      <c r="K294" s="8">
        <f>MAX(1,INT('Truck Requirement'!$B$4/J294))</f>
        <v/>
      </c>
      <c r="L294" s="8">
        <f>SUM(M294:U294)</f>
        <v/>
      </c>
      <c r="M294" s="8" t="n">
        <v>22</v>
      </c>
      <c r="N294" s="8" t="n">
        <v>34</v>
      </c>
      <c r="O294" s="8" t="n">
        <v>62</v>
      </c>
      <c r="P294" s="8" t="n">
        <v>73</v>
      </c>
      <c r="Q294" s="8" t="n">
        <v>64</v>
      </c>
      <c r="R294" s="8" t="n">
        <v>18</v>
      </c>
      <c r="S294" s="8" t="n"/>
      <c r="T294" s="8" t="n">
        <v>2</v>
      </c>
      <c r="U294" s="8" t="n">
        <v>1</v>
      </c>
      <c r="V294" s="45">
        <f>IF(M294="","",M294/$K294)</f>
        <v/>
      </c>
      <c r="W294" s="45">
        <f>IF(N294="","",N294/$K294)</f>
        <v/>
      </c>
      <c r="X294" s="45">
        <f>IF(O294="","",O294/$K294)</f>
        <v/>
      </c>
      <c r="Y294" s="45">
        <f>IF(P294="","",P294/$K294)</f>
        <v/>
      </c>
      <c r="Z294" s="45">
        <f>IF(Q294="","",Q294/$K294)</f>
        <v/>
      </c>
      <c r="AA294" s="45">
        <f>IF(R294="","",R294/$K294)</f>
        <v/>
      </c>
      <c r="AB294" s="45">
        <f>IF(S294="","",S294/$K294)</f>
        <v/>
      </c>
      <c r="AC294" s="45">
        <f>IF(T294="","",T294/$K294)</f>
        <v/>
      </c>
      <c r="AD294" s="45">
        <f>IF(U294="","",U294/$K294)</f>
        <v/>
      </c>
    </row>
    <row r="295">
      <c r="A295" s="8" t="inlineStr">
        <is>
          <t>ORCA DECO LIMITED</t>
        </is>
      </c>
      <c r="B295" s="8" t="inlineStr">
        <is>
          <t>Haulage</t>
        </is>
      </c>
      <c r="C295" s="8" t="inlineStr">
        <is>
          <t>Lagos</t>
        </is>
      </c>
      <c r="D295" s="8" t="inlineStr">
        <is>
          <t>Asaba</t>
        </is>
      </c>
      <c r="E295" s="8" t="inlineStr">
        <is>
          <t>ASABA&gt;LAGOS</t>
        </is>
      </c>
      <c r="F295" s="8" t="inlineStr">
        <is>
          <t>Exact</t>
        </is>
      </c>
      <c r="G295" s="44">
        <f>IFERROR(INDEX('Turnaround Table'!$C$5:$C$231,MATCH(E295,'Turnaround Table'!$D$5:$D$231,0)),"")</f>
        <v/>
      </c>
      <c r="H295" s="43" t="n"/>
      <c r="I295" s="44">
        <f>IF(H295&lt;&gt;"",H295,IF(G295&lt;&gt;"",G295,'Truck Requirement'!$B$5))</f>
        <v/>
      </c>
      <c r="J295" s="44">
        <f>2*I295</f>
        <v/>
      </c>
      <c r="K295" s="8">
        <f>MAX(1,INT('Truck Requirement'!$B$4/J295))</f>
        <v/>
      </c>
      <c r="L295" s="8">
        <f>SUM(M295:U295)</f>
        <v/>
      </c>
      <c r="M295" s="8" t="n"/>
      <c r="N295" s="8" t="n"/>
      <c r="O295" s="8" t="n"/>
      <c r="P295" s="8" t="n">
        <v>3</v>
      </c>
      <c r="Q295" s="8" t="n"/>
      <c r="R295" s="8" t="n"/>
      <c r="S295" s="8" t="n"/>
      <c r="T295" s="8" t="n"/>
      <c r="U295" s="8" t="n"/>
      <c r="V295" s="45">
        <f>IF(M295="","",M295/$K295)</f>
        <v/>
      </c>
      <c r="W295" s="45">
        <f>IF(N295="","",N295/$K295)</f>
        <v/>
      </c>
      <c r="X295" s="45">
        <f>IF(O295="","",O295/$K295)</f>
        <v/>
      </c>
      <c r="Y295" s="45">
        <f>IF(P295="","",P295/$K295)</f>
        <v/>
      </c>
      <c r="Z295" s="45">
        <f>IF(Q295="","",Q295/$K295)</f>
        <v/>
      </c>
      <c r="AA295" s="45">
        <f>IF(R295="","",R295/$K295)</f>
        <v/>
      </c>
      <c r="AB295" s="45">
        <f>IF(S295="","",S295/$K295)</f>
        <v/>
      </c>
      <c r="AC295" s="45">
        <f>IF(T295="","",T295/$K295)</f>
        <v/>
      </c>
      <c r="AD295" s="45">
        <f>IF(U295="","",U295/$K295)</f>
        <v/>
      </c>
    </row>
    <row r="296">
      <c r="A296" s="8" t="inlineStr">
        <is>
          <t>ORCA DECO LIMITED</t>
        </is>
      </c>
      <c r="B296" s="8" t="inlineStr">
        <is>
          <t>Haulage</t>
        </is>
      </c>
      <c r="C296" s="8" t="inlineStr">
        <is>
          <t>Lagos</t>
        </is>
      </c>
      <c r="D296" s="8" t="inlineStr">
        <is>
          <t>Banana Island</t>
        </is>
      </c>
      <c r="E296" s="8" t="inlineStr">
        <is>
          <t>VI-LEKKI-AJAH&gt;LAGOS</t>
        </is>
      </c>
      <c r="F296" s="8" t="inlineStr">
        <is>
          <t>Exact</t>
        </is>
      </c>
      <c r="G296" s="44">
        <f>IFERROR(INDEX('Turnaround Table'!$C$5:$C$231,MATCH(E296,'Turnaround Table'!$D$5:$D$231,0)),"")</f>
        <v/>
      </c>
      <c r="H296" s="43" t="n"/>
      <c r="I296" s="44">
        <f>IF(H296&lt;&gt;"",H296,IF(G296&lt;&gt;"",G296,'Truck Requirement'!$B$5))</f>
        <v/>
      </c>
      <c r="J296" s="44">
        <f>2*I296</f>
        <v/>
      </c>
      <c r="K296" s="8">
        <f>MAX(1,INT('Truck Requirement'!$B$4/J296))</f>
        <v/>
      </c>
      <c r="L296" s="8">
        <f>SUM(M296:U296)</f>
        <v/>
      </c>
      <c r="M296" s="8" t="n"/>
      <c r="N296" s="8" t="n"/>
      <c r="O296" s="8" t="n"/>
      <c r="P296" s="8" t="n"/>
      <c r="Q296" s="8" t="n"/>
      <c r="R296" s="8" t="n">
        <v>1</v>
      </c>
      <c r="S296" s="8" t="n"/>
      <c r="T296" s="8" t="n">
        <v>1</v>
      </c>
      <c r="U296" s="8" t="n"/>
      <c r="V296" s="45">
        <f>IF(M296="","",M296/$K296)</f>
        <v/>
      </c>
      <c r="W296" s="45">
        <f>IF(N296="","",N296/$K296)</f>
        <v/>
      </c>
      <c r="X296" s="45">
        <f>IF(O296="","",O296/$K296)</f>
        <v/>
      </c>
      <c r="Y296" s="45">
        <f>IF(P296="","",P296/$K296)</f>
        <v/>
      </c>
      <c r="Z296" s="45">
        <f>IF(Q296="","",Q296/$K296)</f>
        <v/>
      </c>
      <c r="AA296" s="45">
        <f>IF(R296="","",R296/$K296)</f>
        <v/>
      </c>
      <c r="AB296" s="45">
        <f>IF(S296="","",S296/$K296)</f>
        <v/>
      </c>
      <c r="AC296" s="45">
        <f>IF(T296="","",T296/$K296)</f>
        <v/>
      </c>
      <c r="AD296" s="45">
        <f>IF(U296="","",U296/$K296)</f>
        <v/>
      </c>
    </row>
    <row r="297">
      <c r="A297" s="8" t="inlineStr">
        <is>
          <t>ORCA DECO LIMITED</t>
        </is>
      </c>
      <c r="B297" s="8" t="inlineStr">
        <is>
          <t>Haulage</t>
        </is>
      </c>
      <c r="C297" s="8" t="inlineStr">
        <is>
          <t>Lagos</t>
        </is>
      </c>
      <c r="D297" s="8" t="inlineStr">
        <is>
          <t>Abuja</t>
        </is>
      </c>
      <c r="E297" s="8" t="inlineStr">
        <is>
          <t>ABUJA&gt;LAGOS</t>
        </is>
      </c>
      <c r="F297" s="8" t="inlineStr">
        <is>
          <t>Exact</t>
        </is>
      </c>
      <c r="G297" s="44">
        <f>IFERROR(INDEX('Turnaround Table'!$C$5:$C$231,MATCH(E297,'Turnaround Table'!$D$5:$D$231,0)),"")</f>
        <v/>
      </c>
      <c r="H297" s="43" t="n"/>
      <c r="I297" s="44">
        <f>IF(H297&lt;&gt;"",H297,IF(G297&lt;&gt;"",G297,'Truck Requirement'!$B$5))</f>
        <v/>
      </c>
      <c r="J297" s="44">
        <f>2*I297</f>
        <v/>
      </c>
      <c r="K297" s="8">
        <f>MAX(1,INT('Truck Requirement'!$B$4/J297))</f>
        <v/>
      </c>
      <c r="L297" s="8">
        <f>SUM(M297:U297)</f>
        <v/>
      </c>
      <c r="M297" s="8" t="n"/>
      <c r="N297" s="8" t="n"/>
      <c r="O297" s="8" t="n"/>
      <c r="P297" s="8" t="n"/>
      <c r="Q297" s="8" t="n">
        <v>1</v>
      </c>
      <c r="R297" s="8" t="n"/>
      <c r="S297" s="8" t="n"/>
      <c r="T297" s="8" t="n"/>
      <c r="U297" s="8" t="n"/>
      <c r="V297" s="45">
        <f>IF(M297="","",M297/$K297)</f>
        <v/>
      </c>
      <c r="W297" s="45">
        <f>IF(N297="","",N297/$K297)</f>
        <v/>
      </c>
      <c r="X297" s="45">
        <f>IF(O297="","",O297/$K297)</f>
        <v/>
      </c>
      <c r="Y297" s="45">
        <f>IF(P297="","",P297/$K297)</f>
        <v/>
      </c>
      <c r="Z297" s="45">
        <f>IF(Q297="","",Q297/$K297)</f>
        <v/>
      </c>
      <c r="AA297" s="45">
        <f>IF(R297="","",R297/$K297)</f>
        <v/>
      </c>
      <c r="AB297" s="45">
        <f>IF(S297="","",S297/$K297)</f>
        <v/>
      </c>
      <c r="AC297" s="45">
        <f>IF(T297="","",T297/$K297)</f>
        <v/>
      </c>
      <c r="AD297" s="45">
        <f>IF(U297="","",U297/$K297)</f>
        <v/>
      </c>
    </row>
    <row r="298">
      <c r="A298" s="8" t="inlineStr">
        <is>
          <t>ORCA DECO LIMITED</t>
        </is>
      </c>
      <c r="B298" s="8" t="inlineStr">
        <is>
          <t>Haulage</t>
        </is>
      </c>
      <c r="C298" s="8" t="inlineStr">
        <is>
          <t>Lagos</t>
        </is>
      </c>
      <c r="D298" s="8" t="inlineStr">
        <is>
          <t>Ajao Estate</t>
        </is>
      </c>
      <c r="E298" s="8" t="inlineStr">
        <is>
          <t>AJAO ESTATE&gt;LAGOS</t>
        </is>
      </c>
      <c r="F298" s="8" t="inlineStr">
        <is>
          <t>Exact</t>
        </is>
      </c>
      <c r="G298" s="44">
        <f>IFERROR(INDEX('Turnaround Table'!$C$5:$C$231,MATCH(E298,'Turnaround Table'!$D$5:$D$231,0)),"")</f>
        <v/>
      </c>
      <c r="H298" s="43" t="n"/>
      <c r="I298" s="44">
        <f>IF(H298&lt;&gt;"",H298,IF(G298&lt;&gt;"",G298,'Truck Requirement'!$B$5))</f>
        <v/>
      </c>
      <c r="J298" s="44">
        <f>2*I298</f>
        <v/>
      </c>
      <c r="K298" s="8">
        <f>MAX(1,INT('Truck Requirement'!$B$4/J298))</f>
        <v/>
      </c>
      <c r="L298" s="8">
        <f>SUM(M298:U298)</f>
        <v/>
      </c>
      <c r="M298" s="8" t="n"/>
      <c r="N298" s="8" t="n"/>
      <c r="O298" s="8" t="n"/>
      <c r="P298" s="8" t="n"/>
      <c r="Q298" s="8" t="n"/>
      <c r="R298" s="8" t="n"/>
      <c r="S298" s="8" t="n"/>
      <c r="T298" s="8" t="n">
        <v>1</v>
      </c>
      <c r="U298" s="8" t="n"/>
      <c r="V298" s="45">
        <f>IF(M298="","",M298/$K298)</f>
        <v/>
      </c>
      <c r="W298" s="45">
        <f>IF(N298="","",N298/$K298)</f>
        <v/>
      </c>
      <c r="X298" s="45">
        <f>IF(O298="","",O298/$K298)</f>
        <v/>
      </c>
      <c r="Y298" s="45">
        <f>IF(P298="","",P298/$K298)</f>
        <v/>
      </c>
      <c r="Z298" s="45">
        <f>IF(Q298="","",Q298/$K298)</f>
        <v/>
      </c>
      <c r="AA298" s="45">
        <f>IF(R298="","",R298/$K298)</f>
        <v/>
      </c>
      <c r="AB298" s="45">
        <f>IF(S298="","",S298/$K298)</f>
        <v/>
      </c>
      <c r="AC298" s="45">
        <f>IF(T298="","",T298/$K298)</f>
        <v/>
      </c>
      <c r="AD298" s="45">
        <f>IF(U298="","",U298/$K298)</f>
        <v/>
      </c>
    </row>
    <row r="299">
      <c r="A299" s="8" t="inlineStr">
        <is>
          <t>ORCA DECO LIMITED</t>
        </is>
      </c>
      <c r="B299" s="8" t="inlineStr">
        <is>
          <t>Haulage</t>
        </is>
      </c>
      <c r="C299" s="8" t="inlineStr">
        <is>
          <t>Lagos</t>
        </is>
      </c>
      <c r="D299" s="8" t="inlineStr">
        <is>
          <t>Ijebu Ode</t>
        </is>
      </c>
      <c r="E299" s="8" t="inlineStr">
        <is>
          <t>IJEBU-ODE&gt;LAGOS</t>
        </is>
      </c>
      <c r="F299" s="8" t="inlineStr">
        <is>
          <t>Exact</t>
        </is>
      </c>
      <c r="G299" s="44">
        <f>IFERROR(INDEX('Turnaround Table'!$C$5:$C$231,MATCH(E299,'Turnaround Table'!$D$5:$D$231,0)),"")</f>
        <v/>
      </c>
      <c r="H299" s="43" t="n"/>
      <c r="I299" s="44">
        <f>IF(H299&lt;&gt;"",H299,IF(G299&lt;&gt;"",G299,'Truck Requirement'!$B$5))</f>
        <v/>
      </c>
      <c r="J299" s="44">
        <f>2*I299</f>
        <v/>
      </c>
      <c r="K299" s="8">
        <f>MAX(1,INT('Truck Requirement'!$B$4/J299))</f>
        <v/>
      </c>
      <c r="L299" s="8">
        <f>SUM(M299:U299)</f>
        <v/>
      </c>
      <c r="M299" s="8" t="n"/>
      <c r="N299" s="8" t="n"/>
      <c r="O299" s="8" t="n"/>
      <c r="P299" s="8" t="n">
        <v>1</v>
      </c>
      <c r="Q299" s="8" t="n"/>
      <c r="R299" s="8" t="n"/>
      <c r="S299" s="8" t="n"/>
      <c r="T299" s="8" t="n"/>
      <c r="U299" s="8" t="n"/>
      <c r="V299" s="45">
        <f>IF(M299="","",M299/$K299)</f>
        <v/>
      </c>
      <c r="W299" s="45">
        <f>IF(N299="","",N299/$K299)</f>
        <v/>
      </c>
      <c r="X299" s="45">
        <f>IF(O299="","",O299/$K299)</f>
        <v/>
      </c>
      <c r="Y299" s="45">
        <f>IF(P299="","",P299/$K299)</f>
        <v/>
      </c>
      <c r="Z299" s="45">
        <f>IF(Q299="","",Q299/$K299)</f>
        <v/>
      </c>
      <c r="AA299" s="45">
        <f>IF(R299="","",R299/$K299)</f>
        <v/>
      </c>
      <c r="AB299" s="45">
        <f>IF(S299="","",S299/$K299)</f>
        <v/>
      </c>
      <c r="AC299" s="45">
        <f>IF(T299="","",T299/$K299)</f>
        <v/>
      </c>
      <c r="AD299" s="45">
        <f>IF(U299="","",U299/$K299)</f>
        <v/>
      </c>
    </row>
    <row r="300">
      <c r="A300" s="8" t="inlineStr">
        <is>
          <t>ORCA DECO LIMITED</t>
        </is>
      </c>
      <c r="B300" s="8" t="inlineStr">
        <is>
          <t>Haulage</t>
        </is>
      </c>
      <c r="C300" s="8" t="inlineStr">
        <is>
          <t>Lagos</t>
        </is>
      </c>
      <c r="D300" s="8" t="inlineStr">
        <is>
          <t>Ikeja</t>
        </is>
      </c>
      <c r="E300" s="8" t="inlineStr">
        <is>
          <t>IKEJA&gt;LAGOS</t>
        </is>
      </c>
      <c r="F300" s="8" t="inlineStr">
        <is>
          <t>Exact</t>
        </is>
      </c>
      <c r="G300" s="44">
        <f>IFERROR(INDEX('Turnaround Table'!$C$5:$C$231,MATCH(E300,'Turnaround Table'!$D$5:$D$231,0)),"")</f>
        <v/>
      </c>
      <c r="H300" s="43" t="n"/>
      <c r="I300" s="44">
        <f>IF(H300&lt;&gt;"",H300,IF(G300&lt;&gt;"",G300,'Truck Requirement'!$B$5))</f>
        <v/>
      </c>
      <c r="J300" s="44">
        <f>2*I300</f>
        <v/>
      </c>
      <c r="K300" s="8">
        <f>MAX(1,INT('Truck Requirement'!$B$4/J300))</f>
        <v/>
      </c>
      <c r="L300" s="8">
        <f>SUM(M300:U300)</f>
        <v/>
      </c>
      <c r="M300" s="8" t="n"/>
      <c r="N300" s="8" t="n"/>
      <c r="O300" s="8" t="n"/>
      <c r="P300" s="8" t="n"/>
      <c r="Q300" s="8" t="n"/>
      <c r="R300" s="8" t="n"/>
      <c r="S300" s="8" t="n">
        <v>1</v>
      </c>
      <c r="T300" s="8" t="n"/>
      <c r="U300" s="8" t="n"/>
      <c r="V300" s="45">
        <f>IF(M300="","",M300/$K300)</f>
        <v/>
      </c>
      <c r="W300" s="45">
        <f>IF(N300="","",N300/$K300)</f>
        <v/>
      </c>
      <c r="X300" s="45">
        <f>IF(O300="","",O300/$K300)</f>
        <v/>
      </c>
      <c r="Y300" s="45">
        <f>IF(P300="","",P300/$K300)</f>
        <v/>
      </c>
      <c r="Z300" s="45">
        <f>IF(Q300="","",Q300/$K300)</f>
        <v/>
      </c>
      <c r="AA300" s="45">
        <f>IF(R300="","",R300/$K300)</f>
        <v/>
      </c>
      <c r="AB300" s="45">
        <f>IF(S300="","",S300/$K300)</f>
        <v/>
      </c>
      <c r="AC300" s="45">
        <f>IF(T300="","",T300/$K300)</f>
        <v/>
      </c>
      <c r="AD300" s="45">
        <f>IF(U300="","",U300/$K300)</f>
        <v/>
      </c>
    </row>
    <row r="301">
      <c r="A301" s="8" t="inlineStr">
        <is>
          <t>ORCA DECO LIMITED</t>
        </is>
      </c>
      <c r="B301" s="8" t="inlineStr">
        <is>
          <t>Haulage</t>
        </is>
      </c>
      <c r="C301" s="8" t="inlineStr">
        <is>
          <t>Lagos</t>
        </is>
      </c>
      <c r="D301" s="8" t="inlineStr">
        <is>
          <t>Ikoyi</t>
        </is>
      </c>
      <c r="E301" s="8" t="inlineStr">
        <is>
          <t>VI-LEKKI-AJAH&gt;LAGOS</t>
        </is>
      </c>
      <c r="F301" s="8" t="inlineStr">
        <is>
          <t>Exact</t>
        </is>
      </c>
      <c r="G301" s="44">
        <f>IFERROR(INDEX('Turnaround Table'!$C$5:$C$231,MATCH(E301,'Turnaround Table'!$D$5:$D$231,0)),"")</f>
        <v/>
      </c>
      <c r="H301" s="43" t="n"/>
      <c r="I301" s="44">
        <f>IF(H301&lt;&gt;"",H301,IF(G301&lt;&gt;"",G301,'Truck Requirement'!$B$5))</f>
        <v/>
      </c>
      <c r="J301" s="44">
        <f>2*I301</f>
        <v/>
      </c>
      <c r="K301" s="8">
        <f>MAX(1,INT('Truck Requirement'!$B$4/J301))</f>
        <v/>
      </c>
      <c r="L301" s="8">
        <f>SUM(M301:U301)</f>
        <v/>
      </c>
      <c r="M301" s="8" t="n"/>
      <c r="N301" s="8" t="n"/>
      <c r="O301" s="8" t="n"/>
      <c r="P301" s="8" t="n">
        <v>1</v>
      </c>
      <c r="Q301" s="8" t="n"/>
      <c r="R301" s="8" t="n"/>
      <c r="S301" s="8" t="n"/>
      <c r="T301" s="8" t="n"/>
      <c r="U301" s="8" t="n"/>
      <c r="V301" s="45">
        <f>IF(M301="","",M301/$K301)</f>
        <v/>
      </c>
      <c r="W301" s="45">
        <f>IF(N301="","",N301/$K301)</f>
        <v/>
      </c>
      <c r="X301" s="45">
        <f>IF(O301="","",O301/$K301)</f>
        <v/>
      </c>
      <c r="Y301" s="45">
        <f>IF(P301="","",P301/$K301)</f>
        <v/>
      </c>
      <c r="Z301" s="45">
        <f>IF(Q301="","",Q301/$K301)</f>
        <v/>
      </c>
      <c r="AA301" s="45">
        <f>IF(R301="","",R301/$K301)</f>
        <v/>
      </c>
      <c r="AB301" s="45">
        <f>IF(S301="","",S301/$K301)</f>
        <v/>
      </c>
      <c r="AC301" s="45">
        <f>IF(T301="","",T301/$K301)</f>
        <v/>
      </c>
      <c r="AD301" s="45">
        <f>IF(U301="","",U301/$K301)</f>
        <v/>
      </c>
    </row>
    <row r="302">
      <c r="A302" s="8" t="inlineStr">
        <is>
          <t>ORCA DECO LIMITED</t>
        </is>
      </c>
      <c r="B302" s="8" t="inlineStr">
        <is>
          <t>Haulage</t>
        </is>
      </c>
      <c r="C302" s="8" t="inlineStr">
        <is>
          <t>Lagos</t>
        </is>
      </c>
      <c r="D302" s="8" t="inlineStr">
        <is>
          <t>Kirikiri</t>
        </is>
      </c>
      <c r="E302" s="8" t="inlineStr">
        <is>
          <t>APAPA&gt;LAGOS</t>
        </is>
      </c>
      <c r="F302" s="8" t="inlineStr">
        <is>
          <t>Exact</t>
        </is>
      </c>
      <c r="G302" s="44">
        <f>IFERROR(INDEX('Turnaround Table'!$C$5:$C$231,MATCH(E302,'Turnaround Table'!$D$5:$D$231,0)),"")</f>
        <v/>
      </c>
      <c r="H302" s="43" t="n"/>
      <c r="I302" s="44">
        <f>IF(H302&lt;&gt;"",H302,IF(G302&lt;&gt;"",G302,'Truck Requirement'!$B$5))</f>
        <v/>
      </c>
      <c r="J302" s="44">
        <f>2*I302</f>
        <v/>
      </c>
      <c r="K302" s="8">
        <f>MAX(1,INT('Truck Requirement'!$B$4/J302))</f>
        <v/>
      </c>
      <c r="L302" s="8">
        <f>SUM(M302:U302)</f>
        <v/>
      </c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>
        <v>1</v>
      </c>
      <c r="V302" s="45">
        <f>IF(M302="","",M302/$K302)</f>
        <v/>
      </c>
      <c r="W302" s="45">
        <f>IF(N302="","",N302/$K302)</f>
        <v/>
      </c>
      <c r="X302" s="45">
        <f>IF(O302="","",O302/$K302)</f>
        <v/>
      </c>
      <c r="Y302" s="45">
        <f>IF(P302="","",P302/$K302)</f>
        <v/>
      </c>
      <c r="Z302" s="45">
        <f>IF(Q302="","",Q302/$K302)</f>
        <v/>
      </c>
      <c r="AA302" s="45">
        <f>IF(R302="","",R302/$K302)</f>
        <v/>
      </c>
      <c r="AB302" s="45">
        <f>IF(S302="","",S302/$K302)</f>
        <v/>
      </c>
      <c r="AC302" s="45">
        <f>IF(T302="","",T302/$K302)</f>
        <v/>
      </c>
      <c r="AD302" s="45">
        <f>IF(U302="","",U302/$K302)</f>
        <v/>
      </c>
    </row>
    <row r="303">
      <c r="A303" s="8" t="inlineStr">
        <is>
          <t>PRISM STEEL</t>
        </is>
      </c>
      <c r="B303" s="8" t="inlineStr">
        <is>
          <t>Haulage</t>
        </is>
      </c>
      <c r="C303" s="8" t="inlineStr">
        <is>
          <t>Lagos</t>
        </is>
      </c>
      <c r="D303" s="8" t="inlineStr">
        <is>
          <t>Osogbo</t>
        </is>
      </c>
      <c r="E303" s="8" t="inlineStr">
        <is>
          <t>OSOGBO&gt;LAGOS</t>
        </is>
      </c>
      <c r="F303" s="8" t="inlineStr">
        <is>
          <t>Exact</t>
        </is>
      </c>
      <c r="G303" s="44">
        <f>IFERROR(INDEX('Turnaround Table'!$C$5:$C$231,MATCH(E303,'Turnaround Table'!$D$5:$D$231,0)),"")</f>
        <v/>
      </c>
      <c r="H303" s="43" t="n"/>
      <c r="I303" s="44">
        <f>IF(H303&lt;&gt;"",H303,IF(G303&lt;&gt;"",G303,'Truck Requirement'!$B$5))</f>
        <v/>
      </c>
      <c r="J303" s="44">
        <f>2*I303</f>
        <v/>
      </c>
      <c r="K303" s="8">
        <f>MAX(1,INT('Truck Requirement'!$B$4/J303))</f>
        <v/>
      </c>
      <c r="L303" s="8">
        <f>SUM(M303:U303)</f>
        <v/>
      </c>
      <c r="M303" s="8" t="n"/>
      <c r="N303" s="8" t="n"/>
      <c r="O303" s="8" t="n"/>
      <c r="P303" s="8" t="n"/>
      <c r="Q303" s="8" t="n"/>
      <c r="R303" s="8" t="n">
        <v>2</v>
      </c>
      <c r="S303" s="8" t="n"/>
      <c r="T303" s="8" t="n"/>
      <c r="U303" s="8" t="n"/>
      <c r="V303" s="45">
        <f>IF(M303="","",M303/$K303)</f>
        <v/>
      </c>
      <c r="W303" s="45">
        <f>IF(N303="","",N303/$K303)</f>
        <v/>
      </c>
      <c r="X303" s="45">
        <f>IF(O303="","",O303/$K303)</f>
        <v/>
      </c>
      <c r="Y303" s="45">
        <f>IF(P303="","",P303/$K303)</f>
        <v/>
      </c>
      <c r="Z303" s="45">
        <f>IF(Q303="","",Q303/$K303)</f>
        <v/>
      </c>
      <c r="AA303" s="45">
        <f>IF(R303="","",R303/$K303)</f>
        <v/>
      </c>
      <c r="AB303" s="45">
        <f>IF(S303="","",S303/$K303)</f>
        <v/>
      </c>
      <c r="AC303" s="45">
        <f>IF(T303="","",T303/$K303)</f>
        <v/>
      </c>
      <c r="AD303" s="45">
        <f>IF(U303="","",U303/$K303)</f>
        <v/>
      </c>
    </row>
    <row r="304">
      <c r="A304" s="8" t="inlineStr">
        <is>
          <t>SASO</t>
        </is>
      </c>
      <c r="B304" s="8" t="inlineStr">
        <is>
          <t>Haulage</t>
        </is>
      </c>
      <c r="C304" s="8" t="inlineStr">
        <is>
          <t>Lagos</t>
        </is>
      </c>
      <c r="D304" s="8" t="inlineStr">
        <is>
          <t>Kano</t>
        </is>
      </c>
      <c r="E304" s="8" t="inlineStr">
        <is>
          <t>KANO&gt;LAGOS</t>
        </is>
      </c>
      <c r="F304" s="8" t="inlineStr">
        <is>
          <t>Exact</t>
        </is>
      </c>
      <c r="G304" s="44">
        <f>IFERROR(INDEX('Turnaround Table'!$C$5:$C$231,MATCH(E304,'Turnaround Table'!$D$5:$D$231,0)),"")</f>
        <v/>
      </c>
      <c r="H304" s="43" t="n"/>
      <c r="I304" s="44">
        <f>IF(H304&lt;&gt;"",H304,IF(G304&lt;&gt;"",G304,'Truck Requirement'!$B$5))</f>
        <v/>
      </c>
      <c r="J304" s="44">
        <f>2*I304</f>
        <v/>
      </c>
      <c r="K304" s="8">
        <f>MAX(1,INT('Truck Requirement'!$B$4/J304))</f>
        <v/>
      </c>
      <c r="L304" s="8">
        <f>SUM(M304:U304)</f>
        <v/>
      </c>
      <c r="M304" s="8" t="n"/>
      <c r="N304" s="8" t="n">
        <v>1</v>
      </c>
      <c r="O304" s="8" t="n"/>
      <c r="P304" s="8" t="n"/>
      <c r="Q304" s="8" t="n">
        <v>2</v>
      </c>
      <c r="R304" s="8" t="n">
        <v>6</v>
      </c>
      <c r="S304" s="8" t="n">
        <v>4</v>
      </c>
      <c r="T304" s="8" t="n">
        <v>4</v>
      </c>
      <c r="U304" s="8" t="n">
        <v>2</v>
      </c>
      <c r="V304" s="45">
        <f>IF(M304="","",M304/$K304)</f>
        <v/>
      </c>
      <c r="W304" s="45">
        <f>IF(N304="","",N304/$K304)</f>
        <v/>
      </c>
      <c r="X304" s="45">
        <f>IF(O304="","",O304/$K304)</f>
        <v/>
      </c>
      <c r="Y304" s="45">
        <f>IF(P304="","",P304/$K304)</f>
        <v/>
      </c>
      <c r="Z304" s="45">
        <f>IF(Q304="","",Q304/$K304)</f>
        <v/>
      </c>
      <c r="AA304" s="45">
        <f>IF(R304="","",R304/$K304)</f>
        <v/>
      </c>
      <c r="AB304" s="45">
        <f>IF(S304="","",S304/$K304)</f>
        <v/>
      </c>
      <c r="AC304" s="45">
        <f>IF(T304="","",T304/$K304)</f>
        <v/>
      </c>
      <c r="AD304" s="45">
        <f>IF(U304="","",U304/$K304)</f>
        <v/>
      </c>
    </row>
    <row r="305">
      <c r="A305" s="8" t="inlineStr">
        <is>
          <t>SASO</t>
        </is>
      </c>
      <c r="B305" s="8" t="inlineStr">
        <is>
          <t>Haulage</t>
        </is>
      </c>
      <c r="C305" s="8" t="inlineStr">
        <is>
          <t>Lagos</t>
        </is>
      </c>
      <c r="D305" s="8" t="inlineStr">
        <is>
          <t>Katsina</t>
        </is>
      </c>
      <c r="E305" s="8" t="inlineStr">
        <is>
          <t>KATSINA&gt;LAGOS</t>
        </is>
      </c>
      <c r="F305" s="8" t="inlineStr">
        <is>
          <t>Exact</t>
        </is>
      </c>
      <c r="G305" s="44">
        <f>IFERROR(INDEX('Turnaround Table'!$C$5:$C$231,MATCH(E305,'Turnaround Table'!$D$5:$D$231,0)),"")</f>
        <v/>
      </c>
      <c r="H305" s="43" t="n"/>
      <c r="I305" s="44">
        <f>IF(H305&lt;&gt;"",H305,IF(G305&lt;&gt;"",G305,'Truck Requirement'!$B$5))</f>
        <v/>
      </c>
      <c r="J305" s="44">
        <f>2*I305</f>
        <v/>
      </c>
      <c r="K305" s="8">
        <f>MAX(1,INT('Truck Requirement'!$B$4/J305))</f>
        <v/>
      </c>
      <c r="L305" s="8">
        <f>SUM(M305:U305)</f>
        <v/>
      </c>
      <c r="M305" s="8" t="n"/>
      <c r="N305" s="8" t="n"/>
      <c r="O305" s="8" t="n"/>
      <c r="P305" s="8" t="n"/>
      <c r="Q305" s="8" t="n"/>
      <c r="R305" s="8" t="n">
        <v>3</v>
      </c>
      <c r="S305" s="8" t="n">
        <v>4</v>
      </c>
      <c r="T305" s="8" t="n">
        <v>2</v>
      </c>
      <c r="U305" s="8" t="n"/>
      <c r="V305" s="45">
        <f>IF(M305="","",M305/$K305)</f>
        <v/>
      </c>
      <c r="W305" s="45">
        <f>IF(N305="","",N305/$K305)</f>
        <v/>
      </c>
      <c r="X305" s="45">
        <f>IF(O305="","",O305/$K305)</f>
        <v/>
      </c>
      <c r="Y305" s="45">
        <f>IF(P305="","",P305/$K305)</f>
        <v/>
      </c>
      <c r="Z305" s="45">
        <f>IF(Q305="","",Q305/$K305)</f>
        <v/>
      </c>
      <c r="AA305" s="45">
        <f>IF(R305="","",R305/$K305)</f>
        <v/>
      </c>
      <c r="AB305" s="45">
        <f>IF(S305="","",S305/$K305)</f>
        <v/>
      </c>
      <c r="AC305" s="45">
        <f>IF(T305="","",T305/$K305)</f>
        <v/>
      </c>
      <c r="AD305" s="45">
        <f>IF(U305="","",U305/$K305)</f>
        <v/>
      </c>
    </row>
    <row r="306">
      <c r="A306" s="8" t="inlineStr">
        <is>
          <t>SASO</t>
        </is>
      </c>
      <c r="B306" s="8" t="inlineStr">
        <is>
          <t>Haulage</t>
        </is>
      </c>
      <c r="C306" s="8" t="inlineStr">
        <is>
          <t>Lagos</t>
        </is>
      </c>
      <c r="D306" s="8" t="inlineStr">
        <is>
          <t>Jos</t>
        </is>
      </c>
      <c r="E306" s="8" t="inlineStr">
        <is>
          <t>JOS&gt;LAGOS</t>
        </is>
      </c>
      <c r="F306" s="8" t="inlineStr">
        <is>
          <t>Exact</t>
        </is>
      </c>
      <c r="G306" s="44">
        <f>IFERROR(INDEX('Turnaround Table'!$C$5:$C$231,MATCH(E306,'Turnaround Table'!$D$5:$D$231,0)),"")</f>
        <v/>
      </c>
      <c r="H306" s="43" t="n"/>
      <c r="I306" s="44">
        <f>IF(H306&lt;&gt;"",H306,IF(G306&lt;&gt;"",G306,'Truck Requirement'!$B$5))</f>
        <v/>
      </c>
      <c r="J306" s="44">
        <f>2*I306</f>
        <v/>
      </c>
      <c r="K306" s="8">
        <f>MAX(1,INT('Truck Requirement'!$B$4/J306))</f>
        <v/>
      </c>
      <c r="L306" s="8">
        <f>SUM(M306:U306)</f>
        <v/>
      </c>
      <c r="M306" s="8" t="n">
        <v>1</v>
      </c>
      <c r="N306" s="8" t="n">
        <v>2</v>
      </c>
      <c r="O306" s="8" t="n">
        <v>1</v>
      </c>
      <c r="P306" s="8" t="n"/>
      <c r="Q306" s="8" t="n">
        <v>1</v>
      </c>
      <c r="R306" s="8" t="n">
        <v>1</v>
      </c>
      <c r="S306" s="8" t="n"/>
      <c r="T306" s="8" t="n"/>
      <c r="U306" s="8" t="n">
        <v>1</v>
      </c>
      <c r="V306" s="45">
        <f>IF(M306="","",M306/$K306)</f>
        <v/>
      </c>
      <c r="W306" s="45">
        <f>IF(N306="","",N306/$K306)</f>
        <v/>
      </c>
      <c r="X306" s="45">
        <f>IF(O306="","",O306/$K306)</f>
        <v/>
      </c>
      <c r="Y306" s="45">
        <f>IF(P306="","",P306/$K306)</f>
        <v/>
      </c>
      <c r="Z306" s="45">
        <f>IF(Q306="","",Q306/$K306)</f>
        <v/>
      </c>
      <c r="AA306" s="45">
        <f>IF(R306="","",R306/$K306)</f>
        <v/>
      </c>
      <c r="AB306" s="45">
        <f>IF(S306="","",S306/$K306)</f>
        <v/>
      </c>
      <c r="AC306" s="45">
        <f>IF(T306="","",T306/$K306)</f>
        <v/>
      </c>
      <c r="AD306" s="45">
        <f>IF(U306="","",U306/$K306)</f>
        <v/>
      </c>
    </row>
    <row r="307">
      <c r="A307" s="8" t="inlineStr">
        <is>
          <t>SASO</t>
        </is>
      </c>
      <c r="B307" s="8" t="inlineStr">
        <is>
          <t>Haulage</t>
        </is>
      </c>
      <c r="C307" s="8" t="inlineStr">
        <is>
          <t>Lagos</t>
        </is>
      </c>
      <c r="D307" s="8" t="inlineStr">
        <is>
          <t>Funtua</t>
        </is>
      </c>
      <c r="E307" s="8" t="inlineStr">
        <is>
          <t>FUNTUA&gt;LAGOS</t>
        </is>
      </c>
      <c r="F307" s="8" t="inlineStr">
        <is>
          <t>Exact</t>
        </is>
      </c>
      <c r="G307" s="44">
        <f>IFERROR(INDEX('Turnaround Table'!$C$5:$C$231,MATCH(E307,'Turnaround Table'!$D$5:$D$231,0)),"")</f>
        <v/>
      </c>
      <c r="H307" s="43" t="n"/>
      <c r="I307" s="44">
        <f>IF(H307&lt;&gt;"",H307,IF(G307&lt;&gt;"",G307,'Truck Requirement'!$B$5))</f>
        <v/>
      </c>
      <c r="J307" s="44">
        <f>2*I307</f>
        <v/>
      </c>
      <c r="K307" s="8">
        <f>MAX(1,INT('Truck Requirement'!$B$4/J307))</f>
        <v/>
      </c>
      <c r="L307" s="8">
        <f>SUM(M307:U307)</f>
        <v/>
      </c>
      <c r="M307" s="8" t="n"/>
      <c r="N307" s="8" t="n">
        <v>1</v>
      </c>
      <c r="O307" s="8" t="n">
        <v>1</v>
      </c>
      <c r="P307" s="8" t="n"/>
      <c r="Q307" s="8" t="n"/>
      <c r="R307" s="8" t="n"/>
      <c r="S307" s="8" t="n"/>
      <c r="T307" s="8" t="n"/>
      <c r="U307" s="8" t="n">
        <v>1</v>
      </c>
      <c r="V307" s="45">
        <f>IF(M307="","",M307/$K307)</f>
        <v/>
      </c>
      <c r="W307" s="45">
        <f>IF(N307="","",N307/$K307)</f>
        <v/>
      </c>
      <c r="X307" s="45">
        <f>IF(O307="","",O307/$K307)</f>
        <v/>
      </c>
      <c r="Y307" s="45">
        <f>IF(P307="","",P307/$K307)</f>
        <v/>
      </c>
      <c r="Z307" s="45">
        <f>IF(Q307="","",Q307/$K307)</f>
        <v/>
      </c>
      <c r="AA307" s="45">
        <f>IF(R307="","",R307/$K307)</f>
        <v/>
      </c>
      <c r="AB307" s="45">
        <f>IF(S307="","",S307/$K307)</f>
        <v/>
      </c>
      <c r="AC307" s="45">
        <f>IF(T307="","",T307/$K307)</f>
        <v/>
      </c>
      <c r="AD307" s="45">
        <f>IF(U307="","",U307/$K307)</f>
        <v/>
      </c>
    </row>
    <row r="308">
      <c r="A308" s="8" t="inlineStr">
        <is>
          <t>SASO</t>
        </is>
      </c>
      <c r="B308" s="8" t="inlineStr">
        <is>
          <t>Haulage</t>
        </is>
      </c>
      <c r="C308" s="8" t="inlineStr">
        <is>
          <t>Lagos</t>
        </is>
      </c>
      <c r="D308" s="8" t="inlineStr">
        <is>
          <t>Kaduna</t>
        </is>
      </c>
      <c r="E308" s="8" t="inlineStr">
        <is>
          <t>KADUNA&gt;LAGOS</t>
        </is>
      </c>
      <c r="F308" s="8" t="inlineStr">
        <is>
          <t>Exact</t>
        </is>
      </c>
      <c r="G308" s="44">
        <f>IFERROR(INDEX('Turnaround Table'!$C$5:$C$231,MATCH(E308,'Turnaround Table'!$D$5:$D$231,0)),"")</f>
        <v/>
      </c>
      <c r="H308" s="43" t="n"/>
      <c r="I308" s="44">
        <f>IF(H308&lt;&gt;"",H308,IF(G308&lt;&gt;"",G308,'Truck Requirement'!$B$5))</f>
        <v/>
      </c>
      <c r="J308" s="44">
        <f>2*I308</f>
        <v/>
      </c>
      <c r="K308" s="8">
        <f>MAX(1,INT('Truck Requirement'!$B$4/J308))</f>
        <v/>
      </c>
      <c r="L308" s="8">
        <f>SUM(M308:U308)</f>
        <v/>
      </c>
      <c r="M308" s="8" t="n"/>
      <c r="N308" s="8" t="n"/>
      <c r="O308" s="8" t="n"/>
      <c r="P308" s="8" t="n"/>
      <c r="Q308" s="8" t="n">
        <v>1</v>
      </c>
      <c r="R308" s="8" t="n"/>
      <c r="S308" s="8" t="n">
        <v>2</v>
      </c>
      <c r="T308" s="8" t="n"/>
      <c r="U308" s="8" t="n"/>
      <c r="V308" s="45">
        <f>IF(M308="","",M308/$K308)</f>
        <v/>
      </c>
      <c r="W308" s="45">
        <f>IF(N308="","",N308/$K308)</f>
        <v/>
      </c>
      <c r="X308" s="45">
        <f>IF(O308="","",O308/$K308)</f>
        <v/>
      </c>
      <c r="Y308" s="45">
        <f>IF(P308="","",P308/$K308)</f>
        <v/>
      </c>
      <c r="Z308" s="45">
        <f>IF(Q308="","",Q308/$K308)</f>
        <v/>
      </c>
      <c r="AA308" s="45">
        <f>IF(R308="","",R308/$K308)</f>
        <v/>
      </c>
      <c r="AB308" s="45">
        <f>IF(S308="","",S308/$K308)</f>
        <v/>
      </c>
      <c r="AC308" s="45">
        <f>IF(T308="","",T308/$K308)</f>
        <v/>
      </c>
      <c r="AD308" s="45">
        <f>IF(U308="","",U308/$K308)</f>
        <v/>
      </c>
    </row>
    <row r="309">
      <c r="A309" s="51" t="inlineStr">
        <is>
          <t>SASO</t>
        </is>
      </c>
      <c r="B309" s="51" t="inlineStr">
        <is>
          <t>Haulage</t>
        </is>
      </c>
      <c r="C309" s="51" t="inlineStr">
        <is>
          <t>Lagos</t>
        </is>
      </c>
      <c r="D309" s="51" t="inlineStr">
        <is>
          <t>Gasgua</t>
        </is>
      </c>
      <c r="E309" s="51" t="n">
        <v/>
      </c>
      <c r="F309" s="51" t="inlineStr">
        <is>
          <t>Not in table</t>
        </is>
      </c>
      <c r="G309" s="44">
        <f>IFERROR(INDEX('Turnaround Table'!$C$5:$C$231,MATCH(E309,'Turnaround Table'!$D$5:$D$231,0)),"")</f>
        <v/>
      </c>
      <c r="H309" s="43" t="n"/>
      <c r="I309" s="44">
        <f>IF(H309&lt;&gt;"",H309,IF(G309&lt;&gt;"",G309,'Truck Requirement'!$B$5))</f>
        <v/>
      </c>
      <c r="J309" s="44">
        <f>2*I309</f>
        <v/>
      </c>
      <c r="K309" s="8">
        <f>MAX(1,INT('Truck Requirement'!$B$4/J309))</f>
        <v/>
      </c>
      <c r="L309" s="8">
        <f>SUM(M309:U309)</f>
        <v/>
      </c>
      <c r="M309" s="8" t="n"/>
      <c r="N309" s="8" t="n"/>
      <c r="O309" s="8" t="n"/>
      <c r="P309" s="8" t="n"/>
      <c r="Q309" s="8" t="n"/>
      <c r="R309" s="8" t="n"/>
      <c r="S309" s="8" t="n"/>
      <c r="T309" s="8" t="n">
        <v>2</v>
      </c>
      <c r="U309" s="8" t="n"/>
      <c r="V309" s="45">
        <f>IF(M309="","",M309/$K309)</f>
        <v/>
      </c>
      <c r="W309" s="45">
        <f>IF(N309="","",N309/$K309)</f>
        <v/>
      </c>
      <c r="X309" s="45">
        <f>IF(O309="","",O309/$K309)</f>
        <v/>
      </c>
      <c r="Y309" s="45">
        <f>IF(P309="","",P309/$K309)</f>
        <v/>
      </c>
      <c r="Z309" s="45">
        <f>IF(Q309="","",Q309/$K309)</f>
        <v/>
      </c>
      <c r="AA309" s="45">
        <f>IF(R309="","",R309/$K309)</f>
        <v/>
      </c>
      <c r="AB309" s="45">
        <f>IF(S309="","",S309/$K309)</f>
        <v/>
      </c>
      <c r="AC309" s="45">
        <f>IF(T309="","",T309/$K309)</f>
        <v/>
      </c>
      <c r="AD309" s="45">
        <f>IF(U309="","",U309/$K309)</f>
        <v/>
      </c>
    </row>
    <row r="310">
      <c r="A310" s="8" t="inlineStr">
        <is>
          <t>SASO-BACKLOAD</t>
        </is>
      </c>
      <c r="B310" s="8" t="inlineStr">
        <is>
          <t>Haulage</t>
        </is>
      </c>
      <c r="C310" s="8" t="inlineStr">
        <is>
          <t>Kaduna (Kudenda)</t>
        </is>
      </c>
      <c r="D310" s="8" t="inlineStr">
        <is>
          <t>Amuwo Odofin</t>
        </is>
      </c>
      <c r="E310" s="8" t="inlineStr">
        <is>
          <t>KADUNA&gt;LAGOS</t>
        </is>
      </c>
      <c r="F310" s="8" t="inlineStr">
        <is>
          <t>Reverse</t>
        </is>
      </c>
      <c r="G310" s="44">
        <f>IFERROR(INDEX('Turnaround Table'!$C$5:$C$231,MATCH(E310,'Turnaround Table'!$D$5:$D$231,0)),"")</f>
        <v/>
      </c>
      <c r="H310" s="43" t="n"/>
      <c r="I310" s="44">
        <f>IF(H310&lt;&gt;"",H310,IF(G310&lt;&gt;"",G310,'Truck Requirement'!$B$5))</f>
        <v/>
      </c>
      <c r="J310" s="44">
        <f>2*I310</f>
        <v/>
      </c>
      <c r="K310" s="8">
        <f>MAX(1,INT('Truck Requirement'!$B$4/J310))</f>
        <v/>
      </c>
      <c r="L310" s="8">
        <f>SUM(M310:U310)</f>
        <v/>
      </c>
      <c r="M310" s="8" t="n"/>
      <c r="N310" s="8" t="n"/>
      <c r="O310" s="8" t="n"/>
      <c r="P310" s="8" t="n"/>
      <c r="Q310" s="8" t="n">
        <v>1</v>
      </c>
      <c r="R310" s="8" t="n"/>
      <c r="S310" s="8" t="n"/>
      <c r="T310" s="8" t="n"/>
      <c r="U310" s="8" t="n"/>
      <c r="V310" s="45">
        <f>IF(M310="","",M310/$K310)</f>
        <v/>
      </c>
      <c r="W310" s="45">
        <f>IF(N310="","",N310/$K310)</f>
        <v/>
      </c>
      <c r="X310" s="45">
        <f>IF(O310="","",O310/$K310)</f>
        <v/>
      </c>
      <c r="Y310" s="45">
        <f>IF(P310="","",P310/$K310)</f>
        <v/>
      </c>
      <c r="Z310" s="45">
        <f>IF(Q310="","",Q310/$K310)</f>
        <v/>
      </c>
      <c r="AA310" s="45">
        <f>IF(R310="","",R310/$K310)</f>
        <v/>
      </c>
      <c r="AB310" s="45">
        <f>IF(S310="","",S310/$K310)</f>
        <v/>
      </c>
      <c r="AC310" s="45">
        <f>IF(T310="","",T310/$K310)</f>
        <v/>
      </c>
      <c r="AD310" s="45">
        <f>IF(U310="","",U310/$K310)</f>
        <v/>
      </c>
    </row>
    <row r="311">
      <c r="A311" s="8" t="inlineStr">
        <is>
          <t>STAR PRODUCT INVESTMENT</t>
        </is>
      </c>
      <c r="B311" s="8" t="inlineStr">
        <is>
          <t>Haulage</t>
        </is>
      </c>
      <c r="C311" s="8" t="inlineStr">
        <is>
          <t>Lagos</t>
        </is>
      </c>
      <c r="D311" s="8" t="inlineStr">
        <is>
          <t>Kano</t>
        </is>
      </c>
      <c r="E311" s="8" t="inlineStr">
        <is>
          <t>KANO&gt;LAGOS</t>
        </is>
      </c>
      <c r="F311" s="8" t="inlineStr">
        <is>
          <t>Exact</t>
        </is>
      </c>
      <c r="G311" s="44">
        <f>IFERROR(INDEX('Turnaround Table'!$C$5:$C$231,MATCH(E311,'Turnaround Table'!$D$5:$D$231,0)),"")</f>
        <v/>
      </c>
      <c r="H311" s="43" t="n"/>
      <c r="I311" s="44">
        <f>IF(H311&lt;&gt;"",H311,IF(G311&lt;&gt;"",G311,'Truck Requirement'!$B$5))</f>
        <v/>
      </c>
      <c r="J311" s="44">
        <f>2*I311</f>
        <v/>
      </c>
      <c r="K311" s="8">
        <f>MAX(1,INT('Truck Requirement'!$B$4/J311))</f>
        <v/>
      </c>
      <c r="L311" s="8">
        <f>SUM(M311:U311)</f>
        <v/>
      </c>
      <c r="M311" s="8" t="n"/>
      <c r="N311" s="8" t="n"/>
      <c r="O311" s="8" t="n"/>
      <c r="P311" s="8" t="n"/>
      <c r="Q311" s="8" t="n"/>
      <c r="R311" s="8" t="n"/>
      <c r="S311" s="8" t="n">
        <v>1</v>
      </c>
      <c r="T311" s="8" t="n">
        <v>1</v>
      </c>
      <c r="U311" s="8" t="n">
        <v>1</v>
      </c>
      <c r="V311" s="45">
        <f>IF(M311="","",M311/$K311)</f>
        <v/>
      </c>
      <c r="W311" s="45">
        <f>IF(N311="","",N311/$K311)</f>
        <v/>
      </c>
      <c r="X311" s="45">
        <f>IF(O311="","",O311/$K311)</f>
        <v/>
      </c>
      <c r="Y311" s="45">
        <f>IF(P311="","",P311/$K311)</f>
        <v/>
      </c>
      <c r="Z311" s="45">
        <f>IF(Q311="","",Q311/$K311)</f>
        <v/>
      </c>
      <c r="AA311" s="45">
        <f>IF(R311="","",R311/$K311)</f>
        <v/>
      </c>
      <c r="AB311" s="45">
        <f>IF(S311="","",S311/$K311)</f>
        <v/>
      </c>
      <c r="AC311" s="45">
        <f>IF(T311="","",T311/$K311)</f>
        <v/>
      </c>
      <c r="AD311" s="45">
        <f>IF(U311="","",U311/$K311)</f>
        <v/>
      </c>
    </row>
    <row r="312">
      <c r="A312" s="8" t="inlineStr">
        <is>
          <t>VENDARA</t>
        </is>
      </c>
      <c r="B312" s="8" t="inlineStr">
        <is>
          <t>Haulage</t>
        </is>
      </c>
      <c r="C312" s="8" t="inlineStr">
        <is>
          <t>Lagos</t>
        </is>
      </c>
      <c r="D312" s="8" t="inlineStr">
        <is>
          <t>Kano</t>
        </is>
      </c>
      <c r="E312" s="8" t="inlineStr">
        <is>
          <t>KANO&gt;LAGOS</t>
        </is>
      </c>
      <c r="F312" s="8" t="inlineStr">
        <is>
          <t>Exact</t>
        </is>
      </c>
      <c r="G312" s="44">
        <f>IFERROR(INDEX('Turnaround Table'!$C$5:$C$231,MATCH(E312,'Turnaround Table'!$D$5:$D$231,0)),"")</f>
        <v/>
      </c>
      <c r="H312" s="43" t="n"/>
      <c r="I312" s="44">
        <f>IF(H312&lt;&gt;"",H312,IF(G312&lt;&gt;"",G312,'Truck Requirement'!$B$5))</f>
        <v/>
      </c>
      <c r="J312" s="44">
        <f>2*I312</f>
        <v/>
      </c>
      <c r="K312" s="8">
        <f>MAX(1,INT('Truck Requirement'!$B$4/J312))</f>
        <v/>
      </c>
      <c r="L312" s="8">
        <f>SUM(M312:U312)</f>
        <v/>
      </c>
      <c r="M312" s="8" t="n"/>
      <c r="N312" s="8" t="n"/>
      <c r="O312" s="8" t="n"/>
      <c r="P312" s="8" t="n"/>
      <c r="Q312" s="8" t="n"/>
      <c r="R312" s="8" t="n">
        <v>8</v>
      </c>
      <c r="S312" s="8" t="n">
        <v>10</v>
      </c>
      <c r="T312" s="8" t="n">
        <v>1</v>
      </c>
      <c r="U312" s="8" t="n"/>
      <c r="V312" s="45">
        <f>IF(M312="","",M312/$K312)</f>
        <v/>
      </c>
      <c r="W312" s="45">
        <f>IF(N312="","",N312/$K312)</f>
        <v/>
      </c>
      <c r="X312" s="45">
        <f>IF(O312="","",O312/$K312)</f>
        <v/>
      </c>
      <c r="Y312" s="45">
        <f>IF(P312="","",P312/$K312)</f>
        <v/>
      </c>
      <c r="Z312" s="45">
        <f>IF(Q312="","",Q312/$K312)</f>
        <v/>
      </c>
      <c r="AA312" s="45">
        <f>IF(R312="","",R312/$K312)</f>
        <v/>
      </c>
      <c r="AB312" s="45">
        <f>IF(S312="","",S312/$K312)</f>
        <v/>
      </c>
      <c r="AC312" s="45">
        <f>IF(T312="","",T312/$K312)</f>
        <v/>
      </c>
      <c r="AD312" s="45">
        <f>IF(U312="","",U312/$K312)</f>
        <v/>
      </c>
    </row>
    <row r="313">
      <c r="A313" s="8" t="inlineStr">
        <is>
          <t>VENDARA</t>
        </is>
      </c>
      <c r="B313" s="8" t="inlineStr">
        <is>
          <t>Haulage</t>
        </is>
      </c>
      <c r="C313" s="8" t="inlineStr">
        <is>
          <t>Lagos</t>
        </is>
      </c>
      <c r="D313" s="8" t="inlineStr">
        <is>
          <t>Onitsha</t>
        </is>
      </c>
      <c r="E313" s="8" t="inlineStr">
        <is>
          <t>ONITSHA&gt;LAGOS</t>
        </is>
      </c>
      <c r="F313" s="8" t="inlineStr">
        <is>
          <t>Exact</t>
        </is>
      </c>
      <c r="G313" s="44">
        <f>IFERROR(INDEX('Turnaround Table'!$C$5:$C$231,MATCH(E313,'Turnaround Table'!$D$5:$D$231,0)),"")</f>
        <v/>
      </c>
      <c r="H313" s="43" t="n"/>
      <c r="I313" s="44">
        <f>IF(H313&lt;&gt;"",H313,IF(G313&lt;&gt;"",G313,'Truck Requirement'!$B$5))</f>
        <v/>
      </c>
      <c r="J313" s="44">
        <f>2*I313</f>
        <v/>
      </c>
      <c r="K313" s="8">
        <f>MAX(1,INT('Truck Requirement'!$B$4/J313))</f>
        <v/>
      </c>
      <c r="L313" s="8">
        <f>SUM(M313:U313)</f>
        <v/>
      </c>
      <c r="M313" s="8" t="n"/>
      <c r="N313" s="8" t="n"/>
      <c r="O313" s="8" t="n"/>
      <c r="P313" s="8" t="n"/>
      <c r="Q313" s="8" t="n"/>
      <c r="R313" s="8" t="n">
        <v>2</v>
      </c>
      <c r="S313" s="8" t="n">
        <v>2</v>
      </c>
      <c r="T313" s="8" t="n"/>
      <c r="U313" s="8" t="n">
        <v>1</v>
      </c>
      <c r="V313" s="45">
        <f>IF(M313="","",M313/$K313)</f>
        <v/>
      </c>
      <c r="W313" s="45">
        <f>IF(N313="","",N313/$K313)</f>
        <v/>
      </c>
      <c r="X313" s="45">
        <f>IF(O313="","",O313/$K313)</f>
        <v/>
      </c>
      <c r="Y313" s="45">
        <f>IF(P313="","",P313/$K313)</f>
        <v/>
      </c>
      <c r="Z313" s="45">
        <f>IF(Q313="","",Q313/$K313)</f>
        <v/>
      </c>
      <c r="AA313" s="45">
        <f>IF(R313="","",R313/$K313)</f>
        <v/>
      </c>
      <c r="AB313" s="45">
        <f>IF(S313="","",S313/$K313)</f>
        <v/>
      </c>
      <c r="AC313" s="45">
        <f>IF(T313="","",T313/$K313)</f>
        <v/>
      </c>
      <c r="AD313" s="45">
        <f>IF(U313="","",U313/$K313)</f>
        <v/>
      </c>
    </row>
    <row r="314">
      <c r="A314" s="8" t="inlineStr">
        <is>
          <t>WALTER &amp; HIFY RESOURCES</t>
        </is>
      </c>
      <c r="B314" s="8" t="inlineStr">
        <is>
          <t>Haulage</t>
        </is>
      </c>
      <c r="C314" s="8" t="inlineStr">
        <is>
          <t>Port Harcourt</t>
        </is>
      </c>
      <c r="D314" s="8" t="inlineStr">
        <is>
          <t>Benin</t>
        </is>
      </c>
      <c r="E314" s="8" t="inlineStr">
        <is>
          <t>PORT HARCOURT&gt;BENIN</t>
        </is>
      </c>
      <c r="F314" s="8" t="inlineStr">
        <is>
          <t>Reverse</t>
        </is>
      </c>
      <c r="G314" s="44">
        <f>IFERROR(INDEX('Turnaround Table'!$C$5:$C$231,MATCH(E314,'Turnaround Table'!$D$5:$D$231,0)),"")</f>
        <v/>
      </c>
      <c r="H314" s="43" t="n"/>
      <c r="I314" s="44">
        <f>IF(H314&lt;&gt;"",H314,IF(G314&lt;&gt;"",G314,'Truck Requirement'!$B$5))</f>
        <v/>
      </c>
      <c r="J314" s="44">
        <f>2*I314</f>
        <v/>
      </c>
      <c r="K314" s="8">
        <f>MAX(1,INT('Truck Requirement'!$B$4/J314))</f>
        <v/>
      </c>
      <c r="L314" s="8">
        <f>SUM(M314:U314)</f>
        <v/>
      </c>
      <c r="M314" s="8" t="n"/>
      <c r="N314" s="8" t="n"/>
      <c r="O314" s="8" t="n"/>
      <c r="P314" s="8" t="n"/>
      <c r="Q314" s="8" t="n"/>
      <c r="R314" s="8" t="n"/>
      <c r="S314" s="8" t="n"/>
      <c r="T314" s="8" t="n">
        <v>5</v>
      </c>
      <c r="U314" s="8" t="n">
        <v>4</v>
      </c>
      <c r="V314" s="45">
        <f>IF(M314="","",M314/$K314)</f>
        <v/>
      </c>
      <c r="W314" s="45">
        <f>IF(N314="","",N314/$K314)</f>
        <v/>
      </c>
      <c r="X314" s="45">
        <f>IF(O314="","",O314/$K314)</f>
        <v/>
      </c>
      <c r="Y314" s="45">
        <f>IF(P314="","",P314/$K314)</f>
        <v/>
      </c>
      <c r="Z314" s="45">
        <f>IF(Q314="","",Q314/$K314)</f>
        <v/>
      </c>
      <c r="AA314" s="45">
        <f>IF(R314="","",R314/$K314)</f>
        <v/>
      </c>
      <c r="AB314" s="45">
        <f>IF(S314="","",S314/$K314)</f>
        <v/>
      </c>
      <c r="AC314" s="45">
        <f>IF(T314="","",T314/$K314)</f>
        <v/>
      </c>
      <c r="AD314" s="45">
        <f>IF(U314="","",U314/$K314)</f>
        <v/>
      </c>
    </row>
    <row r="315">
      <c r="A315" s="51" t="inlineStr">
        <is>
          <t>WALTER &amp; HIFY RESOURCES</t>
        </is>
      </c>
      <c r="B315" s="51" t="inlineStr">
        <is>
          <t>Haulage</t>
        </is>
      </c>
      <c r="C315" s="51" t="inlineStr">
        <is>
          <t>Port Harcourt</t>
        </is>
      </c>
      <c r="D315" s="51" t="inlineStr">
        <is>
          <t>Ibadan</t>
        </is>
      </c>
      <c r="E315" s="51" t="n">
        <v/>
      </c>
      <c r="F315" s="51" t="inlineStr">
        <is>
          <t>Not in table</t>
        </is>
      </c>
      <c r="G315" s="44">
        <f>IFERROR(INDEX('Turnaround Table'!$C$5:$C$231,MATCH(E315,'Turnaround Table'!$D$5:$D$231,0)),"")</f>
        <v/>
      </c>
      <c r="H315" s="43" t="n"/>
      <c r="I315" s="44">
        <f>IF(H315&lt;&gt;"",H315,IF(G315&lt;&gt;"",G315,'Truck Requirement'!$B$5))</f>
        <v/>
      </c>
      <c r="J315" s="44">
        <f>2*I315</f>
        <v/>
      </c>
      <c r="K315" s="8">
        <f>MAX(1,INT('Truck Requirement'!$B$4/J315))</f>
        <v/>
      </c>
      <c r="L315" s="8">
        <f>SUM(M315:U315)</f>
        <v/>
      </c>
      <c r="M315" s="8" t="n"/>
      <c r="N315" s="8" t="n"/>
      <c r="O315" s="8" t="n"/>
      <c r="P315" s="8" t="n"/>
      <c r="Q315" s="8" t="n"/>
      <c r="R315" s="8" t="n">
        <v>1</v>
      </c>
      <c r="S315" s="8" t="n"/>
      <c r="T315" s="8" t="n">
        <v>2</v>
      </c>
      <c r="U315" s="8" t="n"/>
      <c r="V315" s="45">
        <f>IF(M315="","",M315/$K315)</f>
        <v/>
      </c>
      <c r="W315" s="45">
        <f>IF(N315="","",N315/$K315)</f>
        <v/>
      </c>
      <c r="X315" s="45">
        <f>IF(O315="","",O315/$K315)</f>
        <v/>
      </c>
      <c r="Y315" s="45">
        <f>IF(P315="","",P315/$K315)</f>
        <v/>
      </c>
      <c r="Z315" s="45">
        <f>IF(Q315="","",Q315/$K315)</f>
        <v/>
      </c>
      <c r="AA315" s="45">
        <f>IF(R315="","",R315/$K315)</f>
        <v/>
      </c>
      <c r="AB315" s="45">
        <f>IF(S315="","",S315/$K315)</f>
        <v/>
      </c>
      <c r="AC315" s="45">
        <f>IF(T315="","",T315/$K315)</f>
        <v/>
      </c>
      <c r="AD315" s="45">
        <f>IF(U315="","",U315/$K315)</f>
        <v/>
      </c>
    </row>
    <row r="316">
      <c r="A316" s="51" t="inlineStr">
        <is>
          <t>WALTER &amp; HIFY RESOURCES</t>
        </is>
      </c>
      <c r="B316" s="51" t="inlineStr">
        <is>
          <t>Haulage</t>
        </is>
      </c>
      <c r="C316" s="51" t="inlineStr">
        <is>
          <t>Port Harcourt</t>
        </is>
      </c>
      <c r="D316" s="51" t="inlineStr">
        <is>
          <t>Delta</t>
        </is>
      </c>
      <c r="E316" s="51" t="n">
        <v/>
      </c>
      <c r="F316" s="51" t="inlineStr">
        <is>
          <t>Not in table</t>
        </is>
      </c>
      <c r="G316" s="44">
        <f>IFERROR(INDEX('Turnaround Table'!$C$5:$C$231,MATCH(E316,'Turnaround Table'!$D$5:$D$231,0)),"")</f>
        <v/>
      </c>
      <c r="H316" s="43" t="n"/>
      <c r="I316" s="44">
        <f>IF(H316&lt;&gt;"",H316,IF(G316&lt;&gt;"",G316,'Truck Requirement'!$B$5))</f>
        <v/>
      </c>
      <c r="J316" s="44">
        <f>2*I316</f>
        <v/>
      </c>
      <c r="K316" s="8">
        <f>MAX(1,INT('Truck Requirement'!$B$4/J316))</f>
        <v/>
      </c>
      <c r="L316" s="8">
        <f>SUM(M316:U316)</f>
        <v/>
      </c>
      <c r="M316" s="8" t="n"/>
      <c r="N316" s="8" t="n"/>
      <c r="O316" s="8" t="n"/>
      <c r="P316" s="8" t="n"/>
      <c r="Q316" s="8" t="n"/>
      <c r="R316" s="8" t="n">
        <v>2</v>
      </c>
      <c r="S316" s="8" t="n"/>
      <c r="T316" s="8" t="n"/>
      <c r="U316" s="8" t="n"/>
      <c r="V316" s="45">
        <f>IF(M316="","",M316/$K316)</f>
        <v/>
      </c>
      <c r="W316" s="45">
        <f>IF(N316="","",N316/$K316)</f>
        <v/>
      </c>
      <c r="X316" s="45">
        <f>IF(O316="","",O316/$K316)</f>
        <v/>
      </c>
      <c r="Y316" s="45">
        <f>IF(P316="","",P316/$K316)</f>
        <v/>
      </c>
      <c r="Z316" s="45">
        <f>IF(Q316="","",Q316/$K316)</f>
        <v/>
      </c>
      <c r="AA316" s="45">
        <f>IF(R316="","",R316/$K316)</f>
        <v/>
      </c>
      <c r="AB316" s="45">
        <f>IF(S316="","",S316/$K316)</f>
        <v/>
      </c>
      <c r="AC316" s="45">
        <f>IF(T316="","",T316/$K316)</f>
        <v/>
      </c>
      <c r="AD316" s="45">
        <f>IF(U316="","",U316/$K316)</f>
        <v/>
      </c>
    </row>
    <row r="317">
      <c r="A317" s="51" t="inlineStr">
        <is>
          <t>WALTER &amp; HIFY RESOURCES</t>
        </is>
      </c>
      <c r="B317" s="51" t="inlineStr">
        <is>
          <t>Haulage</t>
        </is>
      </c>
      <c r="C317" s="51" t="inlineStr">
        <is>
          <t>Port Harcourt</t>
        </is>
      </c>
      <c r="D317" s="51" t="inlineStr">
        <is>
          <t>Itori</t>
        </is>
      </c>
      <c r="E317" s="51" t="n">
        <v/>
      </c>
      <c r="F317" s="51" t="inlineStr">
        <is>
          <t>Not in table</t>
        </is>
      </c>
      <c r="G317" s="44">
        <f>IFERROR(INDEX('Turnaround Table'!$C$5:$C$231,MATCH(E317,'Turnaround Table'!$D$5:$D$231,0)),"")</f>
        <v/>
      </c>
      <c r="H317" s="43" t="n"/>
      <c r="I317" s="44">
        <f>IF(H317&lt;&gt;"",H317,IF(G317&lt;&gt;"",G317,'Truck Requirement'!$B$5))</f>
        <v/>
      </c>
      <c r="J317" s="44">
        <f>2*I317</f>
        <v/>
      </c>
      <c r="K317" s="8">
        <f>MAX(1,INT('Truck Requirement'!$B$4/J317))</f>
        <v/>
      </c>
      <c r="L317" s="8">
        <f>SUM(M317:U317)</f>
        <v/>
      </c>
      <c r="M317" s="8" t="n"/>
      <c r="N317" s="8" t="n"/>
      <c r="O317" s="8" t="n"/>
      <c r="P317" s="8" t="n"/>
      <c r="Q317" s="8" t="n"/>
      <c r="R317" s="8" t="n"/>
      <c r="S317" s="8" t="n">
        <v>1</v>
      </c>
      <c r="T317" s="8" t="n">
        <v>1</v>
      </c>
      <c r="U317" s="8" t="n"/>
      <c r="V317" s="45">
        <f>IF(M317="","",M317/$K317)</f>
        <v/>
      </c>
      <c r="W317" s="45">
        <f>IF(N317="","",N317/$K317)</f>
        <v/>
      </c>
      <c r="X317" s="45">
        <f>IF(O317="","",O317/$K317)</f>
        <v/>
      </c>
      <c r="Y317" s="45">
        <f>IF(P317="","",P317/$K317)</f>
        <v/>
      </c>
      <c r="Z317" s="45">
        <f>IF(Q317="","",Q317/$K317)</f>
        <v/>
      </c>
      <c r="AA317" s="45">
        <f>IF(R317="","",R317/$K317)</f>
        <v/>
      </c>
      <c r="AB317" s="45">
        <f>IF(S317="","",S317/$K317)</f>
        <v/>
      </c>
      <c r="AC317" s="45">
        <f>IF(T317="","",T317/$K317)</f>
        <v/>
      </c>
      <c r="AD317" s="45">
        <f>IF(U317="","",U317/$K317)</f>
        <v/>
      </c>
    </row>
    <row r="318">
      <c r="A318" s="51" t="inlineStr">
        <is>
          <t>WALTER &amp; HIFY RESOURCES</t>
        </is>
      </c>
      <c r="B318" s="51" t="inlineStr">
        <is>
          <t>Haulage</t>
        </is>
      </c>
      <c r="C318" s="51" t="inlineStr">
        <is>
          <t>Port Harcourt</t>
        </is>
      </c>
      <c r="D318" s="51" t="inlineStr">
        <is>
          <t>Ore</t>
        </is>
      </c>
      <c r="E318" s="51" t="n">
        <v/>
      </c>
      <c r="F318" s="51" t="inlineStr">
        <is>
          <t>Not in table</t>
        </is>
      </c>
      <c r="G318" s="44">
        <f>IFERROR(INDEX('Turnaround Table'!$C$5:$C$231,MATCH(E318,'Turnaround Table'!$D$5:$D$231,0)),"")</f>
        <v/>
      </c>
      <c r="H318" s="43" t="n"/>
      <c r="I318" s="44">
        <f>IF(H318&lt;&gt;"",H318,IF(G318&lt;&gt;"",G318,'Truck Requirement'!$B$5))</f>
        <v/>
      </c>
      <c r="J318" s="44">
        <f>2*I318</f>
        <v/>
      </c>
      <c r="K318" s="8">
        <f>MAX(1,INT('Truck Requirement'!$B$4/J318))</f>
        <v/>
      </c>
      <c r="L318" s="8">
        <f>SUM(M318:U318)</f>
        <v/>
      </c>
      <c r="M318" s="8" t="n"/>
      <c r="N318" s="8" t="n"/>
      <c r="O318" s="8" t="n"/>
      <c r="P318" s="8" t="n"/>
      <c r="Q318" s="8" t="n"/>
      <c r="R318" s="8" t="n"/>
      <c r="S318" s="8" t="n"/>
      <c r="T318" s="8" t="n">
        <v>2</v>
      </c>
      <c r="U318" s="8" t="n"/>
      <c r="V318" s="45">
        <f>IF(M318="","",M318/$K318)</f>
        <v/>
      </c>
      <c r="W318" s="45">
        <f>IF(N318="","",N318/$K318)</f>
        <v/>
      </c>
      <c r="X318" s="45">
        <f>IF(O318="","",O318/$K318)</f>
        <v/>
      </c>
      <c r="Y318" s="45">
        <f>IF(P318="","",P318/$K318)</f>
        <v/>
      </c>
      <c r="Z318" s="45">
        <f>IF(Q318="","",Q318/$K318)</f>
        <v/>
      </c>
      <c r="AA318" s="45">
        <f>IF(R318="","",R318/$K318)</f>
        <v/>
      </c>
      <c r="AB318" s="45">
        <f>IF(S318="","",S318/$K318)</f>
        <v/>
      </c>
      <c r="AC318" s="45">
        <f>IF(T318="","",T318/$K318)</f>
        <v/>
      </c>
      <c r="AD318" s="45">
        <f>IF(U318="","",U318/$K318)</f>
        <v/>
      </c>
    </row>
    <row r="319">
      <c r="A319" s="8" t="inlineStr">
        <is>
          <t>WALTER &amp; HIFY RESOURCES</t>
        </is>
      </c>
      <c r="B319" s="8" t="inlineStr">
        <is>
          <t>Haulage</t>
        </is>
      </c>
      <c r="C319" s="8" t="inlineStr">
        <is>
          <t>Port Harcourt</t>
        </is>
      </c>
      <c r="D319" s="8" t="inlineStr">
        <is>
          <t>Agbara</t>
        </is>
      </c>
      <c r="E319" s="8" t="inlineStr">
        <is>
          <t>PORT HARCOURT&gt;LAGOS</t>
        </is>
      </c>
      <c r="F319" s="8" t="inlineStr">
        <is>
          <t>Reverse</t>
        </is>
      </c>
      <c r="G319" s="44">
        <f>IFERROR(INDEX('Turnaround Table'!$C$5:$C$231,MATCH(E319,'Turnaround Table'!$D$5:$D$231,0)),"")</f>
        <v/>
      </c>
      <c r="H319" s="43" t="n"/>
      <c r="I319" s="44">
        <f>IF(H319&lt;&gt;"",H319,IF(G319&lt;&gt;"",G319,'Truck Requirement'!$B$5))</f>
        <v/>
      </c>
      <c r="J319" s="44">
        <f>2*I319</f>
        <v/>
      </c>
      <c r="K319" s="8">
        <f>MAX(1,INT('Truck Requirement'!$B$4/J319))</f>
        <v/>
      </c>
      <c r="L319" s="8">
        <f>SUM(M319:U319)</f>
        <v/>
      </c>
      <c r="M319" s="8" t="n"/>
      <c r="N319" s="8" t="n"/>
      <c r="O319" s="8" t="n"/>
      <c r="P319" s="8" t="n"/>
      <c r="Q319" s="8" t="n"/>
      <c r="R319" s="8" t="n"/>
      <c r="S319" s="8" t="n">
        <v>1</v>
      </c>
      <c r="T319" s="8" t="n"/>
      <c r="U319" s="8" t="n"/>
      <c r="V319" s="45">
        <f>IF(M319="","",M319/$K319)</f>
        <v/>
      </c>
      <c r="W319" s="45">
        <f>IF(N319="","",N319/$K319)</f>
        <v/>
      </c>
      <c r="X319" s="45">
        <f>IF(O319="","",O319/$K319)</f>
        <v/>
      </c>
      <c r="Y319" s="45">
        <f>IF(P319="","",P319/$K319)</f>
        <v/>
      </c>
      <c r="Z319" s="45">
        <f>IF(Q319="","",Q319/$K319)</f>
        <v/>
      </c>
      <c r="AA319" s="45">
        <f>IF(R319="","",R319/$K319)</f>
        <v/>
      </c>
      <c r="AB319" s="45">
        <f>IF(S319="","",S319/$K319)</f>
        <v/>
      </c>
      <c r="AC319" s="45">
        <f>IF(T319="","",T319/$K319)</f>
        <v/>
      </c>
      <c r="AD319" s="45">
        <f>IF(U319="","",U319/$K319)</f>
        <v/>
      </c>
    </row>
    <row r="320">
      <c r="A320" s="8" t="inlineStr">
        <is>
          <t>WALTER &amp; HIFY RESOURCES</t>
        </is>
      </c>
      <c r="B320" s="8" t="inlineStr">
        <is>
          <t>Haulage</t>
        </is>
      </c>
      <c r="C320" s="8" t="inlineStr">
        <is>
          <t>Port Harcourt</t>
        </is>
      </c>
      <c r="D320" s="8" t="inlineStr">
        <is>
          <t>Sango Ota</t>
        </is>
      </c>
      <c r="E320" s="8" t="inlineStr">
        <is>
          <t>PORT HARCOURT&gt;LAGOS</t>
        </is>
      </c>
      <c r="F320" s="8" t="inlineStr">
        <is>
          <t>Reverse</t>
        </is>
      </c>
      <c r="G320" s="44">
        <f>IFERROR(INDEX('Turnaround Table'!$C$5:$C$231,MATCH(E320,'Turnaround Table'!$D$5:$D$231,0)),"")</f>
        <v/>
      </c>
      <c r="H320" s="43" t="n"/>
      <c r="I320" s="44">
        <f>IF(H320&lt;&gt;"",H320,IF(G320&lt;&gt;"",G320,'Truck Requirement'!$B$5))</f>
        <v/>
      </c>
      <c r="J320" s="44">
        <f>2*I320</f>
        <v/>
      </c>
      <c r="K320" s="8">
        <f>MAX(1,INT('Truck Requirement'!$B$4/J320))</f>
        <v/>
      </c>
      <c r="L320" s="8">
        <f>SUM(M320:U320)</f>
        <v/>
      </c>
      <c r="M320" s="8" t="n"/>
      <c r="N320" s="8" t="n"/>
      <c r="O320" s="8" t="n"/>
      <c r="P320" s="8" t="n"/>
      <c r="Q320" s="8" t="n"/>
      <c r="R320" s="8" t="n"/>
      <c r="S320" s="8" t="n">
        <v>1</v>
      </c>
      <c r="T320" s="8" t="n"/>
      <c r="U320" s="8" t="n"/>
      <c r="V320" s="45">
        <f>IF(M320="","",M320/$K320)</f>
        <v/>
      </c>
      <c r="W320" s="45">
        <f>IF(N320="","",N320/$K320)</f>
        <v/>
      </c>
      <c r="X320" s="45">
        <f>IF(O320="","",O320/$K320)</f>
        <v/>
      </c>
      <c r="Y320" s="45">
        <f>IF(P320="","",P320/$K320)</f>
        <v/>
      </c>
      <c r="Z320" s="45">
        <f>IF(Q320="","",Q320/$K320)</f>
        <v/>
      </c>
      <c r="AA320" s="45">
        <f>IF(R320="","",R320/$K320)</f>
        <v/>
      </c>
      <c r="AB320" s="45">
        <f>IF(S320="","",S320/$K320)</f>
        <v/>
      </c>
      <c r="AC320" s="45">
        <f>IF(T320="","",T320/$K320)</f>
        <v/>
      </c>
      <c r="AD320" s="45">
        <f>IF(U320="","",U320/$K320)</f>
        <v/>
      </c>
    </row>
    <row r="321">
      <c r="A321" s="17" t="inlineStr">
        <is>
          <t>Total</t>
        </is>
      </c>
      <c r="L321" s="38">
        <f>SUM(L5:L320)</f>
        <v/>
      </c>
      <c r="M321" s="38">
        <f>SUM(M5:M320)</f>
        <v/>
      </c>
      <c r="N321" s="38">
        <f>SUM(N5:N320)</f>
        <v/>
      </c>
      <c r="O321" s="38">
        <f>SUM(O5:O320)</f>
        <v/>
      </c>
      <c r="P321" s="38">
        <f>SUM(P5:P320)</f>
        <v/>
      </c>
      <c r="Q321" s="38">
        <f>SUM(Q5:Q320)</f>
        <v/>
      </c>
      <c r="R321" s="38">
        <f>SUM(R5:R320)</f>
        <v/>
      </c>
      <c r="S321" s="38">
        <f>SUM(S5:S320)</f>
        <v/>
      </c>
      <c r="T321" s="38">
        <f>SUM(T5:T320)</f>
        <v/>
      </c>
      <c r="U321" s="38">
        <f>SUM(U5:U320)</f>
        <v/>
      </c>
      <c r="V321" s="40">
        <f>SUM(V5:V320)</f>
        <v/>
      </c>
      <c r="W321" s="40">
        <f>SUM(W5:W320)</f>
        <v/>
      </c>
      <c r="X321" s="40">
        <f>SUM(X5:X320)</f>
        <v/>
      </c>
      <c r="Y321" s="40">
        <f>SUM(Y5:Y320)</f>
        <v/>
      </c>
      <c r="Z321" s="40">
        <f>SUM(Z5:Z320)</f>
        <v/>
      </c>
      <c r="AA321" s="40">
        <f>SUM(AA5:AA320)</f>
        <v/>
      </c>
      <c r="AB321" s="40">
        <f>SUM(AB5:AB320)</f>
        <v/>
      </c>
      <c r="AC321" s="40">
        <f>SUM(AC5:AC320)</f>
        <v/>
      </c>
      <c r="AD321" s="40">
        <f>SUM(AD5:AD320)</f>
        <v/>
      </c>
    </row>
  </sheetData>
  <autoFilter ref="A4:AD320"/>
  <dataValidations count="1">
    <dataValidation sqref="H5:H32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6" t="inlineStr">
        <is>
          <t>Clients (used by the Order Planner dropdowns). Add new clients in the blank rows.</t>
        </is>
      </c>
    </row>
    <row r="3">
      <c r="A3" s="52" t="inlineStr">
        <is>
          <t>Client</t>
        </is>
      </c>
    </row>
    <row r="4">
      <c r="A4" s="8" t="inlineStr">
        <is>
          <t>AB-INBEV</t>
        </is>
      </c>
    </row>
    <row r="5">
      <c r="A5" s="8" t="inlineStr">
        <is>
          <t>ABBA ABASS</t>
        </is>
      </c>
    </row>
    <row r="6">
      <c r="A6" s="8" t="inlineStr">
        <is>
          <t>B2B-ORCA DECO LIMITED (MR LEKAN)</t>
        </is>
      </c>
    </row>
    <row r="7">
      <c r="A7" s="8" t="inlineStr">
        <is>
          <t>B2B-ORCA DECO LIMITED(MR OTEGA)</t>
        </is>
      </c>
    </row>
    <row r="8">
      <c r="A8" s="8" t="inlineStr">
        <is>
          <t>B2B-ORCA DECO LIMITED(ULOMA)</t>
        </is>
      </c>
    </row>
    <row r="9">
      <c r="A9" s="8" t="inlineStr">
        <is>
          <t>B2B-ORCA DECO LIMITED-AGR</t>
        </is>
      </c>
    </row>
    <row r="10">
      <c r="A10" s="8" t="inlineStr">
        <is>
          <t>CRESEADA</t>
        </is>
      </c>
    </row>
    <row r="11">
      <c r="A11" s="8" t="inlineStr">
        <is>
          <t>GIVANAS</t>
        </is>
      </c>
    </row>
    <row r="12">
      <c r="A12" s="8" t="inlineStr">
        <is>
          <t>Illera Agro</t>
        </is>
      </c>
    </row>
    <row r="13">
      <c r="A13" s="8" t="inlineStr">
        <is>
          <t>INTERSTYLE</t>
        </is>
      </c>
    </row>
    <row r="14">
      <c r="A14" s="8" t="inlineStr">
        <is>
          <t>Jamara</t>
        </is>
      </c>
    </row>
    <row r="15">
      <c r="A15" s="8" t="inlineStr">
        <is>
          <t>JMG</t>
        </is>
      </c>
    </row>
    <row r="16">
      <c r="A16" s="8" t="inlineStr">
        <is>
          <t>JUBAILI AGROTEC</t>
        </is>
      </c>
    </row>
    <row r="17">
      <c r="A17" s="8" t="inlineStr">
        <is>
          <t>KD &amp; SONS</t>
        </is>
      </c>
    </row>
    <row r="18">
      <c r="A18" s="8" t="inlineStr">
        <is>
          <t>Lacasera</t>
        </is>
      </c>
    </row>
    <row r="19">
      <c r="A19" s="8" t="inlineStr">
        <is>
          <t>LEBRUNI AGRO LTD</t>
        </is>
      </c>
    </row>
    <row r="20">
      <c r="A20" s="8" t="inlineStr">
        <is>
          <t>MAMUDA BEVERAGES CO. LTD</t>
        </is>
      </c>
    </row>
    <row r="21">
      <c r="A21" s="8" t="inlineStr">
        <is>
          <t>MEGA MANU</t>
        </is>
      </c>
    </row>
    <row r="22">
      <c r="A22" s="8" t="inlineStr">
        <is>
          <t>MIKANO INTL LTD</t>
        </is>
      </c>
    </row>
    <row r="23">
      <c r="A23" s="8" t="inlineStr">
        <is>
          <t>NATURAL BEAUTY</t>
        </is>
      </c>
    </row>
    <row r="24">
      <c r="A24" s="8" t="inlineStr">
        <is>
          <t>NBL</t>
        </is>
      </c>
    </row>
    <row r="25">
      <c r="A25" s="8" t="inlineStr">
        <is>
          <t>NIGER BISCUITS</t>
        </is>
      </c>
    </row>
    <row r="26">
      <c r="A26" s="8" t="inlineStr">
        <is>
          <t>ORCA DECO LIMITED</t>
        </is>
      </c>
    </row>
    <row r="27">
      <c r="A27" s="8" t="inlineStr">
        <is>
          <t>PRISM STEEL</t>
        </is>
      </c>
    </row>
    <row r="28">
      <c r="A28" s="8" t="inlineStr">
        <is>
          <t>SASO</t>
        </is>
      </c>
    </row>
    <row r="29">
      <c r="A29" s="8" t="inlineStr">
        <is>
          <t>SASO-BACKLOAD</t>
        </is>
      </c>
    </row>
    <row r="30">
      <c r="A30" s="8" t="inlineStr">
        <is>
          <t>STAR PRODUCT INVESTMENT</t>
        </is>
      </c>
    </row>
    <row r="31">
      <c r="A31" s="8" t="inlineStr">
        <is>
          <t>VENDARA</t>
        </is>
      </c>
    </row>
    <row r="32">
      <c r="A32" s="8" t="inlineStr">
        <is>
          <t>WALTER &amp; HIFY RESOURCES</t>
        </is>
      </c>
    </row>
    <row r="33">
      <c r="A33" s="53" t="n"/>
    </row>
    <row r="34">
      <c r="A34" s="53" t="n"/>
    </row>
    <row r="35">
      <c r="A35" s="53" t="n"/>
    </row>
    <row r="36">
      <c r="A36" s="53" t="n"/>
    </row>
    <row r="37">
      <c r="A37" s="53" t="n"/>
    </row>
    <row r="38">
      <c r="A38" s="53" t="n"/>
    </row>
    <row r="39">
      <c r="A39" s="53" t="n"/>
    </row>
    <row r="40">
      <c r="A40" s="53" t="n"/>
    </row>
    <row r="41">
      <c r="A41" s="53" t="n"/>
    </row>
    <row r="42">
      <c r="A42" s="53" t="n"/>
    </row>
    <row r="43">
      <c r="A43" s="53" t="n"/>
    </row>
    <row r="44">
      <c r="A44" s="53" t="n"/>
    </row>
    <row r="45">
      <c r="A45" s="53" t="n"/>
    </row>
    <row r="46">
      <c r="A46" s="53" t="n"/>
    </row>
    <row r="47">
      <c r="A47" s="53" t="n"/>
    </row>
    <row r="48">
      <c r="A48" s="53" t="n"/>
    </row>
    <row r="49">
      <c r="A49" s="53" t="n"/>
    </row>
    <row r="50">
      <c r="A50" s="53" t="n"/>
    </row>
    <row r="51">
      <c r="A51" s="53" t="n"/>
    </row>
    <row r="52">
      <c r="A52" s="53" t="n"/>
    </row>
    <row r="53">
      <c r="A53" s="53" t="n"/>
    </row>
    <row r="54">
      <c r="A54" s="53" t="n"/>
    </row>
    <row r="55">
      <c r="A55" s="53" t="n"/>
    </row>
    <row r="56">
      <c r="A56" s="53" t="n"/>
    </row>
    <row r="57">
      <c r="A57" s="53" t="n"/>
    </row>
    <row r="58">
      <c r="A58" s="53" t="n"/>
    </row>
    <row r="59">
      <c r="A59" s="53" t="n"/>
    </row>
    <row r="60">
      <c r="A60" s="53" t="n"/>
    </row>
    <row r="61">
      <c r="A61" s="53" t="n"/>
    </row>
    <row r="62">
      <c r="A62" s="53" t="n"/>
    </row>
    <row r="63">
      <c r="A63" s="5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8" customWidth="1" min="4" max="4"/>
    <col width="10" customWidth="1" min="5" max="5"/>
    <col width="18" customWidth="1" min="6" max="6"/>
    <col width="18" customWidth="1" min="7" max="7"/>
  </cols>
  <sheetData>
    <row r="1">
      <c r="A1" s="5" t="inlineStr">
        <is>
          <t>Route price reference — 2026 haulage trips (excl. VAT, one-off special jobs excluded)</t>
        </is>
      </c>
    </row>
    <row r="2">
      <c r="A2" s="6" t="inlineStr">
        <is>
          <t>Used by the Revenue Planner to show the market rate next to your price. Each turnaround key is linked to the trip route it covers.</t>
        </is>
      </c>
    </row>
    <row r="4" ht="45" customHeight="1">
      <c r="A4" s="7" t="inlineStr">
        <is>
          <t>Turnaround key</t>
        </is>
      </c>
      <c r="B4" s="7" t="inlineStr">
        <is>
          <t>Route in trip log</t>
        </is>
      </c>
      <c r="C4" s="7" t="inlineStr">
        <is>
          <t>Trips 2026</t>
        </is>
      </c>
      <c r="D4" s="7" t="inlineStr">
        <is>
          <t>Avg price 2026 (₦)</t>
        </is>
      </c>
      <c r="E4" s="7" t="inlineStr">
        <is>
          <t>Trips Jul–Sep</t>
        </is>
      </c>
      <c r="F4" s="7" t="inlineStr">
        <is>
          <t>Avg price Jul–Sep (₦)</t>
        </is>
      </c>
      <c r="G4" s="7" t="inlineStr">
        <is>
          <t>Highest price Jul–Sep (₦)</t>
        </is>
      </c>
    </row>
    <row r="5">
      <c r="A5" s="8" t="inlineStr">
        <is>
          <t>VI-LEKKI-AJAH&gt;LAGOS</t>
        </is>
      </c>
      <c r="B5" s="8" t="inlineStr">
        <is>
          <t>Lagos → VI</t>
        </is>
      </c>
      <c r="C5" s="8" t="n">
        <v>276</v>
      </c>
      <c r="D5" s="12" t="n">
        <v>388532.6086956522</v>
      </c>
      <c r="E5" s="8" t="n">
        <v>3</v>
      </c>
      <c r="F5" s="12" t="n">
        <v>495000</v>
      </c>
      <c r="G5" s="12" t="n">
        <v>685000</v>
      </c>
    </row>
    <row r="6">
      <c r="A6" s="8" t="inlineStr">
        <is>
          <t>KANO&gt;LAGOS</t>
        </is>
      </c>
      <c r="B6" s="8" t="inlineStr">
        <is>
          <t>Lagos → Kano</t>
        </is>
      </c>
      <c r="C6" s="8" t="n">
        <v>147</v>
      </c>
      <c r="D6" s="12" t="n">
        <v>3849733.048618888</v>
      </c>
      <c r="E6" s="8" t="n">
        <v>59</v>
      </c>
      <c r="F6" s="12" t="n">
        <v>4022546.314659046</v>
      </c>
      <c r="G6" s="12" t="n">
        <v>4400000</v>
      </c>
    </row>
    <row r="7">
      <c r="A7" s="8" t="inlineStr">
        <is>
          <t>IBADAN&gt;LAGOS</t>
        </is>
      </c>
      <c r="B7" s="8" t="inlineStr">
        <is>
          <t>Lagos → Ibadan</t>
        </is>
      </c>
      <c r="C7" s="8" t="n">
        <v>89</v>
      </c>
      <c r="D7" s="12" t="n">
        <v>629765.6159885108</v>
      </c>
      <c r="E7" s="8" t="n">
        <v>33</v>
      </c>
      <c r="F7" s="12" t="n">
        <v>630904.9675221052</v>
      </c>
      <c r="G7" s="12" t="n">
        <v>680000</v>
      </c>
    </row>
    <row r="8">
      <c r="A8" s="8" t="inlineStr">
        <is>
          <t>ABUJA&gt;APAPA</t>
        </is>
      </c>
      <c r="B8" s="8" t="inlineStr">
        <is>
          <t>Lagos → Abuja</t>
        </is>
      </c>
      <c r="C8" s="8" t="n">
        <v>76</v>
      </c>
      <c r="D8" s="12" t="n">
        <v>2647226.621787024</v>
      </c>
      <c r="E8" s="8" t="n">
        <v>35</v>
      </c>
      <c r="F8" s="12" t="n">
        <v>2823202.657807308</v>
      </c>
      <c r="G8" s="12" t="n">
        <v>3162790.69767441</v>
      </c>
    </row>
    <row r="9">
      <c r="A9" s="8" t="inlineStr">
        <is>
          <t>ABUJA&gt;LAGOS</t>
        </is>
      </c>
      <c r="B9" s="8" t="inlineStr">
        <is>
          <t>Lagos → Abuja</t>
        </is>
      </c>
      <c r="C9" s="8" t="n">
        <v>76</v>
      </c>
      <c r="D9" s="12" t="n">
        <v>2647226.621787024</v>
      </c>
      <c r="E9" s="8" t="n">
        <v>35</v>
      </c>
      <c r="F9" s="12" t="n">
        <v>2823202.657807308</v>
      </c>
      <c r="G9" s="12" t="n">
        <v>3162790.69767441</v>
      </c>
    </row>
    <row r="10">
      <c r="A10" s="8" t="inlineStr">
        <is>
          <t>PORT HARCOURT&gt;LAGOS</t>
        </is>
      </c>
      <c r="B10" s="8" t="inlineStr">
        <is>
          <t>Lagos → PHC</t>
        </is>
      </c>
      <c r="C10" s="8" t="n">
        <v>68</v>
      </c>
      <c r="D10" s="12" t="n">
        <v>2359995.554035568</v>
      </c>
      <c r="E10" s="8" t="n">
        <v>31</v>
      </c>
      <c r="F10" s="12" t="n">
        <v>2470393.848462116</v>
      </c>
      <c r="G10" s="12" t="n">
        <v>2550000</v>
      </c>
    </row>
    <row r="11">
      <c r="A11" s="8" t="inlineStr">
        <is>
          <t>ONITSHA&gt;LAGOS</t>
        </is>
      </c>
      <c r="B11" s="8" t="inlineStr">
        <is>
          <t>Lagos → Onitsha</t>
        </is>
      </c>
      <c r="C11" s="8" t="n">
        <v>39</v>
      </c>
      <c r="D11" s="12" t="n">
        <v>1896124.476493736</v>
      </c>
      <c r="E11" s="8" t="n">
        <v>14</v>
      </c>
      <c r="F11" s="12" t="n">
        <v>2035316.855813951</v>
      </c>
      <c r="G11" s="12" t="n">
        <v>2248843</v>
      </c>
    </row>
    <row r="12">
      <c r="A12" s="8" t="inlineStr">
        <is>
          <t>MOWE&gt;LAGOS</t>
        </is>
      </c>
      <c r="B12" s="8" t="inlineStr">
        <is>
          <t>Lagos → Mowe</t>
        </is>
      </c>
      <c r="C12" s="8" t="n">
        <v>37</v>
      </c>
      <c r="D12" s="12" t="n">
        <v>245000</v>
      </c>
      <c r="E12" s="8" t="n"/>
      <c r="F12" s="12" t="n"/>
      <c r="G12" s="12" t="n"/>
    </row>
    <row r="13">
      <c r="A13" s="8" t="inlineStr">
        <is>
          <t>BENIN&gt;LAGOS</t>
        </is>
      </c>
      <c r="B13" s="8" t="inlineStr">
        <is>
          <t>Lagos → Benin</t>
        </is>
      </c>
      <c r="C13" s="8" t="n">
        <v>35</v>
      </c>
      <c r="D13" s="12" t="n">
        <v>1018630.63551247</v>
      </c>
      <c r="E13" s="8" t="n">
        <v>5</v>
      </c>
      <c r="F13" s="12" t="n">
        <v>1293825.6</v>
      </c>
      <c r="G13" s="12" t="n">
        <v>1634564</v>
      </c>
    </row>
    <row r="14">
      <c r="A14" s="8" t="inlineStr">
        <is>
          <t>LAFIA&gt;LAGOS</t>
        </is>
      </c>
      <c r="B14" s="8" t="inlineStr">
        <is>
          <t>Nasarawa → Ogere</t>
        </is>
      </c>
      <c r="C14" s="8" t="n">
        <v>31</v>
      </c>
      <c r="D14" s="12" t="n">
        <v>1353278.319992495</v>
      </c>
      <c r="E14" s="8" t="n">
        <v>23</v>
      </c>
      <c r="F14" s="12" t="n">
        <v>1401334.682052576</v>
      </c>
      <c r="G14" s="12" t="n">
        <v>1534883.72093023</v>
      </c>
    </row>
    <row r="15">
      <c r="A15" s="8" t="inlineStr">
        <is>
          <t>ABA&gt;IBADAN</t>
        </is>
      </c>
      <c r="B15" s="8" t="inlineStr">
        <is>
          <t>Ibadan → ABA</t>
        </is>
      </c>
      <c r="C15" s="8" t="n">
        <v>21</v>
      </c>
      <c r="D15" s="12" t="n">
        <v>2172268.290563141</v>
      </c>
      <c r="E15" s="8" t="n">
        <v>1</v>
      </c>
      <c r="F15" s="12" t="n">
        <v>3322166.025515264</v>
      </c>
      <c r="G15" s="12" t="n">
        <v>3322166.025515264</v>
      </c>
    </row>
    <row r="16">
      <c r="A16" s="8" t="inlineStr">
        <is>
          <t>ISOLO&gt;LAGOS</t>
        </is>
      </c>
      <c r="B16" s="8" t="inlineStr">
        <is>
          <t>Lagos → Isolo</t>
        </is>
      </c>
      <c r="C16" s="8" t="n">
        <v>18</v>
      </c>
      <c r="D16" s="12" t="n">
        <v>406790.5446343779</v>
      </c>
      <c r="E16" s="8" t="n">
        <v>3</v>
      </c>
      <c r="F16" s="12" t="n">
        <v>418000</v>
      </c>
      <c r="G16" s="12" t="n">
        <v>418000</v>
      </c>
    </row>
    <row r="17">
      <c r="A17" s="8" t="inlineStr">
        <is>
          <t>IBADAN&gt;IBADAN</t>
        </is>
      </c>
      <c r="B17" s="8" t="inlineStr">
        <is>
          <t>Ibadan → Ibadan</t>
        </is>
      </c>
      <c r="C17" s="8" t="n">
        <v>18</v>
      </c>
      <c r="D17" s="12" t="n">
        <v>56020.58453067023</v>
      </c>
      <c r="E17" s="8" t="n">
        <v>7</v>
      </c>
      <c r="F17" s="12" t="n">
        <v>47865.15152757035</v>
      </c>
      <c r="G17" s="12" t="n">
        <v>130615.0745074377</v>
      </c>
    </row>
    <row r="18">
      <c r="A18" s="8" t="inlineStr">
        <is>
          <t>IKM-SHAGARI-EGIGBO-IPAJA-AYOBO-OKOKOMAIKO-OSHODI-ISOLO&gt;LAGOS</t>
        </is>
      </c>
      <c r="B18" s="8" t="inlineStr">
        <is>
          <t>Lagos → Ikotun</t>
        </is>
      </c>
      <c r="C18" s="8" t="n">
        <v>17</v>
      </c>
      <c r="D18" s="12" t="n">
        <v>431058.8235294117</v>
      </c>
      <c r="E18" s="8" t="n">
        <v>17</v>
      </c>
      <c r="F18" s="12" t="n">
        <v>431058.8235294117</v>
      </c>
      <c r="G18" s="12" t="n">
        <v>520000</v>
      </c>
    </row>
    <row r="19">
      <c r="A19" s="8" t="inlineStr">
        <is>
          <t>OSOGBO&gt;LAGOS</t>
        </is>
      </c>
      <c r="B19" s="8" t="inlineStr">
        <is>
          <t>Lagos → Osogbo</t>
        </is>
      </c>
      <c r="C19" s="8" t="n">
        <v>15</v>
      </c>
      <c r="D19" s="12" t="n">
        <v>920911.3770180437</v>
      </c>
      <c r="E19" s="8" t="n">
        <v>5</v>
      </c>
      <c r="F19" s="12" t="n">
        <v>1100000</v>
      </c>
      <c r="G19" s="12" t="n">
        <v>1100000</v>
      </c>
    </row>
    <row r="20">
      <c r="A20" s="8" t="inlineStr">
        <is>
          <t>ABUJA&gt;IBADAN</t>
        </is>
      </c>
      <c r="B20" s="8" t="inlineStr">
        <is>
          <t>Ibadan → Abuja</t>
        </is>
      </c>
      <c r="C20" s="8" t="n">
        <v>13</v>
      </c>
      <c r="D20" s="12" t="n">
        <v>3228121.358729199</v>
      </c>
      <c r="E20" s="8" t="n">
        <v>4</v>
      </c>
      <c r="F20" s="12" t="n">
        <v>3161327.515930233</v>
      </c>
      <c r="G20" s="12" t="n">
        <v>3788400</v>
      </c>
    </row>
    <row r="21">
      <c r="A21" s="8" t="inlineStr">
        <is>
          <t>AKURE&gt;LAGOS</t>
        </is>
      </c>
      <c r="B21" s="8" t="inlineStr">
        <is>
          <t>Ibadan → Akure</t>
        </is>
      </c>
      <c r="C21" s="8" t="n">
        <v>11</v>
      </c>
      <c r="D21" s="12" t="n">
        <v>906301.7750262589</v>
      </c>
      <c r="E21" s="8" t="n">
        <v>4</v>
      </c>
      <c r="F21" s="12" t="n">
        <v>988131.4332301812</v>
      </c>
      <c r="G21" s="12" t="n">
        <v>988131.4332301812</v>
      </c>
    </row>
    <row r="22">
      <c r="A22" s="8" t="inlineStr">
        <is>
          <t>AUCHI&gt;LAGOS</t>
        </is>
      </c>
      <c r="B22" s="8" t="inlineStr">
        <is>
          <t>Ibadan → Auchi</t>
        </is>
      </c>
      <c r="C22" s="8" t="n">
        <v>9</v>
      </c>
      <c r="D22" s="12" t="n">
        <v>2223151.488018268</v>
      </c>
      <c r="E22" s="8" t="n">
        <v>1</v>
      </c>
      <c r="F22" s="12" t="n">
        <v>2265887.596889898</v>
      </c>
      <c r="G22" s="12" t="n">
        <v>2265887.596889898</v>
      </c>
    </row>
    <row r="23">
      <c r="A23" s="8" t="inlineStr">
        <is>
          <t>LOKOJA&gt;LAGOS</t>
        </is>
      </c>
      <c r="B23" s="8" t="inlineStr">
        <is>
          <t>Lagos → Lokoja</t>
        </is>
      </c>
      <c r="C23" s="8" t="n">
        <v>9</v>
      </c>
      <c r="D23" s="12" t="n">
        <v>2563503.87596899</v>
      </c>
      <c r="E23" s="8" t="n">
        <v>6</v>
      </c>
      <c r="F23" s="12" t="n">
        <v>3000000</v>
      </c>
      <c r="G23" s="12" t="n">
        <v>3000000</v>
      </c>
    </row>
    <row r="24">
      <c r="A24" s="8" t="inlineStr">
        <is>
          <t>KATSINA&gt;LAGOS</t>
        </is>
      </c>
      <c r="B24" s="8" t="inlineStr">
        <is>
          <t>Lagos → Katsina</t>
        </is>
      </c>
      <c r="C24" s="8" t="n">
        <v>9</v>
      </c>
      <c r="D24" s="12" t="n">
        <v>3745736.434108526</v>
      </c>
      <c r="E24" s="8" t="n">
        <v>6</v>
      </c>
      <c r="F24" s="12" t="n">
        <v>3900000</v>
      </c>
      <c r="G24" s="12" t="n">
        <v>3900000</v>
      </c>
    </row>
    <row r="25">
      <c r="A25" s="8" t="inlineStr">
        <is>
          <t>PORT HARCOURT&gt;BENIN</t>
        </is>
      </c>
      <c r="B25" s="8" t="inlineStr">
        <is>
          <t>Port Harcourt → Benin</t>
        </is>
      </c>
      <c r="C25" s="8" t="n">
        <v>8</v>
      </c>
      <c r="D25" s="12" t="n">
        <v>756976.744069767</v>
      </c>
      <c r="E25" s="8" t="n">
        <v>8</v>
      </c>
      <c r="F25" s="12" t="n">
        <v>756976.744069767</v>
      </c>
      <c r="G25" s="12" t="n">
        <v>800000</v>
      </c>
    </row>
    <row r="26">
      <c r="A26" s="8" t="inlineStr">
        <is>
          <t>KADUNA&gt;IBADAN</t>
        </is>
      </c>
      <c r="B26" s="8" t="inlineStr">
        <is>
          <t>Ibadan → Kaduna</t>
        </is>
      </c>
      <c r="C26" s="8" t="n">
        <v>8</v>
      </c>
      <c r="D26" s="12" t="n">
        <v>2553437.161112417</v>
      </c>
      <c r="E26" s="8" t="n">
        <v>1</v>
      </c>
      <c r="F26" s="12" t="n">
        <v>2044409.861855547</v>
      </c>
      <c r="G26" s="12" t="n">
        <v>2044409.861855547</v>
      </c>
    </row>
    <row r="27">
      <c r="A27" s="8" t="inlineStr">
        <is>
          <t>JOS&gt;LAGOS</t>
        </is>
      </c>
      <c r="B27" s="8" t="inlineStr">
        <is>
          <t>Lagos → JOS</t>
        </is>
      </c>
      <c r="C27" s="8" t="n">
        <v>7</v>
      </c>
      <c r="D27" s="12" t="n">
        <v>3849501.661229234</v>
      </c>
      <c r="E27" s="8" t="n">
        <v>1</v>
      </c>
      <c r="F27" s="12" t="n">
        <v>4290000</v>
      </c>
      <c r="G27" s="12" t="n">
        <v>4290000</v>
      </c>
    </row>
    <row r="28">
      <c r="A28" s="8" t="inlineStr">
        <is>
          <t>ILORIN&gt;LAGOS</t>
        </is>
      </c>
      <c r="B28" s="8" t="inlineStr">
        <is>
          <t>Ibadan → Ilorin</t>
        </is>
      </c>
      <c r="C28" s="8" t="n">
        <v>7</v>
      </c>
      <c r="D28" s="12" t="n">
        <v>834364.5353665095</v>
      </c>
      <c r="E28" s="8" t="n">
        <v>3</v>
      </c>
      <c r="F28" s="12" t="n">
        <v>662540.2330087422</v>
      </c>
      <c r="G28" s="12" t="n">
        <v>993810.3495131134</v>
      </c>
    </row>
    <row r="29">
      <c r="A29" s="8" t="inlineStr">
        <is>
          <t>KEFFI&gt;IBADAN</t>
        </is>
      </c>
      <c r="B29" s="8" t="inlineStr">
        <is>
          <t>Ibadan → Keffi</t>
        </is>
      </c>
      <c r="C29" s="8" t="n">
        <v>6</v>
      </c>
      <c r="D29" s="12" t="n">
        <v>2685028.217093022</v>
      </c>
      <c r="E29" s="8" t="n">
        <v>1</v>
      </c>
      <c r="F29" s="12" t="n">
        <v>2815839.07</v>
      </c>
      <c r="G29" s="12" t="n">
        <v>2815839.07</v>
      </c>
    </row>
    <row r="30">
      <c r="A30" s="8" t="inlineStr">
        <is>
          <t>YOLA&gt;IBADAN</t>
        </is>
      </c>
      <c r="B30" s="8" t="inlineStr">
        <is>
          <t>Ilesa → Yola</t>
        </is>
      </c>
      <c r="C30" s="8" t="n">
        <v>6</v>
      </c>
      <c r="D30" s="12" t="n">
        <v>3466281.314897128</v>
      </c>
      <c r="E30" s="8" t="n"/>
      <c r="F30" s="12" t="n"/>
      <c r="G30" s="12" t="n"/>
    </row>
    <row r="31">
      <c r="A31" s="8" t="inlineStr">
        <is>
          <t>KABBA&gt;IBADAN</t>
        </is>
      </c>
      <c r="B31" s="8" t="inlineStr">
        <is>
          <t>Ibadan → Kabba</t>
        </is>
      </c>
      <c r="C31" s="8" t="n">
        <v>6</v>
      </c>
      <c r="D31" s="12" t="n">
        <v>1436622.635658908</v>
      </c>
      <c r="E31" s="8" t="n"/>
      <c r="F31" s="12" t="n"/>
      <c r="G31" s="12" t="n"/>
    </row>
    <row r="32">
      <c r="A32" s="8" t="inlineStr">
        <is>
          <t>ONDO&gt;LAGOS</t>
        </is>
      </c>
      <c r="B32" s="8" t="inlineStr">
        <is>
          <t>Ibadan → Ondo</t>
        </is>
      </c>
      <c r="C32" s="8" t="n">
        <v>5</v>
      </c>
      <c r="D32" s="12" t="n">
        <v>833962.4768476016</v>
      </c>
      <c r="E32" s="8" t="n">
        <v>4</v>
      </c>
      <c r="F32" s="12" t="n">
        <v>846158.5261568793</v>
      </c>
      <c r="G32" s="12" t="n">
        <v>1078994.093757094</v>
      </c>
    </row>
    <row r="33">
      <c r="A33" s="8" t="inlineStr">
        <is>
          <t>OFFA&gt;LAGOS</t>
        </is>
      </c>
      <c r="B33" s="8" t="inlineStr">
        <is>
          <t>Ibadan → Ijagbo-Offa</t>
        </is>
      </c>
      <c r="C33" s="8" t="n">
        <v>5</v>
      </c>
      <c r="D33" s="12" t="n">
        <v>785334.583588745</v>
      </c>
      <c r="E33" s="8" t="n">
        <v>2</v>
      </c>
      <c r="F33" s="12" t="n">
        <v>806406.1121763549</v>
      </c>
      <c r="G33" s="12" t="n">
        <v>806406.1121763549</v>
      </c>
    </row>
    <row r="34">
      <c r="A34" s="8" t="inlineStr">
        <is>
          <t>IKEJA&gt;LAGOS</t>
        </is>
      </c>
      <c r="B34" s="8" t="inlineStr">
        <is>
          <t>Ibadan → Lagos</t>
        </is>
      </c>
      <c r="C34" s="8" t="n">
        <v>5</v>
      </c>
      <c r="D34" s="12" t="n">
        <v>545359.3221408688</v>
      </c>
      <c r="E34" s="8" t="n">
        <v>2</v>
      </c>
      <c r="F34" s="12" t="n">
        <v>831961.2354495492</v>
      </c>
      <c r="G34" s="12" t="n">
        <v>868874.1912886077</v>
      </c>
    </row>
    <row r="35">
      <c r="A35" s="8" t="inlineStr">
        <is>
          <t>AYANGBA&gt;IBADAN</t>
        </is>
      </c>
      <c r="B35" s="8" t="inlineStr">
        <is>
          <t>Ibadan → Anyigba</t>
        </is>
      </c>
      <c r="C35" s="8" t="n">
        <v>4</v>
      </c>
      <c r="D35" s="12" t="n">
        <v>2385230.184588984</v>
      </c>
      <c r="E35" s="8" t="n"/>
      <c r="F35" s="12" t="n"/>
      <c r="G35" s="12" t="n"/>
    </row>
    <row r="36">
      <c r="A36" s="8" t="inlineStr">
        <is>
          <t>ASABA&gt;LAGOS</t>
        </is>
      </c>
      <c r="B36" s="8" t="inlineStr">
        <is>
          <t>Lagos → Asaba</t>
        </is>
      </c>
      <c r="C36" s="8" t="n">
        <v>4</v>
      </c>
      <c r="D36" s="12" t="n">
        <v>3136544.8775</v>
      </c>
      <c r="E36" s="8" t="n"/>
      <c r="F36" s="12" t="n"/>
      <c r="G36" s="12" t="n"/>
    </row>
    <row r="37">
      <c r="A37" s="8" t="inlineStr">
        <is>
          <t>IJEBU-ODE&gt;LAGOS</t>
        </is>
      </c>
      <c r="B37" s="8" t="inlineStr">
        <is>
          <t>Ibadan → Ijebu ODE</t>
        </is>
      </c>
      <c r="C37" s="8" t="n">
        <v>4</v>
      </c>
      <c r="D37" s="12" t="n">
        <v>272750.1037027303</v>
      </c>
      <c r="E37" s="8" t="n"/>
      <c r="F37" s="12" t="n"/>
      <c r="G37" s="12" t="n"/>
    </row>
    <row r="38">
      <c r="A38" s="8" t="inlineStr">
        <is>
          <t>ABA&gt;LAGOS</t>
        </is>
      </c>
      <c r="B38" s="8" t="inlineStr">
        <is>
          <t>Lagos → ABA</t>
        </is>
      </c>
      <c r="C38" s="8" t="n">
        <v>4</v>
      </c>
      <c r="D38" s="12" t="n">
        <v>2306395.34854651</v>
      </c>
      <c r="E38" s="8" t="n">
        <v>3</v>
      </c>
      <c r="F38" s="12" t="n">
        <v>2532558.139147287</v>
      </c>
      <c r="G38" s="12" t="n">
        <v>2900000</v>
      </c>
    </row>
    <row r="39">
      <c r="A39" s="8" t="inlineStr">
        <is>
          <t>MINNA&gt;IBADAN</t>
        </is>
      </c>
      <c r="B39" s="8" t="inlineStr">
        <is>
          <t>Ibadan → Minna</t>
        </is>
      </c>
      <c r="C39" s="8" t="n">
        <v>4</v>
      </c>
      <c r="D39" s="12" t="n">
        <v>2628785.58</v>
      </c>
      <c r="E39" s="8" t="n">
        <v>3</v>
      </c>
      <c r="F39" s="12" t="n">
        <v>2675047.44</v>
      </c>
      <c r="G39" s="12" t="n">
        <v>2675047.44</v>
      </c>
    </row>
    <row r="40">
      <c r="A40" s="8" t="inlineStr">
        <is>
          <t>MAKURDI&gt;IBADAN</t>
        </is>
      </c>
      <c r="B40" s="8" t="inlineStr">
        <is>
          <t>Ibadan → Otukpa</t>
        </is>
      </c>
      <c r="C40" s="8" t="n">
        <v>4</v>
      </c>
      <c r="D40" s="12" t="n">
        <v>1389914.760247626</v>
      </c>
      <c r="E40" s="8" t="n"/>
      <c r="F40" s="12" t="n"/>
      <c r="G40" s="12" t="n"/>
    </row>
    <row r="41">
      <c r="A41" s="8" t="inlineStr">
        <is>
          <t>LEKKI&gt;LAGOS</t>
        </is>
      </c>
      <c r="B41" s="8" t="inlineStr">
        <is>
          <t>Lagos → Lekki</t>
        </is>
      </c>
      <c r="C41" s="8" t="n">
        <v>4</v>
      </c>
      <c r="D41" s="12" t="n">
        <v>471220.930232558</v>
      </c>
      <c r="E41" s="8" t="n"/>
      <c r="F41" s="12" t="n"/>
      <c r="G41" s="12" t="n"/>
    </row>
    <row r="42">
      <c r="A42" s="8" t="inlineStr">
        <is>
          <t>KADUNA&gt;LAGOS</t>
        </is>
      </c>
      <c r="B42" s="8" t="inlineStr">
        <is>
          <t>Lagos → Kaduna</t>
        </is>
      </c>
      <c r="C42" s="8" t="n">
        <v>4</v>
      </c>
      <c r="D42" s="12" t="n">
        <v>3831976.74354651</v>
      </c>
      <c r="E42" s="8" t="n">
        <v>3</v>
      </c>
      <c r="F42" s="12" t="n">
        <v>3806976.743333334</v>
      </c>
      <c r="G42" s="12" t="n">
        <v>3850000</v>
      </c>
    </row>
    <row r="43">
      <c r="A43" s="8" t="inlineStr">
        <is>
          <t>OWERRI&gt;LAGOS</t>
        </is>
      </c>
      <c r="B43" s="8" t="inlineStr">
        <is>
          <t>Lagos → Owerri</t>
        </is>
      </c>
      <c r="C43" s="8" t="n">
        <v>4</v>
      </c>
      <c r="D43" s="12" t="n">
        <v>2340104.65116279</v>
      </c>
      <c r="E43" s="8" t="n">
        <v>4</v>
      </c>
      <c r="F43" s="12" t="n">
        <v>2340104.65116279</v>
      </c>
      <c r="G43" s="12" t="n">
        <v>2900000</v>
      </c>
    </row>
    <row r="44">
      <c r="A44" s="8" t="inlineStr">
        <is>
          <t>WARRI&gt;LAGOS</t>
        </is>
      </c>
      <c r="B44" s="8" t="inlineStr">
        <is>
          <t>Ibadan → Warri</t>
        </is>
      </c>
      <c r="C44" s="8" t="n">
        <v>4</v>
      </c>
      <c r="D44" s="12" t="n">
        <v>2078741.628293208</v>
      </c>
      <c r="E44" s="8" t="n">
        <v>2</v>
      </c>
      <c r="F44" s="12" t="n">
        <v>2079000</v>
      </c>
      <c r="G44" s="12" t="n">
        <v>2310000</v>
      </c>
    </row>
    <row r="45">
      <c r="A45" s="8" t="inlineStr">
        <is>
          <t>OGBA&gt;LAGOS</t>
        </is>
      </c>
      <c r="B45" s="8" t="inlineStr">
        <is>
          <t>Ibadan → Ogba</t>
        </is>
      </c>
      <c r="C45" s="8" t="n">
        <v>4</v>
      </c>
      <c r="D45" s="12" t="n">
        <v>725074.5699026226</v>
      </c>
      <c r="E45" s="8" t="n"/>
      <c r="F45" s="12" t="n"/>
      <c r="G45" s="12" t="n"/>
    </row>
    <row r="46">
      <c r="A46" s="8" t="inlineStr">
        <is>
          <t>ONITSHA&gt;IBADAN</t>
        </is>
      </c>
      <c r="B46" s="8" t="inlineStr">
        <is>
          <t>Ibadan → Onitsha</t>
        </is>
      </c>
      <c r="C46" s="8" t="n">
        <v>4</v>
      </c>
      <c r="D46" s="12" t="n">
        <v>2084453.076001421</v>
      </c>
      <c r="E46" s="8" t="n"/>
      <c r="F46" s="12" t="n"/>
      <c r="G46" s="12" t="n"/>
    </row>
    <row r="47">
      <c r="A47" s="8" t="inlineStr">
        <is>
          <t>JOS&gt;IBADAN</t>
        </is>
      </c>
      <c r="B47" s="8" t="inlineStr">
        <is>
          <t>Ibadan → JOS</t>
        </is>
      </c>
      <c r="C47" s="8" t="n">
        <v>4</v>
      </c>
      <c r="D47" s="12" t="n">
        <v>4793250</v>
      </c>
      <c r="E47" s="8" t="n"/>
      <c r="F47" s="12" t="n"/>
      <c r="G47" s="12" t="n"/>
    </row>
    <row r="48">
      <c r="A48" s="8" t="inlineStr">
        <is>
          <t>MAIDUGURI&gt;IBADAN</t>
        </is>
      </c>
      <c r="B48" s="8" t="inlineStr">
        <is>
          <t>Ilesa → Maiduguri</t>
        </is>
      </c>
      <c r="C48" s="8" t="n">
        <v>4</v>
      </c>
      <c r="D48" s="12" t="n">
        <v>3660172.799175744</v>
      </c>
      <c r="E48" s="8" t="n"/>
      <c r="F48" s="12" t="n"/>
      <c r="G48" s="12" t="n"/>
    </row>
    <row r="49">
      <c r="A49" s="8" t="inlineStr">
        <is>
          <t>SAKI&gt;LAGOS</t>
        </is>
      </c>
      <c r="B49" s="8" t="inlineStr">
        <is>
          <t>Ibadan → Saki</t>
        </is>
      </c>
      <c r="C49" s="8" t="n">
        <v>3</v>
      </c>
      <c r="D49" s="12" t="n">
        <v>1120500</v>
      </c>
      <c r="E49" s="8" t="n"/>
      <c r="F49" s="12" t="n"/>
      <c r="G49" s="12" t="n"/>
    </row>
    <row r="50">
      <c r="A50" s="8" t="inlineStr">
        <is>
          <t>KANO&gt;IBADAN</t>
        </is>
      </c>
      <c r="B50" s="8" t="inlineStr">
        <is>
          <t>Ibadan → Kano</t>
        </is>
      </c>
      <c r="C50" s="8" t="n">
        <v>3</v>
      </c>
      <c r="D50" s="12" t="n">
        <v>3441860.46511627</v>
      </c>
      <c r="E50" s="8" t="n">
        <v>3</v>
      </c>
      <c r="F50" s="12" t="n">
        <v>3441860.46511627</v>
      </c>
      <c r="G50" s="12" t="n">
        <v>3441860.46511627</v>
      </c>
    </row>
    <row r="51">
      <c r="A51" s="8" t="inlineStr">
        <is>
          <t>OYO&gt;LAGOS</t>
        </is>
      </c>
      <c r="B51" s="8" t="inlineStr">
        <is>
          <t>Ibadan → OYO</t>
        </is>
      </c>
      <c r="C51" s="8" t="n">
        <v>3</v>
      </c>
      <c r="D51" s="12" t="n">
        <v>303171.5814725948</v>
      </c>
      <c r="E51" s="8" t="n"/>
      <c r="F51" s="12" t="n"/>
      <c r="G51" s="12" t="n"/>
    </row>
    <row r="52">
      <c r="A52" s="8" t="inlineStr">
        <is>
          <t>SOKOTO&gt;IBADAN</t>
        </is>
      </c>
      <c r="B52" s="8" t="inlineStr">
        <is>
          <t>Ibadan → Sokoto</t>
        </is>
      </c>
      <c r="C52" s="8" t="n">
        <v>3</v>
      </c>
      <c r="D52" s="12" t="n">
        <v>3472134.926666667</v>
      </c>
      <c r="E52" s="8" t="n">
        <v>3</v>
      </c>
      <c r="F52" s="12" t="n">
        <v>3472134.926666667</v>
      </c>
      <c r="G52" s="12" t="n">
        <v>3660590.83</v>
      </c>
    </row>
    <row r="53">
      <c r="A53" s="8" t="inlineStr">
        <is>
          <t>JALINGO&gt;IBADAN</t>
        </is>
      </c>
      <c r="B53" s="8" t="inlineStr">
        <is>
          <t>Ibadan → Jalingo</t>
        </is>
      </c>
      <c r="C53" s="8" t="n">
        <v>3</v>
      </c>
      <c r="D53" s="12" t="n">
        <v>4827199.38211522</v>
      </c>
      <c r="E53" s="8" t="n">
        <v>2</v>
      </c>
      <c r="F53" s="12" t="n">
        <v>4930232.56</v>
      </c>
      <c r="G53" s="12" t="n">
        <v>4930232.56</v>
      </c>
    </row>
    <row r="54">
      <c r="A54" s="8" t="inlineStr">
        <is>
          <t>FUNTUA&gt;LAGOS</t>
        </is>
      </c>
      <c r="B54" s="8" t="inlineStr">
        <is>
          <t>Lagos → Funtua</t>
        </is>
      </c>
      <c r="C54" s="8" t="n">
        <v>3</v>
      </c>
      <c r="D54" s="12" t="n">
        <v>3833410.852945733</v>
      </c>
      <c r="E54" s="8" t="n">
        <v>1</v>
      </c>
      <c r="F54" s="12" t="n">
        <v>4170000</v>
      </c>
      <c r="G54" s="12" t="n">
        <v>4170000</v>
      </c>
    </row>
    <row r="55">
      <c r="A55" s="8" t="inlineStr">
        <is>
          <t>GOMBE&gt;IBADAN</t>
        </is>
      </c>
      <c r="B55" s="8" t="inlineStr">
        <is>
          <t>Ilesa → Gombe</t>
        </is>
      </c>
      <c r="C55" s="8" t="n">
        <v>3</v>
      </c>
      <c r="D55" s="12" t="n">
        <v>2928719.591551223</v>
      </c>
      <c r="E55" s="8" t="n"/>
      <c r="F55" s="12" t="n"/>
      <c r="G55" s="12" t="n"/>
    </row>
    <row r="56">
      <c r="A56" s="8" t="inlineStr">
        <is>
          <t>ABAKALIKI&gt;LAGOS</t>
        </is>
      </c>
      <c r="B56" s="8" t="inlineStr">
        <is>
          <t>Ibadan → Abakaliki</t>
        </is>
      </c>
      <c r="C56" s="8" t="n">
        <v>3</v>
      </c>
      <c r="D56" s="12" t="n">
        <v>2218801.503107054</v>
      </c>
      <c r="E56" s="8" t="n"/>
      <c r="F56" s="12" t="n"/>
      <c r="G56" s="12" t="n"/>
    </row>
    <row r="57">
      <c r="A57" s="8" t="inlineStr">
        <is>
          <t>BAUCHI&gt;IBADAN</t>
        </is>
      </c>
      <c r="B57" s="8" t="inlineStr">
        <is>
          <t>Ilesa → Bauchi</t>
        </is>
      </c>
      <c r="C57" s="8" t="n">
        <v>3</v>
      </c>
      <c r="D57" s="12" t="n">
        <v>2676660.661989021</v>
      </c>
      <c r="E57" s="8" t="n"/>
      <c r="F57" s="12" t="n"/>
      <c r="G57" s="12" t="n"/>
    </row>
    <row r="58">
      <c r="A58" s="8" t="inlineStr">
        <is>
          <t>CALABAR&gt;LAGOS</t>
        </is>
      </c>
      <c r="B58" s="8" t="inlineStr">
        <is>
          <t>Ibadan → Calabar</t>
        </is>
      </c>
      <c r="C58" s="8" t="n">
        <v>3</v>
      </c>
      <c r="D58" s="12" t="n">
        <v>3871717.155280483</v>
      </c>
      <c r="E58" s="8" t="n"/>
      <c r="F58" s="12" t="n"/>
      <c r="G58" s="12" t="n"/>
    </row>
    <row r="59">
      <c r="A59" s="8" t="inlineStr">
        <is>
          <t>ENUGU&gt;LAGOS</t>
        </is>
      </c>
      <c r="B59" s="8" t="inlineStr">
        <is>
          <t>AMA → OTA</t>
        </is>
      </c>
      <c r="C59" s="8" t="n">
        <v>3</v>
      </c>
      <c r="D59" s="12" t="n">
        <v>1556023.061523389</v>
      </c>
      <c r="E59" s="8" t="n"/>
      <c r="F59" s="12" t="n"/>
      <c r="G59" s="12" t="n"/>
    </row>
    <row r="60">
      <c r="A60" s="8" t="inlineStr">
        <is>
          <t>SAGAMU&gt;LAGOS</t>
        </is>
      </c>
      <c r="B60" s="8" t="inlineStr">
        <is>
          <t>Lagos → Sagamu</t>
        </is>
      </c>
      <c r="C60" s="8" t="n">
        <v>3</v>
      </c>
      <c r="D60" s="12" t="n">
        <v>588139.5348837207</v>
      </c>
      <c r="E60" s="8" t="n">
        <v>3</v>
      </c>
      <c r="F60" s="12" t="n">
        <v>588139.5348837207</v>
      </c>
      <c r="G60" s="12" t="n">
        <v>650000</v>
      </c>
    </row>
    <row r="61">
      <c r="A61" s="8" t="inlineStr">
        <is>
          <t>OGUN&gt;LAGOS</t>
        </is>
      </c>
      <c r="B61" s="8" t="inlineStr">
        <is>
          <t>Ibadan → Idiroko</t>
        </is>
      </c>
      <c r="C61" s="8" t="n">
        <v>3</v>
      </c>
      <c r="D61" s="12" t="n">
        <v>1042594.418862138</v>
      </c>
      <c r="E61" s="8" t="n">
        <v>1</v>
      </c>
      <c r="F61" s="12" t="n">
        <v>1135783.256586415</v>
      </c>
      <c r="G61" s="12" t="n">
        <v>1135783.256586415</v>
      </c>
    </row>
    <row r="62">
      <c r="A62" s="8" t="inlineStr">
        <is>
          <t>UROMI&gt;LAGOS</t>
        </is>
      </c>
      <c r="B62" s="8" t="inlineStr">
        <is>
          <t>Ibadan → Ekpoma</t>
        </is>
      </c>
      <c r="C62" s="8" t="n">
        <v>3</v>
      </c>
      <c r="D62" s="12" t="n">
        <v>1565362.157127293</v>
      </c>
      <c r="E62" s="8" t="n"/>
      <c r="F62" s="12" t="n"/>
      <c r="G62" s="12" t="n"/>
    </row>
    <row r="63">
      <c r="A63" s="8" t="inlineStr">
        <is>
          <t>IKEJA-AGEGE-DOPEMU-MAGODO&gt;LAGOS</t>
        </is>
      </c>
      <c r="B63" s="8" t="inlineStr">
        <is>
          <t>Ibadan → Shasha</t>
        </is>
      </c>
      <c r="C63" s="8" t="n">
        <v>3</v>
      </c>
      <c r="D63" s="12" t="n">
        <v>697200</v>
      </c>
      <c r="E63" s="8" t="n"/>
      <c r="F63" s="12" t="n"/>
      <c r="G63" s="12" t="n"/>
    </row>
    <row r="64">
      <c r="A64" s="8" t="inlineStr">
        <is>
          <t>ILE-IFE&gt;LAGOS</t>
        </is>
      </c>
      <c r="B64" s="8" t="inlineStr">
        <is>
          <t>Ibadan → Ile-Ife</t>
        </is>
      </c>
      <c r="C64" s="8" t="n">
        <v>2</v>
      </c>
      <c r="D64" s="12" t="n">
        <v>389050.4443270208</v>
      </c>
      <c r="E64" s="8" t="n"/>
      <c r="F64" s="12" t="n"/>
      <c r="G64" s="12" t="n"/>
    </row>
    <row r="65">
      <c r="A65" s="8" t="inlineStr">
        <is>
          <t>ADO-EKITI&gt;LAGOS</t>
        </is>
      </c>
      <c r="B65" s="8" t="inlineStr">
        <is>
          <t>Ijebu ODE → Ado-Ekiti</t>
        </is>
      </c>
      <c r="C65" s="8" t="n">
        <v>2</v>
      </c>
      <c r="D65" s="12" t="n">
        <v>1517587.814977</v>
      </c>
      <c r="E65" s="8" t="n"/>
      <c r="F65" s="12" t="n"/>
      <c r="G65" s="12" t="n"/>
    </row>
    <row r="66">
      <c r="A66" s="8" t="inlineStr">
        <is>
          <t>LAFIA&gt;IBADAN</t>
        </is>
      </c>
      <c r="B66" s="8" t="inlineStr">
        <is>
          <t>Ibadan → Lafia</t>
        </is>
      </c>
      <c r="C66" s="8" t="n">
        <v>2</v>
      </c>
      <c r="D66" s="12" t="n">
        <v>2956618.476744185</v>
      </c>
      <c r="E66" s="8" t="n">
        <v>1</v>
      </c>
      <c r="F66" s="12" t="n">
        <v>3097423</v>
      </c>
      <c r="G66" s="12" t="n">
        <v>3097423</v>
      </c>
    </row>
    <row r="67">
      <c r="A67" s="8" t="inlineStr">
        <is>
          <t>FESTAC-MILE2 --AMOWO-OKOTA&gt;LAGOS</t>
        </is>
      </c>
      <c r="B67" s="8" t="inlineStr">
        <is>
          <t>Ibadan → Festac</t>
        </is>
      </c>
      <c r="C67" s="8" t="n">
        <v>2</v>
      </c>
      <c r="D67" s="12" t="n">
        <v>737040</v>
      </c>
      <c r="E67" s="8" t="n"/>
      <c r="F67" s="12" t="n"/>
      <c r="G67" s="12" t="n"/>
    </row>
    <row r="68">
      <c r="A68" s="8" t="inlineStr">
        <is>
          <t>AYANGBA&gt;LAGOS</t>
        </is>
      </c>
      <c r="B68" s="8" t="inlineStr">
        <is>
          <t>Lagos → Anyigba</t>
        </is>
      </c>
      <c r="C68" s="8" t="n">
        <v>2</v>
      </c>
      <c r="D68" s="12" t="n">
        <v>1790139.53488372</v>
      </c>
      <c r="E68" s="8" t="n"/>
      <c r="F68" s="12" t="n"/>
      <c r="G68" s="12" t="n"/>
    </row>
    <row r="69">
      <c r="A69" s="8" t="inlineStr">
        <is>
          <t>ABEOKUTA&gt;LAGOS</t>
        </is>
      </c>
      <c r="B69" s="8" t="inlineStr">
        <is>
          <t>Ibadan → Abeokuta</t>
        </is>
      </c>
      <c r="C69" s="8" t="n">
        <v>2</v>
      </c>
      <c r="D69" s="12" t="n">
        <v>538828.1395348834</v>
      </c>
      <c r="E69" s="8" t="n"/>
      <c r="F69" s="12" t="n"/>
      <c r="G69" s="12" t="n"/>
    </row>
    <row r="70">
      <c r="A70" s="8" t="inlineStr">
        <is>
          <t>GBOKO&gt;LAGOS</t>
        </is>
      </c>
      <c r="B70" s="8" t="inlineStr">
        <is>
          <t>Ijebu ODE → Gboko</t>
        </is>
      </c>
      <c r="C70" s="8" t="n">
        <v>2</v>
      </c>
      <c r="D70" s="12" t="n">
        <v>3440091.398052454</v>
      </c>
      <c r="E70" s="8" t="n"/>
      <c r="F70" s="12" t="n"/>
      <c r="G70" s="12" t="n"/>
    </row>
    <row r="71">
      <c r="A71" s="8" t="inlineStr">
        <is>
          <t>SHENDAM&gt;LAGOS</t>
        </is>
      </c>
      <c r="B71" s="8" t="inlineStr">
        <is>
          <t>Ilesa → Shendam</t>
        </is>
      </c>
      <c r="C71" s="8" t="n">
        <v>2</v>
      </c>
      <c r="D71" s="12" t="n">
        <v>2139098.938643117</v>
      </c>
      <c r="E71" s="8" t="n"/>
      <c r="F71" s="12" t="n"/>
      <c r="G71" s="12" t="n"/>
    </row>
    <row r="72">
      <c r="A72" s="8" t="inlineStr">
        <is>
          <t>UMUAHIA&gt;LAGOS</t>
        </is>
      </c>
      <c r="B72" s="8" t="inlineStr">
        <is>
          <t>Ibadan → Okigwe</t>
        </is>
      </c>
      <c r="C72" s="8" t="n">
        <v>2</v>
      </c>
      <c r="D72" s="12" t="n">
        <v>1552715.416745326</v>
      </c>
      <c r="E72" s="8" t="n"/>
      <c r="F72" s="12" t="n"/>
      <c r="G72" s="12" t="n"/>
    </row>
    <row r="73">
      <c r="A73" s="8" t="inlineStr">
        <is>
          <t>OMU-ARAN&gt;LAGOS</t>
        </is>
      </c>
      <c r="B73" s="8" t="inlineStr">
        <is>
          <t>Lagos → Ilorin/Omu-Aran</t>
        </is>
      </c>
      <c r="C73" s="8" t="n">
        <v>2</v>
      </c>
      <c r="D73" s="12" t="n">
        <v>1153098.588853276</v>
      </c>
      <c r="E73" s="8" t="n"/>
      <c r="F73" s="12" t="n"/>
      <c r="G73" s="12" t="n"/>
    </row>
    <row r="74">
      <c r="A74" s="8" t="inlineStr">
        <is>
          <t>SANGO OTTA&gt;LAGOS</t>
        </is>
      </c>
      <c r="B74" s="8" t="inlineStr">
        <is>
          <t>Ibadan → Sango</t>
        </is>
      </c>
      <c r="C74" s="8" t="n">
        <v>2</v>
      </c>
      <c r="D74" s="12" t="n">
        <v>74700</v>
      </c>
      <c r="E74" s="8" t="n"/>
      <c r="F74" s="12" t="n"/>
      <c r="G74" s="12" t="n"/>
    </row>
    <row r="75">
      <c r="A75" s="8" t="inlineStr">
        <is>
          <t>UYO&gt;LAGOS</t>
        </is>
      </c>
      <c r="B75" s="8" t="inlineStr">
        <is>
          <t>Lagos → UYO</t>
        </is>
      </c>
      <c r="C75" s="8" t="n">
        <v>2</v>
      </c>
      <c r="D75" s="12" t="n">
        <v>2232558.13953488</v>
      </c>
      <c r="E75" s="8" t="n">
        <v>2</v>
      </c>
      <c r="F75" s="12" t="n">
        <v>2232558.13953488</v>
      </c>
      <c r="G75" s="12" t="n">
        <v>2232558.13953488</v>
      </c>
    </row>
    <row r="76">
      <c r="A76" s="8" t="inlineStr">
        <is>
          <t>GBOKO&gt;IBADAN</t>
        </is>
      </c>
      <c r="B76" s="8" t="inlineStr">
        <is>
          <t>Ilesa → Gboko</t>
        </is>
      </c>
      <c r="C76" s="8" t="n">
        <v>1</v>
      </c>
      <c r="D76" s="12" t="n">
        <v>1615591.931090851</v>
      </c>
      <c r="E76" s="8" t="n"/>
      <c r="F76" s="12" t="n"/>
      <c r="G76" s="12" t="n"/>
    </row>
    <row r="77">
      <c r="A77" s="8" t="inlineStr">
        <is>
          <t>IFON&gt;LAGOS</t>
        </is>
      </c>
      <c r="B77" s="8" t="inlineStr">
        <is>
          <t>Ibadan → Ifon Osun</t>
        </is>
      </c>
      <c r="C77" s="8" t="n">
        <v>1</v>
      </c>
      <c r="D77" s="12" t="n">
        <v>559373.2538688094</v>
      </c>
      <c r="E77" s="8" t="n"/>
      <c r="F77" s="12" t="n"/>
      <c r="G77" s="12" t="n"/>
    </row>
    <row r="78">
      <c r="A78" s="8" t="inlineStr">
        <is>
          <t>AWKA&gt;LAGOS</t>
        </is>
      </c>
      <c r="B78" s="8" t="inlineStr">
        <is>
          <t>Lagos → Anambra</t>
        </is>
      </c>
      <c r="C78" s="8" t="n">
        <v>1</v>
      </c>
      <c r="D78" s="12" t="n">
        <v>2500000</v>
      </c>
      <c r="E78" s="8" t="n">
        <v>1</v>
      </c>
      <c r="F78" s="12" t="n">
        <v>2500000</v>
      </c>
      <c r="G78" s="12" t="n">
        <v>2500000</v>
      </c>
    </row>
    <row r="79">
      <c r="A79" s="8" t="inlineStr">
        <is>
          <t>AGBARA-BADAGRI&gt;LAGOS</t>
        </is>
      </c>
      <c r="B79" s="8" t="inlineStr">
        <is>
          <t>Ibadan → Badagry</t>
        </is>
      </c>
      <c r="C79" s="8" t="n">
        <v>1</v>
      </c>
      <c r="D79" s="12" t="n">
        <v>1147141.089152279</v>
      </c>
      <c r="E79" s="8" t="n"/>
      <c r="F79" s="12" t="n"/>
      <c r="G79" s="12" t="n"/>
    </row>
    <row r="80">
      <c r="A80" s="8" t="inlineStr">
        <is>
          <t>ADIKPO&gt;LAGOS</t>
        </is>
      </c>
      <c r="B80" s="8" t="inlineStr">
        <is>
          <t>Ibadan → Adikpo/Gboko</t>
        </is>
      </c>
      <c r="C80" s="8" t="n">
        <v>1</v>
      </c>
      <c r="D80" s="12" t="n">
        <v>4332600</v>
      </c>
      <c r="E80" s="8" t="n"/>
      <c r="F80" s="12" t="n"/>
      <c r="G80" s="12" t="n"/>
    </row>
    <row r="81">
      <c r="A81" s="8" t="inlineStr">
        <is>
          <t>BIDA&gt;IBADAN</t>
        </is>
      </c>
      <c r="B81" s="8" t="inlineStr">
        <is>
          <t>Ibadan → Bida</t>
        </is>
      </c>
      <c r="C81" s="8" t="n">
        <v>1</v>
      </c>
      <c r="D81" s="12" t="n">
        <v>1759899.53</v>
      </c>
      <c r="E81" s="8" t="n">
        <v>1</v>
      </c>
      <c r="F81" s="12" t="n">
        <v>1759899.53</v>
      </c>
      <c r="G81" s="12" t="n">
        <v>1759899.53</v>
      </c>
    </row>
    <row r="82">
      <c r="A82" s="8" t="inlineStr">
        <is>
          <t>AGBARA&gt;LAGOS</t>
        </is>
      </c>
      <c r="B82" s="8" t="inlineStr">
        <is>
          <t>Ibadan → Agbara</t>
        </is>
      </c>
      <c r="C82" s="8" t="n">
        <v>1</v>
      </c>
      <c r="D82" s="12" t="n">
        <v>199200</v>
      </c>
      <c r="E82" s="8" t="n"/>
      <c r="F82" s="12" t="n"/>
      <c r="G82" s="12" t="n"/>
    </row>
    <row r="83">
      <c r="A83" s="8" t="inlineStr">
        <is>
          <t>ALABA&gt;LAGOS</t>
        </is>
      </c>
      <c r="B83" s="8" t="inlineStr">
        <is>
          <t>Lagos → Alaba</t>
        </is>
      </c>
      <c r="C83" s="8" t="n">
        <v>1</v>
      </c>
      <c r="D83" s="12" t="n">
        <v>385000</v>
      </c>
      <c r="E83" s="8" t="n"/>
      <c r="F83" s="12" t="n"/>
      <c r="G83" s="12" t="n"/>
    </row>
    <row r="84">
      <c r="A84" s="8" t="inlineStr">
        <is>
          <t>AJAO ESTATE&gt;LAGOS</t>
        </is>
      </c>
      <c r="B84" s="8" t="inlineStr">
        <is>
          <t>Lagos → Ajao Estate</t>
        </is>
      </c>
      <c r="C84" s="8" t="n">
        <v>1</v>
      </c>
      <c r="D84" s="12" t="n">
        <v>485000</v>
      </c>
      <c r="E84" s="8" t="n">
        <v>1</v>
      </c>
      <c r="F84" s="12" t="n">
        <v>485000</v>
      </c>
      <c r="G84" s="12" t="n">
        <v>485000</v>
      </c>
    </row>
    <row r="85">
      <c r="A85" s="8" t="inlineStr">
        <is>
          <t>APAPA&gt;LAGOS</t>
        </is>
      </c>
      <c r="B85" s="8" t="inlineStr">
        <is>
          <t>Lagos → Kirikiri</t>
        </is>
      </c>
      <c r="C85" s="8" t="n">
        <v>1</v>
      </c>
      <c r="D85" s="12" t="n">
        <v>790697.67</v>
      </c>
      <c r="E85" s="8" t="n">
        <v>1</v>
      </c>
      <c r="F85" s="12" t="n">
        <v>790697.67</v>
      </c>
      <c r="G85" s="12" t="n">
        <v>790697.67</v>
      </c>
    </row>
    <row r="86">
      <c r="A86" s="8" t="inlineStr">
        <is>
          <t>ILESA&gt;LAGOS</t>
        </is>
      </c>
      <c r="B86" s="8" t="inlineStr">
        <is>
          <t>Ibadan → Ilesa</t>
        </is>
      </c>
      <c r="C86" s="8" t="n">
        <v>1</v>
      </c>
      <c r="D86" s="12" t="n">
        <v>576410.0027176058</v>
      </c>
      <c r="E86" s="8" t="n"/>
      <c r="F86" s="12" t="n"/>
      <c r="G86" s="12" t="n"/>
    </row>
    <row r="87">
      <c r="A87" s="8" t="inlineStr">
        <is>
          <t>MINNA&gt;LAGOS</t>
        </is>
      </c>
      <c r="B87" s="8" t="inlineStr">
        <is>
          <t>Lagos → Minna</t>
        </is>
      </c>
      <c r="C87" s="8" t="n">
        <v>1</v>
      </c>
      <c r="D87" s="12" t="n">
        <v>2500000</v>
      </c>
      <c r="E87" s="8" t="n">
        <v>1</v>
      </c>
      <c r="F87" s="12" t="n">
        <v>2500000</v>
      </c>
      <c r="G87" s="12" t="n">
        <v>2500000</v>
      </c>
    </row>
    <row r="88">
      <c r="A88" s="8" t="inlineStr">
        <is>
          <t>MARABA&gt;LAGOS</t>
        </is>
      </c>
      <c r="B88" s="8" t="inlineStr">
        <is>
          <t>Ibadan → Mararaba</t>
        </is>
      </c>
      <c r="C88" s="8" t="n">
        <v>1</v>
      </c>
      <c r="D88" s="12" t="n">
        <v>3046938.095417887</v>
      </c>
      <c r="E88" s="8" t="n"/>
      <c r="F88" s="12" t="n"/>
      <c r="G88" s="12" t="n"/>
    </row>
    <row r="89">
      <c r="A89" s="8" t="inlineStr">
        <is>
          <t>MAIDUGURI&gt;LAGOS</t>
        </is>
      </c>
      <c r="B89" s="8" t="inlineStr">
        <is>
          <t>Lagos → Maiduguri</t>
        </is>
      </c>
      <c r="C89" s="8" t="n">
        <v>1</v>
      </c>
      <c r="D89" s="12" t="n">
        <v>6000000</v>
      </c>
      <c r="E89" s="8" t="n">
        <v>1</v>
      </c>
      <c r="F89" s="12" t="n">
        <v>6000000</v>
      </c>
      <c r="G89" s="12" t="n">
        <v>6000000</v>
      </c>
    </row>
    <row r="90">
      <c r="A90" s="8" t="inlineStr">
        <is>
          <t>MAKURDI&gt;LAGOS</t>
        </is>
      </c>
      <c r="B90" s="8" t="inlineStr">
        <is>
          <t>Ijebu ODE → Makurdi</t>
        </is>
      </c>
      <c r="C90" s="8" t="n">
        <v>1</v>
      </c>
      <c r="D90" s="12" t="n">
        <v>2007496.906016489</v>
      </c>
      <c r="E90" s="8" t="n"/>
      <c r="F90" s="12" t="n"/>
      <c r="G90" s="12" t="n"/>
    </row>
    <row r="91">
      <c r="A91" s="8" t="inlineStr">
        <is>
          <t>KONTAGORA&gt;LAGOS</t>
        </is>
      </c>
      <c r="B91" s="8" t="inlineStr">
        <is>
          <t>Ibadan → Kotangora</t>
        </is>
      </c>
      <c r="C91" s="8" t="n">
        <v>1</v>
      </c>
      <c r="D91" s="12" t="n">
        <v>2534254.88372093</v>
      </c>
      <c r="E91" s="8" t="n"/>
      <c r="F91" s="12" t="n"/>
      <c r="G91" s="12" t="n"/>
    </row>
    <row r="92">
      <c r="A92" s="8" t="inlineStr">
        <is>
          <t>ISEYIN&gt;LAGOS</t>
        </is>
      </c>
      <c r="B92" s="8" t="inlineStr">
        <is>
          <t>Ibadan → Igboora</t>
        </is>
      </c>
      <c r="C92" s="8" t="n">
        <v>1</v>
      </c>
      <c r="D92" s="12" t="n">
        <v>1044783.256586415</v>
      </c>
      <c r="E92" s="8" t="n"/>
      <c r="F92" s="12" t="n"/>
      <c r="G92" s="12" t="n"/>
    </row>
    <row r="93">
      <c r="A93" s="8" t="inlineStr">
        <is>
          <t>IKARE&gt;LAGOS</t>
        </is>
      </c>
      <c r="B93" s="8" t="inlineStr">
        <is>
          <t>Ibadan → Ikare Akoko</t>
        </is>
      </c>
      <c r="C93" s="8" t="n">
        <v>1</v>
      </c>
      <c r="D93" s="12" t="n">
        <v>1294800</v>
      </c>
      <c r="E93" s="8" t="n"/>
      <c r="F93" s="12" t="n"/>
      <c r="G93" s="12" t="n"/>
    </row>
    <row r="94">
      <c r="A94" s="8" t="inlineStr">
        <is>
          <t>OKENE&gt;LAGOS</t>
        </is>
      </c>
      <c r="B94" s="8" t="inlineStr">
        <is>
          <t>Lagos → Okene</t>
        </is>
      </c>
      <c r="C94" s="8" t="n">
        <v>1</v>
      </c>
      <c r="D94" s="12" t="n">
        <v>2453579</v>
      </c>
      <c r="E94" s="8" t="n">
        <v>1</v>
      </c>
      <c r="F94" s="12" t="n">
        <v>2453579</v>
      </c>
      <c r="G94" s="12" t="n">
        <v>2453579</v>
      </c>
    </row>
    <row r="95">
      <c r="A95" s="8" t="inlineStr">
        <is>
          <t>OTUKPO&gt;IBADAN</t>
        </is>
      </c>
      <c r="B95" s="8" t="inlineStr">
        <is>
          <t>Otukpa → Ibadan</t>
        </is>
      </c>
      <c r="C95" s="8" t="n">
        <v>1</v>
      </c>
      <c r="D95" s="12" t="n">
        <v>900108.2308447341</v>
      </c>
      <c r="E95" s="8" t="n"/>
      <c r="F95" s="12" t="n"/>
      <c r="G95" s="12" t="n"/>
    </row>
    <row r="96">
      <c r="A96" s="8" t="inlineStr">
        <is>
          <t>OSUN&gt;LAGOS</t>
        </is>
      </c>
      <c r="B96" s="8" t="inlineStr">
        <is>
          <t>Lagos → Osun</t>
        </is>
      </c>
      <c r="C96" s="8" t="n">
        <v>1</v>
      </c>
      <c r="D96" s="12" t="n">
        <v>650000</v>
      </c>
      <c r="E96" s="8" t="n"/>
      <c r="F96" s="12" t="n"/>
      <c r="G96" s="12" t="n"/>
    </row>
    <row r="97">
      <c r="A97" s="8" t="inlineStr">
        <is>
          <t>ORON&gt;LAGOS</t>
        </is>
      </c>
      <c r="B97" s="8" t="inlineStr">
        <is>
          <t>Ibadan → Oron</t>
        </is>
      </c>
      <c r="C97" s="8" t="n">
        <v>1</v>
      </c>
      <c r="D97" s="12" t="n">
        <v>4162645.635389212</v>
      </c>
      <c r="E97" s="8" t="n">
        <v>1</v>
      </c>
      <c r="F97" s="12" t="n">
        <v>4162645.635389212</v>
      </c>
      <c r="G97" s="12" t="n">
        <v>4162645.635389212</v>
      </c>
    </row>
    <row r="98">
      <c r="A98" s="8" t="inlineStr">
        <is>
          <t>ORE&gt;LAGOS</t>
        </is>
      </c>
      <c r="B98" s="8" t="inlineStr">
        <is>
          <t>Ibadan → ORE</t>
        </is>
      </c>
      <c r="C98" s="8" t="n">
        <v>1</v>
      </c>
      <c r="D98" s="12" t="n">
        <v>946200</v>
      </c>
      <c r="E98" s="8" t="n"/>
      <c r="F98" s="12" t="n"/>
      <c r="G98" s="12" t="n"/>
    </row>
    <row r="99">
      <c r="A99" s="8" t="inlineStr">
        <is>
          <t>NSUKKA&gt;LAGOS</t>
        </is>
      </c>
      <c r="B99" s="8" t="inlineStr">
        <is>
          <t>Ibadan → Nsukka / Orba</t>
        </is>
      </c>
      <c r="C99" s="8" t="n">
        <v>1</v>
      </c>
      <c r="D99" s="12" t="n">
        <v>3339202.774364061</v>
      </c>
      <c r="E99" s="8" t="n"/>
      <c r="F99" s="12" t="n"/>
      <c r="G99" s="12" t="n"/>
    </row>
    <row r="100">
      <c r="A100" s="8" t="inlineStr">
        <is>
          <t>OBUBRA&gt;LAGOS</t>
        </is>
      </c>
      <c r="B100" s="8" t="inlineStr">
        <is>
          <t>Ibadan → Afikpo</t>
        </is>
      </c>
      <c r="C100" s="8" t="n">
        <v>1</v>
      </c>
      <c r="D100" s="12" t="n">
        <v>1837129.417528527</v>
      </c>
      <c r="E100" s="8" t="n"/>
      <c r="F100" s="12" t="n"/>
      <c r="G100" s="12" t="n"/>
    </row>
    <row r="101">
      <c r="A101" s="8" t="inlineStr">
        <is>
          <t>OGBOMOSHO&gt;LAGOS</t>
        </is>
      </c>
      <c r="B101" s="8" t="inlineStr">
        <is>
          <t>Ibadan → Ogbomosho</t>
        </is>
      </c>
      <c r="C101" s="8" t="n">
        <v>1</v>
      </c>
      <c r="D101" s="12" t="n">
        <v>616162.4166981303</v>
      </c>
      <c r="E101" s="8" t="n"/>
      <c r="F101" s="12" t="n"/>
      <c r="G101" s="12" t="n"/>
    </row>
    <row r="102">
      <c r="A102" s="8" t="inlineStr">
        <is>
          <t>ZARIA&gt;IBADAN</t>
        </is>
      </c>
      <c r="B102" s="8" t="inlineStr">
        <is>
          <t>Ibadan → Zaria</t>
        </is>
      </c>
      <c r="C102" s="8" t="n">
        <v>1</v>
      </c>
      <c r="D102" s="12" t="n">
        <v>2956631</v>
      </c>
      <c r="E102" s="8" t="n">
        <v>1</v>
      </c>
      <c r="F102" s="12" t="n">
        <v>2956631</v>
      </c>
      <c r="G102" s="12" t="n">
        <v>2956631</v>
      </c>
    </row>
    <row r="103">
      <c r="A103" s="8" t="inlineStr">
        <is>
          <t>ILUPEJU-GBD-APAPA-MUSHIN-OKOTA-FADEYI&gt;LAGOS</t>
        </is>
      </c>
      <c r="B103" s="8" t="inlineStr">
        <is>
          <t>Lagos → Gbagada</t>
        </is>
      </c>
      <c r="C103" s="8" t="n"/>
      <c r="D103" s="12" t="n"/>
      <c r="E103" s="8" t="n"/>
      <c r="F103" s="12" t="n"/>
      <c r="G103" s="12" t="n"/>
    </row>
  </sheetData>
  <autoFilter ref="A4:G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2026-10-01T12:50:18Z</dcterms:created>
  <dcterms:modified xmlns:dcterms="http://purl.org/dc/terms/" xmlns:xsi="http://www.w3.org/2001/XMLSchema-instance" xsi:type="dcterms:W3CDTF">2026-10-01T12:50:20Z</dcterms:modified>
</cp:coreProperties>
</file>