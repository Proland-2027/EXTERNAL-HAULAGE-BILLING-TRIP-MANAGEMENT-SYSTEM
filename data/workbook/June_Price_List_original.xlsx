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dayekh\Desktop\Master Folder\Haulage Setup\2025\BP2026\Price List\Client Price List\"/>
    </mc:Choice>
  </mc:AlternateContent>
  <xr:revisionPtr revIDLastSave="0" documentId="13_ncr:1_{E540DD16-CCEA-4231-8DCD-6D52746B536C}" xr6:coauthVersionLast="47" xr6:coauthVersionMax="47" xr10:uidLastSave="{00000000-0000-0000-0000-000000000000}"/>
  <bookViews>
    <workbookView xWindow="-108" yWindow="-108" windowWidth="23256" windowHeight="12456" tabRatio="666" firstSheet="2" activeTab="2" xr2:uid="{9F4A39E6-4CCE-4E90-9414-0D0614CD4AFC}"/>
  </bookViews>
  <sheets>
    <sheet name="ILERA" sheetId="11" r:id="rId1"/>
    <sheet name="K&amp;D" sheetId="12" r:id="rId2"/>
    <sheet name="SASO" sheetId="1" r:id="rId3"/>
    <sheet name="VAndera" sheetId="2" r:id="rId4"/>
    <sheet name="Mega-Manu" sheetId="3" r:id="rId5"/>
    <sheet name="Natural Beauty" sheetId="4" r:id="rId6"/>
    <sheet name="JAMARA" sheetId="5" r:id="rId7"/>
    <sheet name="Interstyle" sheetId="8" r:id="rId8"/>
    <sheet name="IHS" sheetId="6" r:id="rId9"/>
    <sheet name="JMG" sheetId="7" r:id="rId10"/>
    <sheet name="Lacasera Palatized" sheetId="9" state="hidden" r:id="rId11"/>
    <sheet name="Lacasera Jumbo" sheetId="13" r:id="rId12"/>
    <sheet name="JAT" sheetId="10" r:id="rId13"/>
  </sheets>
  <externalReferences>
    <externalReference r:id="rId14"/>
  </externalReferences>
  <definedNames>
    <definedName name="\0">#REF!</definedName>
    <definedName name="\X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311_H">#REF!</definedName>
    <definedName name="_BOM2">#REF!</definedName>
    <definedName name="_COL1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hdr1">#REF!</definedName>
    <definedName name="_hdr2">#REF!</definedName>
    <definedName name="_hdr22">#REF!</definedName>
    <definedName name="_MAK1">#REF!</definedName>
    <definedName name="_MAK2">#REF!</definedName>
    <definedName name="_MAK3">#REF!</definedName>
    <definedName name="_MAK4">#REF!</definedName>
    <definedName name="_ONE1">#REF!</definedName>
    <definedName name="_Order1" hidden="1">0</definedName>
    <definedName name="_ROW1">#REF!</definedName>
    <definedName name="_SIX1">#REF!</definedName>
    <definedName name="_Sort" hidden="1">#REF!</definedName>
    <definedName name="_TEN1">#REF!</definedName>
    <definedName name="_TWO1">#REF!</definedName>
    <definedName name="○">#REF!</definedName>
    <definedName name="a">#REF!</definedName>
    <definedName name="A11A">#REF!</definedName>
    <definedName name="A11B">#REF!</definedName>
    <definedName name="A12A">#REF!</definedName>
    <definedName name="A12B">#REF!</definedName>
    <definedName name="A13A">#REF!</definedName>
    <definedName name="A13B">#REF!</definedName>
    <definedName name="A14A">#REF!</definedName>
    <definedName name="A14B">#REF!</definedName>
    <definedName name="A15A">#REF!</definedName>
    <definedName name="A15B">#REF!</definedName>
    <definedName name="A16A">#REF!</definedName>
    <definedName name="A16B">#REF!</definedName>
    <definedName name="A17A">#REF!</definedName>
    <definedName name="A17B">#REF!</definedName>
    <definedName name="A18A">#REF!</definedName>
    <definedName name="A18B">#REF!</definedName>
    <definedName name="A19A">#REF!</definedName>
    <definedName name="A19B">#REF!</definedName>
    <definedName name="A20A">#REF!</definedName>
    <definedName name="A20B">#REF!</definedName>
    <definedName name="A21A">#REF!</definedName>
    <definedName name="A21B">#REF!</definedName>
    <definedName name="A22A">#REF!</definedName>
    <definedName name="A22B">#REF!</definedName>
    <definedName name="A23A">#REF!</definedName>
    <definedName name="A23B">#REF!</definedName>
    <definedName name="A24A">#REF!</definedName>
    <definedName name="A24B">#REF!</definedName>
    <definedName name="A25A">#REF!</definedName>
    <definedName name="A25B">#REF!</definedName>
    <definedName name="AA">#REF!</definedName>
    <definedName name="aaaa">#REF!</definedName>
    <definedName name="aaaaaaaaaaaa">#REF!</definedName>
    <definedName name="Accountable_Profit">#REF!</definedName>
    <definedName name="Agent">#REF!</definedName>
    <definedName name="ALL">#REF!</definedName>
    <definedName name="AllocP1">#REF!</definedName>
    <definedName name="AllocP2">#REF!</definedName>
    <definedName name="AllParts">#REF!</definedName>
    <definedName name="AllPartsII">#REF!</definedName>
    <definedName name="AllPieceParts">#REF!</definedName>
    <definedName name="AltTable">#REF!</definedName>
    <definedName name="ANKA">#REF!</definedName>
    <definedName name="ANSO">#REF!</definedName>
    <definedName name="APPS_Month">#REF!</definedName>
    <definedName name="APPS_YTD">#REF!</definedName>
    <definedName name="April_YTD_DPP_3300_3500_Summari">#REF!</definedName>
    <definedName name="APS_Month">#REF!</definedName>
    <definedName name="APS_YTD">#REF!</definedName>
    <definedName name="AReview">#REF!</definedName>
    <definedName name="AS2DocOpenMode" hidden="1">"AS2DocumentEdit"</definedName>
    <definedName name="ascasdcac">#REF!</definedName>
    <definedName name="asdsdsdsd">#REF!</definedName>
    <definedName name="Assembly">#REF!</definedName>
    <definedName name="AUKA">#REF!</definedName>
    <definedName name="AUSO">#REF!</definedName>
    <definedName name="Barge">#REF!</definedName>
    <definedName name="BASE_TIME">#REF!</definedName>
    <definedName name="BASE_TIME_YTD">#REF!</definedName>
    <definedName name="BaseCost">#REF!</definedName>
    <definedName name="BD_Perc">#REF!</definedName>
    <definedName name="BlankSpace">#REF!</definedName>
    <definedName name="BOM">#REF!</definedName>
    <definedName name="BOMLT">#REF!</definedName>
    <definedName name="BOMLTII">#REF!</definedName>
    <definedName name="BRAN">#REF!</definedName>
    <definedName name="BRANC">#REF!</definedName>
    <definedName name="BU_list">#REF!</definedName>
    <definedName name="businessunit">#REF!</definedName>
    <definedName name="CALC">#REF!</definedName>
    <definedName name="CALCULATE">#REF!</definedName>
    <definedName name="CASHFLOW">#REF!</definedName>
    <definedName name="Cat_Brnd_Dsgn_Month">#REF!</definedName>
    <definedName name="Cat_Brnd_Dsgn_YTD">#REF!</definedName>
    <definedName name="CFVYR1">#REF!</definedName>
    <definedName name="CFYR1">#REF!</definedName>
    <definedName name="CFYR2">#REF!</definedName>
    <definedName name="ChildBom">#REF!</definedName>
    <definedName name="CHOICE1">#REF!</definedName>
    <definedName name="Client">"Client"</definedName>
    <definedName name="Client_Grade">"C"</definedName>
    <definedName name="CODE">#REF!</definedName>
    <definedName name="ColumnTitle1">#REF!</definedName>
    <definedName name="Comp_Month">#REF!</definedName>
    <definedName name="Comp_YTD">#REF!</definedName>
    <definedName name="Company">#REF!</definedName>
    <definedName name="ContAccessorials">#REF!</definedName>
    <definedName name="ContainerDestLandCost">#REF!</definedName>
    <definedName name="ContainerLandToLandCost">#REF!</definedName>
    <definedName name="ContainerOcean">#REF!</definedName>
    <definedName name="ContainerOriginLandCost">#REF!</definedName>
    <definedName name="ContainerTranspCost">#REF!</definedName>
    <definedName name="ContLandFactor">#REF!</definedName>
    <definedName name="COS">#REF!</definedName>
    <definedName name="Cost">#REF!</definedName>
    <definedName name="CostInput">#REF!</definedName>
    <definedName name="CostTable4">#REF!</definedName>
    <definedName name="CostTable5">#REF!</definedName>
    <definedName name="Country">#REF!</definedName>
    <definedName name="CPLRtrv1">#REF!</definedName>
    <definedName name="CPLRtrv2">#REF!</definedName>
    <definedName name="Criteria_3_1">#REF!</definedName>
    <definedName name="Criteria_3_2">#REF!</definedName>
    <definedName name="Criteria_3_3">#REF!</definedName>
    <definedName name="Criteria_4_1">#REF!</definedName>
    <definedName name="Criteria_4_2">#REF!</definedName>
    <definedName name="Criteria_4_3">#REF!</definedName>
    <definedName name="Criteria_5_1">#REF!</definedName>
    <definedName name="Criteria_5_2">#REF!</definedName>
    <definedName name="Criteria_5_3">#REF!</definedName>
    <definedName name="Criteria_6_1">#REF!</definedName>
    <definedName name="Criteria_6_2">#REF!</definedName>
    <definedName name="Criteria_6_3">#REF!</definedName>
    <definedName name="Criteria_7_1">#REF!</definedName>
    <definedName name="Criteria_7_2">#REF!</definedName>
    <definedName name="Criteria_7_3">#REF!</definedName>
    <definedName name="CSHFLOW">#REF!</definedName>
    <definedName name="CSHFLOW1">#REF!</definedName>
    <definedName name="CubeSize">#REF!</definedName>
    <definedName name="CurrentMonth">#REF!</definedName>
    <definedName name="Customer_Address">"Rm 2409, 24/F Winsor House"</definedName>
    <definedName name="Customer_City">"Causeway Bay, Hong KOng"</definedName>
    <definedName name="Customer_Name">#REF!</definedName>
    <definedName name="Customer_State">"Hong KOng"</definedName>
    <definedName name="Customer_ZIP">"sdf"</definedName>
    <definedName name="DATA">#REF!</definedName>
    <definedName name="_xlnm.Database">#REF!</definedName>
    <definedName name="DataMkt">#REF!</definedName>
    <definedName name="DataNPC">#REF!</definedName>
    <definedName name="DataPivot">#REF!</definedName>
    <definedName name="DateRange">"1998.10.01 To 1998.10.31"</definedName>
    <definedName name="dbo_tblMultiModels">#REF!</definedName>
    <definedName name="DecHdr">#REF!</definedName>
    <definedName name="DEPSCHD">#REF!</definedName>
    <definedName name="DIMENS_1">#REF!</definedName>
    <definedName name="DIMENS_2">#REF!</definedName>
    <definedName name="DIMENS_3">#REF!</definedName>
    <definedName name="DIMENS_4">#REF!</definedName>
    <definedName name="DIMENS_5">#REF!</definedName>
    <definedName name="DIMENS_6">#REF!</definedName>
    <definedName name="DIMENS_7">#REF!</definedName>
    <definedName name="DIMENS_8">#REF!</definedName>
    <definedName name="Discount">#REF!</definedName>
    <definedName name="Display_Component_Design_Information">#REF!</definedName>
    <definedName name="Division">'[1]BP Setup'!$C$6:$C$45</definedName>
    <definedName name="DPP_3300_3500_Summed_Dec_YTD_20">#REF!</definedName>
    <definedName name="DPP_June_YTD_3300_3500_Summed">#REF!</definedName>
    <definedName name="DPP_Month">#REF!</definedName>
    <definedName name="DPP_YTD">#REF!</definedName>
    <definedName name="Duty">#REF!</definedName>
    <definedName name="Dynamics">#REF!</definedName>
    <definedName name="E_Rate">#REF!</definedName>
    <definedName name="EAME_Month">#REF!</definedName>
    <definedName name="EAME_YTD">#REF!</definedName>
    <definedName name="eee">#REF!</definedName>
    <definedName name="EIGHT">#REF!</definedName>
    <definedName name="EIGHT1">#REF!</definedName>
    <definedName name="EIN">#REF!</definedName>
    <definedName name="EngTable">#REF!</definedName>
    <definedName name="ENTDATA">#REF!</definedName>
    <definedName name="EP_Admin_Month">#REF!</definedName>
    <definedName name="EP_Admin_YTD">#REF!</definedName>
    <definedName name="EPG___entire_RFP_by_plant">#REF!</definedName>
    <definedName name="EPNA_Month">#REF!</definedName>
    <definedName name="EPNA_YTD">#REF!</definedName>
    <definedName name="EPNA123">#REF!</definedName>
    <definedName name="EPRINT">#REF!</definedName>
    <definedName name="EQUIPMENT">#REF!</definedName>
    <definedName name="Equipment_Database">#REF!</definedName>
    <definedName name="Equipmenttt">#REF!</definedName>
    <definedName name="EVIEW">#REF!</definedName>
    <definedName name="Ex_CNY_08BP">#REF!</definedName>
    <definedName name="Ex_INR">#REF!</definedName>
    <definedName name="Ex_INR_2010">#REF!</definedName>
    <definedName name="Ex_INR_2015">#REF!</definedName>
    <definedName name="ExBRL">#REF!</definedName>
    <definedName name="ExBrP">#REF!</definedName>
    <definedName name="ExEur">#REF!</definedName>
    <definedName name="ExINR">#REF!</definedName>
    <definedName name="ExRMB">#REF!</definedName>
    <definedName name="F_A_INPUT_JV">#REF!</definedName>
    <definedName name="F_A_SENST_JV">#REF!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GW_Month">#REF!</definedName>
    <definedName name="FGW_YTD">#REF!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
"</definedName>
    <definedName name="Figure_4_Head">"Daily Virus Count"</definedName>
    <definedName name="Figure_5_Comment">" 
"</definedName>
    <definedName name="Figure_5_Head">"Virus Type Analysis"</definedName>
    <definedName name="Figure_6_Comment">" 
"</definedName>
    <definedName name="Figure_6_Head">"Common Viruses"</definedName>
    <definedName name="Figure_7_Comment">" 
"</definedName>
    <definedName name="Figure_7_Head">"Virus Source Analysis"</definedName>
    <definedName name="Figure_8_Comment">" 
"</definedName>
    <definedName name="Figure_8_Head">"Virus Destination Analysis"</definedName>
    <definedName name="FileName">#REF!</definedName>
    <definedName name="FileServer">"File Server"</definedName>
    <definedName name="FileServer_Grade">"C"</definedName>
    <definedName name="FILLZERO">#REF!</definedName>
    <definedName name="FIRSTYEAR">#REF!</definedName>
    <definedName name="Fitting">#REF!</definedName>
    <definedName name="FIVE">#REF!</definedName>
    <definedName name="FIVE1">#REF!</definedName>
    <definedName name="FIX">#REF!</definedName>
    <definedName name="FlowStatusQuo">#REF!</definedName>
    <definedName name="FOB">#REF!</definedName>
    <definedName name="Forecast_Summary">#REF!</definedName>
    <definedName name="FORMAT">#REF!</definedName>
    <definedName name="FormMRtrv2">#REF!</definedName>
    <definedName name="FormMRtrv3">#REF!</definedName>
    <definedName name="FormMSend1">#REF!</definedName>
    <definedName name="FOUR">#REF!</definedName>
    <definedName name="FOUR1">#REF!</definedName>
    <definedName name="FXRtrv1">#REF!</definedName>
    <definedName name="FXRtrv2">#REF!</definedName>
    <definedName name="gEEV">#REF!</definedName>
    <definedName name="Glb_Mktg_Month">#REF!</definedName>
    <definedName name="Glb_Mktg_YTD">#REF!</definedName>
    <definedName name="Grade">"C"</definedName>
    <definedName name="Grade_Level">"Grade "</definedName>
    <definedName name="gtsd">#REF!</definedName>
    <definedName name="hf">#REF!</definedName>
    <definedName name="hid_switch">#REF!</definedName>
    <definedName name="hidden">#REF!</definedName>
    <definedName name="HKI">#REF!</definedName>
    <definedName name="Home">#REF!</definedName>
    <definedName name="HOWMANY">#REF!</definedName>
    <definedName name="HPL_Month">#REF!</definedName>
    <definedName name="HPL_YTD">#REF!</definedName>
    <definedName name="id">#REF!</definedName>
    <definedName name="INFL1">#REF!</definedName>
    <definedName name="INFL2">#REF!</definedName>
    <definedName name="INFLATION">#REF!</definedName>
    <definedName name="INPUT">#REF!</definedName>
    <definedName name="INPUT_J.VENTURE">#REF!</definedName>
    <definedName name="Instruments_Database">#REF!</definedName>
    <definedName name="InternetProtection">"Internet Protection"</definedName>
    <definedName name="InternetProtection_Grade">"C"</definedName>
    <definedName name="IRR">#REF!</definedName>
    <definedName name="JunHdr">#REF!</definedName>
    <definedName name="JVDATA">#REF!</definedName>
    <definedName name="KONS">#REF!</definedName>
    <definedName name="KPI">#REF!</definedName>
    <definedName name="KPI_Inputs">#REF!</definedName>
    <definedName name="kri">#REF!</definedName>
    <definedName name="kuwhgeduqwebacjkbsjdkcbs">#REF!</definedName>
    <definedName name="L1FixPeriodCost">#REF!</definedName>
    <definedName name="L1FlexPeriodCost">#REF!</definedName>
    <definedName name="L1PBaseCost">#REF!</definedName>
    <definedName name="L1VarCost">#REF!</definedName>
    <definedName name="L2FixPeriodCost">#REF!</definedName>
    <definedName name="L2FlexPeriodCost">#REF!</definedName>
    <definedName name="L2NProdCost">#REF!</definedName>
    <definedName name="L2VarCost">#REF!</definedName>
    <definedName name="L3FixPeriodCost">#REF!</definedName>
    <definedName name="L3FlexPeriodCost">#REF!</definedName>
    <definedName name="L3NProdCost">#REF!</definedName>
    <definedName name="L3VarCost">#REF!</definedName>
    <definedName name="LandedIndia">#REF!</definedName>
    <definedName name="LAST">#REF!</definedName>
    <definedName name="LIFE">#REF!</definedName>
    <definedName name="Lister">#REF!</definedName>
    <definedName name="LISTPRICE">#REF!</definedName>
    <definedName name="Loadability">#REF!</definedName>
    <definedName name="Loc">#REF!</definedName>
    <definedName name="LPC_Month">#REF!</definedName>
    <definedName name="LPC_YTD">#REF!</definedName>
    <definedName name="LRF_EPG_Region__Bev_Fritz_">#REF!</definedName>
    <definedName name="M_ERESIDUAL">#REF!</definedName>
    <definedName name="macro1">#REF!</definedName>
    <definedName name="MailSystem">"Mail System"</definedName>
    <definedName name="MailSystem_Grade">"C"</definedName>
    <definedName name="Mbr_List">#REF!</definedName>
    <definedName name="mbr_no">#REF!</definedName>
    <definedName name="MbrAlias">#REF!</definedName>
    <definedName name="MbrName">#REF!</definedName>
    <definedName name="MENU">#REF!</definedName>
    <definedName name="Month">#REF!</definedName>
    <definedName name="MSH150X6X3">#REF!</definedName>
    <definedName name="mybit">#REF!</definedName>
    <definedName name="NAME">#REF!</definedName>
    <definedName name="namee">#REF!</definedName>
    <definedName name="Net_Sales_Transfers">#REF!</definedName>
    <definedName name="Networkptions">#REF!</definedName>
    <definedName name="NINE">#REF!</definedName>
    <definedName name="NINE1">#REF!</definedName>
    <definedName name="NoYes">#REF!</definedName>
    <definedName name="NPI_ADJ_AND_SALES_ORD">#REF!</definedName>
    <definedName name="NSK">#REF!</definedName>
    <definedName name="OcFreight">#REF!</definedName>
    <definedName name="OFF">#REF!</definedName>
    <definedName name="Olly_Summed_ACL">#REF!</definedName>
    <definedName name="OLY_Join___Apr_June">#REF!</definedName>
    <definedName name="OLY_Joined">#REF!</definedName>
    <definedName name="Oly_Rebrand_Joined_Final">#REF!</definedName>
    <definedName name="Oly_Rebrand_Summed">#REF!</definedName>
    <definedName name="OLY_Sep06_YTD_Summed___ACL">#REF!</definedName>
    <definedName name="ON">#REF!</definedName>
    <definedName name="ONE">#REF!</definedName>
    <definedName name="Operation">'[1]BP Setup'!$B$6:$B$45</definedName>
    <definedName name="OptimTime">#REF!</definedName>
    <definedName name="P1Land">#REF!</definedName>
    <definedName name="P2Land">#REF!</definedName>
    <definedName name="P3Land">#REF!</definedName>
    <definedName name="percent">#REF!</definedName>
    <definedName name="PERCENTAGE">#REF!</definedName>
    <definedName name="PIA_RPT">#REF!</definedName>
    <definedName name="PL_names">#REF!</definedName>
    <definedName name="PLBUflag">#REF!</definedName>
    <definedName name="PLBUflag2">#REF!</definedName>
    <definedName name="PLRtrv1">#REF!</definedName>
    <definedName name="PLRtrv2">#REF!</definedName>
    <definedName name="PondiApr">#REF!</definedName>
    <definedName name="PondiAug">#REF!</definedName>
    <definedName name="PondiDec">#REF!</definedName>
    <definedName name="PondiFeb">#REF!</definedName>
    <definedName name="PondiJan">#REF!</definedName>
    <definedName name="PondiJly">#REF!</definedName>
    <definedName name="PondiJun">#REF!</definedName>
    <definedName name="PondiMar">#REF!</definedName>
    <definedName name="PondiMay">#REF!</definedName>
    <definedName name="PondiNov">#REF!</definedName>
    <definedName name="PondiOct">#REF!</definedName>
    <definedName name="PondiSep">#REF!</definedName>
    <definedName name="Port">#REF!</definedName>
    <definedName name="PrdCostRtrv1">#REF!</definedName>
    <definedName name="PrdCostRtrv2">#REF!</definedName>
    <definedName name="PRICE">#REF!</definedName>
    <definedName name="PRINT_SplitTTT_2002">#REF!</definedName>
    <definedName name="PRINT_SplitTTT_2003">#REF!</definedName>
    <definedName name="PRINT_STEX_2002">#REF!</definedName>
    <definedName name="PRINT_STEX_2003">#REF!</definedName>
    <definedName name="PRINT_Totaux_2002">#REF!</definedName>
    <definedName name="PRINT_Totaux_2003">#REF!</definedName>
    <definedName name="PRINT_TTL_2002">#REF!,#REF!</definedName>
    <definedName name="PRINT_TTL_2003">#REF!,#REF!</definedName>
    <definedName name="PRINT_TTT_2002">#REF!</definedName>
    <definedName name="PRINT_TTT_2003">#REF!</definedName>
    <definedName name="PRINT_TTT_TTL_2002">#REF!</definedName>
    <definedName name="PRINT_TTT_TTL_2003">#REF!</definedName>
    <definedName name="PRINT1">#REF!</definedName>
    <definedName name="PRINTJV">#REF!</definedName>
    <definedName name="PRIOR_MTH">#REF!</definedName>
    <definedName name="PRIOR_QTR">#REF!</definedName>
    <definedName name="PriorMonth">#REF!</definedName>
    <definedName name="Prod">#REF!</definedName>
    <definedName name="ProductivityOptions">#REF!</definedName>
    <definedName name="prog_clrarea">#REF!,#REF!,#REF!,#REF!,#REF!,#REF!</definedName>
    <definedName name="Project_Name">#REF!</definedName>
    <definedName name="Project_Number">#REF!</definedName>
    <definedName name="PT_YEAR">#REF!</definedName>
    <definedName name="q">#REF!</definedName>
    <definedName name="QTR">#REF!</definedName>
    <definedName name="QTY">#REF!</definedName>
    <definedName name="RBM___ADJUSTMENT_4__VOLUMES_EFFECT_ON_VARIABLE">#REF!</definedName>
    <definedName name="RECOMMENDATION">" 
"</definedName>
    <definedName name="REMARK">#REF!</definedName>
    <definedName name="REMARK_1">#REF!</definedName>
    <definedName name="Report_Title">"Trend eDoctor Virus Diagnostic Report for  Trend_Micro_HK_Limited"</definedName>
    <definedName name="RepPartsKey">#REF!</definedName>
    <definedName name="RESIDUAL">#REF!</definedName>
    <definedName name="RETURN1">#REF!</definedName>
    <definedName name="RETURN2">#REF!</definedName>
    <definedName name="RETURN3">#REF!</definedName>
    <definedName name="RETURN4">#REF!</definedName>
    <definedName name="RNG_TIME">#REF!</definedName>
    <definedName name="ROI">#REF!</definedName>
    <definedName name="RowTitleRegion1..E2">#REF!</definedName>
    <definedName name="s">#REF!</definedName>
    <definedName name="SALES">#REF!</definedName>
    <definedName name="SAPBEXrevision" hidden="1">2</definedName>
    <definedName name="SAPBEXsysID" hidden="1">"CBP"</definedName>
    <definedName name="SAPBEXwbID" hidden="1">"3YD0ZR9CTB994QJO15M69JYUD"</definedName>
    <definedName name="Scenario">#REF!</definedName>
    <definedName name="ScenarioNum">#REF!</definedName>
    <definedName name="SCORE">#REF!</definedName>
    <definedName name="scores">#REF!</definedName>
    <definedName name="sdcdsc">#REF!</definedName>
    <definedName name="SE_NAME">""</definedName>
    <definedName name="SEITE1">#REF!</definedName>
    <definedName name="SepHdr">#REF!</definedName>
    <definedName name="SERIES_1">#REF!</definedName>
    <definedName name="SERIES_2">#REF!</definedName>
    <definedName name="Service_Type">"Service Type"</definedName>
    <definedName name="SEVEN">#REF!</definedName>
    <definedName name="SEVEN1">#REF!</definedName>
    <definedName name="Shipping">#REF!</definedName>
    <definedName name="SI_NAME">"Trend Micro HK eDoctor"</definedName>
    <definedName name="SIX">#REF!</definedName>
    <definedName name="SixSigma">#REF!</definedName>
    <definedName name="SlsRcnRtrv2">#REF!</definedName>
    <definedName name="SlsRcnSend1">#REF!</definedName>
    <definedName name="SonDad">#REF!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ss">#REF!</definedName>
    <definedName name="START">#REF!</definedName>
    <definedName name="startPLflagA">#REF!</definedName>
    <definedName name="startPLflagB">#REF!</definedName>
    <definedName name="startPLflagC">#REF!</definedName>
    <definedName name="StartPLflagD">#REF!</definedName>
    <definedName name="startPLflagE">#REF!</definedName>
    <definedName name="startPLflagF">#REF!</definedName>
    <definedName name="startPLflagG">#REF!</definedName>
    <definedName name="startPLflagH">#REF!</definedName>
    <definedName name="startPLflagI">#REF!</definedName>
    <definedName name="Submission">#REF!</definedName>
    <definedName name="SUMMARY_PRINT">#REF!</definedName>
    <definedName name="Summed">#REF!</definedName>
    <definedName name="SUPPLIER_1">#REF!</definedName>
    <definedName name="SUPPLIER_2">#REF!</definedName>
    <definedName name="SYN_ItemType">#REF!</definedName>
    <definedName name="TABLE">#REF!</definedName>
    <definedName name="table1">#REF!</definedName>
    <definedName name="TechnologyOptions">#REF!</definedName>
    <definedName name="Telephone">"eDoctor"</definedName>
    <definedName name="TEN">#REF!</definedName>
    <definedName name="Terminal">#REF!</definedName>
    <definedName name="tese2">#REF!</definedName>
    <definedName name="test">#REF!</definedName>
    <definedName name="TEST0">#REF!</definedName>
    <definedName name="TESTHKEY">#REF!</definedName>
    <definedName name="TESTKEYS">#REF!</definedName>
    <definedName name="TestRange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8</definedName>
    <definedName name="THREE">#REF!</definedName>
    <definedName name="THREE1">#REF!</definedName>
    <definedName name="TOTALCONTCOST">#REF!</definedName>
    <definedName name="TransYld">#REF!</definedName>
    <definedName name="TruckTYPE">'[1]Average Pricing to Use'!$A$4:$A$12</definedName>
    <definedName name="TWO">#REF!</definedName>
    <definedName name="TYPE">#REF!</definedName>
    <definedName name="Type_of_Plant">#REF!</definedName>
    <definedName name="Type_of_Sale">#REF!</definedName>
    <definedName name="Types">#REF!</definedName>
    <definedName name="VALUE_1">#REF!</definedName>
    <definedName name="VALUE_2">#REF!</definedName>
    <definedName name="VALUE_3">#REF!</definedName>
    <definedName name="VALUE_4">#REF!</definedName>
    <definedName name="VALUE_5">#REF!</definedName>
    <definedName name="VALUE_6">#REF!</definedName>
    <definedName name="VALUE_7">#REF!</definedName>
    <definedName name="VALUE_8">#REF!</definedName>
    <definedName name="VarCstRtrv1">#REF!</definedName>
    <definedName name="VarCstRtrv2">#REF!</definedName>
    <definedName name="VarCstRtrv3">#REF!</definedName>
    <definedName name="Variable_Margin">#REF!</definedName>
    <definedName name="Variant2">#REF!</definedName>
    <definedName name="VIEW1">#REF!</definedName>
    <definedName name="VIEWJV">#REF!</definedName>
    <definedName name="VOL_EXT">#REF!</definedName>
    <definedName name="VolumeSend1">#REF!</definedName>
    <definedName name="VolumeSend2">#REF!</definedName>
    <definedName name="VOLYR1">#REF!</definedName>
    <definedName name="WBGLOBAL">1</definedName>
    <definedName name="we">#REF!</definedName>
    <definedName name="wwwwwwwwwwwwwwwwwwwwwwwwwwwwwwwwwww">#REF!</definedName>
    <definedName name="xfer_grid">#REF!</definedName>
    <definedName name="XfersCostRtrv1">#REF!</definedName>
    <definedName name="XfersIntrcoRtrv1">#REF!</definedName>
    <definedName name="Y_N">#REF!</definedName>
    <definedName name="Year">#REF!</definedName>
    <definedName name="YEARONE">#REF!</definedName>
    <definedName name="ZERO">#REF!</definedName>
    <definedName name="ZEROFILL">#REF!</definedName>
    <definedName name="ZERON">#REF!</definedName>
    <definedName name="ZEROY">#REF!</definedName>
    <definedName name="ZICO">#REF!</definedName>
    <definedName name="ｻﾏﾘ増減">#REF!</definedName>
    <definedName name="ｻﾏﾘ購買">#REF!</definedName>
    <definedName name="上在庫">#REF!</definedName>
    <definedName name="全体">#REF!</definedName>
    <definedName name="国内在庫">#REF!</definedName>
    <definedName name="国内生産">#REF!</definedName>
    <definedName name="国内販01">#REF!</definedName>
    <definedName name="国内販02">#REF!</definedName>
    <definedName name="国内販03">#REF!</definedName>
    <definedName name="国内販04">#REF!</definedName>
    <definedName name="国内販05">#REF!</definedName>
    <definedName name="国内販06">#REF!</definedName>
    <definedName name="国内販07">#REF!</definedName>
    <definedName name="国内販08">#REF!</definedName>
    <definedName name="国内販09">#REF!</definedName>
    <definedName name="国内販10">#REF!</definedName>
    <definedName name="国内販11">#REF!</definedName>
    <definedName name="国内販12">#REF!</definedName>
    <definedName name="国内販fh">#REF!</definedName>
    <definedName name="国内販lh">#REF!</definedName>
    <definedName name="国販9404">#REF!</definedName>
    <definedName name="国販9405">#REF!</definedName>
    <definedName name="国販9406">#REF!</definedName>
    <definedName name="国販9407">#REF!</definedName>
    <definedName name="国販9408">#REF!</definedName>
    <definedName name="国販9409">#REF!</definedName>
    <definedName name="機種">#REF!</definedName>
    <definedName name="海外在庫">#REF!</definedName>
    <definedName name="海外基準在庫">#REF!</definedName>
    <definedName name="海外基準在庫3ヵ年">#REF!</definedName>
    <definedName name="海外生産">#REF!</definedName>
    <definedName name="海外販01">#REF!</definedName>
    <definedName name="海外販02">#REF!</definedName>
    <definedName name="海外販03">#REF!</definedName>
    <definedName name="海外販04">#REF!</definedName>
    <definedName name="海外販05">#REF!</definedName>
    <definedName name="海外販06">#REF!</definedName>
    <definedName name="海外販07">#REF!</definedName>
    <definedName name="海外販08">#REF!</definedName>
    <definedName name="海外販09">#REF!</definedName>
    <definedName name="海外販10">#REF!</definedName>
    <definedName name="海外販11">#REF!</definedName>
    <definedName name="海外販12">#REF!</definedName>
    <definedName name="海外販fh">#REF!</definedName>
    <definedName name="海外販lh">#REF!</definedName>
    <definedName name="海販9404">#REF!</definedName>
    <definedName name="海販9405">#REF!</definedName>
    <definedName name="海販9406">#REF!</definedName>
    <definedName name="海販9407">#REF!</definedName>
    <definedName name="海販9408">#REF!</definedName>
    <definedName name="海販9409">#REF!</definedName>
    <definedName name="英ｻﾏﾘ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2" l="1"/>
  <c r="I6" i="11"/>
  <c r="I4" i="11"/>
  <c r="K5" i="4"/>
  <c r="K4" i="4"/>
  <c r="K3" i="9"/>
  <c r="L3" i="9" s="1"/>
  <c r="K4" i="9"/>
  <c r="L4" i="9" s="1"/>
  <c r="K5" i="9"/>
  <c r="L5" i="9" s="1"/>
  <c r="K6" i="9"/>
  <c r="L6" i="9" s="1"/>
  <c r="K7" i="9"/>
  <c r="L7" i="9" s="1"/>
  <c r="K8" i="9"/>
  <c r="L8" i="9" s="1"/>
  <c r="K9" i="9"/>
  <c r="L9" i="9" s="1"/>
  <c r="K10" i="9"/>
  <c r="L10" i="9" s="1"/>
  <c r="K11" i="9"/>
  <c r="L11" i="9" s="1"/>
  <c r="K12" i="9"/>
  <c r="L12" i="9" s="1"/>
  <c r="K13" i="9"/>
  <c r="L13" i="9" s="1"/>
  <c r="K14" i="9"/>
  <c r="L14" i="9" s="1"/>
  <c r="K15" i="9"/>
  <c r="L15" i="9" s="1"/>
  <c r="K16" i="9"/>
  <c r="L16" i="9" s="1"/>
  <c r="K17" i="9"/>
  <c r="L17" i="9" s="1"/>
  <c r="K18" i="9"/>
  <c r="L18" i="9" s="1"/>
  <c r="K19" i="9"/>
  <c r="L19" i="9" s="1"/>
  <c r="K20" i="9"/>
  <c r="L20" i="9" s="1"/>
  <c r="K21" i="9"/>
  <c r="L21" i="9" s="1"/>
  <c r="K22" i="9"/>
  <c r="L22" i="9" s="1"/>
  <c r="K23" i="9"/>
  <c r="L23" i="9" s="1"/>
  <c r="K24" i="9"/>
  <c r="L24" i="9" s="1"/>
  <c r="K25" i="9"/>
  <c r="L25" i="9" s="1"/>
  <c r="K26" i="9"/>
  <c r="L26" i="9" s="1"/>
  <c r="K27" i="9"/>
  <c r="L27" i="9" s="1"/>
  <c r="K28" i="9"/>
  <c r="L28" i="9" s="1"/>
  <c r="K29" i="9"/>
  <c r="L29" i="9" s="1"/>
  <c r="K30" i="9"/>
  <c r="L30" i="9" s="1"/>
  <c r="K31" i="9"/>
  <c r="L31" i="9" s="1"/>
  <c r="K32" i="9"/>
  <c r="L32" i="9" s="1"/>
  <c r="K33" i="9"/>
  <c r="L33" i="9" s="1"/>
  <c r="K34" i="9"/>
  <c r="L34" i="9" s="1"/>
  <c r="K35" i="9"/>
  <c r="L35" i="9" s="1"/>
  <c r="K36" i="9"/>
  <c r="L36" i="9" s="1"/>
  <c r="K37" i="9"/>
  <c r="L37" i="9" s="1"/>
  <c r="K38" i="9"/>
  <c r="L38" i="9" s="1"/>
  <c r="K39" i="9"/>
  <c r="L39" i="9" s="1"/>
  <c r="K40" i="9"/>
  <c r="L40" i="9" s="1"/>
  <c r="K41" i="9"/>
  <c r="L41" i="9" s="1"/>
  <c r="K42" i="9"/>
  <c r="L42" i="9" s="1"/>
  <c r="K43" i="9"/>
  <c r="L43" i="9" s="1"/>
  <c r="K44" i="9"/>
  <c r="L44" i="9" s="1"/>
  <c r="K45" i="9"/>
  <c r="L45" i="9" s="1"/>
  <c r="K46" i="9"/>
  <c r="L46" i="9" s="1"/>
  <c r="K47" i="9"/>
  <c r="L47" i="9" s="1"/>
  <c r="K48" i="9"/>
  <c r="L48" i="9" s="1"/>
  <c r="K49" i="9"/>
  <c r="L49" i="9" s="1"/>
  <c r="K50" i="9"/>
  <c r="L50" i="9" s="1"/>
  <c r="K51" i="9"/>
  <c r="L51" i="9" s="1"/>
  <c r="K52" i="9"/>
  <c r="L52" i="9" s="1"/>
  <c r="K53" i="9"/>
  <c r="L53" i="9" s="1"/>
  <c r="K54" i="9"/>
  <c r="L54" i="9" s="1"/>
  <c r="K55" i="9"/>
  <c r="L55" i="9" s="1"/>
  <c r="K56" i="9"/>
  <c r="L56" i="9" s="1"/>
  <c r="K57" i="9"/>
  <c r="L57" i="9" s="1"/>
  <c r="K58" i="9"/>
  <c r="L58" i="9" s="1"/>
  <c r="K59" i="9"/>
  <c r="L59" i="9" s="1"/>
  <c r="K60" i="9"/>
  <c r="L60" i="9" s="1"/>
  <c r="K61" i="9"/>
  <c r="L61" i="9" s="1"/>
  <c r="K62" i="9"/>
  <c r="L62" i="9" s="1"/>
  <c r="K63" i="9"/>
  <c r="L63" i="9" s="1"/>
  <c r="K64" i="9"/>
  <c r="L64" i="9" s="1"/>
  <c r="K65" i="9"/>
  <c r="L65" i="9" s="1"/>
  <c r="K66" i="9"/>
  <c r="L66" i="9" s="1"/>
  <c r="K67" i="9"/>
  <c r="L67" i="9" s="1"/>
  <c r="K68" i="9"/>
  <c r="L68" i="9" s="1"/>
  <c r="K69" i="9"/>
  <c r="L69" i="9" s="1"/>
  <c r="K70" i="9"/>
  <c r="L70" i="9" s="1"/>
  <c r="K71" i="9"/>
  <c r="L71" i="9" s="1"/>
  <c r="K72" i="9"/>
  <c r="L72" i="9" s="1"/>
  <c r="K73" i="9"/>
  <c r="L73" i="9" s="1"/>
  <c r="K2" i="9"/>
  <c r="L2" i="9" s="1"/>
  <c r="J7" i="6"/>
  <c r="J6" i="6"/>
  <c r="J5" i="6"/>
  <c r="J4" i="6"/>
  <c r="J3" i="6"/>
  <c r="J2" i="6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K12" i="1"/>
  <c r="K13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<sst xmlns="http://schemas.openxmlformats.org/spreadsheetml/2006/main" count="2739" uniqueCount="292">
  <si>
    <t xml:space="preserve">Contract Name </t>
  </si>
  <si>
    <t xml:space="preserve">Truck Size </t>
  </si>
  <si>
    <t>Divison</t>
  </si>
  <si>
    <t xml:space="preserve">Truck Tonnage </t>
  </si>
  <si>
    <t>Client</t>
  </si>
  <si>
    <t xml:space="preserve">Loading Point </t>
  </si>
  <si>
    <t>Destination</t>
  </si>
  <si>
    <t>State</t>
  </si>
  <si>
    <t>Region</t>
  </si>
  <si>
    <t>PLIST Exl VAT</t>
  </si>
  <si>
    <t xml:space="preserve">PLIST INL VAT </t>
  </si>
  <si>
    <t>SASO-45T-HAULAGE-JUMBO</t>
  </si>
  <si>
    <t>JUMBO</t>
  </si>
  <si>
    <t>HAULAGE</t>
  </si>
  <si>
    <t>45T</t>
  </si>
  <si>
    <t>SASO</t>
  </si>
  <si>
    <t>Lagos</t>
  </si>
  <si>
    <t>Abuja</t>
  </si>
  <si>
    <t>FCT</t>
  </si>
  <si>
    <t>North</t>
  </si>
  <si>
    <t>Kano</t>
  </si>
  <si>
    <t>FUNTUA</t>
  </si>
  <si>
    <t>Kaduna</t>
  </si>
  <si>
    <t>Zaria</t>
  </si>
  <si>
    <t>Gombe</t>
  </si>
  <si>
    <t>YOLA</t>
  </si>
  <si>
    <t>Adamawa</t>
  </si>
  <si>
    <t>Mubi</t>
  </si>
  <si>
    <t>Jalingo</t>
  </si>
  <si>
    <t>KATSINA</t>
  </si>
  <si>
    <t>Sokoto</t>
  </si>
  <si>
    <t>JOS</t>
  </si>
  <si>
    <t>VANDERA</t>
  </si>
  <si>
    <t>Onitsha</t>
  </si>
  <si>
    <t>Anambra</t>
  </si>
  <si>
    <t>East</t>
  </si>
  <si>
    <t>Calabar</t>
  </si>
  <si>
    <t>Approved Client Price</t>
  </si>
  <si>
    <t xml:space="preserve">JMG PLIST </t>
  </si>
  <si>
    <t>Mega Manu-45T-HAULAGE-JUMBO</t>
  </si>
  <si>
    <t>Mega Manu</t>
  </si>
  <si>
    <t xml:space="preserve">Abuja </t>
  </si>
  <si>
    <t>45FT-45T</t>
  </si>
  <si>
    <t xml:space="preserve">Ibadan 45Tons </t>
  </si>
  <si>
    <t>OYO</t>
  </si>
  <si>
    <t>PLIST</t>
  </si>
  <si>
    <t>30T</t>
  </si>
  <si>
    <t>Mega Manu-Local</t>
  </si>
  <si>
    <t>AGBARA</t>
  </si>
  <si>
    <t>AGBARA-30T</t>
  </si>
  <si>
    <t>AMUWO</t>
  </si>
  <si>
    <t>AMUWO-30T</t>
  </si>
  <si>
    <t>ISOLO</t>
  </si>
  <si>
    <t>ISOLO-30T</t>
  </si>
  <si>
    <t>IBADAN</t>
  </si>
  <si>
    <t>IBADAN-30T</t>
  </si>
  <si>
    <t>SANGO OTTA</t>
  </si>
  <si>
    <t>SANGO OTTA-30T</t>
  </si>
  <si>
    <t>MATORI</t>
  </si>
  <si>
    <t>MATORI-30T</t>
  </si>
  <si>
    <t>FATAI ATERE </t>
  </si>
  <si>
    <t>FATAI ATERE -30T</t>
  </si>
  <si>
    <t>IGBESA</t>
  </si>
  <si>
    <t>IGBESA-30T</t>
  </si>
  <si>
    <t>IKEJA</t>
  </si>
  <si>
    <t>IKEJA-30T</t>
  </si>
  <si>
    <t>DOPEMU</t>
  </si>
  <si>
    <t>DOPEMU-30T</t>
  </si>
  <si>
    <t>SAGAMU</t>
  </si>
  <si>
    <t>SAGAMU-30T</t>
  </si>
  <si>
    <t>MOWE</t>
  </si>
  <si>
    <t>MOWE-30T</t>
  </si>
  <si>
    <t>IJEBU OSAS</t>
  </si>
  <si>
    <t>IJEBU OSAS-30T</t>
  </si>
  <si>
    <t>OJOTA</t>
  </si>
  <si>
    <t>OJOTA-30T</t>
  </si>
  <si>
    <t>IJEBU ODE</t>
  </si>
  <si>
    <t>IJEBU ODE-30T</t>
  </si>
  <si>
    <t>APAPA</t>
  </si>
  <si>
    <t>APAPA-30T</t>
  </si>
  <si>
    <t>ILUPEJU</t>
  </si>
  <si>
    <t>ILUPEJU-30T</t>
  </si>
  <si>
    <t>AJAO ESTATE</t>
  </si>
  <si>
    <t>AJAO ESTATE-30T</t>
  </si>
  <si>
    <t>OKOTA</t>
  </si>
  <si>
    <t>OKOTA-30T</t>
  </si>
  <si>
    <t>OSHODI</t>
  </si>
  <si>
    <t>OSHODI-30T</t>
  </si>
  <si>
    <t>OGERE</t>
  </si>
  <si>
    <t>OGERE-30T</t>
  </si>
  <si>
    <t>LEKKI</t>
  </si>
  <si>
    <t>LEKKI-30T</t>
  </si>
  <si>
    <t>OGBA</t>
  </si>
  <si>
    <t>OGBA-30T</t>
  </si>
  <si>
    <t>ILORIN</t>
  </si>
  <si>
    <t>ILORIN-30T</t>
  </si>
  <si>
    <t>DOPIMU</t>
  </si>
  <si>
    <t>40T</t>
  </si>
  <si>
    <t>Mega Manu-30T-HAULAGE-JUMBO</t>
  </si>
  <si>
    <t>Mega Manu-40T-HAULAGE-JUMBO</t>
  </si>
  <si>
    <t>NATURAL BEAUTY-45T-HAULAGE-JUMBO</t>
  </si>
  <si>
    <t>NATURAL BEAUTY</t>
  </si>
  <si>
    <t>PLIST VAT INCL</t>
  </si>
  <si>
    <t>JAMARA</t>
  </si>
  <si>
    <t>Port Harcourt</t>
  </si>
  <si>
    <t>Rivers</t>
  </si>
  <si>
    <t>Ibadan</t>
  </si>
  <si>
    <t>EKITE</t>
  </si>
  <si>
    <t>ONDO</t>
  </si>
  <si>
    <t>OSUN</t>
  </si>
  <si>
    <t>KWARA</t>
  </si>
  <si>
    <t>OMU-ARAN</t>
  </si>
  <si>
    <t>ABEOKUTA</t>
  </si>
  <si>
    <t>Benin</t>
  </si>
  <si>
    <t>Abule-EGBA-Ijayi-Moshalasi-Kola-Sango</t>
  </si>
  <si>
    <t>AGBARA-BADAGRI</t>
  </si>
  <si>
    <t>FESTAC-MILE2 --AMOWO-OKOTA</t>
  </si>
  <si>
    <t>ALABA</t>
  </si>
  <si>
    <t>IKEJA-AGEGE-DOPEMU-MAGODO</t>
  </si>
  <si>
    <t>IKM-SHAGARI-EGIGBO-IPAJA-AYOBO-OKOKOMAIKO-OSHODI-ISOLO</t>
  </si>
  <si>
    <t>Ilupeju-GBD-APAPA-MUSHIN-OKOTA-FADEYI</t>
  </si>
  <si>
    <t>KETU-IKORODU</t>
  </si>
  <si>
    <t>LAGOS-ISLAND-MARINA</t>
  </si>
  <si>
    <t>Ojodu-Akute-Mowe</t>
  </si>
  <si>
    <t>SURULELE-TEJESHU-YABA-EBUTE META-OYINGOBO</t>
  </si>
  <si>
    <t>VI-Lekki-AJAH</t>
  </si>
  <si>
    <t>I'HS-30T-HAULAGE-FLATBED</t>
  </si>
  <si>
    <t>FLATBED</t>
  </si>
  <si>
    <t>I'HS</t>
  </si>
  <si>
    <t xml:space="preserve">Ibadan </t>
  </si>
  <si>
    <t>Oyo</t>
  </si>
  <si>
    <t>I'HS-30T-HAULAGE-FLATBED-local</t>
  </si>
  <si>
    <t>FLATBED-local</t>
  </si>
  <si>
    <t>EPE</t>
  </si>
  <si>
    <t>PL</t>
  </si>
  <si>
    <t xml:space="preserve">PL With VAT </t>
  </si>
  <si>
    <t>JMG</t>
  </si>
  <si>
    <t>West</t>
  </si>
  <si>
    <t>IKM</t>
  </si>
  <si>
    <t>30T-LCL</t>
  </si>
  <si>
    <t>Interstyle-30T-HAULAGE-JUMBO</t>
  </si>
  <si>
    <t>Interstyle</t>
  </si>
  <si>
    <t>LAGOS</t>
  </si>
  <si>
    <t>Warri</t>
  </si>
  <si>
    <t>WARRI</t>
  </si>
  <si>
    <t>Plsit</t>
  </si>
  <si>
    <t>KM</t>
  </si>
  <si>
    <t>Lacasera-45T-HAULAGE-JUMBO</t>
  </si>
  <si>
    <t>Lacasera</t>
  </si>
  <si>
    <t>Aba</t>
  </si>
  <si>
    <t>Abia</t>
  </si>
  <si>
    <t>Ikot Ekpene</t>
  </si>
  <si>
    <t>Akwa Ibom</t>
  </si>
  <si>
    <t>Oron</t>
  </si>
  <si>
    <t>Yenagoa</t>
  </si>
  <si>
    <t>Bayelsa</t>
  </si>
  <si>
    <t>Makurdi</t>
  </si>
  <si>
    <t>Benue</t>
  </si>
  <si>
    <t>C-River</t>
  </si>
  <si>
    <t>Abakalike</t>
  </si>
  <si>
    <t>Ebo</t>
  </si>
  <si>
    <t>Enugu</t>
  </si>
  <si>
    <t>Nsukka</t>
  </si>
  <si>
    <t>Enu</t>
  </si>
  <si>
    <t>Owerri</t>
  </si>
  <si>
    <t>Imo</t>
  </si>
  <si>
    <t>Uyo</t>
  </si>
  <si>
    <t>Umunze</t>
  </si>
  <si>
    <t>Abak</t>
  </si>
  <si>
    <t>Awka</t>
  </si>
  <si>
    <t>Ikom</t>
  </si>
  <si>
    <t>Obubra</t>
  </si>
  <si>
    <t>G-River</t>
  </si>
  <si>
    <t>Bori</t>
  </si>
  <si>
    <t>Eket</t>
  </si>
  <si>
    <t>Bauchi</t>
  </si>
  <si>
    <t>Maiduguri</t>
  </si>
  <si>
    <t>Boro</t>
  </si>
  <si>
    <t>Ajaokuta</t>
  </si>
  <si>
    <t>Kogi</t>
  </si>
  <si>
    <t>Lokoja</t>
  </si>
  <si>
    <t>Central</t>
  </si>
  <si>
    <t>Ayangba</t>
  </si>
  <si>
    <t>Okene</t>
  </si>
  <si>
    <t>Akwanga</t>
  </si>
  <si>
    <t>Nasarawa</t>
  </si>
  <si>
    <t>Keffi</t>
  </si>
  <si>
    <t>Lafia</t>
  </si>
  <si>
    <t>Kotongora</t>
  </si>
  <si>
    <t>Niger</t>
  </si>
  <si>
    <t>Minna</t>
  </si>
  <si>
    <t>Jos</t>
  </si>
  <si>
    <t>Plateau</t>
  </si>
  <si>
    <t>Shendam</t>
  </si>
  <si>
    <t>Birnin Kebbi</t>
  </si>
  <si>
    <t>Kebbi</t>
  </si>
  <si>
    <t>lella</t>
  </si>
  <si>
    <t>Taraba</t>
  </si>
  <si>
    <t>Wukari</t>
  </si>
  <si>
    <t>Gusau</t>
  </si>
  <si>
    <t>Zamfara</t>
  </si>
  <si>
    <t>Yola</t>
  </si>
  <si>
    <t>Madagali</t>
  </si>
  <si>
    <t>Bida</t>
  </si>
  <si>
    <t>Kastina</t>
  </si>
  <si>
    <t>Jebba</t>
  </si>
  <si>
    <t>Kwara</t>
  </si>
  <si>
    <t>lorin</t>
  </si>
  <si>
    <t>Offa</t>
  </si>
  <si>
    <t>Akure</t>
  </si>
  <si>
    <t>Ondo</t>
  </si>
  <si>
    <t>Iseyin</t>
  </si>
  <si>
    <t>lara</t>
  </si>
  <si>
    <t>Ogun</t>
  </si>
  <si>
    <t>Oshogbo</t>
  </si>
  <si>
    <t>Oshun</t>
  </si>
  <si>
    <t>Ado ekiti</t>
  </si>
  <si>
    <t>Ekitl</t>
  </si>
  <si>
    <t>Auchi</t>
  </si>
  <si>
    <t>Edo</t>
  </si>
  <si>
    <t>Oja odan</t>
  </si>
  <si>
    <t>Kayama</t>
  </si>
  <si>
    <t>Imeko</t>
  </si>
  <si>
    <t>Uromi</t>
  </si>
  <si>
    <t>west</t>
  </si>
  <si>
    <t>Delta</t>
  </si>
  <si>
    <t>Zakiblarn</t>
  </si>
  <si>
    <t>Kastina ala</t>
  </si>
  <si>
    <t>Oenue</t>
  </si>
  <si>
    <t>Adikpo</t>
  </si>
  <si>
    <t>Takum</t>
  </si>
  <si>
    <t>Mutu biyu</t>
  </si>
  <si>
    <t>Chikanda</t>
  </si>
  <si>
    <t>Ifon</t>
  </si>
  <si>
    <t>ondo</t>
  </si>
  <si>
    <t xml:space="preserve">KM </t>
  </si>
  <si>
    <t>Current Rate With NBL Body BF VAT</t>
  </si>
  <si>
    <t>Plist  BF Vat</t>
  </si>
  <si>
    <t xml:space="preserve">Status </t>
  </si>
  <si>
    <t>Approved</t>
  </si>
  <si>
    <t>Route Appoved During LowSeason</t>
  </si>
  <si>
    <t>Price Not Approved</t>
  </si>
  <si>
    <t>JAT</t>
  </si>
  <si>
    <t>Suleja</t>
  </si>
  <si>
    <t>SULEJA</t>
  </si>
  <si>
    <t>KONTANGORA</t>
  </si>
  <si>
    <t>niger</t>
  </si>
  <si>
    <t>KASTINA</t>
  </si>
  <si>
    <t>SAMINAKA</t>
  </si>
  <si>
    <t>kaduna</t>
  </si>
  <si>
    <t>LAFIA</t>
  </si>
  <si>
    <t>IDAH</t>
  </si>
  <si>
    <t>KABBA</t>
  </si>
  <si>
    <t>kogi</t>
  </si>
  <si>
    <t>AYANGBA</t>
  </si>
  <si>
    <t>YAURI</t>
  </si>
  <si>
    <t>kebbi</t>
  </si>
  <si>
    <t>GANYE</t>
  </si>
  <si>
    <t>GBOKO</t>
  </si>
  <si>
    <t>benue</t>
  </si>
  <si>
    <t>POTISKUM</t>
  </si>
  <si>
    <t>yobe</t>
  </si>
  <si>
    <t>ABAJI</t>
  </si>
  <si>
    <t>Tigina</t>
  </si>
  <si>
    <t>Borno</t>
  </si>
  <si>
    <t>SHANDAM</t>
  </si>
  <si>
    <t>KOKO</t>
  </si>
  <si>
    <t>BIN YAURI</t>
  </si>
  <si>
    <t>South</t>
  </si>
  <si>
    <t>Ekpoma</t>
  </si>
  <si>
    <t>Agbor</t>
  </si>
  <si>
    <t>Otukpo</t>
  </si>
  <si>
    <t>Route Approved During low Season</t>
  </si>
  <si>
    <t>Mushin</t>
  </si>
  <si>
    <t>Mushin-30T</t>
  </si>
  <si>
    <t>NBL-DSL</t>
  </si>
  <si>
    <t>Maidugri</t>
  </si>
  <si>
    <t>NATURAL BEAUTY-45T-NBL-DSL-JUMBO</t>
  </si>
  <si>
    <t xml:space="preserve">Price AUGUST </t>
  </si>
  <si>
    <t>ILERA AGRO</t>
  </si>
  <si>
    <t>KANO</t>
  </si>
  <si>
    <t>WEST</t>
  </si>
  <si>
    <t xml:space="preserve">Product Type </t>
  </si>
  <si>
    <t>Soyabeans</t>
  </si>
  <si>
    <t>BENIN</t>
  </si>
  <si>
    <t>NORTH</t>
  </si>
  <si>
    <t>KADUNA</t>
  </si>
  <si>
    <t>K&amp;D</t>
  </si>
  <si>
    <t xml:space="preserve">Destination </t>
  </si>
  <si>
    <t>35cl</t>
  </si>
  <si>
    <t>60cl</t>
  </si>
  <si>
    <t>45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</si>
</sst>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6" formatCode="_(* #,##0_);_(* \(#,##0\);_(* &quot;-&quot;??_);_(@_)"/>
    <numFmt numFmtId="167" formatCode="_-* #,##0.0_-;\-* #,##0.0_-;_-* &quot;-&quot;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 Light"/>
      <family val="2"/>
    </font>
    <font>
      <sz val="9"/>
      <color theme="1"/>
      <name val="Calibri"/>
      <family val="2"/>
    </font>
    <font>
      <sz val="9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64" fontId="4" fillId="0" borderId="1" xfId="1" applyFont="1" applyBorder="1"/>
    <xf numFmtId="164" fontId="0" fillId="0" borderId="1" xfId="1" applyFont="1" applyBorder="1"/>
    <xf numFmtId="164" fontId="0" fillId="0" borderId="1" xfId="1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164" fontId="0" fillId="0" borderId="0" xfId="1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/>
    <xf numFmtId="164" fontId="4" fillId="2" borderId="1" xfId="1" applyFont="1" applyFill="1" applyBorder="1"/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4" fillId="3" borderId="1" xfId="1" applyFont="1" applyFill="1" applyBorder="1"/>
    <xf numFmtId="164" fontId="6" fillId="3" borderId="1" xfId="1" applyFont="1" applyFill="1" applyBorder="1" applyAlignment="1">
      <alignment vertical="center"/>
    </xf>
    <xf numFmtId="43" fontId="0" fillId="0" borderId="0" xfId="0" applyNumberFormat="1"/>
    <xf numFmtId="166" fontId="0" fillId="0" borderId="1" xfId="1" applyNumberFormat="1" applyFont="1" applyBorder="1"/>
    <xf numFmtId="164" fontId="1" fillId="0" borderId="3" xfId="1" applyFont="1" applyFill="1" applyBorder="1"/>
    <xf numFmtId="164" fontId="4" fillId="2" borderId="4" xfId="1" applyFont="1" applyFill="1" applyBorder="1"/>
    <xf numFmtId="164" fontId="7" fillId="0" borderId="1" xfId="1" applyFont="1" applyBorder="1" applyAlignment="1">
      <alignment horizontal="left"/>
    </xf>
    <xf numFmtId="164" fontId="7" fillId="0" borderId="1" xfId="1" applyFont="1" applyBorder="1"/>
    <xf numFmtId="164" fontId="8" fillId="0" borderId="1" xfId="1" applyFont="1" applyBorder="1" applyAlignment="1">
      <alignment horizontal="left" vertical="center" wrapText="1"/>
    </xf>
    <xf numFmtId="166" fontId="0" fillId="0" borderId="0" xfId="1" applyNumberFormat="1" applyFont="1"/>
    <xf numFmtId="164" fontId="4" fillId="0" borderId="3" xfId="1" applyFont="1" applyBorder="1"/>
    <xf numFmtId="164" fontId="4" fillId="2" borderId="3" xfId="1" applyFont="1" applyFill="1" applyBorder="1"/>
    <xf numFmtId="164" fontId="0" fillId="2" borderId="1" xfId="1" applyFont="1" applyFill="1" applyBorder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4" fillId="0" borderId="3" xfId="1" applyFont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166" fontId="3" fillId="0" borderId="2" xfId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6" fontId="0" fillId="0" borderId="8" xfId="0" applyNumberFormat="1" applyBorder="1"/>
    <xf numFmtId="164" fontId="9" fillId="0" borderId="1" xfId="1" applyFont="1" applyBorder="1" applyAlignment="1">
      <alignment vertical="center" wrapText="1"/>
    </xf>
    <xf numFmtId="164" fontId="6" fillId="2" borderId="1" xfId="1" applyFont="1" applyFill="1" applyBorder="1" applyAlignment="1">
      <alignment vertical="center"/>
    </xf>
    <xf numFmtId="167" fontId="0" fillId="0" borderId="0" xfId="0" applyNumberFormat="1"/>
    <xf numFmtId="0" fontId="10" fillId="0" borderId="0" xfId="0" applyFont="1"/>
    <xf numFmtId="166" fontId="10" fillId="0" borderId="0" xfId="1" applyNumberFormat="1" applyFont="1"/>
    <xf numFmtId="164" fontId="3" fillId="0" borderId="1" xfId="1" applyFont="1" applyBorder="1" applyAlignment="1">
      <alignment horizontal="center" vertical="center" wrapText="1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164" fontId="4" fillId="0" borderId="14" xfId="1" applyFont="1" applyBorder="1"/>
    <xf numFmtId="164" fontId="4" fillId="0" borderId="14" xfId="1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166" fontId="0" fillId="0" borderId="14" xfId="1" applyNumberFormat="1" applyFont="1" applyBorder="1"/>
    <xf numFmtId="166" fontId="0" fillId="0" borderId="12" xfId="1" applyNumberFormat="1" applyFont="1" applyBorder="1"/>
    <xf numFmtId="166" fontId="0" fillId="0" borderId="15" xfId="1" applyNumberFormat="1" applyFont="1" applyBorder="1"/>
    <xf numFmtId="0" fontId="0" fillId="0" borderId="10" xfId="0" applyBorder="1"/>
    <xf numFmtId="0" fontId="0" fillId="0" borderId="2" xfId="0" applyBorder="1"/>
    <xf numFmtId="164" fontId="4" fillId="0" borderId="2" xfId="1" applyFont="1" applyBorder="1"/>
    <xf numFmtId="164" fontId="0" fillId="0" borderId="2" xfId="1" applyFont="1" applyBorder="1"/>
    <xf numFmtId="164" fontId="0" fillId="0" borderId="2" xfId="1" applyFont="1" applyBorder="1" applyAlignment="1">
      <alignment horizontal="center"/>
    </xf>
    <xf numFmtId="166" fontId="0" fillId="0" borderId="2" xfId="1" applyNumberFormat="1" applyFont="1" applyBorder="1"/>
    <xf numFmtId="166" fontId="0" fillId="0" borderId="7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P%202026FInal-Bank%20Lease%20Zenith%20Final-V3%20Recosted.xlsx" TargetMode="External"/><Relationship Id="rId2" Type="http://schemas.openxmlformats.org/officeDocument/2006/relationships/externalLinkPath" Target="file:///C:\Users\m.dayekh\Desktop\Master%20Folder\Haulage%20Setup\2025\BP2026\BP%202026FInal-Bank%20Lease%20Zenith%20Final-V3%20Recosted.xlsx" TargetMode="External"/><Relationship Id="rId1" Type="http://schemas.openxmlformats.org/officeDocument/2006/relationships/externalLinkPath" Target="/Users/m.dayekh/Desktop/Master%20Folder/Haulage%20Setup/2025/BP2026/BP%202026FInal-Bank%20Lease%20Zenith%20Final-V3%20Recos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te Number"/>
      <sheetName val="JOURNEY PLAN (2)"/>
      <sheetName val="JOURNEY PLAN"/>
      <sheetName val="Actual Vehicle Cost "/>
      <sheetName val="Price List JAT (2)"/>
      <sheetName val="Diesel Issuance (2)"/>
      <sheetName val="Diesel Issuance"/>
      <sheetName val="Comparison Actual VS BP"/>
      <sheetName val="All Prices "/>
      <sheetName val="LacaseraJ45 (2)"/>
      <sheetName val="NBL-DSL"/>
      <sheetName val="NBL-CNG"/>
      <sheetName val="PLSJul (2)"/>
      <sheetName val="Mapping DSL"/>
      <sheetName val="PLSJul"/>
      <sheetName val="Sheet52"/>
      <sheetName val="Sheet49"/>
      <sheetName val="Sheet50"/>
      <sheetName val="Sheet51"/>
      <sheetName val="PList Diesel 1900) (2)"/>
      <sheetName val="25FT SPecial CLient"/>
      <sheetName val="AB-nbev"/>
      <sheetName val="HIAB Plist 1900"/>
      <sheetName val="16CBM 1900"/>
      <sheetName val="PL"/>
      <sheetName val="30CBM 1900"/>
      <sheetName val="PList Diesel 1989"/>
      <sheetName val="Sheet47"/>
      <sheetName val="Plist 1600"/>
      <sheetName val="HAULAGE PLIST 1050"/>
      <sheetName val="IHS Calculator "/>
      <sheetName val="Sheet46"/>
      <sheetName val="NBL (2)"/>
      <sheetName val="Int CAL DSL Trucks (2)"/>
      <sheetName val="Sheet31"/>
      <sheetName val="Int CAL CNG Trucks (2)"/>
      <sheetName val="Summary BP By Client (2)"/>
      <sheetName val="KPI By Truck (2)"/>
      <sheetName val="Fx (2)"/>
      <sheetName val="10CBM"/>
      <sheetName val="30CBM"/>
      <sheetName val="16CBM Plist"/>
      <sheetName val="HIAB Plist"/>
      <sheetName val="NBL"/>
      <sheetName val="Sheet33"/>
      <sheetName val="Setup"/>
      <sheetName val="Sheet30"/>
      <sheetName val="MTC 2025"/>
      <sheetName val="Sheet24"/>
      <sheetName val="Expat"/>
      <sheetName val="Licence Permit 2026"/>
      <sheetName val="License N Permit2024 2025 Ins"/>
      <sheetName val="Permits 2025"/>
      <sheetName val="Main Asset List Ment Budget2024"/>
      <sheetName val="Main List"/>
      <sheetName val="Tyre"/>
      <sheetName val="Road Expenses 2025"/>
      <sheetName val="Sheet25"/>
      <sheetName val="Sheet28"/>
      <sheetName val="Insurance 2026"/>
      <sheetName val="Diesel  2025"/>
      <sheetName val="Insurance 2024"/>
      <sheetName val="BP Worksheet"/>
      <sheetName val="Sheet32"/>
      <sheetName val="Cashflow CNG BOI ONLY On Truck "/>
      <sheetName val="Int CAL DSL Trucks"/>
      <sheetName val="Int CAL CNG Trucks"/>
      <sheetName val="Summary BP By Client"/>
      <sheetName val="Cashflow Yearly With Depreciati"/>
      <sheetName val="KPI By Truck"/>
      <sheetName val="Sheet36"/>
      <sheetName val="Cashflow Yearly"/>
      <sheetName val="Cashflow CNG"/>
      <sheetName val="Detail1"/>
      <sheetName val="Fx"/>
      <sheetName val="BP Setup"/>
      <sheetName val="BP 2026"/>
      <sheetName val="BP 2025VS 2026"/>
      <sheetName val="ADD ONS"/>
      <sheetName val="Organogram"/>
      <sheetName val="Current Organogram"/>
      <sheetName val="Cashflow CNG BOI"/>
      <sheetName val="Cashflow CNG NBL Proposal"/>
      <sheetName val="Int CAL CNG) (2)"/>
      <sheetName val="Sheet48"/>
      <sheetName val="Sheet42"/>
      <sheetName val="Sheet45"/>
      <sheetName val="Sheet37"/>
      <sheetName val="BP  Study 30 New Trucks "/>
      <sheetName val="BP  Study 20 New Trucks  "/>
      <sheetName val="BP  Study 10 New Trucks "/>
      <sheetName val="Summary BP 2025 VS 2024 (2)"/>
      <sheetName val="Required"/>
      <sheetName val="Summary BP 2025 VS 2024"/>
      <sheetName val="Lagos Permits "/>
      <sheetName val="Incentive Calculation (2)"/>
      <sheetName val="PLIST Matrix Power"/>
      <sheetName val="PLIST Flat Bed IHS "/>
      <sheetName val="Linkage"/>
      <sheetName val="Sheet38"/>
      <sheetName val="Sheet44"/>
      <sheetName val="Sheet34"/>
      <sheetName val="NBiscuit "/>
      <sheetName val="Niger Biscuit "/>
      <sheetName val="Sample of Pricing "/>
      <sheetName val="PLIST BackLloading"/>
      <sheetName val="PLIST Belooxi 102CBM"/>
      <sheetName val="Sheet23"/>
      <sheetName val="Bugdet rollover (2)"/>
      <sheetName val="Full Year Budget Revised"/>
      <sheetName val="Price list By CLient"/>
      <sheetName val="PList 10cbm)"/>
      <sheetName val="Port Trucks"/>
      <sheetName val="PList 25CBM"/>
      <sheetName val="PLIST Hiab"/>
      <sheetName val="PList 16cbm"/>
      <sheetName val="Sheet26"/>
      <sheetName val="PLIST Heavy Duty"/>
      <sheetName val="List Of Truck Insured "/>
      <sheetName val="Old"/>
      <sheetName val="Sheet29"/>
      <sheetName val="Sheet40"/>
      <sheetName val="Average Pricing to Use"/>
      <sheetName val="Price Setup 85%"/>
      <sheetName val="BP Summary at 100%"/>
      <sheetName val="BP Summary on 85%"/>
      <sheetName val="Expenses Account"/>
      <sheetName val="Road Expenses2025PORT"/>
      <sheetName val="Sheet43"/>
      <sheetName val="Sheet35"/>
      <sheetName val="Summary BP2024"/>
      <sheetName val="Shared With Type 23.1.2023"/>
      <sheetName val="Shared 2024 BPf"/>
      <sheetName val="Sheet27"/>
      <sheetName val="Hiab ABJ (2)"/>
      <sheetName val="Accounts"/>
      <sheetName val="Sheet39"/>
      <sheetName val="FATSS"/>
      <sheetName val="FATS New Price "/>
      <sheetName val="LacaseraJ30)"/>
      <sheetName val="Sheet41"/>
      <sheetName val="Beloxxi Plist Calculator (2)"/>
      <sheetName val="BP (3)"/>
      <sheetName val="Transport Jun 2023 (2)"/>
      <sheetName val="Transport Jun 2023"/>
      <sheetName val="JAT Final"/>
      <sheetName val="SASO"/>
      <sheetName val="Bajaj"/>
      <sheetName val="Orient Queen"/>
      <sheetName val="STandard Flour40ton"/>
      <sheetName val="STandard Flour30"/>
      <sheetName val="Lacasera OLD"/>
      <sheetName val="Lacasera CONT OLD DATA "/>
      <sheetName val="Expats"/>
      <sheetName val="Residence Expenses"/>
      <sheetName val="Overseas Air Tickets Expenses"/>
      <sheetName val="Expat Medical Expenses"/>
      <sheetName val="Diesel for Machines (Houses)"/>
      <sheetName val="Depreciation Furniture and Fitt"/>
      <sheetName val="Insurance Expense for Miscellan"/>
      <sheetName val="JAMARA"/>
      <sheetName val="Sheet10"/>
      <sheetName val="Others"/>
      <sheetName val="Price List Lacasera"/>
      <sheetName val="Sheet20"/>
      <sheetName val="Price List CWAY"/>
      <sheetName val="Sheet21"/>
      <sheetName val="Price List JAT"/>
      <sheetName val="Sheet12"/>
      <sheetName val="Actual Profit"/>
      <sheetName val="Sheet19"/>
      <sheetName val="MOH"/>
      <sheetName val="Loading Schedule"/>
      <sheetName val="Sheet13"/>
      <sheetName val="Sheet11"/>
      <sheetName val="Generator"/>
      <sheetName val="Sheet16"/>
      <sheetName val="Sheet18"/>
      <sheetName val="Sheet9"/>
      <sheetName val="BP (2)"/>
      <sheetName val="Sheet17"/>
      <sheetName val="Salary Range "/>
      <sheetName val="RedZone"/>
      <sheetName val="Closed Body Interstate"/>
      <sheetName val="Sheet15"/>
      <sheetName val="Online"/>
      <sheetName val="Sheet14"/>
      <sheetName val="Sheet5"/>
      <sheetName val="Fleet List"/>
      <sheetName val="Sheet7"/>
      <sheetName val="WP REV6 Budgets"/>
      <sheetName val="MNTC Detail 2023"/>
      <sheetName val="Amedned Labor By Vehi June"/>
      <sheetName val="Sheet22"/>
      <sheetName val="Shared Labor"/>
      <sheetName val="WP REV6"/>
      <sheetName val="Permit 2023"/>
      <sheetName val="Insurance 2023"/>
      <sheetName val="Intereset Schedule"/>
      <sheetName val="Final List Staff 2023"/>
      <sheetName val="Interest Calculator Rigid Truck"/>
      <sheetName val="WORKSHOP BUDGET"/>
      <sheetName val="Sheet4"/>
      <sheetName val="Sheet6"/>
      <sheetName val="Sheet8"/>
      <sheetName val="Sheet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6">
          <cell r="B6" t="str">
            <v>10CBM</v>
          </cell>
          <cell r="C6" t="str">
            <v>Closed Body Logistics</v>
          </cell>
        </row>
        <row r="7">
          <cell r="B7" t="str">
            <v>10CBM</v>
          </cell>
          <cell r="C7" t="str">
            <v>Closed Body Logistics</v>
          </cell>
        </row>
        <row r="8">
          <cell r="B8" t="str">
            <v>16CBM</v>
          </cell>
          <cell r="C8" t="str">
            <v>Closed Body Logistics</v>
          </cell>
        </row>
        <row r="9">
          <cell r="B9" t="str">
            <v>16CBM</v>
          </cell>
          <cell r="C9" t="str">
            <v>Closed Body Logistics</v>
          </cell>
        </row>
        <row r="10">
          <cell r="B10" t="str">
            <v>16CBM</v>
          </cell>
          <cell r="C10" t="str">
            <v>Closed Body Logistics</v>
          </cell>
        </row>
        <row r="11">
          <cell r="B11" t="str">
            <v>16CBM</v>
          </cell>
          <cell r="C11" t="str">
            <v>Closed Body Logistics</v>
          </cell>
        </row>
        <row r="12">
          <cell r="B12" t="str">
            <v>25CBM</v>
          </cell>
          <cell r="C12" t="str">
            <v>Closed Body Logistics</v>
          </cell>
        </row>
        <row r="13">
          <cell r="B13" t="str">
            <v>25CBM</v>
          </cell>
          <cell r="C13" t="str">
            <v>Closed Body Logistics</v>
          </cell>
        </row>
        <row r="14">
          <cell r="B14" t="str">
            <v>Hiabs Logistics</v>
          </cell>
          <cell r="C14" t="str">
            <v>Hiabs Logistics</v>
          </cell>
        </row>
        <row r="15">
          <cell r="B15" t="str">
            <v>Hiabs Logistics</v>
          </cell>
          <cell r="C15" t="str">
            <v>Hiabs Logistics</v>
          </cell>
        </row>
        <row r="16">
          <cell r="B16" t="str">
            <v>Hiabs Logistics</v>
          </cell>
          <cell r="C16" t="str">
            <v>Hiabs Logistics</v>
          </cell>
        </row>
        <row r="17">
          <cell r="B17" t="str">
            <v>Hiabs Logistics</v>
          </cell>
          <cell r="C17" t="str">
            <v>Hiabs Logistics</v>
          </cell>
        </row>
        <row r="18">
          <cell r="B18" t="str">
            <v>Hiabs Logistics</v>
          </cell>
          <cell r="C18" t="str">
            <v>Hiabs Logistics</v>
          </cell>
        </row>
        <row r="19">
          <cell r="B19" t="str">
            <v>Hiabs Logistics</v>
          </cell>
          <cell r="C19" t="str">
            <v>Hiabs Logistics</v>
          </cell>
        </row>
        <row r="20">
          <cell r="B20" t="str">
            <v>Hiabs Logistics</v>
          </cell>
          <cell r="C20" t="str">
            <v>Hiabs Logistics</v>
          </cell>
        </row>
        <row r="21">
          <cell r="B21" t="str">
            <v>Hiabs Logistics</v>
          </cell>
          <cell r="C21" t="str">
            <v>Hiabs Logistics</v>
          </cell>
        </row>
        <row r="22">
          <cell r="B22" t="str">
            <v>Flat Trucks Logistics</v>
          </cell>
          <cell r="C22" t="str">
            <v>Flat Trucks Logistics</v>
          </cell>
        </row>
        <row r="23">
          <cell r="B23" t="str">
            <v>Flat Trucks Logistics</v>
          </cell>
          <cell r="C23" t="str">
            <v>Flat Trucks Logistics</v>
          </cell>
        </row>
        <row r="24">
          <cell r="B24" t="str">
            <v>Flat Trucks Logistics</v>
          </cell>
          <cell r="C24" t="str">
            <v>Flat Trucks Logistics</v>
          </cell>
        </row>
        <row r="25">
          <cell r="B25" t="str">
            <v>Flat Trucks Logistics</v>
          </cell>
          <cell r="C25" t="str">
            <v>Flat Trucks Logistics</v>
          </cell>
        </row>
        <row r="26">
          <cell r="B26" t="str">
            <v>Flat Trucks Logistics</v>
          </cell>
          <cell r="C26" t="str">
            <v>Flat Trucks Logistics</v>
          </cell>
        </row>
        <row r="27">
          <cell r="B27" t="str">
            <v>Flat Trucks Logistics</v>
          </cell>
          <cell r="C27" t="str">
            <v>Flat Trucks Logistics</v>
          </cell>
        </row>
        <row r="28">
          <cell r="B28" t="str">
            <v>Flat Trucks Logistics</v>
          </cell>
          <cell r="C28" t="str">
            <v>Flat Trucks Logistics</v>
          </cell>
        </row>
        <row r="29">
          <cell r="B29" t="str">
            <v>HAULAGE</v>
          </cell>
          <cell r="C29" t="str">
            <v>HAULAGE</v>
          </cell>
        </row>
        <row r="30">
          <cell r="B30" t="str">
            <v>HAULAGE</v>
          </cell>
          <cell r="C30" t="str">
            <v>HAULAGE</v>
          </cell>
        </row>
        <row r="31">
          <cell r="B31" t="str">
            <v>HAULAGE</v>
          </cell>
          <cell r="C31" t="str">
            <v>HAULAGE</v>
          </cell>
        </row>
        <row r="32">
          <cell r="B32" t="str">
            <v>HAULAGE</v>
          </cell>
          <cell r="C32" t="str">
            <v>HAULAGE</v>
          </cell>
        </row>
        <row r="33">
          <cell r="B33" t="str">
            <v>HAULAGE</v>
          </cell>
          <cell r="C33" t="str">
            <v>HAULAGE</v>
          </cell>
        </row>
        <row r="34">
          <cell r="B34" t="str">
            <v>HAULAGE</v>
          </cell>
          <cell r="C34" t="str">
            <v>HAULAGE</v>
          </cell>
        </row>
        <row r="35">
          <cell r="B35" t="str">
            <v>HAULAGE</v>
          </cell>
          <cell r="C35" t="str">
            <v>HAULAGE</v>
          </cell>
        </row>
        <row r="36">
          <cell r="B36" t="str">
            <v>HAULAGE</v>
          </cell>
          <cell r="C36" t="str">
            <v>HAULAGE</v>
          </cell>
        </row>
        <row r="37">
          <cell r="B37" t="str">
            <v>HAULAGE</v>
          </cell>
          <cell r="C37" t="str">
            <v>HAULAGE</v>
          </cell>
        </row>
        <row r="38">
          <cell r="B38" t="str">
            <v>HAULAGE</v>
          </cell>
          <cell r="C38" t="str">
            <v>HAULAGE</v>
          </cell>
        </row>
        <row r="39">
          <cell r="B39" t="str">
            <v>HAULAGE</v>
          </cell>
          <cell r="C39" t="str">
            <v>HAULAGE</v>
          </cell>
        </row>
        <row r="40">
          <cell r="B40" t="str">
            <v>HAULAGE</v>
          </cell>
          <cell r="C40" t="str">
            <v>HAULAGE</v>
          </cell>
        </row>
        <row r="41">
          <cell r="B41" t="str">
            <v>HAULAGE</v>
          </cell>
          <cell r="C41" t="str">
            <v>HAULAGE</v>
          </cell>
        </row>
        <row r="42">
          <cell r="B42" t="str">
            <v>HAULAGE</v>
          </cell>
          <cell r="C42" t="str">
            <v>HAULAGE</v>
          </cell>
        </row>
        <row r="43">
          <cell r="B43" t="str">
            <v>HAULAGE</v>
          </cell>
          <cell r="C43" t="str">
            <v>HAULAGE</v>
          </cell>
        </row>
        <row r="44">
          <cell r="B44" t="str">
            <v>HAULAGE</v>
          </cell>
          <cell r="C44" t="str">
            <v>HAULAGE</v>
          </cell>
        </row>
        <row r="45">
          <cell r="B45" t="str">
            <v>HAULAGE</v>
          </cell>
          <cell r="C45" t="str">
            <v>HAULAGE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A4" t="str">
            <v>10CBM</v>
          </cell>
        </row>
        <row r="5">
          <cell r="A5" t="str">
            <v>16CBM</v>
          </cell>
        </row>
        <row r="6">
          <cell r="A6" t="str">
            <v>25CBM</v>
          </cell>
        </row>
        <row r="7">
          <cell r="A7" t="str">
            <v>Flat Trucks Logistics</v>
          </cell>
        </row>
        <row r="8">
          <cell r="A8" t="str">
            <v>HAULAGE</v>
          </cell>
        </row>
        <row r="9">
          <cell r="A9" t="str">
            <v>Hiabs Logistics</v>
          </cell>
        </row>
        <row r="10">
          <cell r="A10" t="str">
            <v>Grand Total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38F0-9C59-4FDC-9047-3194376161ED}">
  <dimension ref="B2:J6"/>
  <sheetViews>
    <sheetView workbookViewId="0">
      <selection activeCell="E20" sqref="E20"/>
    </sheetView>
  </sheetViews>
  <sheetFormatPr defaultRowHeight="14.4" x14ac:dyDescent="0.3"/>
  <cols>
    <col min="2" max="10" width="14.77734375" customWidth="1"/>
  </cols>
  <sheetData>
    <row r="2" spans="2:10" ht="28.8" x14ac:dyDescent="0.3"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 t="s">
        <v>38</v>
      </c>
      <c r="J2" s="3" t="s">
        <v>282</v>
      </c>
    </row>
    <row r="3" spans="2:10" x14ac:dyDescent="0.3">
      <c r="B3" s="4" t="s">
        <v>13</v>
      </c>
      <c r="C3" s="4" t="s">
        <v>14</v>
      </c>
      <c r="D3" s="5" t="s">
        <v>279</v>
      </c>
      <c r="E3" s="5" t="s">
        <v>280</v>
      </c>
      <c r="F3" s="5" t="s">
        <v>142</v>
      </c>
      <c r="G3" s="6" t="s">
        <v>142</v>
      </c>
      <c r="H3" s="7" t="s">
        <v>281</v>
      </c>
      <c r="I3" s="6">
        <v>2100000</v>
      </c>
      <c r="J3" s="4" t="s">
        <v>283</v>
      </c>
    </row>
    <row r="4" spans="2:10" x14ac:dyDescent="0.3">
      <c r="B4" s="4" t="s">
        <v>13</v>
      </c>
      <c r="C4" s="4" t="s">
        <v>46</v>
      </c>
      <c r="D4" s="5" t="s">
        <v>279</v>
      </c>
      <c r="E4" s="5" t="s">
        <v>280</v>
      </c>
      <c r="F4" s="5" t="s">
        <v>142</v>
      </c>
      <c r="G4" s="6" t="s">
        <v>142</v>
      </c>
      <c r="H4" s="7" t="s">
        <v>281</v>
      </c>
      <c r="I4" s="6">
        <f>I3/45*30</f>
        <v>1400000</v>
      </c>
      <c r="J4" s="4" t="s">
        <v>283</v>
      </c>
    </row>
    <row r="5" spans="2:10" x14ac:dyDescent="0.3">
      <c r="B5" s="4" t="s">
        <v>13</v>
      </c>
      <c r="C5" s="4" t="s">
        <v>97</v>
      </c>
      <c r="D5" s="5" t="s">
        <v>279</v>
      </c>
      <c r="E5" s="5" t="s">
        <v>284</v>
      </c>
      <c r="F5" s="5" t="s">
        <v>280</v>
      </c>
      <c r="G5" s="6" t="s">
        <v>280</v>
      </c>
      <c r="H5" s="7" t="s">
        <v>285</v>
      </c>
      <c r="I5" s="6">
        <v>3150000</v>
      </c>
      <c r="J5" s="4" t="s">
        <v>283</v>
      </c>
    </row>
    <row r="6" spans="2:10" x14ac:dyDescent="0.3">
      <c r="B6" s="4" t="s">
        <v>13</v>
      </c>
      <c r="C6" s="4" t="s">
        <v>46</v>
      </c>
      <c r="D6" s="5" t="s">
        <v>279</v>
      </c>
      <c r="E6" s="5" t="s">
        <v>284</v>
      </c>
      <c r="F6" s="5" t="s">
        <v>280</v>
      </c>
      <c r="G6" s="6" t="s">
        <v>280</v>
      </c>
      <c r="H6" s="7" t="s">
        <v>285</v>
      </c>
      <c r="I6" s="6">
        <f>I5/45*30</f>
        <v>2100000</v>
      </c>
      <c r="J6" s="4" t="s">
        <v>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E107-BB63-49EF-8F09-9337F8A544C1}">
  <dimension ref="B2:J3"/>
  <sheetViews>
    <sheetView workbookViewId="0">
      <selection activeCell="B2" sqref="B2"/>
    </sheetView>
  </sheetViews>
  <sheetFormatPr defaultRowHeight="14.4" x14ac:dyDescent="0.3"/>
  <cols>
    <col min="2" max="10" width="14.77734375" customWidth="1"/>
  </cols>
  <sheetData>
    <row r="2" spans="2:10" ht="28.8" x14ac:dyDescent="0.3">
      <c r="B2" s="1" t="s">
        <v>2</v>
      </c>
      <c r="C2" s="1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" t="s">
        <v>38</v>
      </c>
      <c r="J2" s="3" t="s">
        <v>282</v>
      </c>
    </row>
    <row r="3" spans="2:10" x14ac:dyDescent="0.3">
      <c r="B3" s="4" t="s">
        <v>13</v>
      </c>
      <c r="C3" s="4" t="s">
        <v>14</v>
      </c>
      <c r="D3" s="5" t="s">
        <v>287</v>
      </c>
      <c r="E3" s="5" t="s">
        <v>286</v>
      </c>
      <c r="F3" s="5" t="s">
        <v>54</v>
      </c>
      <c r="G3" s="6" t="s">
        <v>54</v>
      </c>
      <c r="H3" s="7" t="s">
        <v>281</v>
      </c>
      <c r="I3" s="6">
        <f>25*45000</f>
        <v>1125000</v>
      </c>
      <c r="J3" s="4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2EE1-F884-4D62-8F66-6E6EAE3153D2}">
  <dimension ref="A1:K13"/>
  <sheetViews>
    <sheetView tabSelected="1" workbookViewId="0">
      <selection activeCell="J10" sqref="J10"/>
    </sheetView>
  </sheetViews>
  <sheetFormatPr defaultRowHeight="14.4" x14ac:dyDescent="0.3"/>
  <cols>
    <col min="1" max="1" width="24.5546875" bestFit="1" customWidth="1"/>
    <col min="2" max="2" width="11.33203125" customWidth="1"/>
    <col min="7" max="7" width="12.109375" customWidth="1"/>
    <col min="8" max="8" width="10.21875" bestFit="1" customWidth="1"/>
    <col min="10" max="10" width="12.5546875" bestFit="1" customWidth="1"/>
    <col min="11" max="11" width="13.88671875" bestFit="1" customWidth="1"/>
  </cols>
  <sheetData>
    <row r="1" spans="1:11" ht="29.4" thickBot="1" x14ac:dyDescent="0.35">
      <c r="A1" s="57" t="s">
        <v>0</v>
      </c>
      <c r="B1" s="56" t="s">
        <v>1</v>
      </c>
      <c r="C1" s="58" t="s">
        <v>2</v>
      </c>
      <c r="D1" s="59" t="s">
        <v>3</v>
      </c>
      <c r="E1" s="61" t="s">
        <v>4</v>
      </c>
      <c r="F1" s="62" t="s">
        <v>5</v>
      </c>
      <c r="G1" s="62" t="s">
        <v>6</v>
      </c>
      <c r="H1" s="60" t="s">
        <v>7</v>
      </c>
      <c r="I1" s="54" t="s">
        <v>8</v>
      </c>
      <c r="J1" s="63" t="s">
        <v>9</v>
      </c>
      <c r="K1" s="55" t="s">
        <v>10</v>
      </c>
    </row>
    <row r="2" spans="1:11" x14ac:dyDescent="0.3">
      <c r="A2" s="67" t="s">
        <v>11</v>
      </c>
      <c r="B2" s="68" t="s">
        <v>12</v>
      </c>
      <c r="C2" s="68" t="s">
        <v>13</v>
      </c>
      <c r="D2" s="68" t="s">
        <v>14</v>
      </c>
      <c r="E2" s="69" t="s">
        <v>15</v>
      </c>
      <c r="F2" s="69" t="s">
        <v>16</v>
      </c>
      <c r="G2" s="70" t="s">
        <v>17</v>
      </c>
      <c r="H2" s="70" t="s">
        <v>18</v>
      </c>
      <c r="I2" s="71" t="s">
        <v>19</v>
      </c>
      <c r="J2" s="72">
        <v>3270000</v>
      </c>
      <c r="K2" s="73">
        <f>J2*1.075</f>
        <v>3515250</v>
      </c>
    </row>
    <row r="3" spans="1:11" x14ac:dyDescent="0.3">
      <c r="A3" s="49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5" t="s">
        <v>16</v>
      </c>
      <c r="G3" s="6" t="s">
        <v>20</v>
      </c>
      <c r="H3" s="6" t="s">
        <v>20</v>
      </c>
      <c r="I3" s="7" t="s">
        <v>19</v>
      </c>
      <c r="J3" s="23">
        <v>4400000</v>
      </c>
      <c r="K3" s="65">
        <f t="shared" ref="K3:K13" si="0">J3*1.075</f>
        <v>4730000</v>
      </c>
    </row>
    <row r="4" spans="1:11" x14ac:dyDescent="0.3">
      <c r="A4" s="49" t="s">
        <v>11</v>
      </c>
      <c r="B4" s="4" t="s">
        <v>12</v>
      </c>
      <c r="C4" s="4" t="s">
        <v>13</v>
      </c>
      <c r="D4" s="4" t="s">
        <v>14</v>
      </c>
      <c r="E4" s="5" t="s">
        <v>15</v>
      </c>
      <c r="F4" s="5" t="s">
        <v>16</v>
      </c>
      <c r="G4" s="6" t="s">
        <v>21</v>
      </c>
      <c r="H4" s="6" t="s">
        <v>21</v>
      </c>
      <c r="I4" s="7" t="s">
        <v>19</v>
      </c>
      <c r="J4" s="23">
        <v>4170000</v>
      </c>
      <c r="K4" s="65">
        <f t="shared" si="0"/>
        <v>4482750</v>
      </c>
    </row>
    <row r="5" spans="1:11" x14ac:dyDescent="0.3">
      <c r="A5" s="49" t="s">
        <v>11</v>
      </c>
      <c r="B5" s="4" t="s">
        <v>12</v>
      </c>
      <c r="C5" s="4" t="s">
        <v>13</v>
      </c>
      <c r="D5" s="4" t="s">
        <v>14</v>
      </c>
      <c r="E5" s="5" t="s">
        <v>15</v>
      </c>
      <c r="F5" s="5" t="s">
        <v>16</v>
      </c>
      <c r="G5" s="6" t="s">
        <v>22</v>
      </c>
      <c r="H5" s="6" t="s">
        <v>22</v>
      </c>
      <c r="I5" s="7" t="s">
        <v>19</v>
      </c>
      <c r="J5" s="23">
        <v>3850000</v>
      </c>
      <c r="K5" s="65">
        <f t="shared" si="0"/>
        <v>4138750</v>
      </c>
    </row>
    <row r="6" spans="1:11" x14ac:dyDescent="0.3">
      <c r="A6" s="49" t="s">
        <v>11</v>
      </c>
      <c r="B6" s="4" t="s">
        <v>12</v>
      </c>
      <c r="C6" s="4" t="s">
        <v>13</v>
      </c>
      <c r="D6" s="4" t="s">
        <v>14</v>
      </c>
      <c r="E6" s="5" t="s">
        <v>15</v>
      </c>
      <c r="F6" s="5" t="s">
        <v>16</v>
      </c>
      <c r="G6" s="5" t="s">
        <v>23</v>
      </c>
      <c r="H6" s="5" t="s">
        <v>23</v>
      </c>
      <c r="I6" s="8" t="s">
        <v>19</v>
      </c>
      <c r="J6" s="23">
        <v>4030000</v>
      </c>
      <c r="K6" s="65">
        <f t="shared" si="0"/>
        <v>4332250</v>
      </c>
    </row>
    <row r="7" spans="1:11" x14ac:dyDescent="0.3">
      <c r="A7" s="49" t="s">
        <v>11</v>
      </c>
      <c r="B7" s="4" t="s">
        <v>12</v>
      </c>
      <c r="C7" s="4" t="s">
        <v>13</v>
      </c>
      <c r="D7" s="4" t="s">
        <v>14</v>
      </c>
      <c r="E7" s="5" t="s">
        <v>15</v>
      </c>
      <c r="F7" s="5" t="s">
        <v>16</v>
      </c>
      <c r="G7" s="5" t="s">
        <v>24</v>
      </c>
      <c r="H7" s="5" t="s">
        <v>24</v>
      </c>
      <c r="I7" s="8" t="s">
        <v>19</v>
      </c>
      <c r="J7" s="23">
        <v>5130000</v>
      </c>
      <c r="K7" s="65">
        <f t="shared" si="0"/>
        <v>5514750</v>
      </c>
    </row>
    <row r="8" spans="1:11" x14ac:dyDescent="0.3">
      <c r="A8" s="49" t="s">
        <v>11</v>
      </c>
      <c r="B8" s="4" t="s">
        <v>12</v>
      </c>
      <c r="C8" s="4" t="s">
        <v>13</v>
      </c>
      <c r="D8" s="4" t="s">
        <v>14</v>
      </c>
      <c r="E8" s="5" t="s">
        <v>15</v>
      </c>
      <c r="F8" s="5" t="s">
        <v>16</v>
      </c>
      <c r="G8" s="5" t="s">
        <v>25</v>
      </c>
      <c r="H8" s="5" t="s">
        <v>26</v>
      </c>
      <c r="I8" s="8" t="s">
        <v>19</v>
      </c>
      <c r="J8" s="23">
        <v>6430000</v>
      </c>
      <c r="K8" s="65">
        <f t="shared" si="0"/>
        <v>6912250</v>
      </c>
    </row>
    <row r="9" spans="1:11" x14ac:dyDescent="0.3">
      <c r="A9" s="49" t="s">
        <v>11</v>
      </c>
      <c r="B9" s="4" t="s">
        <v>12</v>
      </c>
      <c r="C9" s="4" t="s">
        <v>13</v>
      </c>
      <c r="D9" s="4" t="s">
        <v>14</v>
      </c>
      <c r="E9" s="5" t="s">
        <v>15</v>
      </c>
      <c r="F9" s="5" t="s">
        <v>16</v>
      </c>
      <c r="G9" s="5" t="s">
        <v>27</v>
      </c>
      <c r="H9" s="5" t="s">
        <v>26</v>
      </c>
      <c r="I9" s="8" t="s">
        <v>19</v>
      </c>
      <c r="J9" s="23">
        <v>6430000</v>
      </c>
      <c r="K9" s="65">
        <f t="shared" si="0"/>
        <v>6912250</v>
      </c>
    </row>
    <row r="10" spans="1:11" x14ac:dyDescent="0.3">
      <c r="A10" s="49" t="s">
        <v>11</v>
      </c>
      <c r="B10" s="4" t="s">
        <v>12</v>
      </c>
      <c r="C10" s="4" t="s">
        <v>13</v>
      </c>
      <c r="D10" s="4" t="s">
        <v>14</v>
      </c>
      <c r="E10" s="5" t="s">
        <v>15</v>
      </c>
      <c r="F10" s="5" t="s">
        <v>16</v>
      </c>
      <c r="G10" s="5" t="s">
        <v>28</v>
      </c>
      <c r="H10" s="5" t="s">
        <v>28</v>
      </c>
      <c r="I10" s="8" t="s">
        <v>19</v>
      </c>
      <c r="J10" s="23">
        <v>5130000</v>
      </c>
      <c r="K10" s="65">
        <f t="shared" si="0"/>
        <v>5514750</v>
      </c>
    </row>
    <row r="11" spans="1:11" x14ac:dyDescent="0.3">
      <c r="A11" s="49" t="s">
        <v>11</v>
      </c>
      <c r="B11" s="4" t="s">
        <v>12</v>
      </c>
      <c r="C11" s="4" t="s">
        <v>13</v>
      </c>
      <c r="D11" s="4" t="s">
        <v>14</v>
      </c>
      <c r="E11" s="5" t="s">
        <v>15</v>
      </c>
      <c r="F11" s="5" t="s">
        <v>16</v>
      </c>
      <c r="G11" s="5" t="s">
        <v>29</v>
      </c>
      <c r="H11" s="5" t="s">
        <v>29</v>
      </c>
      <c r="I11" s="8" t="s">
        <v>19</v>
      </c>
      <c r="J11" s="23">
        <v>3900000</v>
      </c>
      <c r="K11" s="65">
        <f t="shared" si="0"/>
        <v>4192500</v>
      </c>
    </row>
    <row r="12" spans="1:11" x14ac:dyDescent="0.3">
      <c r="A12" s="49" t="s">
        <v>11</v>
      </c>
      <c r="B12" s="4" t="s">
        <v>12</v>
      </c>
      <c r="C12" s="4" t="s">
        <v>13</v>
      </c>
      <c r="D12" s="4" t="s">
        <v>14</v>
      </c>
      <c r="E12" s="5" t="s">
        <v>15</v>
      </c>
      <c r="F12" s="5" t="s">
        <v>16</v>
      </c>
      <c r="G12" s="5" t="s">
        <v>30</v>
      </c>
      <c r="H12" s="5" t="s">
        <v>30</v>
      </c>
      <c r="I12" s="8" t="s">
        <v>19</v>
      </c>
      <c r="J12" s="23">
        <v>4600000</v>
      </c>
      <c r="K12" s="65">
        <f t="shared" si="0"/>
        <v>4945000</v>
      </c>
    </row>
    <row r="13" spans="1:11" ht="15" thickBot="1" x14ac:dyDescent="0.35">
      <c r="A13" s="50" t="s">
        <v>11</v>
      </c>
      <c r="B13" s="51" t="s">
        <v>12</v>
      </c>
      <c r="C13" s="51" t="s">
        <v>13</v>
      </c>
      <c r="D13" s="51" t="s">
        <v>14</v>
      </c>
      <c r="E13" s="52" t="s">
        <v>15</v>
      </c>
      <c r="F13" s="52" t="s">
        <v>16</v>
      </c>
      <c r="G13" s="52" t="s">
        <v>31</v>
      </c>
      <c r="H13" s="52" t="s">
        <v>31</v>
      </c>
      <c r="I13" s="53" t="s">
        <v>19</v>
      </c>
      <c r="J13" s="64">
        <v>4290000</v>
      </c>
      <c r="K13" s="66">
        <f t="shared" si="0"/>
        <v>4611750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298B-E6DE-4AD1-8B4F-E304D26041B3}">
  <dimension ref="A1:H4"/>
  <sheetViews>
    <sheetView workbookViewId="0">
      <selection activeCell="H1" sqref="H1:H1048576"/>
    </sheetView>
  </sheetViews>
  <sheetFormatPr defaultRowHeight="14.4" x14ac:dyDescent="0.3"/>
  <cols>
    <col min="8" max="8" width="12.5546875" bestFit="1" customWidth="1"/>
  </cols>
  <sheetData>
    <row r="1" spans="1:8" ht="28.8" x14ac:dyDescent="0.3">
      <c r="A1" s="1" t="s">
        <v>2</v>
      </c>
      <c r="B1" s="1" t="s">
        <v>3</v>
      </c>
      <c r="C1" s="2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1" t="s">
        <v>38</v>
      </c>
    </row>
    <row r="2" spans="1:8" x14ac:dyDescent="0.3">
      <c r="A2" s="4" t="s">
        <v>13</v>
      </c>
      <c r="B2" s="4" t="s">
        <v>14</v>
      </c>
      <c r="C2" s="5" t="s">
        <v>32</v>
      </c>
      <c r="D2" s="5" t="s">
        <v>16</v>
      </c>
      <c r="E2" s="5" t="s">
        <v>33</v>
      </c>
      <c r="F2" s="6" t="s">
        <v>34</v>
      </c>
      <c r="G2" s="7" t="s">
        <v>35</v>
      </c>
      <c r="H2" s="6">
        <v>2020000</v>
      </c>
    </row>
    <row r="3" spans="1:8" x14ac:dyDescent="0.3">
      <c r="A3" s="4" t="s">
        <v>13</v>
      </c>
      <c r="B3" s="4" t="s">
        <v>14</v>
      </c>
      <c r="C3" s="5" t="s">
        <v>32</v>
      </c>
      <c r="D3" s="5" t="s">
        <v>16</v>
      </c>
      <c r="E3" s="6" t="s">
        <v>20</v>
      </c>
      <c r="F3" s="6" t="s">
        <v>20</v>
      </c>
      <c r="G3" s="7" t="s">
        <v>19</v>
      </c>
      <c r="H3" s="6">
        <v>4450000</v>
      </c>
    </row>
    <row r="4" spans="1:8" x14ac:dyDescent="0.3">
      <c r="A4" s="4" t="s">
        <v>13</v>
      </c>
      <c r="B4" s="4" t="s">
        <v>14</v>
      </c>
      <c r="C4" s="5" t="s">
        <v>32</v>
      </c>
      <c r="D4" s="5" t="s">
        <v>16</v>
      </c>
      <c r="E4" s="6" t="s">
        <v>36</v>
      </c>
      <c r="F4" s="6" t="s">
        <v>36</v>
      </c>
      <c r="G4" s="7" t="s">
        <v>35</v>
      </c>
      <c r="H4" s="6">
        <v>3300000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D92B-4911-4477-A77B-641E3DAF71DF}">
  <dimension ref="A2:L84"/>
  <sheetViews>
    <sheetView workbookViewId="0">
      <selection activeCell="J5" sqref="J5"/>
    </sheetView>
  </sheetViews>
  <sheetFormatPr defaultRowHeight="14.4" x14ac:dyDescent="0.3"/>
  <cols>
    <col min="1" max="1" width="30.21875" bestFit="1" customWidth="1"/>
    <col min="2" max="2" width="9.77734375" bestFit="1" customWidth="1"/>
    <col min="4" max="4" width="14" bestFit="1" customWidth="1"/>
    <col min="5" max="5" width="16.88671875" bestFit="1" customWidth="1"/>
    <col min="6" max="6" width="7.6640625" bestFit="1" customWidth="1"/>
    <col min="7" max="7" width="14.5546875" bestFit="1" customWidth="1"/>
    <col min="8" max="8" width="16.6640625" bestFit="1" customWidth="1"/>
    <col min="9" max="9" width="12.33203125" bestFit="1" customWidth="1"/>
    <col min="10" max="10" width="12.5546875" bestFit="1" customWidth="1"/>
    <col min="11" max="11" width="10.33203125" bestFit="1" customWidth="1"/>
    <col min="12" max="12" width="11.33203125" bestFit="1" customWidth="1"/>
  </cols>
  <sheetData>
    <row r="2" spans="1:12" ht="28.8" x14ac:dyDescent="0.3">
      <c r="A2" s="16" t="s">
        <v>0</v>
      </c>
      <c r="B2" s="16" t="s">
        <v>1</v>
      </c>
      <c r="C2" s="16" t="s">
        <v>2</v>
      </c>
      <c r="D2" s="16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16" t="s">
        <v>45</v>
      </c>
    </row>
    <row r="3" spans="1:12" x14ac:dyDescent="0.3">
      <c r="A3" s="4" t="s">
        <v>39</v>
      </c>
      <c r="B3" s="4" t="s">
        <v>12</v>
      </c>
      <c r="C3" s="4" t="s">
        <v>13</v>
      </c>
      <c r="D3" s="4" t="s">
        <v>14</v>
      </c>
      <c r="E3" s="5" t="s">
        <v>40</v>
      </c>
      <c r="F3" s="5" t="s">
        <v>16</v>
      </c>
      <c r="G3" s="5" t="s">
        <v>33</v>
      </c>
      <c r="H3" s="6" t="s">
        <v>34</v>
      </c>
      <c r="I3" s="7" t="s">
        <v>35</v>
      </c>
      <c r="J3" s="6">
        <v>2020000</v>
      </c>
    </row>
    <row r="4" spans="1:12" x14ac:dyDescent="0.3">
      <c r="A4" s="4" t="s">
        <v>39</v>
      </c>
      <c r="B4" s="4" t="s">
        <v>12</v>
      </c>
      <c r="C4" s="4" t="s">
        <v>13</v>
      </c>
      <c r="D4" s="4" t="s">
        <v>14</v>
      </c>
      <c r="E4" s="5" t="s">
        <v>40</v>
      </c>
      <c r="F4" s="5" t="s">
        <v>16</v>
      </c>
      <c r="G4" s="6" t="s">
        <v>20</v>
      </c>
      <c r="H4" s="6" t="s">
        <v>20</v>
      </c>
      <c r="I4" s="7" t="s">
        <v>19</v>
      </c>
      <c r="J4" s="6">
        <v>4000000</v>
      </c>
    </row>
    <row r="5" spans="1:12" x14ac:dyDescent="0.3">
      <c r="A5" s="4" t="s">
        <v>39</v>
      </c>
      <c r="B5" s="4" t="s">
        <v>12</v>
      </c>
      <c r="C5" s="4" t="s">
        <v>13</v>
      </c>
      <c r="D5" s="4" t="s">
        <v>14</v>
      </c>
      <c r="E5" s="5" t="s">
        <v>40</v>
      </c>
      <c r="F5" s="5" t="s">
        <v>16</v>
      </c>
      <c r="G5" s="5" t="s">
        <v>41</v>
      </c>
      <c r="H5" s="5" t="s">
        <v>42</v>
      </c>
      <c r="I5" s="8" t="s">
        <v>18</v>
      </c>
      <c r="J5" s="6">
        <v>3310000</v>
      </c>
    </row>
    <row r="6" spans="1:12" x14ac:dyDescent="0.3">
      <c r="A6" s="4" t="s">
        <v>39</v>
      </c>
      <c r="B6" s="4" t="s">
        <v>12</v>
      </c>
      <c r="C6" s="4" t="s">
        <v>13</v>
      </c>
      <c r="D6" s="4" t="s">
        <v>14</v>
      </c>
      <c r="E6" s="5" t="s">
        <v>40</v>
      </c>
      <c r="F6" s="5" t="s">
        <v>16</v>
      </c>
      <c r="G6" s="5" t="s">
        <v>43</v>
      </c>
      <c r="H6" s="5" t="s">
        <v>42</v>
      </c>
      <c r="I6" s="8" t="s">
        <v>44</v>
      </c>
      <c r="J6" s="6">
        <v>850000</v>
      </c>
    </row>
    <row r="7" spans="1:12" x14ac:dyDescent="0.3">
      <c r="A7" s="4" t="s">
        <v>39</v>
      </c>
      <c r="B7" s="4" t="s">
        <v>12</v>
      </c>
      <c r="C7" s="4" t="s">
        <v>13</v>
      </c>
      <c r="D7" s="4" t="s">
        <v>14</v>
      </c>
      <c r="E7" s="5" t="s">
        <v>40</v>
      </c>
      <c r="F7" s="5" t="s">
        <v>16</v>
      </c>
      <c r="G7" s="5" t="s">
        <v>22</v>
      </c>
      <c r="H7" s="5" t="s">
        <v>42</v>
      </c>
      <c r="I7" s="8" t="s">
        <v>22</v>
      </c>
      <c r="J7" s="6">
        <v>4140000</v>
      </c>
    </row>
    <row r="11" spans="1:12" ht="28.8" x14ac:dyDescent="0.3">
      <c r="A11" s="16" t="s">
        <v>0</v>
      </c>
      <c r="B11" s="16" t="s">
        <v>1</v>
      </c>
      <c r="C11" s="17" t="s">
        <v>2</v>
      </c>
      <c r="D11" s="17" t="s">
        <v>3</v>
      </c>
      <c r="E11" s="18" t="s">
        <v>4</v>
      </c>
      <c r="F11" s="19" t="s">
        <v>5</v>
      </c>
      <c r="G11" s="19" t="s">
        <v>6</v>
      </c>
      <c r="H11" s="19" t="s">
        <v>7</v>
      </c>
      <c r="I11" s="19" t="s">
        <v>8</v>
      </c>
      <c r="J11" s="16" t="s">
        <v>45</v>
      </c>
    </row>
    <row r="12" spans="1:12" x14ac:dyDescent="0.3">
      <c r="A12" s="4" t="s">
        <v>98</v>
      </c>
      <c r="B12" s="4" t="s">
        <v>12</v>
      </c>
      <c r="C12" s="17" t="s">
        <v>13</v>
      </c>
      <c r="D12" s="17" t="s">
        <v>46</v>
      </c>
      <c r="E12" s="20" t="s">
        <v>47</v>
      </c>
      <c r="F12" s="20" t="s">
        <v>16</v>
      </c>
      <c r="G12" s="21" t="s">
        <v>48</v>
      </c>
      <c r="H12" s="20" t="s">
        <v>49</v>
      </c>
      <c r="I12" s="21" t="s">
        <v>48</v>
      </c>
      <c r="J12" s="6">
        <v>540000</v>
      </c>
      <c r="K12" s="22"/>
      <c r="L12" s="22"/>
    </row>
    <row r="13" spans="1:12" x14ac:dyDescent="0.3">
      <c r="A13" s="4" t="s">
        <v>98</v>
      </c>
      <c r="B13" s="4" t="s">
        <v>12</v>
      </c>
      <c r="C13" s="17" t="s">
        <v>13</v>
      </c>
      <c r="D13" s="17" t="s">
        <v>46</v>
      </c>
      <c r="E13" s="20" t="s">
        <v>47</v>
      </c>
      <c r="F13" s="20" t="s">
        <v>16</v>
      </c>
      <c r="G13" s="21" t="s">
        <v>50</v>
      </c>
      <c r="H13" s="20" t="s">
        <v>51</v>
      </c>
      <c r="I13" s="21" t="s">
        <v>50</v>
      </c>
      <c r="J13" s="6">
        <v>517000</v>
      </c>
    </row>
    <row r="14" spans="1:12" x14ac:dyDescent="0.3">
      <c r="A14" s="4" t="s">
        <v>98</v>
      </c>
      <c r="B14" s="4" t="s">
        <v>12</v>
      </c>
      <c r="C14" s="17" t="s">
        <v>13</v>
      </c>
      <c r="D14" s="17" t="s">
        <v>46</v>
      </c>
      <c r="E14" s="20" t="s">
        <v>47</v>
      </c>
      <c r="F14" s="20" t="s">
        <v>16</v>
      </c>
      <c r="G14" s="21" t="s">
        <v>52</v>
      </c>
      <c r="H14" s="20" t="s">
        <v>53</v>
      </c>
      <c r="I14" s="21" t="s">
        <v>52</v>
      </c>
      <c r="J14" s="6">
        <v>517000</v>
      </c>
    </row>
    <row r="15" spans="1:12" x14ac:dyDescent="0.3">
      <c r="A15" s="4" t="s">
        <v>98</v>
      </c>
      <c r="B15" s="4" t="s">
        <v>12</v>
      </c>
      <c r="C15" s="17" t="s">
        <v>13</v>
      </c>
      <c r="D15" s="17" t="s">
        <v>46</v>
      </c>
      <c r="E15" s="20" t="s">
        <v>47</v>
      </c>
      <c r="F15" s="20" t="s">
        <v>16</v>
      </c>
      <c r="G15" s="21" t="s">
        <v>54</v>
      </c>
      <c r="H15" s="20" t="s">
        <v>55</v>
      </c>
      <c r="I15" s="21" t="s">
        <v>54</v>
      </c>
      <c r="J15" s="6">
        <v>672000</v>
      </c>
    </row>
    <row r="16" spans="1:12" x14ac:dyDescent="0.3">
      <c r="A16" s="4" t="s">
        <v>98</v>
      </c>
      <c r="B16" s="4" t="s">
        <v>12</v>
      </c>
      <c r="C16" s="17" t="s">
        <v>13</v>
      </c>
      <c r="D16" s="17" t="s">
        <v>46</v>
      </c>
      <c r="E16" s="20" t="s">
        <v>47</v>
      </c>
      <c r="F16" s="20" t="s">
        <v>16</v>
      </c>
      <c r="G16" s="21" t="s">
        <v>56</v>
      </c>
      <c r="H16" s="20" t="s">
        <v>57</v>
      </c>
      <c r="I16" s="21" t="s">
        <v>56</v>
      </c>
      <c r="J16" s="6">
        <v>540000</v>
      </c>
    </row>
    <row r="17" spans="1:10" x14ac:dyDescent="0.3">
      <c r="A17" s="4" t="s">
        <v>98</v>
      </c>
      <c r="B17" s="4" t="s">
        <v>12</v>
      </c>
      <c r="C17" s="17" t="s">
        <v>13</v>
      </c>
      <c r="D17" s="17" t="s">
        <v>46</v>
      </c>
      <c r="E17" s="20" t="s">
        <v>47</v>
      </c>
      <c r="F17" s="20" t="s">
        <v>16</v>
      </c>
      <c r="G17" s="21" t="s">
        <v>58</v>
      </c>
      <c r="H17" s="20" t="s">
        <v>59</v>
      </c>
      <c r="I17" s="21" t="s">
        <v>58</v>
      </c>
      <c r="J17" s="6">
        <v>517000</v>
      </c>
    </row>
    <row r="18" spans="1:10" x14ac:dyDescent="0.3">
      <c r="A18" s="4" t="s">
        <v>98</v>
      </c>
      <c r="B18" s="4" t="s">
        <v>12</v>
      </c>
      <c r="C18" s="14" t="s">
        <v>13</v>
      </c>
      <c r="D18" s="14" t="s">
        <v>46</v>
      </c>
      <c r="E18" s="15" t="s">
        <v>47</v>
      </c>
      <c r="F18" s="15" t="s">
        <v>16</v>
      </c>
      <c r="G18" s="44" t="s">
        <v>273</v>
      </c>
      <c r="H18" s="15" t="s">
        <v>274</v>
      </c>
      <c r="I18" s="44" t="s">
        <v>273</v>
      </c>
      <c r="J18" s="32">
        <v>529000</v>
      </c>
    </row>
    <row r="19" spans="1:10" x14ac:dyDescent="0.3">
      <c r="A19" s="4" t="s">
        <v>98</v>
      </c>
      <c r="B19" s="4" t="s">
        <v>12</v>
      </c>
      <c r="C19" s="17" t="s">
        <v>13</v>
      </c>
      <c r="D19" s="17" t="s">
        <v>46</v>
      </c>
      <c r="E19" s="20" t="s">
        <v>47</v>
      </c>
      <c r="F19" s="20" t="s">
        <v>16</v>
      </c>
      <c r="G19" s="21" t="s">
        <v>60</v>
      </c>
      <c r="H19" s="20" t="s">
        <v>61</v>
      </c>
      <c r="I19" s="21" t="s">
        <v>60</v>
      </c>
      <c r="J19" s="6">
        <v>517000</v>
      </c>
    </row>
    <row r="20" spans="1:10" x14ac:dyDescent="0.3">
      <c r="A20" s="4" t="s">
        <v>98</v>
      </c>
      <c r="B20" s="4" t="s">
        <v>12</v>
      </c>
      <c r="C20" s="17" t="s">
        <v>13</v>
      </c>
      <c r="D20" s="17" t="s">
        <v>46</v>
      </c>
      <c r="E20" s="20" t="s">
        <v>47</v>
      </c>
      <c r="F20" s="20" t="s">
        <v>16</v>
      </c>
      <c r="G20" s="21" t="s">
        <v>62</v>
      </c>
      <c r="H20" s="20" t="s">
        <v>63</v>
      </c>
      <c r="I20" s="21" t="s">
        <v>62</v>
      </c>
      <c r="J20" s="6">
        <v>579000</v>
      </c>
    </row>
    <row r="21" spans="1:10" x14ac:dyDescent="0.3">
      <c r="A21" s="4" t="s">
        <v>98</v>
      </c>
      <c r="B21" s="4" t="s">
        <v>12</v>
      </c>
      <c r="C21" s="17" t="s">
        <v>13</v>
      </c>
      <c r="D21" s="17" t="s">
        <v>46</v>
      </c>
      <c r="E21" s="20" t="s">
        <v>47</v>
      </c>
      <c r="F21" s="20" t="s">
        <v>16</v>
      </c>
      <c r="G21" s="21" t="s">
        <v>64</v>
      </c>
      <c r="H21" s="20" t="s">
        <v>65</v>
      </c>
      <c r="I21" s="21" t="s">
        <v>64</v>
      </c>
      <c r="J21" s="6">
        <v>529000</v>
      </c>
    </row>
    <row r="22" spans="1:10" x14ac:dyDescent="0.3">
      <c r="A22" s="4" t="s">
        <v>98</v>
      </c>
      <c r="B22" s="4" t="s">
        <v>12</v>
      </c>
      <c r="C22" s="17" t="s">
        <v>13</v>
      </c>
      <c r="D22" s="17" t="s">
        <v>46</v>
      </c>
      <c r="E22" s="20" t="s">
        <v>47</v>
      </c>
      <c r="F22" s="20" t="s">
        <v>16</v>
      </c>
      <c r="G22" s="21" t="s">
        <v>66</v>
      </c>
      <c r="H22" s="20" t="s">
        <v>67</v>
      </c>
      <c r="I22" s="21" t="s">
        <v>66</v>
      </c>
      <c r="J22" s="6">
        <v>529000</v>
      </c>
    </row>
    <row r="23" spans="1:10" x14ac:dyDescent="0.3">
      <c r="A23" s="4" t="s">
        <v>98</v>
      </c>
      <c r="B23" s="4" t="s">
        <v>12</v>
      </c>
      <c r="C23" s="17" t="s">
        <v>13</v>
      </c>
      <c r="D23" s="17" t="s">
        <v>46</v>
      </c>
      <c r="E23" s="20" t="s">
        <v>47</v>
      </c>
      <c r="F23" s="20" t="s">
        <v>16</v>
      </c>
      <c r="G23" s="21" t="s">
        <v>68</v>
      </c>
      <c r="H23" s="20" t="s">
        <v>69</v>
      </c>
      <c r="I23" s="21" t="s">
        <v>68</v>
      </c>
      <c r="J23" s="6">
        <v>599000</v>
      </c>
    </row>
    <row r="24" spans="1:10" x14ac:dyDescent="0.3">
      <c r="A24" s="4" t="s">
        <v>98</v>
      </c>
      <c r="B24" s="4" t="s">
        <v>12</v>
      </c>
      <c r="C24" s="17" t="s">
        <v>13</v>
      </c>
      <c r="D24" s="17" t="s">
        <v>46</v>
      </c>
      <c r="E24" s="20" t="s">
        <v>47</v>
      </c>
      <c r="F24" s="20" t="s">
        <v>16</v>
      </c>
      <c r="G24" s="21" t="s">
        <v>70</v>
      </c>
      <c r="H24" s="20" t="s">
        <v>71</v>
      </c>
      <c r="I24" s="21" t="s">
        <v>70</v>
      </c>
      <c r="J24" s="6">
        <v>599000</v>
      </c>
    </row>
    <row r="25" spans="1:10" x14ac:dyDescent="0.3">
      <c r="A25" s="4" t="s">
        <v>98</v>
      </c>
      <c r="B25" s="4" t="s">
        <v>12</v>
      </c>
      <c r="C25" s="17" t="s">
        <v>13</v>
      </c>
      <c r="D25" s="17" t="s">
        <v>46</v>
      </c>
      <c r="E25" s="20" t="s">
        <v>47</v>
      </c>
      <c r="F25" s="20" t="s">
        <v>16</v>
      </c>
      <c r="G25" s="21" t="s">
        <v>72</v>
      </c>
      <c r="H25" s="20" t="s">
        <v>73</v>
      </c>
      <c r="I25" s="21" t="s">
        <v>72</v>
      </c>
      <c r="J25" s="6">
        <v>599000</v>
      </c>
    </row>
    <row r="26" spans="1:10" x14ac:dyDescent="0.3">
      <c r="A26" s="4" t="s">
        <v>98</v>
      </c>
      <c r="B26" s="4" t="s">
        <v>12</v>
      </c>
      <c r="C26" s="17" t="s">
        <v>13</v>
      </c>
      <c r="D26" s="17" t="s">
        <v>46</v>
      </c>
      <c r="E26" s="20" t="s">
        <v>47</v>
      </c>
      <c r="F26" s="20" t="s">
        <v>16</v>
      </c>
      <c r="G26" s="21" t="s">
        <v>74</v>
      </c>
      <c r="H26" s="20" t="s">
        <v>75</v>
      </c>
      <c r="I26" s="21" t="s">
        <v>74</v>
      </c>
      <c r="J26" s="6">
        <v>585000</v>
      </c>
    </row>
    <row r="27" spans="1:10" x14ac:dyDescent="0.3">
      <c r="A27" s="4" t="s">
        <v>98</v>
      </c>
      <c r="B27" s="4" t="s">
        <v>12</v>
      </c>
      <c r="C27" s="17" t="s">
        <v>13</v>
      </c>
      <c r="D27" s="17" t="s">
        <v>46</v>
      </c>
      <c r="E27" s="20" t="s">
        <v>47</v>
      </c>
      <c r="F27" s="20" t="s">
        <v>16</v>
      </c>
      <c r="G27" s="21" t="s">
        <v>76</v>
      </c>
      <c r="H27" s="20" t="s">
        <v>77</v>
      </c>
      <c r="I27" s="21" t="s">
        <v>76</v>
      </c>
      <c r="J27" s="6">
        <v>670000</v>
      </c>
    </row>
    <row r="28" spans="1:10" x14ac:dyDescent="0.3">
      <c r="A28" s="4" t="s">
        <v>98</v>
      </c>
      <c r="B28" s="4" t="s">
        <v>12</v>
      </c>
      <c r="C28" s="17" t="s">
        <v>13</v>
      </c>
      <c r="D28" s="17" t="s">
        <v>46</v>
      </c>
      <c r="E28" s="20" t="s">
        <v>47</v>
      </c>
      <c r="F28" s="20" t="s">
        <v>16</v>
      </c>
      <c r="G28" s="21" t="s">
        <v>78</v>
      </c>
      <c r="H28" s="20" t="s">
        <v>79</v>
      </c>
      <c r="I28" s="21" t="s">
        <v>78</v>
      </c>
      <c r="J28" s="6">
        <v>517000</v>
      </c>
    </row>
    <row r="29" spans="1:10" x14ac:dyDescent="0.3">
      <c r="A29" s="4" t="s">
        <v>98</v>
      </c>
      <c r="B29" s="4" t="s">
        <v>12</v>
      </c>
      <c r="C29" s="17" t="s">
        <v>13</v>
      </c>
      <c r="D29" s="17" t="s">
        <v>46</v>
      </c>
      <c r="E29" s="20" t="s">
        <v>47</v>
      </c>
      <c r="F29" s="20" t="s">
        <v>16</v>
      </c>
      <c r="G29" s="21" t="s">
        <v>80</v>
      </c>
      <c r="H29" s="20" t="s">
        <v>81</v>
      </c>
      <c r="I29" s="21" t="s">
        <v>80</v>
      </c>
      <c r="J29" s="6">
        <v>529000</v>
      </c>
    </row>
    <row r="30" spans="1:10" x14ac:dyDescent="0.3">
      <c r="A30" s="4" t="s">
        <v>98</v>
      </c>
      <c r="B30" s="4" t="s">
        <v>12</v>
      </c>
      <c r="C30" s="17" t="s">
        <v>13</v>
      </c>
      <c r="D30" s="17" t="s">
        <v>46</v>
      </c>
      <c r="E30" s="20" t="s">
        <v>47</v>
      </c>
      <c r="F30" s="20" t="s">
        <v>16</v>
      </c>
      <c r="G30" s="21" t="s">
        <v>82</v>
      </c>
      <c r="H30" s="20" t="s">
        <v>83</v>
      </c>
      <c r="I30" s="21" t="s">
        <v>82</v>
      </c>
      <c r="J30" s="6">
        <v>529000</v>
      </c>
    </row>
    <row r="31" spans="1:10" x14ac:dyDescent="0.3">
      <c r="A31" s="4" t="s">
        <v>98</v>
      </c>
      <c r="B31" s="4" t="s">
        <v>12</v>
      </c>
      <c r="C31" s="17" t="s">
        <v>13</v>
      </c>
      <c r="D31" s="17" t="s">
        <v>46</v>
      </c>
      <c r="E31" s="20" t="s">
        <v>47</v>
      </c>
      <c r="F31" s="20" t="s">
        <v>16</v>
      </c>
      <c r="G31" s="21" t="s">
        <v>84</v>
      </c>
      <c r="H31" s="20" t="s">
        <v>85</v>
      </c>
      <c r="I31" s="21" t="s">
        <v>84</v>
      </c>
      <c r="J31" s="6">
        <v>517000</v>
      </c>
    </row>
    <row r="32" spans="1:10" x14ac:dyDescent="0.3">
      <c r="A32" s="4" t="s">
        <v>98</v>
      </c>
      <c r="B32" s="4" t="s">
        <v>12</v>
      </c>
      <c r="C32" s="17" t="s">
        <v>13</v>
      </c>
      <c r="D32" s="17" t="s">
        <v>46</v>
      </c>
      <c r="E32" s="20" t="s">
        <v>47</v>
      </c>
      <c r="F32" s="20" t="s">
        <v>16</v>
      </c>
      <c r="G32" s="21" t="s">
        <v>86</v>
      </c>
      <c r="H32" s="20" t="s">
        <v>87</v>
      </c>
      <c r="I32" s="21" t="s">
        <v>86</v>
      </c>
      <c r="J32" s="6">
        <v>517000</v>
      </c>
    </row>
    <row r="33" spans="1:10" x14ac:dyDescent="0.3">
      <c r="A33" s="4" t="s">
        <v>98</v>
      </c>
      <c r="B33" s="4" t="s">
        <v>12</v>
      </c>
      <c r="C33" s="17" t="s">
        <v>13</v>
      </c>
      <c r="D33" s="17" t="s">
        <v>46</v>
      </c>
      <c r="E33" s="20" t="s">
        <v>47</v>
      </c>
      <c r="F33" s="20" t="s">
        <v>16</v>
      </c>
      <c r="G33" s="21" t="s">
        <v>88</v>
      </c>
      <c r="H33" s="20" t="s">
        <v>89</v>
      </c>
      <c r="I33" s="21" t="s">
        <v>88</v>
      </c>
      <c r="J33" s="6">
        <v>630000</v>
      </c>
    </row>
    <row r="34" spans="1:10" x14ac:dyDescent="0.3">
      <c r="A34" s="4" t="s">
        <v>98</v>
      </c>
      <c r="B34" s="4" t="s">
        <v>12</v>
      </c>
      <c r="C34" s="17" t="s">
        <v>13</v>
      </c>
      <c r="D34" s="17" t="s">
        <v>46</v>
      </c>
      <c r="E34" s="20" t="s">
        <v>47</v>
      </c>
      <c r="F34" s="20" t="s">
        <v>16</v>
      </c>
      <c r="G34" s="21" t="s">
        <v>90</v>
      </c>
      <c r="H34" s="20" t="s">
        <v>91</v>
      </c>
      <c r="I34" s="21" t="s">
        <v>90</v>
      </c>
      <c r="J34" s="6">
        <v>650000</v>
      </c>
    </row>
    <row r="35" spans="1:10" x14ac:dyDescent="0.3">
      <c r="A35" s="4" t="s">
        <v>98</v>
      </c>
      <c r="B35" s="4" t="s">
        <v>12</v>
      </c>
      <c r="C35" s="17" t="s">
        <v>13</v>
      </c>
      <c r="D35" s="17" t="s">
        <v>46</v>
      </c>
      <c r="E35" s="20" t="s">
        <v>47</v>
      </c>
      <c r="F35" s="20" t="s">
        <v>16</v>
      </c>
      <c r="G35" s="21" t="s">
        <v>92</v>
      </c>
      <c r="H35" s="20" t="s">
        <v>93</v>
      </c>
      <c r="I35" s="21" t="s">
        <v>92</v>
      </c>
      <c r="J35" s="6">
        <v>529000</v>
      </c>
    </row>
    <row r="36" spans="1:10" x14ac:dyDescent="0.3">
      <c r="A36" s="4" t="s">
        <v>98</v>
      </c>
      <c r="B36" s="4" t="s">
        <v>12</v>
      </c>
      <c r="C36" s="17" t="s">
        <v>13</v>
      </c>
      <c r="D36" s="17" t="s">
        <v>46</v>
      </c>
      <c r="E36" s="20" t="s">
        <v>47</v>
      </c>
      <c r="F36" s="20" t="s">
        <v>16</v>
      </c>
      <c r="G36" s="21" t="s">
        <v>94</v>
      </c>
      <c r="H36" s="20" t="s">
        <v>95</v>
      </c>
      <c r="I36" s="21" t="s">
        <v>94</v>
      </c>
      <c r="J36" s="6">
        <v>0</v>
      </c>
    </row>
    <row r="39" spans="1:10" ht="28.8" x14ac:dyDescent="0.3">
      <c r="A39" s="16" t="s">
        <v>0</v>
      </c>
      <c r="B39" s="16" t="s">
        <v>1</v>
      </c>
      <c r="C39" s="17" t="s">
        <v>2</v>
      </c>
      <c r="D39" s="17" t="s">
        <v>3</v>
      </c>
      <c r="E39" s="18" t="s">
        <v>4</v>
      </c>
      <c r="F39" s="19" t="s">
        <v>5</v>
      </c>
      <c r="G39" s="19" t="s">
        <v>6</v>
      </c>
      <c r="H39" s="19" t="s">
        <v>7</v>
      </c>
      <c r="I39" s="19" t="s">
        <v>8</v>
      </c>
      <c r="J39" s="16" t="s">
        <v>45</v>
      </c>
    </row>
    <row r="40" spans="1:10" x14ac:dyDescent="0.3">
      <c r="A40" s="4" t="s">
        <v>99</v>
      </c>
      <c r="B40" s="4" t="s">
        <v>12</v>
      </c>
      <c r="C40" s="17" t="s">
        <v>13</v>
      </c>
      <c r="D40" s="17" t="s">
        <v>97</v>
      </c>
      <c r="E40" s="20" t="s">
        <v>47</v>
      </c>
      <c r="F40" s="20" t="s">
        <v>16</v>
      </c>
      <c r="G40" s="21" t="s">
        <v>48</v>
      </c>
      <c r="H40" s="20" t="str">
        <f>CONCATENATE(G40,"-","40T")</f>
        <v>AGBARA-40T</v>
      </c>
      <c r="I40" s="21" t="s">
        <v>48</v>
      </c>
      <c r="J40" s="4">
        <v>666000</v>
      </c>
    </row>
    <row r="41" spans="1:10" x14ac:dyDescent="0.3">
      <c r="A41" s="4" t="s">
        <v>99</v>
      </c>
      <c r="B41" s="4" t="s">
        <v>12</v>
      </c>
      <c r="C41" s="17" t="s">
        <v>13</v>
      </c>
      <c r="D41" s="17" t="s">
        <v>97</v>
      </c>
      <c r="E41" s="20" t="s">
        <v>47</v>
      </c>
      <c r="F41" s="20" t="s">
        <v>16</v>
      </c>
      <c r="G41" s="21" t="s">
        <v>50</v>
      </c>
      <c r="H41" s="20" t="str">
        <f t="shared" ref="H41:H60" si="0">CONCATENATE(G41,"-","40T")</f>
        <v>AMUWO-40T</v>
      </c>
      <c r="I41" s="21" t="s">
        <v>50</v>
      </c>
      <c r="J41" s="4">
        <v>637000</v>
      </c>
    </row>
    <row r="42" spans="1:10" x14ac:dyDescent="0.3">
      <c r="A42" s="4" t="s">
        <v>99</v>
      </c>
      <c r="B42" s="4" t="s">
        <v>12</v>
      </c>
      <c r="C42" s="17" t="s">
        <v>13</v>
      </c>
      <c r="D42" s="17" t="s">
        <v>97</v>
      </c>
      <c r="E42" s="20" t="s">
        <v>47</v>
      </c>
      <c r="F42" s="20" t="s">
        <v>16</v>
      </c>
      <c r="G42" s="21" t="s">
        <v>52</v>
      </c>
      <c r="H42" s="20" t="str">
        <f t="shared" si="0"/>
        <v>ISOLO-40T</v>
      </c>
      <c r="I42" s="21" t="s">
        <v>52</v>
      </c>
      <c r="J42" s="4">
        <v>637000</v>
      </c>
    </row>
    <row r="43" spans="1:10" x14ac:dyDescent="0.3">
      <c r="A43" s="4" t="s">
        <v>99</v>
      </c>
      <c r="B43" s="4" t="s">
        <v>12</v>
      </c>
      <c r="C43" s="17" t="s">
        <v>13</v>
      </c>
      <c r="D43" s="17" t="s">
        <v>97</v>
      </c>
      <c r="E43" s="20" t="s">
        <v>47</v>
      </c>
      <c r="F43" s="20" t="s">
        <v>16</v>
      </c>
      <c r="G43" s="21" t="s">
        <v>54</v>
      </c>
      <c r="H43" s="20" t="str">
        <f t="shared" si="0"/>
        <v>IBADAN-40T</v>
      </c>
      <c r="I43" s="21" t="s">
        <v>54</v>
      </c>
      <c r="J43" s="4">
        <v>828000</v>
      </c>
    </row>
    <row r="44" spans="1:10" x14ac:dyDescent="0.3">
      <c r="A44" s="4" t="s">
        <v>99</v>
      </c>
      <c r="B44" s="4" t="s">
        <v>12</v>
      </c>
      <c r="C44" s="17" t="s">
        <v>13</v>
      </c>
      <c r="D44" s="17" t="s">
        <v>97</v>
      </c>
      <c r="E44" s="20" t="s">
        <v>47</v>
      </c>
      <c r="F44" s="20" t="s">
        <v>16</v>
      </c>
      <c r="G44" s="21" t="s">
        <v>56</v>
      </c>
      <c r="H44" s="20" t="str">
        <f t="shared" si="0"/>
        <v>SANGO OTTA-40T</v>
      </c>
      <c r="I44" s="21" t="s">
        <v>56</v>
      </c>
      <c r="J44" s="4">
        <v>666000</v>
      </c>
    </row>
    <row r="45" spans="1:10" x14ac:dyDescent="0.3">
      <c r="A45" s="4" t="s">
        <v>99</v>
      </c>
      <c r="B45" s="4" t="s">
        <v>12</v>
      </c>
      <c r="C45" s="17" t="s">
        <v>13</v>
      </c>
      <c r="D45" s="17" t="s">
        <v>97</v>
      </c>
      <c r="E45" s="20" t="s">
        <v>47</v>
      </c>
      <c r="F45" s="20" t="s">
        <v>16</v>
      </c>
      <c r="G45" s="21" t="s">
        <v>58</v>
      </c>
      <c r="H45" s="20" t="str">
        <f t="shared" si="0"/>
        <v>MATORI-40T</v>
      </c>
      <c r="I45" s="21" t="s">
        <v>58</v>
      </c>
      <c r="J45" s="4">
        <v>637000</v>
      </c>
    </row>
    <row r="46" spans="1:10" x14ac:dyDescent="0.3">
      <c r="A46" s="4" t="s">
        <v>99</v>
      </c>
      <c r="B46" s="4" t="s">
        <v>12</v>
      </c>
      <c r="C46" s="17" t="s">
        <v>13</v>
      </c>
      <c r="D46" s="17" t="s">
        <v>97</v>
      </c>
      <c r="E46" s="20" t="s">
        <v>47</v>
      </c>
      <c r="F46" s="20" t="s">
        <v>16</v>
      </c>
      <c r="G46" s="21" t="s">
        <v>60</v>
      </c>
      <c r="H46" s="20" t="str">
        <f t="shared" si="0"/>
        <v>FATAI ATERE -40T</v>
      </c>
      <c r="I46" s="21" t="s">
        <v>60</v>
      </c>
      <c r="J46" s="4">
        <v>637000</v>
      </c>
    </row>
    <row r="47" spans="1:10" x14ac:dyDescent="0.3">
      <c r="A47" s="4" t="s">
        <v>99</v>
      </c>
      <c r="B47" s="4" t="s">
        <v>12</v>
      </c>
      <c r="C47" s="17" t="s">
        <v>13</v>
      </c>
      <c r="D47" s="17" t="s">
        <v>97</v>
      </c>
      <c r="E47" s="20" t="s">
        <v>47</v>
      </c>
      <c r="F47" s="20" t="s">
        <v>16</v>
      </c>
      <c r="G47" s="21" t="s">
        <v>62</v>
      </c>
      <c r="H47" s="20" t="str">
        <f t="shared" si="0"/>
        <v>IGBESA-40T</v>
      </c>
      <c r="I47" s="21" t="s">
        <v>62</v>
      </c>
      <c r="J47" s="4">
        <v>714000</v>
      </c>
    </row>
    <row r="48" spans="1:10" x14ac:dyDescent="0.3">
      <c r="A48" s="4" t="s">
        <v>99</v>
      </c>
      <c r="B48" s="4" t="s">
        <v>12</v>
      </c>
      <c r="C48" s="17" t="s">
        <v>13</v>
      </c>
      <c r="D48" s="17" t="s">
        <v>97</v>
      </c>
      <c r="E48" s="20" t="s">
        <v>47</v>
      </c>
      <c r="F48" s="20" t="s">
        <v>16</v>
      </c>
      <c r="G48" s="21" t="s">
        <v>64</v>
      </c>
      <c r="H48" s="20" t="str">
        <f t="shared" si="0"/>
        <v>IKEJA-40T</v>
      </c>
      <c r="I48" s="21" t="s">
        <v>64</v>
      </c>
      <c r="J48" s="4">
        <v>652000</v>
      </c>
    </row>
    <row r="49" spans="1:10" x14ac:dyDescent="0.3">
      <c r="A49" s="4" t="s">
        <v>99</v>
      </c>
      <c r="B49" s="4" t="s">
        <v>12</v>
      </c>
      <c r="C49" s="17" t="s">
        <v>13</v>
      </c>
      <c r="D49" s="17" t="s">
        <v>97</v>
      </c>
      <c r="E49" s="20" t="s">
        <v>47</v>
      </c>
      <c r="F49" s="20" t="s">
        <v>16</v>
      </c>
      <c r="G49" s="21" t="s">
        <v>66</v>
      </c>
      <c r="H49" s="20" t="str">
        <f t="shared" si="0"/>
        <v>DOPEMU-40T</v>
      </c>
      <c r="I49" s="21" t="s">
        <v>96</v>
      </c>
      <c r="J49" s="4">
        <v>652000</v>
      </c>
    </row>
    <row r="50" spans="1:10" x14ac:dyDescent="0.3">
      <c r="A50" s="4" t="s">
        <v>99</v>
      </c>
      <c r="B50" s="4" t="s">
        <v>12</v>
      </c>
      <c r="C50" s="17" t="s">
        <v>13</v>
      </c>
      <c r="D50" s="17" t="s">
        <v>97</v>
      </c>
      <c r="E50" s="20" t="s">
        <v>47</v>
      </c>
      <c r="F50" s="20" t="s">
        <v>16</v>
      </c>
      <c r="G50" s="21" t="s">
        <v>68</v>
      </c>
      <c r="H50" s="20" t="str">
        <f t="shared" si="0"/>
        <v>SAGAMU-40T</v>
      </c>
      <c r="I50" s="21" t="s">
        <v>68</v>
      </c>
      <c r="J50" s="4">
        <v>738000</v>
      </c>
    </row>
    <row r="51" spans="1:10" x14ac:dyDescent="0.3">
      <c r="A51" s="4" t="s">
        <v>99</v>
      </c>
      <c r="B51" s="4" t="s">
        <v>12</v>
      </c>
      <c r="C51" s="17" t="s">
        <v>13</v>
      </c>
      <c r="D51" s="17" t="s">
        <v>97</v>
      </c>
      <c r="E51" s="20" t="s">
        <v>47</v>
      </c>
      <c r="F51" s="20" t="s">
        <v>16</v>
      </c>
      <c r="G51" s="21" t="s">
        <v>70</v>
      </c>
      <c r="H51" s="20" t="str">
        <f t="shared" si="0"/>
        <v>MOWE-40T</v>
      </c>
      <c r="I51" s="21" t="s">
        <v>70</v>
      </c>
      <c r="J51" s="4">
        <v>738000</v>
      </c>
    </row>
    <row r="52" spans="1:10" x14ac:dyDescent="0.3">
      <c r="A52" s="4" t="s">
        <v>99</v>
      </c>
      <c r="B52" s="4" t="s">
        <v>12</v>
      </c>
      <c r="C52" s="17" t="s">
        <v>13</v>
      </c>
      <c r="D52" s="17" t="s">
        <v>97</v>
      </c>
      <c r="E52" s="20" t="s">
        <v>47</v>
      </c>
      <c r="F52" s="20" t="s">
        <v>16</v>
      </c>
      <c r="G52" s="21" t="s">
        <v>72</v>
      </c>
      <c r="H52" s="20" t="str">
        <f t="shared" si="0"/>
        <v>IJEBU OSAS-40T</v>
      </c>
      <c r="I52" s="21" t="s">
        <v>72</v>
      </c>
      <c r="J52" s="4">
        <v>738000</v>
      </c>
    </row>
    <row r="53" spans="1:10" x14ac:dyDescent="0.3">
      <c r="A53" s="4" t="s">
        <v>99</v>
      </c>
      <c r="B53" s="4" t="s">
        <v>12</v>
      </c>
      <c r="C53" s="17" t="s">
        <v>13</v>
      </c>
      <c r="D53" s="17" t="s">
        <v>97</v>
      </c>
      <c r="E53" s="20" t="s">
        <v>47</v>
      </c>
      <c r="F53" s="20" t="s">
        <v>16</v>
      </c>
      <c r="G53" s="21" t="s">
        <v>74</v>
      </c>
      <c r="H53" s="20" t="str">
        <f t="shared" si="0"/>
        <v>OJOTA-40T</v>
      </c>
      <c r="I53" s="21" t="s">
        <v>74</v>
      </c>
      <c r="J53" s="4">
        <v>721000</v>
      </c>
    </row>
    <row r="54" spans="1:10" x14ac:dyDescent="0.3">
      <c r="A54" s="4" t="s">
        <v>99</v>
      </c>
      <c r="B54" s="4" t="s">
        <v>12</v>
      </c>
      <c r="C54" s="17" t="s">
        <v>13</v>
      </c>
      <c r="D54" s="17" t="s">
        <v>97</v>
      </c>
      <c r="E54" s="20" t="s">
        <v>47</v>
      </c>
      <c r="F54" s="20" t="s">
        <v>16</v>
      </c>
      <c r="G54" s="21" t="s">
        <v>76</v>
      </c>
      <c r="H54" s="20" t="str">
        <f t="shared" si="0"/>
        <v>IJEBU ODE-40T</v>
      </c>
      <c r="I54" s="21" t="s">
        <v>76</v>
      </c>
      <c r="J54" s="4">
        <v>826000</v>
      </c>
    </row>
    <row r="55" spans="1:10" x14ac:dyDescent="0.3">
      <c r="A55" s="4" t="s">
        <v>99</v>
      </c>
      <c r="B55" s="4" t="s">
        <v>12</v>
      </c>
      <c r="C55" s="17" t="s">
        <v>13</v>
      </c>
      <c r="D55" s="17" t="s">
        <v>97</v>
      </c>
      <c r="E55" s="20" t="s">
        <v>47</v>
      </c>
      <c r="F55" s="20" t="s">
        <v>16</v>
      </c>
      <c r="G55" s="21" t="s">
        <v>78</v>
      </c>
      <c r="H55" s="20" t="str">
        <f t="shared" si="0"/>
        <v>APAPA-40T</v>
      </c>
      <c r="I55" s="21" t="s">
        <v>78</v>
      </c>
      <c r="J55" s="4">
        <v>637000</v>
      </c>
    </row>
    <row r="56" spans="1:10" x14ac:dyDescent="0.3">
      <c r="A56" s="4" t="s">
        <v>99</v>
      </c>
      <c r="B56" s="4" t="s">
        <v>12</v>
      </c>
      <c r="C56" s="17" t="s">
        <v>13</v>
      </c>
      <c r="D56" s="17" t="s">
        <v>97</v>
      </c>
      <c r="E56" s="20" t="s">
        <v>47</v>
      </c>
      <c r="F56" s="20" t="s">
        <v>16</v>
      </c>
      <c r="G56" s="21" t="s">
        <v>80</v>
      </c>
      <c r="H56" s="20" t="str">
        <f t="shared" si="0"/>
        <v>ILUPEJU-40T</v>
      </c>
      <c r="I56" s="21" t="s">
        <v>80</v>
      </c>
      <c r="J56" s="4">
        <v>652000</v>
      </c>
    </row>
    <row r="57" spans="1:10" x14ac:dyDescent="0.3">
      <c r="A57" s="4" t="s">
        <v>99</v>
      </c>
      <c r="B57" s="4" t="s">
        <v>12</v>
      </c>
      <c r="C57" s="17" t="s">
        <v>13</v>
      </c>
      <c r="D57" s="17" t="s">
        <v>97</v>
      </c>
      <c r="E57" s="20" t="s">
        <v>47</v>
      </c>
      <c r="F57" s="20" t="s">
        <v>16</v>
      </c>
      <c r="G57" s="21" t="s">
        <v>82</v>
      </c>
      <c r="H57" s="20" t="str">
        <f t="shared" si="0"/>
        <v>AJAO ESTATE-40T</v>
      </c>
      <c r="I57" s="21" t="s">
        <v>82</v>
      </c>
      <c r="J57" s="4">
        <v>652000</v>
      </c>
    </row>
    <row r="58" spans="1:10" x14ac:dyDescent="0.3">
      <c r="A58" s="4" t="s">
        <v>99</v>
      </c>
      <c r="B58" s="4" t="s">
        <v>12</v>
      </c>
      <c r="C58" s="17" t="s">
        <v>13</v>
      </c>
      <c r="D58" s="17" t="s">
        <v>97</v>
      </c>
      <c r="E58" s="20" t="s">
        <v>47</v>
      </c>
      <c r="F58" s="20" t="s">
        <v>16</v>
      </c>
      <c r="G58" s="21" t="s">
        <v>84</v>
      </c>
      <c r="H58" s="20" t="str">
        <f t="shared" si="0"/>
        <v>OKOTA-40T</v>
      </c>
      <c r="I58" s="21" t="s">
        <v>84</v>
      </c>
      <c r="J58" s="4">
        <v>637000</v>
      </c>
    </row>
    <row r="59" spans="1:10" x14ac:dyDescent="0.3">
      <c r="A59" s="4" t="s">
        <v>99</v>
      </c>
      <c r="B59" s="4" t="s">
        <v>12</v>
      </c>
      <c r="C59" s="17" t="s">
        <v>13</v>
      </c>
      <c r="D59" s="17" t="s">
        <v>97</v>
      </c>
      <c r="E59" s="20" t="s">
        <v>47</v>
      </c>
      <c r="F59" s="20" t="s">
        <v>16</v>
      </c>
      <c r="G59" s="21" t="s">
        <v>86</v>
      </c>
      <c r="H59" s="20" t="str">
        <f t="shared" si="0"/>
        <v>OSHODI-40T</v>
      </c>
      <c r="I59" s="21" t="s">
        <v>86</v>
      </c>
      <c r="J59" s="4">
        <v>637000</v>
      </c>
    </row>
    <row r="60" spans="1:10" x14ac:dyDescent="0.3">
      <c r="A60" s="4" t="s">
        <v>99</v>
      </c>
      <c r="B60" s="4" t="s">
        <v>12</v>
      </c>
      <c r="C60" s="17" t="s">
        <v>13</v>
      </c>
      <c r="D60" s="17" t="s">
        <v>97</v>
      </c>
      <c r="E60" s="20" t="s">
        <v>47</v>
      </c>
      <c r="F60" s="20" t="s">
        <v>16</v>
      </c>
      <c r="G60" s="21" t="s">
        <v>92</v>
      </c>
      <c r="H60" s="20" t="str">
        <f t="shared" si="0"/>
        <v>OGBA-40T</v>
      </c>
      <c r="I60" s="21" t="s">
        <v>92</v>
      </c>
      <c r="J60" s="4">
        <v>652000</v>
      </c>
    </row>
    <row r="63" spans="1:10" ht="28.8" x14ac:dyDescent="0.3">
      <c r="A63" s="16" t="s">
        <v>0</v>
      </c>
      <c r="B63" s="16" t="s">
        <v>1</v>
      </c>
      <c r="C63" s="17" t="s">
        <v>2</v>
      </c>
      <c r="D63" s="17" t="s">
        <v>3</v>
      </c>
      <c r="E63" s="18" t="s">
        <v>4</v>
      </c>
      <c r="F63" s="19" t="s">
        <v>5</v>
      </c>
      <c r="G63" s="19" t="s">
        <v>6</v>
      </c>
      <c r="H63" s="19" t="s">
        <v>7</v>
      </c>
      <c r="I63" s="19" t="s">
        <v>8</v>
      </c>
      <c r="J63" s="16" t="s">
        <v>45</v>
      </c>
    </row>
    <row r="64" spans="1:10" x14ac:dyDescent="0.3">
      <c r="A64" s="4" t="s">
        <v>39</v>
      </c>
      <c r="B64" s="4" t="s">
        <v>12</v>
      </c>
      <c r="C64" s="17" t="s">
        <v>13</v>
      </c>
      <c r="D64" s="17" t="s">
        <v>14</v>
      </c>
      <c r="E64" s="20" t="s">
        <v>47</v>
      </c>
      <c r="F64" s="20" t="s">
        <v>16</v>
      </c>
      <c r="G64" s="21" t="s">
        <v>48</v>
      </c>
      <c r="H64" s="20" t="str">
        <f>CONCATENATE(G64,"-","45T")</f>
        <v>AGBARA-45T</v>
      </c>
      <c r="I64" s="21" t="s">
        <v>48</v>
      </c>
      <c r="J64" s="23">
        <v>749250</v>
      </c>
    </row>
    <row r="65" spans="1:10" x14ac:dyDescent="0.3">
      <c r="A65" s="4" t="s">
        <v>39</v>
      </c>
      <c r="B65" s="4" t="s">
        <v>12</v>
      </c>
      <c r="C65" s="17" t="s">
        <v>13</v>
      </c>
      <c r="D65" s="17" t="s">
        <v>14</v>
      </c>
      <c r="E65" s="20" t="s">
        <v>47</v>
      </c>
      <c r="F65" s="20" t="s">
        <v>16</v>
      </c>
      <c r="G65" s="21" t="s">
        <v>50</v>
      </c>
      <c r="H65" s="20" t="str">
        <f t="shared" ref="H65:H84" si="1">CONCATENATE(G65,"-","45T")</f>
        <v>AMUWO-45T</v>
      </c>
      <c r="I65" s="21" t="s">
        <v>50</v>
      </c>
      <c r="J65" s="23">
        <v>716625</v>
      </c>
    </row>
    <row r="66" spans="1:10" x14ac:dyDescent="0.3">
      <c r="A66" s="4" t="s">
        <v>39</v>
      </c>
      <c r="B66" s="4" t="s">
        <v>12</v>
      </c>
      <c r="C66" s="17" t="s">
        <v>13</v>
      </c>
      <c r="D66" s="17" t="s">
        <v>14</v>
      </c>
      <c r="E66" s="20" t="s">
        <v>47</v>
      </c>
      <c r="F66" s="20" t="s">
        <v>16</v>
      </c>
      <c r="G66" s="21" t="s">
        <v>52</v>
      </c>
      <c r="H66" s="20" t="str">
        <f t="shared" si="1"/>
        <v>ISOLO-45T</v>
      </c>
      <c r="I66" s="21" t="s">
        <v>52</v>
      </c>
      <c r="J66" s="23">
        <v>716625</v>
      </c>
    </row>
    <row r="67" spans="1:10" x14ac:dyDescent="0.3">
      <c r="A67" s="4" t="s">
        <v>39</v>
      </c>
      <c r="B67" s="4" t="s">
        <v>12</v>
      </c>
      <c r="C67" s="17" t="s">
        <v>13</v>
      </c>
      <c r="D67" s="17" t="s">
        <v>14</v>
      </c>
      <c r="E67" s="20" t="s">
        <v>47</v>
      </c>
      <c r="F67" s="20" t="s">
        <v>16</v>
      </c>
      <c r="G67" s="21" t="s">
        <v>54</v>
      </c>
      <c r="H67" s="20" t="str">
        <f t="shared" si="1"/>
        <v>IBADAN-45T</v>
      </c>
      <c r="I67" s="21" t="s">
        <v>54</v>
      </c>
      <c r="J67" s="23">
        <v>850000</v>
      </c>
    </row>
    <row r="68" spans="1:10" x14ac:dyDescent="0.3">
      <c r="A68" s="4" t="s">
        <v>39</v>
      </c>
      <c r="B68" s="4" t="s">
        <v>12</v>
      </c>
      <c r="C68" s="17" t="s">
        <v>13</v>
      </c>
      <c r="D68" s="17" t="s">
        <v>14</v>
      </c>
      <c r="E68" s="20" t="s">
        <v>47</v>
      </c>
      <c r="F68" s="20" t="s">
        <v>16</v>
      </c>
      <c r="G68" s="21" t="s">
        <v>56</v>
      </c>
      <c r="H68" s="20" t="str">
        <f t="shared" si="1"/>
        <v>SANGO OTTA-45T</v>
      </c>
      <c r="I68" s="21" t="s">
        <v>56</v>
      </c>
      <c r="J68" s="23">
        <v>749250</v>
      </c>
    </row>
    <row r="69" spans="1:10" x14ac:dyDescent="0.3">
      <c r="A69" s="4" t="s">
        <v>39</v>
      </c>
      <c r="B69" s="4" t="s">
        <v>12</v>
      </c>
      <c r="C69" s="17" t="s">
        <v>13</v>
      </c>
      <c r="D69" s="17" t="s">
        <v>14</v>
      </c>
      <c r="E69" s="20" t="s">
        <v>47</v>
      </c>
      <c r="F69" s="20" t="s">
        <v>16</v>
      </c>
      <c r="G69" s="21" t="s">
        <v>58</v>
      </c>
      <c r="H69" s="20" t="str">
        <f t="shared" si="1"/>
        <v>MATORI-45T</v>
      </c>
      <c r="I69" s="21" t="s">
        <v>58</v>
      </c>
      <c r="J69" s="23">
        <v>716625</v>
      </c>
    </row>
    <row r="70" spans="1:10" x14ac:dyDescent="0.3">
      <c r="A70" s="4" t="s">
        <v>39</v>
      </c>
      <c r="B70" s="4" t="s">
        <v>12</v>
      </c>
      <c r="C70" s="17" t="s">
        <v>13</v>
      </c>
      <c r="D70" s="17" t="s">
        <v>14</v>
      </c>
      <c r="E70" s="20" t="s">
        <v>47</v>
      </c>
      <c r="F70" s="20" t="s">
        <v>16</v>
      </c>
      <c r="G70" s="21" t="s">
        <v>60</v>
      </c>
      <c r="H70" s="20" t="str">
        <f t="shared" si="1"/>
        <v>FATAI ATERE -45T</v>
      </c>
      <c r="I70" s="21" t="s">
        <v>60</v>
      </c>
      <c r="J70" s="23">
        <v>716625</v>
      </c>
    </row>
    <row r="71" spans="1:10" x14ac:dyDescent="0.3">
      <c r="A71" s="4" t="s">
        <v>39</v>
      </c>
      <c r="B71" s="4" t="s">
        <v>12</v>
      </c>
      <c r="C71" s="17" t="s">
        <v>13</v>
      </c>
      <c r="D71" s="17" t="s">
        <v>14</v>
      </c>
      <c r="E71" s="20" t="s">
        <v>47</v>
      </c>
      <c r="F71" s="20" t="s">
        <v>16</v>
      </c>
      <c r="G71" s="21" t="s">
        <v>62</v>
      </c>
      <c r="H71" s="20" t="str">
        <f t="shared" si="1"/>
        <v>IGBESA-45T</v>
      </c>
      <c r="I71" s="21" t="s">
        <v>62</v>
      </c>
      <c r="J71" s="23">
        <v>803250</v>
      </c>
    </row>
    <row r="72" spans="1:10" x14ac:dyDescent="0.3">
      <c r="A72" s="4" t="s">
        <v>39</v>
      </c>
      <c r="B72" s="4" t="s">
        <v>12</v>
      </c>
      <c r="C72" s="17" t="s">
        <v>13</v>
      </c>
      <c r="D72" s="17" t="s">
        <v>14</v>
      </c>
      <c r="E72" s="20" t="s">
        <v>47</v>
      </c>
      <c r="F72" s="20" t="s">
        <v>16</v>
      </c>
      <c r="G72" s="21" t="s">
        <v>64</v>
      </c>
      <c r="H72" s="20" t="str">
        <f t="shared" si="1"/>
        <v>IKEJA-45T</v>
      </c>
      <c r="I72" s="21" t="s">
        <v>64</v>
      </c>
      <c r="J72" s="23">
        <v>733500</v>
      </c>
    </row>
    <row r="73" spans="1:10" x14ac:dyDescent="0.3">
      <c r="A73" s="4" t="s">
        <v>39</v>
      </c>
      <c r="B73" s="4" t="s">
        <v>12</v>
      </c>
      <c r="C73" s="17" t="s">
        <v>13</v>
      </c>
      <c r="D73" s="17" t="s">
        <v>14</v>
      </c>
      <c r="E73" s="20" t="s">
        <v>47</v>
      </c>
      <c r="F73" s="20" t="s">
        <v>16</v>
      </c>
      <c r="G73" s="21" t="s">
        <v>66</v>
      </c>
      <c r="H73" s="20" t="str">
        <f t="shared" si="1"/>
        <v>DOPEMU-45T</v>
      </c>
      <c r="I73" s="21" t="s">
        <v>96</v>
      </c>
      <c r="J73" s="23">
        <v>733500</v>
      </c>
    </row>
    <row r="74" spans="1:10" x14ac:dyDescent="0.3">
      <c r="A74" s="4" t="s">
        <v>39</v>
      </c>
      <c r="B74" s="4" t="s">
        <v>12</v>
      </c>
      <c r="C74" s="17" t="s">
        <v>13</v>
      </c>
      <c r="D74" s="17" t="s">
        <v>14</v>
      </c>
      <c r="E74" s="20" t="s">
        <v>47</v>
      </c>
      <c r="F74" s="20" t="s">
        <v>16</v>
      </c>
      <c r="G74" s="21" t="s">
        <v>68</v>
      </c>
      <c r="H74" s="20" t="str">
        <f t="shared" si="1"/>
        <v>SAGAMU-45T</v>
      </c>
      <c r="I74" s="21" t="s">
        <v>68</v>
      </c>
      <c r="J74" s="23">
        <v>830250</v>
      </c>
    </row>
    <row r="75" spans="1:10" x14ac:dyDescent="0.3">
      <c r="A75" s="4" t="s">
        <v>39</v>
      </c>
      <c r="B75" s="4" t="s">
        <v>12</v>
      </c>
      <c r="C75" s="17" t="s">
        <v>13</v>
      </c>
      <c r="D75" s="17" t="s">
        <v>14</v>
      </c>
      <c r="E75" s="20" t="s">
        <v>47</v>
      </c>
      <c r="F75" s="20" t="s">
        <v>16</v>
      </c>
      <c r="G75" s="21" t="s">
        <v>70</v>
      </c>
      <c r="H75" s="20" t="str">
        <f t="shared" si="1"/>
        <v>MOWE-45T</v>
      </c>
      <c r="I75" s="21" t="s">
        <v>70</v>
      </c>
      <c r="J75" s="23">
        <v>830250</v>
      </c>
    </row>
    <row r="76" spans="1:10" x14ac:dyDescent="0.3">
      <c r="A76" s="4" t="s">
        <v>39</v>
      </c>
      <c r="B76" s="4" t="s">
        <v>12</v>
      </c>
      <c r="C76" s="17" t="s">
        <v>13</v>
      </c>
      <c r="D76" s="17" t="s">
        <v>14</v>
      </c>
      <c r="E76" s="20" t="s">
        <v>47</v>
      </c>
      <c r="F76" s="20" t="s">
        <v>16</v>
      </c>
      <c r="G76" s="21" t="s">
        <v>72</v>
      </c>
      <c r="H76" s="20" t="str">
        <f t="shared" si="1"/>
        <v>IJEBU OSAS-45T</v>
      </c>
      <c r="I76" s="21" t="s">
        <v>72</v>
      </c>
      <c r="J76" s="23">
        <v>830250</v>
      </c>
    </row>
    <row r="77" spans="1:10" x14ac:dyDescent="0.3">
      <c r="A77" s="4" t="s">
        <v>39</v>
      </c>
      <c r="B77" s="4" t="s">
        <v>12</v>
      </c>
      <c r="C77" s="17" t="s">
        <v>13</v>
      </c>
      <c r="D77" s="17" t="s">
        <v>14</v>
      </c>
      <c r="E77" s="20" t="s">
        <v>47</v>
      </c>
      <c r="F77" s="20" t="s">
        <v>16</v>
      </c>
      <c r="G77" s="21" t="s">
        <v>74</v>
      </c>
      <c r="H77" s="20" t="str">
        <f t="shared" si="1"/>
        <v>OJOTA-45T</v>
      </c>
      <c r="I77" s="21" t="s">
        <v>74</v>
      </c>
      <c r="J77" s="23">
        <v>811125</v>
      </c>
    </row>
    <row r="78" spans="1:10" x14ac:dyDescent="0.3">
      <c r="A78" s="4" t="s">
        <v>39</v>
      </c>
      <c r="B78" s="4" t="s">
        <v>12</v>
      </c>
      <c r="C78" s="17" t="s">
        <v>13</v>
      </c>
      <c r="D78" s="17" t="s">
        <v>14</v>
      </c>
      <c r="E78" s="20" t="s">
        <v>47</v>
      </c>
      <c r="F78" s="20" t="s">
        <v>16</v>
      </c>
      <c r="G78" s="21" t="s">
        <v>76</v>
      </c>
      <c r="H78" s="20" t="str">
        <f t="shared" si="1"/>
        <v>IJEBU ODE-45T</v>
      </c>
      <c r="I78" s="21" t="s">
        <v>76</v>
      </c>
      <c r="J78" s="23">
        <v>929250</v>
      </c>
    </row>
    <row r="79" spans="1:10" x14ac:dyDescent="0.3">
      <c r="A79" s="4" t="s">
        <v>39</v>
      </c>
      <c r="B79" s="4" t="s">
        <v>12</v>
      </c>
      <c r="C79" s="17" t="s">
        <v>13</v>
      </c>
      <c r="D79" s="17" t="s">
        <v>14</v>
      </c>
      <c r="E79" s="20" t="s">
        <v>47</v>
      </c>
      <c r="F79" s="20" t="s">
        <v>16</v>
      </c>
      <c r="G79" s="21" t="s">
        <v>78</v>
      </c>
      <c r="H79" s="20" t="str">
        <f t="shared" si="1"/>
        <v>APAPA-45T</v>
      </c>
      <c r="I79" s="21" t="s">
        <v>78</v>
      </c>
      <c r="J79" s="23">
        <v>716625</v>
      </c>
    </row>
    <row r="80" spans="1:10" x14ac:dyDescent="0.3">
      <c r="A80" s="4" t="s">
        <v>39</v>
      </c>
      <c r="B80" s="4" t="s">
        <v>12</v>
      </c>
      <c r="C80" s="17" t="s">
        <v>13</v>
      </c>
      <c r="D80" s="17" t="s">
        <v>14</v>
      </c>
      <c r="E80" s="20" t="s">
        <v>47</v>
      </c>
      <c r="F80" s="20" t="s">
        <v>16</v>
      </c>
      <c r="G80" s="21" t="s">
        <v>80</v>
      </c>
      <c r="H80" s="20" t="str">
        <f t="shared" si="1"/>
        <v>ILUPEJU-45T</v>
      </c>
      <c r="I80" s="21" t="s">
        <v>80</v>
      </c>
      <c r="J80" s="23">
        <v>733500</v>
      </c>
    </row>
    <row r="81" spans="1:10" x14ac:dyDescent="0.3">
      <c r="A81" s="4" t="s">
        <v>39</v>
      </c>
      <c r="B81" s="4" t="s">
        <v>12</v>
      </c>
      <c r="C81" s="17" t="s">
        <v>13</v>
      </c>
      <c r="D81" s="17" t="s">
        <v>14</v>
      </c>
      <c r="E81" s="20" t="s">
        <v>47</v>
      </c>
      <c r="F81" s="20" t="s">
        <v>16</v>
      </c>
      <c r="G81" s="21" t="s">
        <v>82</v>
      </c>
      <c r="H81" s="20" t="str">
        <f t="shared" si="1"/>
        <v>AJAO ESTATE-45T</v>
      </c>
      <c r="I81" s="21" t="s">
        <v>82</v>
      </c>
      <c r="J81" s="23">
        <v>733500</v>
      </c>
    </row>
    <row r="82" spans="1:10" x14ac:dyDescent="0.3">
      <c r="A82" s="4" t="s">
        <v>39</v>
      </c>
      <c r="B82" s="4" t="s">
        <v>12</v>
      </c>
      <c r="C82" s="17" t="s">
        <v>13</v>
      </c>
      <c r="D82" s="17" t="s">
        <v>14</v>
      </c>
      <c r="E82" s="20" t="s">
        <v>47</v>
      </c>
      <c r="F82" s="20" t="s">
        <v>16</v>
      </c>
      <c r="G82" s="21" t="s">
        <v>84</v>
      </c>
      <c r="H82" s="20" t="str">
        <f t="shared" si="1"/>
        <v>OKOTA-45T</v>
      </c>
      <c r="I82" s="21" t="s">
        <v>84</v>
      </c>
      <c r="J82" s="23">
        <v>716625</v>
      </c>
    </row>
    <row r="83" spans="1:10" x14ac:dyDescent="0.3">
      <c r="A83" s="4" t="s">
        <v>39</v>
      </c>
      <c r="B83" s="4" t="s">
        <v>12</v>
      </c>
      <c r="C83" s="17" t="s">
        <v>13</v>
      </c>
      <c r="D83" s="17" t="s">
        <v>14</v>
      </c>
      <c r="E83" s="20" t="s">
        <v>47</v>
      </c>
      <c r="F83" s="20" t="s">
        <v>16</v>
      </c>
      <c r="G83" s="21" t="s">
        <v>86</v>
      </c>
      <c r="H83" s="20" t="str">
        <f t="shared" si="1"/>
        <v>OSHODI-45T</v>
      </c>
      <c r="I83" s="21" t="s">
        <v>86</v>
      </c>
      <c r="J83" s="23">
        <v>716625</v>
      </c>
    </row>
    <row r="84" spans="1:10" x14ac:dyDescent="0.3">
      <c r="A84" s="4" t="s">
        <v>39</v>
      </c>
      <c r="B84" s="4" t="s">
        <v>12</v>
      </c>
      <c r="C84" s="17" t="s">
        <v>13</v>
      </c>
      <c r="D84" s="17" t="s">
        <v>14</v>
      </c>
      <c r="E84" s="20" t="s">
        <v>47</v>
      </c>
      <c r="F84" s="20" t="s">
        <v>16</v>
      </c>
      <c r="G84" s="21" t="s">
        <v>92</v>
      </c>
      <c r="H84" s="20" t="str">
        <f t="shared" si="1"/>
        <v>OGBA-45T</v>
      </c>
      <c r="I84" s="21" t="s">
        <v>92</v>
      </c>
      <c r="J84" s="23">
        <v>733500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0C4B-7D86-4CD8-A70E-F7076D74DE17}">
  <dimension ref="A2:Q8"/>
  <sheetViews>
    <sheetView workbookViewId="0">
      <selection activeCell="K3" sqref="K3"/>
    </sheetView>
  </sheetViews>
  <sheetFormatPr defaultRowHeight="14.4" x14ac:dyDescent="0.3"/>
  <cols>
    <col min="1" max="1" width="35.5546875" bestFit="1" customWidth="1"/>
    <col min="2" max="2" width="9.77734375" bestFit="1" customWidth="1"/>
    <col min="4" max="4" width="14" bestFit="1" customWidth="1"/>
    <col min="5" max="5" width="17.21875" bestFit="1" customWidth="1"/>
    <col min="6" max="6" width="7.6640625" bestFit="1" customWidth="1"/>
    <col min="7" max="7" width="8.33203125" bestFit="1" customWidth="1"/>
    <col min="8" max="8" width="9.21875" bestFit="1" customWidth="1"/>
    <col min="9" max="9" width="6.88671875" bestFit="1" customWidth="1"/>
    <col min="10" max="10" width="12.5546875" bestFit="1" customWidth="1"/>
    <col min="11" max="12" width="13.88671875" bestFit="1" customWidth="1"/>
    <col min="13" max="13" width="12.77734375" bestFit="1" customWidth="1"/>
    <col min="14" max="14" width="10.33203125" bestFit="1" customWidth="1"/>
    <col min="15" max="15" width="11.77734375" bestFit="1" customWidth="1"/>
    <col min="16" max="17" width="13.88671875" bestFit="1" customWidth="1"/>
  </cols>
  <sheetData>
    <row r="2" spans="1:1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102</v>
      </c>
      <c r="K2" s="40" t="s">
        <v>278</v>
      </c>
    </row>
    <row r="3" spans="1:17" x14ac:dyDescent="0.3">
      <c r="A3" s="4" t="s">
        <v>100</v>
      </c>
      <c r="B3" s="4" t="s">
        <v>12</v>
      </c>
      <c r="C3" s="4" t="s">
        <v>13</v>
      </c>
      <c r="D3" s="4" t="s">
        <v>14</v>
      </c>
      <c r="E3" s="5" t="s">
        <v>101</v>
      </c>
      <c r="F3" s="5" t="s">
        <v>16</v>
      </c>
      <c r="G3" s="6" t="s">
        <v>20</v>
      </c>
      <c r="H3" s="6" t="s">
        <v>20</v>
      </c>
      <c r="I3" s="7" t="s">
        <v>19</v>
      </c>
      <c r="J3" s="6">
        <v>4450000</v>
      </c>
      <c r="K3" s="9">
        <v>4650000</v>
      </c>
      <c r="L3" s="22"/>
      <c r="M3" s="22"/>
      <c r="N3" s="45"/>
      <c r="O3" s="45"/>
      <c r="P3" s="22"/>
      <c r="Q3" s="22"/>
    </row>
    <row r="4" spans="1:17" x14ac:dyDescent="0.3">
      <c r="A4" s="4" t="s">
        <v>277</v>
      </c>
      <c r="B4" s="4" t="s">
        <v>12</v>
      </c>
      <c r="C4" s="4" t="s">
        <v>275</v>
      </c>
      <c r="D4" s="4" t="s">
        <v>14</v>
      </c>
      <c r="E4" s="5" t="s">
        <v>101</v>
      </c>
      <c r="F4" s="5" t="s">
        <v>16</v>
      </c>
      <c r="G4" s="6" t="s">
        <v>276</v>
      </c>
      <c r="H4" s="6" t="s">
        <v>276</v>
      </c>
      <c r="I4" s="7" t="s">
        <v>19</v>
      </c>
      <c r="J4" s="6">
        <v>6280000</v>
      </c>
      <c r="K4" s="9">
        <f>J4</f>
        <v>6280000</v>
      </c>
    </row>
    <row r="5" spans="1:17" x14ac:dyDescent="0.3">
      <c r="A5" s="4" t="s">
        <v>277</v>
      </c>
      <c r="B5" s="4" t="s">
        <v>12</v>
      </c>
      <c r="C5" s="4" t="s">
        <v>275</v>
      </c>
      <c r="D5" s="4" t="s">
        <v>46</v>
      </c>
      <c r="E5" s="5" t="s">
        <v>101</v>
      </c>
      <c r="F5" s="5" t="s">
        <v>16</v>
      </c>
      <c r="G5" s="6" t="s">
        <v>276</v>
      </c>
      <c r="H5" s="6" t="s">
        <v>276</v>
      </c>
      <c r="I5" s="7" t="s">
        <v>19</v>
      </c>
      <c r="J5" s="6">
        <v>5700000</v>
      </c>
      <c r="K5" s="9">
        <f>J5</f>
        <v>5700000</v>
      </c>
    </row>
    <row r="7" spans="1:17" x14ac:dyDescent="0.3">
      <c r="J7" s="9"/>
      <c r="K7" s="22"/>
      <c r="L7" s="22"/>
    </row>
    <row r="8" spans="1:17" x14ac:dyDescent="0.3">
      <c r="L8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4D22-108D-47AE-B4C5-B0C6C991110B}">
  <dimension ref="A1:G51"/>
  <sheetViews>
    <sheetView workbookViewId="0">
      <selection activeCell="E4" sqref="E4"/>
    </sheetView>
  </sheetViews>
  <sheetFormatPr defaultRowHeight="14.4" x14ac:dyDescent="0.3"/>
  <cols>
    <col min="2" max="2" width="14" bestFit="1" customWidth="1"/>
    <col min="4" max="4" width="7.6640625" bestFit="1" customWidth="1"/>
    <col min="5" max="6" width="49" bestFit="1" customWidth="1"/>
    <col min="7" max="7" width="14.21875" customWidth="1"/>
  </cols>
  <sheetData>
    <row r="1" spans="1:7" ht="28.8" x14ac:dyDescent="0.3">
      <c r="A1" s="1" t="s">
        <v>2</v>
      </c>
      <c r="B1" s="1" t="s">
        <v>3</v>
      </c>
      <c r="C1" s="10" t="s">
        <v>4</v>
      </c>
      <c r="D1" s="11" t="s">
        <v>5</v>
      </c>
      <c r="E1" s="11" t="s">
        <v>6</v>
      </c>
      <c r="F1" s="11" t="s">
        <v>7</v>
      </c>
      <c r="G1" s="34" t="s">
        <v>37</v>
      </c>
    </row>
    <row r="2" spans="1:7" x14ac:dyDescent="0.3">
      <c r="A2" s="4" t="s">
        <v>13</v>
      </c>
      <c r="B2" s="4" t="s">
        <v>14</v>
      </c>
      <c r="C2" s="5" t="s">
        <v>103</v>
      </c>
      <c r="D2" s="5" t="s">
        <v>16</v>
      </c>
      <c r="E2" s="5" t="s">
        <v>104</v>
      </c>
      <c r="F2" s="5" t="s">
        <v>105</v>
      </c>
      <c r="G2" s="9">
        <v>2630000</v>
      </c>
    </row>
    <row r="3" spans="1:7" x14ac:dyDescent="0.3">
      <c r="A3" s="4" t="s">
        <v>13</v>
      </c>
      <c r="B3" s="4" t="s">
        <v>14</v>
      </c>
      <c r="C3" s="5" t="s">
        <v>103</v>
      </c>
      <c r="D3" s="5" t="s">
        <v>16</v>
      </c>
      <c r="E3" s="5" t="s">
        <v>17</v>
      </c>
      <c r="F3" s="5" t="s">
        <v>18</v>
      </c>
      <c r="G3" s="9">
        <v>2970000</v>
      </c>
    </row>
    <row r="4" spans="1:7" x14ac:dyDescent="0.3">
      <c r="A4" s="4" t="s">
        <v>13</v>
      </c>
      <c r="B4" s="4" t="s">
        <v>14</v>
      </c>
      <c r="C4" s="5" t="s">
        <v>103</v>
      </c>
      <c r="D4" s="5" t="s">
        <v>16</v>
      </c>
      <c r="E4" s="6" t="s">
        <v>20</v>
      </c>
      <c r="F4" s="6" t="s">
        <v>20</v>
      </c>
      <c r="G4" s="9">
        <v>3950000</v>
      </c>
    </row>
    <row r="5" spans="1:7" x14ac:dyDescent="0.3">
      <c r="A5" s="4" t="s">
        <v>13</v>
      </c>
      <c r="B5" s="4" t="s">
        <v>46</v>
      </c>
      <c r="C5" s="5" t="s">
        <v>103</v>
      </c>
      <c r="D5" s="5" t="s">
        <v>16</v>
      </c>
      <c r="E5" s="5" t="s">
        <v>106</v>
      </c>
      <c r="F5" s="5" t="s">
        <v>106</v>
      </c>
      <c r="G5" s="9">
        <v>850000</v>
      </c>
    </row>
    <row r="6" spans="1:7" ht="15" thickBot="1" x14ac:dyDescent="0.35">
      <c r="A6" s="4" t="s">
        <v>13</v>
      </c>
      <c r="B6" s="4" t="s">
        <v>46</v>
      </c>
      <c r="C6" s="5" t="s">
        <v>103</v>
      </c>
      <c r="D6" s="25" t="s">
        <v>16</v>
      </c>
      <c r="E6" s="26" t="s">
        <v>106</v>
      </c>
      <c r="F6" s="26" t="s">
        <v>106</v>
      </c>
      <c r="G6" s="9">
        <v>740000</v>
      </c>
    </row>
    <row r="7" spans="1:7" ht="15" thickBot="1" x14ac:dyDescent="0.35">
      <c r="A7" s="4" t="s">
        <v>13</v>
      </c>
      <c r="B7" s="4" t="s">
        <v>46</v>
      </c>
      <c r="C7" s="5" t="s">
        <v>103</v>
      </c>
      <c r="D7" s="25" t="s">
        <v>16</v>
      </c>
      <c r="E7" s="26" t="s">
        <v>107</v>
      </c>
      <c r="F7" s="26" t="s">
        <v>107</v>
      </c>
      <c r="G7" s="9">
        <v>1590000</v>
      </c>
    </row>
    <row r="8" spans="1:7" ht="15" thickBot="1" x14ac:dyDescent="0.35">
      <c r="A8" s="4" t="s">
        <v>13</v>
      </c>
      <c r="B8" s="4" t="s">
        <v>46</v>
      </c>
      <c r="C8" s="5" t="s">
        <v>103</v>
      </c>
      <c r="D8" s="25" t="s">
        <v>16</v>
      </c>
      <c r="E8" s="26" t="s">
        <v>108</v>
      </c>
      <c r="F8" s="26" t="s">
        <v>108</v>
      </c>
      <c r="G8" s="9">
        <v>1470000</v>
      </c>
    </row>
    <row r="9" spans="1:7" ht="15" thickBot="1" x14ac:dyDescent="0.35">
      <c r="A9" s="4" t="s">
        <v>13</v>
      </c>
      <c r="B9" s="4" t="s">
        <v>46</v>
      </c>
      <c r="C9" s="5" t="s">
        <v>103</v>
      </c>
      <c r="D9" s="25" t="s">
        <v>16</v>
      </c>
      <c r="E9" s="26" t="s">
        <v>109</v>
      </c>
      <c r="F9" s="26" t="s">
        <v>109</v>
      </c>
      <c r="G9" s="9">
        <v>1190000</v>
      </c>
    </row>
    <row r="10" spans="1:7" ht="15" thickBot="1" x14ac:dyDescent="0.35">
      <c r="A10" s="4" t="s">
        <v>13</v>
      </c>
      <c r="B10" s="4" t="s">
        <v>46</v>
      </c>
      <c r="C10" s="5" t="s">
        <v>103</v>
      </c>
      <c r="D10" s="25" t="s">
        <v>16</v>
      </c>
      <c r="E10" s="26" t="s">
        <v>110</v>
      </c>
      <c r="F10" s="26" t="s">
        <v>110</v>
      </c>
      <c r="G10" s="9">
        <v>1360000</v>
      </c>
    </row>
    <row r="11" spans="1:7" ht="15" thickBot="1" x14ac:dyDescent="0.35">
      <c r="A11" s="4" t="s">
        <v>13</v>
      </c>
      <c r="B11" s="4" t="s">
        <v>46</v>
      </c>
      <c r="C11" s="5" t="s">
        <v>103</v>
      </c>
      <c r="D11" s="25" t="s">
        <v>16</v>
      </c>
      <c r="E11" s="26" t="s">
        <v>111</v>
      </c>
      <c r="F11" s="26" t="s">
        <v>111</v>
      </c>
      <c r="G11" s="9">
        <v>1500000</v>
      </c>
    </row>
    <row r="12" spans="1:7" ht="15" thickBot="1" x14ac:dyDescent="0.35">
      <c r="A12" s="4" t="s">
        <v>13</v>
      </c>
      <c r="B12" s="4" t="s">
        <v>46</v>
      </c>
      <c r="C12" s="5" t="s">
        <v>103</v>
      </c>
      <c r="D12" s="25" t="s">
        <v>16</v>
      </c>
      <c r="E12" s="26" t="s">
        <v>112</v>
      </c>
      <c r="F12" s="26" t="s">
        <v>112</v>
      </c>
      <c r="G12" s="9">
        <v>690000</v>
      </c>
    </row>
    <row r="13" spans="1:7" ht="15" thickBot="1" x14ac:dyDescent="0.35">
      <c r="A13" s="4" t="s">
        <v>13</v>
      </c>
      <c r="B13" s="4" t="s">
        <v>46</v>
      </c>
      <c r="C13" s="5" t="s">
        <v>103</v>
      </c>
      <c r="D13" s="25" t="s">
        <v>16</v>
      </c>
      <c r="E13" s="26" t="s">
        <v>113</v>
      </c>
      <c r="F13" s="26" t="s">
        <v>113</v>
      </c>
      <c r="G13" s="9">
        <v>1490000</v>
      </c>
    </row>
    <row r="14" spans="1:7" ht="15" thickBot="1" x14ac:dyDescent="0.35">
      <c r="A14" s="4" t="s">
        <v>13</v>
      </c>
      <c r="B14" s="4" t="s">
        <v>139</v>
      </c>
      <c r="C14" s="5" t="s">
        <v>103</v>
      </c>
      <c r="D14" s="25" t="s">
        <v>16</v>
      </c>
      <c r="E14" s="26" t="s">
        <v>114</v>
      </c>
      <c r="F14" s="26" t="s">
        <v>114</v>
      </c>
      <c r="G14" s="9">
        <v>440000</v>
      </c>
    </row>
    <row r="15" spans="1:7" ht="15" thickBot="1" x14ac:dyDescent="0.35">
      <c r="A15" s="4" t="s">
        <v>13</v>
      </c>
      <c r="B15" s="4" t="s">
        <v>139</v>
      </c>
      <c r="C15" s="5" t="s">
        <v>103</v>
      </c>
      <c r="D15" s="25" t="s">
        <v>16</v>
      </c>
      <c r="E15" s="26" t="s">
        <v>114</v>
      </c>
      <c r="F15" s="26" t="s">
        <v>114</v>
      </c>
      <c r="G15" s="9">
        <v>440000</v>
      </c>
    </row>
    <row r="16" spans="1:7" ht="15" thickBot="1" x14ac:dyDescent="0.35">
      <c r="A16" s="4" t="s">
        <v>13</v>
      </c>
      <c r="B16" s="4" t="s">
        <v>139</v>
      </c>
      <c r="C16" s="5" t="s">
        <v>103</v>
      </c>
      <c r="D16" s="25" t="s">
        <v>16</v>
      </c>
      <c r="E16" s="26" t="s">
        <v>114</v>
      </c>
      <c r="F16" s="26" t="s">
        <v>114</v>
      </c>
      <c r="G16" s="9">
        <v>440000</v>
      </c>
    </row>
    <row r="17" spans="1:7" ht="15" thickBot="1" x14ac:dyDescent="0.35">
      <c r="A17" s="4" t="s">
        <v>13</v>
      </c>
      <c r="B17" s="4" t="s">
        <v>139</v>
      </c>
      <c r="C17" s="5" t="s">
        <v>103</v>
      </c>
      <c r="D17" s="25" t="s">
        <v>16</v>
      </c>
      <c r="E17" s="26" t="s">
        <v>114</v>
      </c>
      <c r="F17" s="26" t="s">
        <v>114</v>
      </c>
      <c r="G17" s="9">
        <v>440000</v>
      </c>
    </row>
    <row r="18" spans="1:7" ht="15" thickBot="1" x14ac:dyDescent="0.35">
      <c r="A18" s="4" t="s">
        <v>13</v>
      </c>
      <c r="B18" s="4" t="s">
        <v>139</v>
      </c>
      <c r="C18" s="5" t="s">
        <v>103</v>
      </c>
      <c r="D18" s="25" t="s">
        <v>16</v>
      </c>
      <c r="E18" s="27" t="s">
        <v>115</v>
      </c>
      <c r="F18" s="27" t="s">
        <v>115</v>
      </c>
      <c r="G18" s="9">
        <v>440000</v>
      </c>
    </row>
    <row r="19" spans="1:7" ht="15" thickBot="1" x14ac:dyDescent="0.35">
      <c r="A19" s="4" t="s">
        <v>13</v>
      </c>
      <c r="B19" s="4" t="s">
        <v>139</v>
      </c>
      <c r="C19" s="5" t="s">
        <v>103</v>
      </c>
      <c r="D19" s="25" t="s">
        <v>16</v>
      </c>
      <c r="E19" s="28" t="s">
        <v>116</v>
      </c>
      <c r="F19" s="28" t="s">
        <v>116</v>
      </c>
      <c r="G19" s="9">
        <v>480000</v>
      </c>
    </row>
    <row r="20" spans="1:7" ht="15" thickBot="1" x14ac:dyDescent="0.35">
      <c r="A20" s="4" t="s">
        <v>13</v>
      </c>
      <c r="B20" s="4" t="s">
        <v>139</v>
      </c>
      <c r="C20" s="5" t="s">
        <v>103</v>
      </c>
      <c r="D20" s="25" t="s">
        <v>16</v>
      </c>
      <c r="E20" s="28" t="s">
        <v>116</v>
      </c>
      <c r="F20" s="28" t="s">
        <v>116</v>
      </c>
      <c r="G20" s="9">
        <v>480000</v>
      </c>
    </row>
    <row r="21" spans="1:7" ht="15" thickBot="1" x14ac:dyDescent="0.35">
      <c r="A21" s="4" t="s">
        <v>13</v>
      </c>
      <c r="B21" s="4" t="s">
        <v>139</v>
      </c>
      <c r="C21" s="5" t="s">
        <v>103</v>
      </c>
      <c r="D21" s="25" t="s">
        <v>16</v>
      </c>
      <c r="E21" s="26" t="s">
        <v>117</v>
      </c>
      <c r="F21" s="26" t="s">
        <v>117</v>
      </c>
      <c r="G21" s="9">
        <v>540000</v>
      </c>
    </row>
    <row r="22" spans="1:7" ht="15" thickBot="1" x14ac:dyDescent="0.35">
      <c r="A22" s="4" t="s">
        <v>13</v>
      </c>
      <c r="B22" s="4" t="s">
        <v>139</v>
      </c>
      <c r="C22" s="5" t="s">
        <v>103</v>
      </c>
      <c r="D22" s="25" t="s">
        <v>16</v>
      </c>
      <c r="E22" s="26" t="s">
        <v>118</v>
      </c>
      <c r="F22" s="26" t="s">
        <v>118</v>
      </c>
      <c r="G22" s="9">
        <v>400000</v>
      </c>
    </row>
    <row r="23" spans="1:7" ht="15" thickBot="1" x14ac:dyDescent="0.35">
      <c r="A23" s="4" t="s">
        <v>13</v>
      </c>
      <c r="B23" s="4" t="s">
        <v>139</v>
      </c>
      <c r="C23" s="5" t="s">
        <v>103</v>
      </c>
      <c r="D23" s="25" t="s">
        <v>16</v>
      </c>
      <c r="E23" s="26" t="s">
        <v>118</v>
      </c>
      <c r="F23" s="26" t="s">
        <v>118</v>
      </c>
      <c r="G23" s="9">
        <v>400000</v>
      </c>
    </row>
    <row r="24" spans="1:7" ht="15" thickBot="1" x14ac:dyDescent="0.35">
      <c r="A24" s="4" t="s">
        <v>13</v>
      </c>
      <c r="B24" s="4" t="s">
        <v>139</v>
      </c>
      <c r="C24" s="5" t="s">
        <v>103</v>
      </c>
      <c r="D24" s="25" t="s">
        <v>16</v>
      </c>
      <c r="E24" s="26" t="s">
        <v>118</v>
      </c>
      <c r="F24" s="26" t="s">
        <v>118</v>
      </c>
      <c r="G24" s="9">
        <v>400000</v>
      </c>
    </row>
    <row r="25" spans="1:7" ht="15" thickBot="1" x14ac:dyDescent="0.35">
      <c r="A25" s="4" t="s">
        <v>13</v>
      </c>
      <c r="B25" s="4" t="s">
        <v>139</v>
      </c>
      <c r="C25" s="5" t="s">
        <v>103</v>
      </c>
      <c r="D25" s="25" t="s">
        <v>16</v>
      </c>
      <c r="E25" s="26" t="s">
        <v>119</v>
      </c>
      <c r="F25" s="26" t="s">
        <v>119</v>
      </c>
      <c r="G25" s="9">
        <v>410000</v>
      </c>
    </row>
    <row r="26" spans="1:7" ht="15" thickBot="1" x14ac:dyDescent="0.35">
      <c r="A26" s="4" t="s">
        <v>13</v>
      </c>
      <c r="B26" s="4" t="s">
        <v>139</v>
      </c>
      <c r="C26" s="5" t="s">
        <v>103</v>
      </c>
      <c r="D26" s="25" t="s">
        <v>16</v>
      </c>
      <c r="E26" s="26" t="s">
        <v>119</v>
      </c>
      <c r="F26" s="26" t="s">
        <v>119</v>
      </c>
      <c r="G26" s="9">
        <v>410000</v>
      </c>
    </row>
    <row r="27" spans="1:7" ht="15" thickBot="1" x14ac:dyDescent="0.35">
      <c r="A27" s="4" t="s">
        <v>13</v>
      </c>
      <c r="B27" s="4" t="s">
        <v>139</v>
      </c>
      <c r="C27" s="5" t="s">
        <v>103</v>
      </c>
      <c r="D27" s="25" t="s">
        <v>16</v>
      </c>
      <c r="E27" s="26" t="s">
        <v>119</v>
      </c>
      <c r="F27" s="26" t="s">
        <v>119</v>
      </c>
      <c r="G27" s="9">
        <v>410000</v>
      </c>
    </row>
    <row r="28" spans="1:7" ht="15" thickBot="1" x14ac:dyDescent="0.35">
      <c r="A28" s="4" t="s">
        <v>13</v>
      </c>
      <c r="B28" s="4" t="s">
        <v>139</v>
      </c>
      <c r="C28" s="5" t="s">
        <v>103</v>
      </c>
      <c r="D28" s="25" t="s">
        <v>16</v>
      </c>
      <c r="E28" s="26" t="s">
        <v>119</v>
      </c>
      <c r="F28" s="26" t="s">
        <v>119</v>
      </c>
      <c r="G28" s="9">
        <v>410000</v>
      </c>
    </row>
    <row r="29" spans="1:7" ht="15" thickBot="1" x14ac:dyDescent="0.35">
      <c r="A29" s="4" t="s">
        <v>13</v>
      </c>
      <c r="B29" s="4" t="s">
        <v>139</v>
      </c>
      <c r="C29" s="5" t="s">
        <v>103</v>
      </c>
      <c r="D29" s="25" t="s">
        <v>16</v>
      </c>
      <c r="E29" s="26" t="s">
        <v>119</v>
      </c>
      <c r="F29" s="26" t="s">
        <v>119</v>
      </c>
      <c r="G29" s="9">
        <v>410000</v>
      </c>
    </row>
    <row r="30" spans="1:7" ht="15" thickBot="1" x14ac:dyDescent="0.35">
      <c r="A30" s="4" t="s">
        <v>13</v>
      </c>
      <c r="B30" s="4" t="s">
        <v>139</v>
      </c>
      <c r="C30" s="5" t="s">
        <v>103</v>
      </c>
      <c r="D30" s="25" t="s">
        <v>16</v>
      </c>
      <c r="E30" s="26" t="s">
        <v>120</v>
      </c>
      <c r="F30" s="26" t="s">
        <v>120</v>
      </c>
      <c r="G30" s="9">
        <v>420000</v>
      </c>
    </row>
    <row r="31" spans="1:7" ht="15" thickBot="1" x14ac:dyDescent="0.35">
      <c r="A31" s="4" t="s">
        <v>13</v>
      </c>
      <c r="B31" s="4" t="s">
        <v>139</v>
      </c>
      <c r="C31" s="5" t="s">
        <v>103</v>
      </c>
      <c r="D31" s="25" t="s">
        <v>16</v>
      </c>
      <c r="E31" s="26" t="s">
        <v>120</v>
      </c>
      <c r="F31" s="26" t="s">
        <v>120</v>
      </c>
      <c r="G31" s="9">
        <v>420000</v>
      </c>
    </row>
    <row r="32" spans="1:7" ht="15" thickBot="1" x14ac:dyDescent="0.35">
      <c r="A32" s="4" t="s">
        <v>13</v>
      </c>
      <c r="B32" s="4" t="s">
        <v>139</v>
      </c>
      <c r="C32" s="5" t="s">
        <v>103</v>
      </c>
      <c r="D32" s="25" t="s">
        <v>16</v>
      </c>
      <c r="E32" s="27" t="s">
        <v>116</v>
      </c>
      <c r="F32" s="27" t="s">
        <v>116</v>
      </c>
      <c r="G32" s="9">
        <v>420000</v>
      </c>
    </row>
    <row r="33" spans="1:7" ht="15" thickBot="1" x14ac:dyDescent="0.35">
      <c r="A33" s="4" t="s">
        <v>13</v>
      </c>
      <c r="B33" s="4" t="s">
        <v>139</v>
      </c>
      <c r="C33" s="5" t="s">
        <v>103</v>
      </c>
      <c r="D33" s="25" t="s">
        <v>16</v>
      </c>
      <c r="E33" s="26" t="s">
        <v>120</v>
      </c>
      <c r="F33" s="26" t="s">
        <v>120</v>
      </c>
      <c r="G33" s="9">
        <v>420000</v>
      </c>
    </row>
    <row r="34" spans="1:7" ht="15" thickBot="1" x14ac:dyDescent="0.35">
      <c r="A34" s="4" t="s">
        <v>13</v>
      </c>
      <c r="B34" s="4" t="s">
        <v>139</v>
      </c>
      <c r="C34" s="5" t="s">
        <v>103</v>
      </c>
      <c r="D34" s="25" t="s">
        <v>16</v>
      </c>
      <c r="E34" s="26" t="s">
        <v>120</v>
      </c>
      <c r="F34" s="26" t="s">
        <v>120</v>
      </c>
      <c r="G34" s="9">
        <v>420000</v>
      </c>
    </row>
    <row r="35" spans="1:7" ht="15" thickBot="1" x14ac:dyDescent="0.35">
      <c r="A35" s="4" t="s">
        <v>13</v>
      </c>
      <c r="B35" s="4" t="s">
        <v>139</v>
      </c>
      <c r="C35" s="5" t="s">
        <v>103</v>
      </c>
      <c r="D35" s="25" t="s">
        <v>16</v>
      </c>
      <c r="E35" s="26" t="s">
        <v>120</v>
      </c>
      <c r="F35" s="26" t="s">
        <v>120</v>
      </c>
      <c r="G35" s="9">
        <v>420000</v>
      </c>
    </row>
    <row r="36" spans="1:7" ht="15" thickBot="1" x14ac:dyDescent="0.35">
      <c r="A36" s="4" t="s">
        <v>13</v>
      </c>
      <c r="B36" s="4" t="s">
        <v>139</v>
      </c>
      <c r="C36" s="5" t="s">
        <v>103</v>
      </c>
      <c r="D36" s="25" t="s">
        <v>16</v>
      </c>
      <c r="E36" s="26" t="s">
        <v>120</v>
      </c>
      <c r="F36" s="26" t="s">
        <v>120</v>
      </c>
      <c r="G36" s="9">
        <v>420000</v>
      </c>
    </row>
    <row r="37" spans="1:7" ht="15" thickBot="1" x14ac:dyDescent="0.35">
      <c r="A37" s="4" t="s">
        <v>13</v>
      </c>
      <c r="B37" s="4" t="s">
        <v>139</v>
      </c>
      <c r="C37" s="5" t="s">
        <v>103</v>
      </c>
      <c r="D37" s="25" t="s">
        <v>16</v>
      </c>
      <c r="E37" s="26" t="s">
        <v>121</v>
      </c>
      <c r="F37" s="26" t="s">
        <v>121</v>
      </c>
      <c r="G37" s="9">
        <v>460000</v>
      </c>
    </row>
    <row r="38" spans="1:7" ht="15" thickBot="1" x14ac:dyDescent="0.35">
      <c r="A38" s="4" t="s">
        <v>13</v>
      </c>
      <c r="B38" s="4" t="s">
        <v>139</v>
      </c>
      <c r="C38" s="5" t="s">
        <v>103</v>
      </c>
      <c r="D38" s="25" t="s">
        <v>16</v>
      </c>
      <c r="E38" s="26" t="s">
        <v>121</v>
      </c>
      <c r="F38" s="26" t="s">
        <v>121</v>
      </c>
      <c r="G38" s="9">
        <v>430000</v>
      </c>
    </row>
    <row r="39" spans="1:7" ht="15" thickBot="1" x14ac:dyDescent="0.35">
      <c r="A39" s="4" t="s">
        <v>13</v>
      </c>
      <c r="B39" s="4" t="s">
        <v>139</v>
      </c>
      <c r="C39" s="5" t="s">
        <v>103</v>
      </c>
      <c r="D39" s="25" t="s">
        <v>16</v>
      </c>
      <c r="E39" s="26" t="s">
        <v>122</v>
      </c>
      <c r="F39" s="26" t="s">
        <v>122</v>
      </c>
      <c r="G39" s="9">
        <v>420000</v>
      </c>
    </row>
    <row r="40" spans="1:7" ht="15" thickBot="1" x14ac:dyDescent="0.35">
      <c r="A40" s="4" t="s">
        <v>13</v>
      </c>
      <c r="B40" s="4" t="s">
        <v>139</v>
      </c>
      <c r="C40" s="5" t="s">
        <v>103</v>
      </c>
      <c r="D40" s="25" t="s">
        <v>16</v>
      </c>
      <c r="E40" s="26" t="s">
        <v>122</v>
      </c>
      <c r="F40" s="26" t="s">
        <v>122</v>
      </c>
      <c r="G40" s="9">
        <v>420000</v>
      </c>
    </row>
    <row r="41" spans="1:7" ht="15" thickBot="1" x14ac:dyDescent="0.35">
      <c r="A41" s="4" t="s">
        <v>13</v>
      </c>
      <c r="B41" s="4" t="s">
        <v>139</v>
      </c>
      <c r="C41" s="5" t="s">
        <v>103</v>
      </c>
      <c r="D41" s="25" t="s">
        <v>16</v>
      </c>
      <c r="E41" s="26" t="s">
        <v>123</v>
      </c>
      <c r="F41" s="26" t="s">
        <v>123</v>
      </c>
      <c r="G41" s="9">
        <v>460000</v>
      </c>
    </row>
    <row r="42" spans="1:7" ht="15" thickBot="1" x14ac:dyDescent="0.35">
      <c r="A42" s="4" t="s">
        <v>13</v>
      </c>
      <c r="B42" s="4" t="s">
        <v>139</v>
      </c>
      <c r="C42" s="5" t="s">
        <v>103</v>
      </c>
      <c r="D42" s="25" t="s">
        <v>16</v>
      </c>
      <c r="E42" s="26" t="s">
        <v>123</v>
      </c>
      <c r="F42" s="26" t="s">
        <v>123</v>
      </c>
      <c r="G42" s="9">
        <v>460000</v>
      </c>
    </row>
    <row r="43" spans="1:7" ht="15" thickBot="1" x14ac:dyDescent="0.35">
      <c r="A43" s="4" t="s">
        <v>13</v>
      </c>
      <c r="B43" s="4" t="s">
        <v>139</v>
      </c>
      <c r="C43" s="5" t="s">
        <v>103</v>
      </c>
      <c r="D43" s="25" t="s">
        <v>16</v>
      </c>
      <c r="E43" s="26" t="s">
        <v>123</v>
      </c>
      <c r="F43" s="26" t="s">
        <v>123</v>
      </c>
      <c r="G43" s="9">
        <v>460000</v>
      </c>
    </row>
    <row r="44" spans="1:7" ht="15" thickBot="1" x14ac:dyDescent="0.35">
      <c r="A44" s="4" t="s">
        <v>13</v>
      </c>
      <c r="B44" s="4" t="s">
        <v>139</v>
      </c>
      <c r="C44" s="5" t="s">
        <v>103</v>
      </c>
      <c r="D44" s="25" t="s">
        <v>16</v>
      </c>
      <c r="E44" s="26" t="s">
        <v>124</v>
      </c>
      <c r="F44" s="26" t="s">
        <v>124</v>
      </c>
      <c r="G44" s="9">
        <v>410000</v>
      </c>
    </row>
    <row r="45" spans="1:7" ht="15" thickBot="1" x14ac:dyDescent="0.35">
      <c r="A45" s="4" t="s">
        <v>13</v>
      </c>
      <c r="B45" s="4" t="s">
        <v>139</v>
      </c>
      <c r="C45" s="5" t="s">
        <v>103</v>
      </c>
      <c r="D45" s="25" t="s">
        <v>16</v>
      </c>
      <c r="E45" s="26" t="s">
        <v>124</v>
      </c>
      <c r="F45" s="26" t="s">
        <v>124</v>
      </c>
      <c r="G45" s="9">
        <v>410000</v>
      </c>
    </row>
    <row r="46" spans="1:7" ht="15" thickBot="1" x14ac:dyDescent="0.35">
      <c r="A46" s="4" t="s">
        <v>13</v>
      </c>
      <c r="B46" s="4" t="s">
        <v>139</v>
      </c>
      <c r="C46" s="5" t="s">
        <v>103</v>
      </c>
      <c r="D46" s="25" t="s">
        <v>16</v>
      </c>
      <c r="E46" s="26" t="s">
        <v>124</v>
      </c>
      <c r="F46" s="26" t="s">
        <v>124</v>
      </c>
      <c r="G46" s="9">
        <v>410000</v>
      </c>
    </row>
    <row r="47" spans="1:7" ht="15" thickBot="1" x14ac:dyDescent="0.35">
      <c r="A47" s="4" t="s">
        <v>13</v>
      </c>
      <c r="B47" s="4" t="s">
        <v>139</v>
      </c>
      <c r="C47" s="5" t="s">
        <v>103</v>
      </c>
      <c r="D47" s="25" t="s">
        <v>16</v>
      </c>
      <c r="E47" s="26" t="s">
        <v>125</v>
      </c>
      <c r="F47" s="26" t="s">
        <v>125</v>
      </c>
      <c r="G47" s="9">
        <v>630000</v>
      </c>
    </row>
    <row r="48" spans="1:7" ht="15" thickBot="1" x14ac:dyDescent="0.35">
      <c r="A48" s="4" t="s">
        <v>13</v>
      </c>
      <c r="B48" s="4" t="s">
        <v>139</v>
      </c>
      <c r="C48" s="5" t="s">
        <v>103</v>
      </c>
      <c r="D48" s="25" t="s">
        <v>16</v>
      </c>
      <c r="E48" s="26" t="s">
        <v>125</v>
      </c>
      <c r="F48" s="26" t="s">
        <v>125</v>
      </c>
      <c r="G48" s="9">
        <v>460000</v>
      </c>
    </row>
    <row r="49" spans="1:7" ht="15" thickBot="1" x14ac:dyDescent="0.35">
      <c r="A49" s="4" t="s">
        <v>13</v>
      </c>
      <c r="B49" s="4" t="s">
        <v>139</v>
      </c>
      <c r="C49" s="5" t="s">
        <v>103</v>
      </c>
      <c r="D49" s="25" t="s">
        <v>16</v>
      </c>
      <c r="E49" s="26" t="s">
        <v>125</v>
      </c>
      <c r="F49" s="26" t="s">
        <v>125</v>
      </c>
      <c r="G49" s="9">
        <v>460000</v>
      </c>
    </row>
    <row r="50" spans="1:7" ht="15" thickBot="1" x14ac:dyDescent="0.35">
      <c r="A50" s="4" t="s">
        <v>13</v>
      </c>
      <c r="B50" s="4" t="s">
        <v>139</v>
      </c>
      <c r="C50" s="5" t="s">
        <v>103</v>
      </c>
      <c r="D50" s="25" t="s">
        <v>16</v>
      </c>
      <c r="E50" s="26" t="s">
        <v>125</v>
      </c>
      <c r="F50" s="26" t="s">
        <v>125</v>
      </c>
      <c r="G50" s="9">
        <v>460000</v>
      </c>
    </row>
    <row r="51" spans="1:7" ht="15" thickBot="1" x14ac:dyDescent="0.35">
      <c r="A51" s="4" t="s">
        <v>13</v>
      </c>
      <c r="B51" s="4" t="s">
        <v>139</v>
      </c>
      <c r="C51" s="5" t="s">
        <v>103</v>
      </c>
      <c r="D51" s="25" t="s">
        <v>16</v>
      </c>
      <c r="E51" s="26" t="s">
        <v>125</v>
      </c>
      <c r="F51" s="26" t="s">
        <v>125</v>
      </c>
      <c r="G51" s="9">
        <v>460000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5358-0C89-411F-8C06-7581DCF0ADA2}">
  <dimension ref="A2:J5"/>
  <sheetViews>
    <sheetView workbookViewId="0">
      <selection activeCell="A2" sqref="A2:J5"/>
    </sheetView>
  </sheetViews>
  <sheetFormatPr defaultRowHeight="14.4" x14ac:dyDescent="0.3"/>
  <cols>
    <col min="10" max="10" width="18.5546875" bestFit="1" customWidth="1"/>
  </cols>
  <sheetData>
    <row r="2" spans="1:10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4" t="s">
        <v>45</v>
      </c>
    </row>
    <row r="3" spans="1:10" x14ac:dyDescent="0.3">
      <c r="A3" s="4" t="s">
        <v>140</v>
      </c>
      <c r="B3" s="4" t="s">
        <v>12</v>
      </c>
      <c r="C3" s="4" t="s">
        <v>13</v>
      </c>
      <c r="D3" s="4" t="s">
        <v>46</v>
      </c>
      <c r="E3" s="6" t="s">
        <v>141</v>
      </c>
      <c r="F3" s="5" t="s">
        <v>41</v>
      </c>
      <c r="G3" s="5" t="s">
        <v>78</v>
      </c>
      <c r="H3" s="6" t="s">
        <v>142</v>
      </c>
      <c r="I3" s="7" t="s">
        <v>137</v>
      </c>
      <c r="J3" s="4">
        <v>1550000</v>
      </c>
    </row>
    <row r="4" spans="1:10" x14ac:dyDescent="0.3">
      <c r="A4" s="4" t="s">
        <v>140</v>
      </c>
      <c r="B4" s="4" t="s">
        <v>12</v>
      </c>
      <c r="C4" s="4" t="s">
        <v>13</v>
      </c>
      <c r="D4" s="4" t="s">
        <v>46</v>
      </c>
      <c r="E4" s="6" t="s">
        <v>141</v>
      </c>
      <c r="F4" s="5" t="s">
        <v>78</v>
      </c>
      <c r="G4" s="5" t="s">
        <v>41</v>
      </c>
      <c r="H4" s="6" t="s">
        <v>17</v>
      </c>
      <c r="I4" s="7" t="s">
        <v>19</v>
      </c>
      <c r="J4" s="4">
        <v>3300000</v>
      </c>
    </row>
    <row r="5" spans="1:10" x14ac:dyDescent="0.3">
      <c r="A5" s="4" t="s">
        <v>140</v>
      </c>
      <c r="B5" s="4" t="s">
        <v>12</v>
      </c>
      <c r="C5" s="4" t="s">
        <v>13</v>
      </c>
      <c r="D5" s="4" t="s">
        <v>46</v>
      </c>
      <c r="E5" s="6" t="s">
        <v>141</v>
      </c>
      <c r="F5" s="5" t="s">
        <v>78</v>
      </c>
      <c r="G5" s="5" t="s">
        <v>143</v>
      </c>
      <c r="H5" s="6" t="s">
        <v>144</v>
      </c>
      <c r="I5" s="7" t="s">
        <v>35</v>
      </c>
      <c r="J5" s="4">
        <v>2300000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9B7E-229C-4DE5-8E77-053AF907A448}">
  <dimension ref="A1:J7"/>
  <sheetViews>
    <sheetView workbookViewId="0">
      <selection activeCell="J1" sqref="J1"/>
    </sheetView>
  </sheetViews>
  <sheetFormatPr defaultRowHeight="14.4" x14ac:dyDescent="0.3"/>
  <cols>
    <col min="9" max="9" width="18.5546875" bestFit="1" customWidth="1"/>
    <col min="10" max="10" width="13.88671875" bestFit="1" customWidth="1"/>
  </cols>
  <sheetData>
    <row r="1" spans="1:10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36" t="s">
        <v>134</v>
      </c>
      <c r="J1" s="35" t="s">
        <v>135</v>
      </c>
    </row>
    <row r="2" spans="1:10" x14ac:dyDescent="0.3">
      <c r="A2" s="4" t="s">
        <v>126</v>
      </c>
      <c r="B2" s="4" t="s">
        <v>127</v>
      </c>
      <c r="C2" s="4" t="s">
        <v>13</v>
      </c>
      <c r="D2" s="4" t="s">
        <v>46</v>
      </c>
      <c r="E2" s="30" t="s">
        <v>128</v>
      </c>
      <c r="F2" s="30" t="s">
        <v>16</v>
      </c>
      <c r="G2" s="30" t="s">
        <v>104</v>
      </c>
      <c r="H2" s="30" t="s">
        <v>105</v>
      </c>
      <c r="I2" s="9">
        <v>2400000</v>
      </c>
      <c r="J2" s="9">
        <f t="shared" ref="J2:J7" si="0">I2*1.075</f>
        <v>2580000</v>
      </c>
    </row>
    <row r="3" spans="1:10" x14ac:dyDescent="0.3">
      <c r="A3" s="4" t="s">
        <v>126</v>
      </c>
      <c r="B3" s="4" t="s">
        <v>127</v>
      </c>
      <c r="C3" s="4" t="s">
        <v>13</v>
      </c>
      <c r="D3" s="4" t="s">
        <v>46</v>
      </c>
      <c r="E3" s="30" t="s">
        <v>128</v>
      </c>
      <c r="F3" s="5" t="s">
        <v>16</v>
      </c>
      <c r="G3" s="5" t="s">
        <v>17</v>
      </c>
      <c r="H3" s="5" t="s">
        <v>18</v>
      </c>
      <c r="I3" s="9">
        <v>2850000</v>
      </c>
      <c r="J3" s="9">
        <f t="shared" si="0"/>
        <v>3063750</v>
      </c>
    </row>
    <row r="4" spans="1:10" x14ac:dyDescent="0.3">
      <c r="A4" s="4" t="s">
        <v>126</v>
      </c>
      <c r="B4" s="4" t="s">
        <v>127</v>
      </c>
      <c r="C4" s="4" t="s">
        <v>13</v>
      </c>
      <c r="D4" s="4" t="s">
        <v>46</v>
      </c>
      <c r="E4" s="30" t="s">
        <v>128</v>
      </c>
      <c r="F4" s="5" t="s">
        <v>16</v>
      </c>
      <c r="G4" s="6" t="s">
        <v>20</v>
      </c>
      <c r="H4" s="6" t="s">
        <v>20</v>
      </c>
      <c r="I4" s="9">
        <v>3950000</v>
      </c>
      <c r="J4" s="9">
        <f t="shared" si="0"/>
        <v>4246250</v>
      </c>
    </row>
    <row r="5" spans="1:10" x14ac:dyDescent="0.3">
      <c r="A5" s="4" t="s">
        <v>126</v>
      </c>
      <c r="B5" s="4" t="s">
        <v>127</v>
      </c>
      <c r="C5" s="4" t="s">
        <v>13</v>
      </c>
      <c r="D5" s="4" t="s">
        <v>46</v>
      </c>
      <c r="E5" s="30" t="s">
        <v>128</v>
      </c>
      <c r="F5" s="5" t="s">
        <v>16</v>
      </c>
      <c r="G5" s="5" t="s">
        <v>129</v>
      </c>
      <c r="H5" s="5" t="s">
        <v>130</v>
      </c>
      <c r="I5" s="9">
        <v>850000</v>
      </c>
      <c r="J5" s="9">
        <f t="shared" si="0"/>
        <v>913750</v>
      </c>
    </row>
    <row r="6" spans="1:10" x14ac:dyDescent="0.3">
      <c r="A6" s="4" t="s">
        <v>126</v>
      </c>
      <c r="B6" s="4" t="s">
        <v>127</v>
      </c>
      <c r="C6" s="4" t="s">
        <v>13</v>
      </c>
      <c r="D6" s="4" t="s">
        <v>46</v>
      </c>
      <c r="E6" s="30" t="s">
        <v>128</v>
      </c>
      <c r="F6" s="5" t="s">
        <v>16</v>
      </c>
      <c r="G6" s="6" t="s">
        <v>22</v>
      </c>
      <c r="H6" s="6" t="s">
        <v>22</v>
      </c>
      <c r="I6" s="9">
        <v>3500000</v>
      </c>
      <c r="J6" s="9">
        <f t="shared" si="0"/>
        <v>3762500</v>
      </c>
    </row>
    <row r="7" spans="1:10" x14ac:dyDescent="0.3">
      <c r="A7" s="14" t="s">
        <v>131</v>
      </c>
      <c r="B7" s="14" t="s">
        <v>132</v>
      </c>
      <c r="C7" s="4" t="s">
        <v>13</v>
      </c>
      <c r="D7" s="14" t="s">
        <v>46</v>
      </c>
      <c r="E7" s="31" t="s">
        <v>128</v>
      </c>
      <c r="F7" s="15" t="s">
        <v>16</v>
      </c>
      <c r="G7" s="15" t="s">
        <v>133</v>
      </c>
      <c r="H7" s="32" t="s">
        <v>133</v>
      </c>
      <c r="I7" s="9">
        <v>750000</v>
      </c>
      <c r="J7" s="9">
        <f t="shared" si="0"/>
        <v>806250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5213-854B-4207-894B-5CFBEB6EBA7B}">
  <dimension ref="A1:H9"/>
  <sheetViews>
    <sheetView workbookViewId="0">
      <selection activeCell="H6" sqref="H6"/>
    </sheetView>
  </sheetViews>
  <sheetFormatPr defaultRowHeight="14.4" x14ac:dyDescent="0.3"/>
  <cols>
    <col min="8" max="8" width="12.5546875" bestFit="1" customWidth="1"/>
  </cols>
  <sheetData>
    <row r="1" spans="1:8" ht="15" thickBot="1" x14ac:dyDescent="0.35"/>
    <row r="2" spans="1:8" ht="28.8" x14ac:dyDescent="0.3">
      <c r="A2" s="1" t="s">
        <v>2</v>
      </c>
      <c r="B2" s="1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33" t="s">
        <v>145</v>
      </c>
    </row>
    <row r="3" spans="1:8" x14ac:dyDescent="0.3">
      <c r="A3" s="4" t="s">
        <v>13</v>
      </c>
      <c r="B3" s="4" t="s">
        <v>46</v>
      </c>
      <c r="C3" s="30" t="s">
        <v>136</v>
      </c>
      <c r="D3" s="30" t="s">
        <v>16</v>
      </c>
      <c r="E3" s="30" t="s">
        <v>104</v>
      </c>
      <c r="F3" s="30" t="s">
        <v>105</v>
      </c>
      <c r="G3" s="37" t="s">
        <v>35</v>
      </c>
      <c r="H3" s="9">
        <v>2840000</v>
      </c>
    </row>
    <row r="4" spans="1:8" x14ac:dyDescent="0.3">
      <c r="A4" s="4" t="s">
        <v>13</v>
      </c>
      <c r="B4" s="4" t="s">
        <v>46</v>
      </c>
      <c r="C4" s="5" t="s">
        <v>136</v>
      </c>
      <c r="D4" s="5" t="s">
        <v>16</v>
      </c>
      <c r="E4" s="5" t="s">
        <v>17</v>
      </c>
      <c r="F4" s="5" t="s">
        <v>18</v>
      </c>
      <c r="G4" s="8" t="s">
        <v>19</v>
      </c>
      <c r="H4" s="9">
        <v>3300000</v>
      </c>
    </row>
    <row r="5" spans="1:8" x14ac:dyDescent="0.3">
      <c r="A5" s="4" t="s">
        <v>13</v>
      </c>
      <c r="B5" s="4" t="s">
        <v>46</v>
      </c>
      <c r="C5" s="5" t="s">
        <v>136</v>
      </c>
      <c r="D5" s="5" t="s">
        <v>16</v>
      </c>
      <c r="E5" s="6" t="s">
        <v>20</v>
      </c>
      <c r="F5" s="6" t="s">
        <v>20</v>
      </c>
      <c r="G5" s="7" t="s">
        <v>19</v>
      </c>
      <c r="H5" s="9">
        <v>4610000</v>
      </c>
    </row>
    <row r="6" spans="1:8" x14ac:dyDescent="0.3">
      <c r="A6" s="4" t="s">
        <v>13</v>
      </c>
      <c r="B6" s="4" t="s">
        <v>46</v>
      </c>
      <c r="C6" s="5" t="s">
        <v>136</v>
      </c>
      <c r="D6" s="5" t="s">
        <v>16</v>
      </c>
      <c r="E6" s="5" t="s">
        <v>129</v>
      </c>
      <c r="F6" s="5" t="s">
        <v>130</v>
      </c>
      <c r="G6" s="7" t="s">
        <v>137</v>
      </c>
      <c r="H6" s="9">
        <v>850000</v>
      </c>
    </row>
    <row r="7" spans="1:8" x14ac:dyDescent="0.3">
      <c r="A7" s="4" t="s">
        <v>13</v>
      </c>
      <c r="B7" s="4" t="s">
        <v>46</v>
      </c>
      <c r="C7" s="5" t="s">
        <v>136</v>
      </c>
      <c r="D7" s="5" t="s">
        <v>16</v>
      </c>
      <c r="E7" s="6" t="s">
        <v>22</v>
      </c>
      <c r="F7" s="6" t="s">
        <v>22</v>
      </c>
      <c r="G7" s="7" t="s">
        <v>19</v>
      </c>
      <c r="H7" s="9">
        <v>3970000</v>
      </c>
    </row>
    <row r="8" spans="1:8" x14ac:dyDescent="0.3">
      <c r="A8" s="4" t="s">
        <v>13</v>
      </c>
      <c r="B8" s="14" t="s">
        <v>46</v>
      </c>
      <c r="C8" s="31" t="s">
        <v>136</v>
      </c>
      <c r="D8" s="15" t="s">
        <v>16</v>
      </c>
      <c r="E8" s="15" t="s">
        <v>138</v>
      </c>
      <c r="F8" s="32" t="s">
        <v>16</v>
      </c>
      <c r="G8" s="38" t="s">
        <v>137</v>
      </c>
      <c r="H8" s="9">
        <v>525000</v>
      </c>
    </row>
    <row r="9" spans="1:8" x14ac:dyDescent="0.3">
      <c r="A9" s="4" t="s">
        <v>13</v>
      </c>
      <c r="B9" s="14" t="s">
        <v>46</v>
      </c>
      <c r="C9" s="31" t="s">
        <v>136</v>
      </c>
      <c r="D9" s="15" t="s">
        <v>16</v>
      </c>
      <c r="E9" s="15" t="s">
        <v>133</v>
      </c>
      <c r="F9" s="32" t="s">
        <v>133</v>
      </c>
      <c r="G9" s="38" t="s">
        <v>137</v>
      </c>
      <c r="H9" s="9">
        <v>850000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04D6-69CA-4ADC-B9AA-0BCCD900254F}">
  <dimension ref="A1:N73"/>
  <sheetViews>
    <sheetView workbookViewId="0">
      <selection activeCell="L8" sqref="L8"/>
    </sheetView>
  </sheetViews>
  <sheetFormatPr defaultRowHeight="14.4" x14ac:dyDescent="0.3"/>
  <cols>
    <col min="10" max="10" width="12.44140625" customWidth="1"/>
    <col min="11" max="11" width="9.33203125" bestFit="1" customWidth="1"/>
    <col min="12" max="12" width="12.77734375" bestFit="1" customWidth="1"/>
    <col min="13" max="13" width="18.5546875" bestFit="1" customWidth="1"/>
    <col min="14" max="14" width="30.44140625" bestFit="1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39" t="s">
        <v>146</v>
      </c>
      <c r="K1" s="40" t="s">
        <v>235</v>
      </c>
      <c r="L1" s="40" t="s">
        <v>236</v>
      </c>
      <c r="M1" s="33" t="s">
        <v>237</v>
      </c>
      <c r="N1" s="41" t="s">
        <v>238</v>
      </c>
    </row>
    <row r="2" spans="1:14" x14ac:dyDescent="0.3">
      <c r="A2" s="4" t="s">
        <v>147</v>
      </c>
      <c r="B2" s="4" t="s">
        <v>12</v>
      </c>
      <c r="C2" s="4" t="s">
        <v>13</v>
      </c>
      <c r="D2" s="4" t="s">
        <v>14</v>
      </c>
      <c r="E2" s="5" t="s">
        <v>148</v>
      </c>
      <c r="F2" s="5" t="s">
        <v>16</v>
      </c>
      <c r="G2" t="s">
        <v>149</v>
      </c>
      <c r="H2" t="s">
        <v>150</v>
      </c>
      <c r="I2" t="s">
        <v>35</v>
      </c>
      <c r="J2" s="6">
        <v>608</v>
      </c>
      <c r="K2" s="22">
        <f>J2*2</f>
        <v>1216</v>
      </c>
      <c r="L2" s="22">
        <f>K2*1700</f>
        <v>2067200</v>
      </c>
      <c r="M2">
        <v>2639315</v>
      </c>
      <c r="N2" s="42" t="s">
        <v>239</v>
      </c>
    </row>
    <row r="3" spans="1:14" x14ac:dyDescent="0.3">
      <c r="A3" s="4" t="s">
        <v>147</v>
      </c>
      <c r="B3" s="4" t="s">
        <v>12</v>
      </c>
      <c r="C3" s="4" t="s">
        <v>13</v>
      </c>
      <c r="D3" s="4" t="s">
        <v>14</v>
      </c>
      <c r="E3" s="5" t="s">
        <v>148</v>
      </c>
      <c r="F3" s="5" t="s">
        <v>16</v>
      </c>
      <c r="G3" t="s">
        <v>151</v>
      </c>
      <c r="H3" t="s">
        <v>152</v>
      </c>
      <c r="I3" t="s">
        <v>35</v>
      </c>
      <c r="J3" s="29">
        <v>648</v>
      </c>
      <c r="K3" s="22">
        <f t="shared" ref="K3:K66" si="0">J3*2</f>
        <v>1296</v>
      </c>
      <c r="L3" s="22">
        <f t="shared" ref="L3:L66" si="1">K3*1700</f>
        <v>2203200</v>
      </c>
      <c r="M3">
        <v>2746976</v>
      </c>
      <c r="N3" s="42" t="s">
        <v>239</v>
      </c>
    </row>
    <row r="4" spans="1:14" x14ac:dyDescent="0.3">
      <c r="A4" s="4" t="s">
        <v>147</v>
      </c>
      <c r="B4" s="4" t="s">
        <v>12</v>
      </c>
      <c r="C4" s="4" t="s">
        <v>13</v>
      </c>
      <c r="D4" s="4" t="s">
        <v>14</v>
      </c>
      <c r="E4" s="5" t="s">
        <v>148</v>
      </c>
      <c r="F4" s="5" t="s">
        <v>16</v>
      </c>
      <c r="G4" t="s">
        <v>153</v>
      </c>
      <c r="H4" t="s">
        <v>152</v>
      </c>
      <c r="I4" t="s">
        <v>35</v>
      </c>
      <c r="J4" s="29">
        <v>740</v>
      </c>
      <c r="K4" s="22">
        <f t="shared" si="0"/>
        <v>1480</v>
      </c>
      <c r="L4" s="22">
        <f t="shared" si="1"/>
        <v>2516000</v>
      </c>
      <c r="M4">
        <v>3244220</v>
      </c>
      <c r="N4" s="42" t="s">
        <v>239</v>
      </c>
    </row>
    <row r="5" spans="1:14" x14ac:dyDescent="0.3">
      <c r="A5" s="4" t="s">
        <v>147</v>
      </c>
      <c r="B5" s="4" t="s">
        <v>12</v>
      </c>
      <c r="C5" s="4" t="s">
        <v>13</v>
      </c>
      <c r="D5" s="4" t="s">
        <v>14</v>
      </c>
      <c r="E5" s="5" t="s">
        <v>148</v>
      </c>
      <c r="F5" s="5" t="s">
        <v>16</v>
      </c>
      <c r="G5" t="s">
        <v>33</v>
      </c>
      <c r="H5" t="s">
        <v>34</v>
      </c>
      <c r="I5" t="s">
        <v>35</v>
      </c>
      <c r="J5" s="29">
        <v>459</v>
      </c>
      <c r="K5" s="22">
        <f t="shared" si="0"/>
        <v>918</v>
      </c>
      <c r="L5" s="22">
        <f t="shared" si="1"/>
        <v>1560600</v>
      </c>
      <c r="M5">
        <v>2248843</v>
      </c>
      <c r="N5" s="42" t="s">
        <v>239</v>
      </c>
    </row>
    <row r="6" spans="1:14" x14ac:dyDescent="0.3">
      <c r="A6" s="4" t="s">
        <v>147</v>
      </c>
      <c r="B6" s="4" t="s">
        <v>12</v>
      </c>
      <c r="C6" s="4" t="s">
        <v>13</v>
      </c>
      <c r="D6" s="4" t="s">
        <v>14</v>
      </c>
      <c r="E6" s="5" t="s">
        <v>148</v>
      </c>
      <c r="F6" s="5" t="s">
        <v>16</v>
      </c>
      <c r="G6" t="s">
        <v>154</v>
      </c>
      <c r="H6" t="s">
        <v>155</v>
      </c>
      <c r="I6" t="s">
        <v>35</v>
      </c>
      <c r="J6" s="29">
        <v>546</v>
      </c>
      <c r="K6" s="22">
        <f t="shared" si="0"/>
        <v>1092</v>
      </c>
      <c r="L6" s="22">
        <f t="shared" si="1"/>
        <v>1856400</v>
      </c>
      <c r="M6">
        <v>2690008</v>
      </c>
      <c r="N6" s="42" t="s">
        <v>239</v>
      </c>
    </row>
    <row r="7" spans="1:14" x14ac:dyDescent="0.3">
      <c r="A7" s="4" t="s">
        <v>147</v>
      </c>
      <c r="B7" s="4" t="s">
        <v>12</v>
      </c>
      <c r="C7" s="4" t="s">
        <v>13</v>
      </c>
      <c r="D7" s="4" t="s">
        <v>14</v>
      </c>
      <c r="E7" s="5" t="s">
        <v>148</v>
      </c>
      <c r="F7" s="5" t="s">
        <v>16</v>
      </c>
      <c r="G7" t="s">
        <v>156</v>
      </c>
      <c r="H7" t="s">
        <v>157</v>
      </c>
      <c r="I7" t="s">
        <v>35</v>
      </c>
      <c r="J7" s="29">
        <v>808</v>
      </c>
      <c r="K7" s="22">
        <f t="shared" si="0"/>
        <v>1616</v>
      </c>
      <c r="L7" s="22">
        <f t="shared" si="1"/>
        <v>2747200</v>
      </c>
      <c r="M7">
        <v>3808026</v>
      </c>
      <c r="N7" s="42" t="s">
        <v>239</v>
      </c>
    </row>
    <row r="8" spans="1:14" x14ac:dyDescent="0.3">
      <c r="A8" s="4" t="s">
        <v>147</v>
      </c>
      <c r="B8" s="4" t="s">
        <v>12</v>
      </c>
      <c r="C8" s="4" t="s">
        <v>13</v>
      </c>
      <c r="D8" s="4" t="s">
        <v>14</v>
      </c>
      <c r="E8" s="5" t="s">
        <v>148</v>
      </c>
      <c r="F8" s="5" t="s">
        <v>16</v>
      </c>
      <c r="G8" t="s">
        <v>36</v>
      </c>
      <c r="H8" t="s">
        <v>158</v>
      </c>
      <c r="I8" t="s">
        <v>35</v>
      </c>
      <c r="J8" s="29">
        <v>754</v>
      </c>
      <c r="K8" s="22">
        <f t="shared" si="0"/>
        <v>1508</v>
      </c>
      <c r="L8" s="22">
        <f t="shared" si="1"/>
        <v>2563600</v>
      </c>
      <c r="M8">
        <v>3164081</v>
      </c>
      <c r="N8" s="42" t="s">
        <v>239</v>
      </c>
    </row>
    <row r="9" spans="1:14" x14ac:dyDescent="0.3">
      <c r="A9" s="4" t="s">
        <v>147</v>
      </c>
      <c r="B9" s="4" t="s">
        <v>12</v>
      </c>
      <c r="C9" s="4" t="s">
        <v>13</v>
      </c>
      <c r="D9" s="4" t="s">
        <v>14</v>
      </c>
      <c r="E9" s="5" t="s">
        <v>148</v>
      </c>
      <c r="F9" s="5" t="s">
        <v>16</v>
      </c>
      <c r="G9" t="s">
        <v>159</v>
      </c>
      <c r="H9" t="s">
        <v>160</v>
      </c>
      <c r="I9" t="s">
        <v>35</v>
      </c>
      <c r="J9" s="29">
        <v>633</v>
      </c>
      <c r="K9" s="22">
        <f t="shared" si="0"/>
        <v>1266</v>
      </c>
      <c r="L9" s="22">
        <f t="shared" si="1"/>
        <v>2152200</v>
      </c>
      <c r="M9">
        <v>2685524</v>
      </c>
      <c r="N9" s="42" t="s">
        <v>239</v>
      </c>
    </row>
    <row r="10" spans="1:14" x14ac:dyDescent="0.3">
      <c r="A10" s="4" t="s">
        <v>147</v>
      </c>
      <c r="B10" s="4" t="s">
        <v>12</v>
      </c>
      <c r="C10" s="4" t="s">
        <v>13</v>
      </c>
      <c r="D10" s="4" t="s">
        <v>14</v>
      </c>
      <c r="E10" s="5" t="s">
        <v>148</v>
      </c>
      <c r="F10" s="5" t="s">
        <v>16</v>
      </c>
      <c r="G10" t="s">
        <v>161</v>
      </c>
      <c r="H10" t="s">
        <v>161</v>
      </c>
      <c r="I10" t="s">
        <v>35</v>
      </c>
      <c r="J10" s="29">
        <v>560.5</v>
      </c>
      <c r="K10" s="22">
        <f t="shared" si="0"/>
        <v>1121</v>
      </c>
      <c r="L10" s="22">
        <f t="shared" si="1"/>
        <v>1905700</v>
      </c>
      <c r="M10">
        <v>2527817</v>
      </c>
      <c r="N10" s="42" t="s">
        <v>239</v>
      </c>
    </row>
    <row r="11" spans="1:14" x14ac:dyDescent="0.3">
      <c r="A11" s="4" t="s">
        <v>147</v>
      </c>
      <c r="B11" s="4" t="s">
        <v>12</v>
      </c>
      <c r="C11" s="4" t="s">
        <v>13</v>
      </c>
      <c r="D11" s="4" t="s">
        <v>14</v>
      </c>
      <c r="E11" s="5" t="s">
        <v>148</v>
      </c>
      <c r="F11" s="5" t="s">
        <v>16</v>
      </c>
      <c r="G11" t="s">
        <v>162</v>
      </c>
      <c r="H11" t="s">
        <v>163</v>
      </c>
      <c r="I11" t="s">
        <v>35</v>
      </c>
      <c r="J11" s="29">
        <v>563</v>
      </c>
      <c r="K11" s="22">
        <f t="shared" si="0"/>
        <v>1126</v>
      </c>
      <c r="L11" s="22">
        <f t="shared" si="1"/>
        <v>1914200</v>
      </c>
      <c r="M11">
        <v>2565819</v>
      </c>
      <c r="N11" s="42" t="s">
        <v>239</v>
      </c>
    </row>
    <row r="12" spans="1:14" x14ac:dyDescent="0.3">
      <c r="A12" s="4" t="s">
        <v>147</v>
      </c>
      <c r="B12" s="4" t="s">
        <v>12</v>
      </c>
      <c r="C12" s="4" t="s">
        <v>13</v>
      </c>
      <c r="D12" s="4" t="s">
        <v>14</v>
      </c>
      <c r="E12" s="5" t="s">
        <v>148</v>
      </c>
      <c r="F12" s="5" t="s">
        <v>16</v>
      </c>
      <c r="G12" t="s">
        <v>164</v>
      </c>
      <c r="H12" t="s">
        <v>165</v>
      </c>
      <c r="I12" t="s">
        <v>35</v>
      </c>
      <c r="J12" s="29">
        <v>567</v>
      </c>
      <c r="K12" s="22">
        <f t="shared" si="0"/>
        <v>1134</v>
      </c>
      <c r="L12" s="22">
        <f t="shared" si="1"/>
        <v>1927800</v>
      </c>
      <c r="M12">
        <v>2264195</v>
      </c>
      <c r="N12" s="42" t="s">
        <v>240</v>
      </c>
    </row>
    <row r="13" spans="1:14" x14ac:dyDescent="0.3">
      <c r="A13" s="4" t="s">
        <v>147</v>
      </c>
      <c r="B13" s="4" t="s">
        <v>12</v>
      </c>
      <c r="C13" s="4" t="s">
        <v>13</v>
      </c>
      <c r="D13" s="4" t="s">
        <v>14</v>
      </c>
      <c r="E13" s="5" t="s">
        <v>148</v>
      </c>
      <c r="F13" s="5" t="s">
        <v>16</v>
      </c>
      <c r="G13" t="s">
        <v>104</v>
      </c>
      <c r="H13" t="s">
        <v>105</v>
      </c>
      <c r="I13" t="s">
        <v>35</v>
      </c>
      <c r="J13" s="29">
        <v>601</v>
      </c>
      <c r="K13" s="22">
        <f t="shared" si="0"/>
        <v>1202</v>
      </c>
      <c r="L13" s="22">
        <f t="shared" si="1"/>
        <v>2043400</v>
      </c>
      <c r="M13">
        <v>2741678</v>
      </c>
      <c r="N13" s="42" t="s">
        <v>239</v>
      </c>
    </row>
    <row r="14" spans="1:14" x14ac:dyDescent="0.3">
      <c r="A14" s="4" t="s">
        <v>147</v>
      </c>
      <c r="B14" s="4" t="s">
        <v>12</v>
      </c>
      <c r="C14" s="4" t="s">
        <v>13</v>
      </c>
      <c r="D14" s="4" t="s">
        <v>14</v>
      </c>
      <c r="E14" s="5" t="s">
        <v>148</v>
      </c>
      <c r="F14" s="5" t="s">
        <v>16</v>
      </c>
      <c r="G14" t="s">
        <v>166</v>
      </c>
      <c r="H14" t="s">
        <v>166</v>
      </c>
      <c r="I14" t="s">
        <v>35</v>
      </c>
      <c r="J14" s="29">
        <v>678</v>
      </c>
      <c r="K14" s="22">
        <f t="shared" si="0"/>
        <v>1356</v>
      </c>
      <c r="L14" s="22">
        <f t="shared" si="1"/>
        <v>2305200</v>
      </c>
      <c r="M14">
        <v>2774125</v>
      </c>
      <c r="N14" s="42" t="s">
        <v>239</v>
      </c>
    </row>
    <row r="15" spans="1:14" x14ac:dyDescent="0.3">
      <c r="A15" s="4" t="s">
        <v>147</v>
      </c>
      <c r="B15" s="4" t="s">
        <v>12</v>
      </c>
      <c r="C15" s="4" t="s">
        <v>13</v>
      </c>
      <c r="D15" s="4" t="s">
        <v>14</v>
      </c>
      <c r="E15" s="5" t="s">
        <v>148</v>
      </c>
      <c r="F15" s="5" t="s">
        <v>16</v>
      </c>
      <c r="G15" t="s">
        <v>167</v>
      </c>
      <c r="H15" t="s">
        <v>34</v>
      </c>
      <c r="I15" t="s">
        <v>35</v>
      </c>
      <c r="J15" s="29">
        <v>529</v>
      </c>
      <c r="K15" s="22">
        <f t="shared" si="0"/>
        <v>1058</v>
      </c>
      <c r="L15" s="22">
        <f t="shared" si="1"/>
        <v>1798600</v>
      </c>
      <c r="M15">
        <v>2311067</v>
      </c>
      <c r="N15" s="42" t="s">
        <v>239</v>
      </c>
    </row>
    <row r="16" spans="1:14" x14ac:dyDescent="0.3">
      <c r="A16" s="4" t="s">
        <v>147</v>
      </c>
      <c r="B16" s="4" t="s">
        <v>12</v>
      </c>
      <c r="C16" s="4" t="s">
        <v>13</v>
      </c>
      <c r="D16" s="4" t="s">
        <v>14</v>
      </c>
      <c r="E16" s="5" t="s">
        <v>148</v>
      </c>
      <c r="F16" s="5" t="s">
        <v>16</v>
      </c>
      <c r="G16" t="s">
        <v>168</v>
      </c>
      <c r="H16" t="s">
        <v>152</v>
      </c>
      <c r="I16" t="s">
        <v>35</v>
      </c>
      <c r="J16" s="29">
        <v>668.5</v>
      </c>
      <c r="K16" s="22">
        <f t="shared" si="0"/>
        <v>1337</v>
      </c>
      <c r="L16" s="22">
        <f t="shared" si="1"/>
        <v>2272900</v>
      </c>
      <c r="M16">
        <v>2854350</v>
      </c>
      <c r="N16" s="42" t="s">
        <v>239</v>
      </c>
    </row>
    <row r="17" spans="1:14" x14ac:dyDescent="0.3">
      <c r="A17" s="4" t="s">
        <v>147</v>
      </c>
      <c r="B17" s="4" t="s">
        <v>12</v>
      </c>
      <c r="C17" s="4" t="s">
        <v>13</v>
      </c>
      <c r="D17" s="4" t="s">
        <v>14</v>
      </c>
      <c r="E17" s="5" t="s">
        <v>148</v>
      </c>
      <c r="F17" s="5" t="s">
        <v>16</v>
      </c>
      <c r="G17" t="s">
        <v>169</v>
      </c>
      <c r="H17" t="s">
        <v>34</v>
      </c>
      <c r="I17" t="s">
        <v>35</v>
      </c>
      <c r="J17" s="29">
        <v>498</v>
      </c>
      <c r="K17" s="22">
        <f t="shared" si="0"/>
        <v>996</v>
      </c>
      <c r="L17" s="22">
        <f t="shared" si="1"/>
        <v>1693200</v>
      </c>
      <c r="M17">
        <v>2347137</v>
      </c>
      <c r="N17" s="42" t="s">
        <v>239</v>
      </c>
    </row>
    <row r="18" spans="1:14" x14ac:dyDescent="0.3">
      <c r="A18" s="4" t="s">
        <v>147</v>
      </c>
      <c r="B18" s="4" t="s">
        <v>12</v>
      </c>
      <c r="C18" s="4" t="s">
        <v>13</v>
      </c>
      <c r="D18" s="4" t="s">
        <v>14</v>
      </c>
      <c r="E18" s="5" t="s">
        <v>148</v>
      </c>
      <c r="F18" s="5" t="s">
        <v>16</v>
      </c>
      <c r="G18" t="s">
        <v>170</v>
      </c>
      <c r="H18" t="s">
        <v>158</v>
      </c>
      <c r="I18" t="s">
        <v>35</v>
      </c>
      <c r="J18" s="29">
        <v>776</v>
      </c>
      <c r="K18" s="22">
        <f t="shared" si="0"/>
        <v>1552</v>
      </c>
      <c r="L18" s="22">
        <f t="shared" si="1"/>
        <v>2638400</v>
      </c>
      <c r="M18">
        <v>3185106</v>
      </c>
      <c r="N18" s="42" t="s">
        <v>239</v>
      </c>
    </row>
    <row r="19" spans="1:14" x14ac:dyDescent="0.3">
      <c r="A19" s="4" t="s">
        <v>147</v>
      </c>
      <c r="B19" s="4" t="s">
        <v>12</v>
      </c>
      <c r="C19" s="4" t="s">
        <v>13</v>
      </c>
      <c r="D19" s="4" t="s">
        <v>14</v>
      </c>
      <c r="E19" s="5" t="s">
        <v>148</v>
      </c>
      <c r="F19" s="5" t="s">
        <v>16</v>
      </c>
      <c r="G19" t="s">
        <v>171</v>
      </c>
      <c r="H19" t="s">
        <v>172</v>
      </c>
      <c r="I19" t="s">
        <v>35</v>
      </c>
      <c r="J19" s="29">
        <v>717</v>
      </c>
      <c r="K19" s="22">
        <f t="shared" si="0"/>
        <v>1434</v>
      </c>
      <c r="L19" s="22">
        <f t="shared" si="1"/>
        <v>2437800</v>
      </c>
      <c r="M19">
        <v>2952873</v>
      </c>
      <c r="N19" s="42" t="s">
        <v>239</v>
      </c>
    </row>
    <row r="20" spans="1:14" x14ac:dyDescent="0.3">
      <c r="A20" s="4" t="s">
        <v>147</v>
      </c>
      <c r="B20" s="4" t="s">
        <v>12</v>
      </c>
      <c r="C20" s="4" t="s">
        <v>13</v>
      </c>
      <c r="D20" s="4" t="s">
        <v>14</v>
      </c>
      <c r="E20" s="5" t="s">
        <v>148</v>
      </c>
      <c r="F20" s="5" t="s">
        <v>16</v>
      </c>
      <c r="G20" t="s">
        <v>173</v>
      </c>
      <c r="H20" t="s">
        <v>105</v>
      </c>
      <c r="I20" t="s">
        <v>35</v>
      </c>
      <c r="J20" s="29">
        <v>654</v>
      </c>
      <c r="K20" s="22">
        <f t="shared" si="0"/>
        <v>1308</v>
      </c>
      <c r="L20" s="22">
        <f t="shared" si="1"/>
        <v>2223600</v>
      </c>
      <c r="M20">
        <v>2859457</v>
      </c>
      <c r="N20" s="42" t="s">
        <v>239</v>
      </c>
    </row>
    <row r="21" spans="1:14" x14ac:dyDescent="0.3">
      <c r="A21" s="4" t="s">
        <v>147</v>
      </c>
      <c r="B21" s="4" t="s">
        <v>12</v>
      </c>
      <c r="C21" s="4" t="s">
        <v>13</v>
      </c>
      <c r="D21" s="4" t="s">
        <v>14</v>
      </c>
      <c r="E21" s="5" t="s">
        <v>148</v>
      </c>
      <c r="F21" s="5" t="s">
        <v>16</v>
      </c>
      <c r="G21" t="s">
        <v>174</v>
      </c>
      <c r="H21" t="s">
        <v>152</v>
      </c>
      <c r="I21" t="s">
        <v>35</v>
      </c>
      <c r="J21" s="29">
        <v>710.5</v>
      </c>
      <c r="K21" s="22">
        <f t="shared" si="0"/>
        <v>1421</v>
      </c>
      <c r="L21" s="22">
        <f t="shared" si="1"/>
        <v>2415700</v>
      </c>
      <c r="M21">
        <v>2921909</v>
      </c>
      <c r="N21" s="42" t="s">
        <v>239</v>
      </c>
    </row>
    <row r="22" spans="1:14" x14ac:dyDescent="0.3">
      <c r="A22" s="4" t="s">
        <v>147</v>
      </c>
      <c r="B22" s="4" t="s">
        <v>12</v>
      </c>
      <c r="C22" s="4" t="s">
        <v>13</v>
      </c>
      <c r="D22" s="4" t="s">
        <v>14</v>
      </c>
      <c r="E22" s="5" t="s">
        <v>148</v>
      </c>
      <c r="F22" s="5" t="s">
        <v>16</v>
      </c>
      <c r="G22" t="s">
        <v>175</v>
      </c>
      <c r="H22" t="s">
        <v>175</v>
      </c>
      <c r="I22" t="s">
        <v>19</v>
      </c>
      <c r="J22" s="29">
        <v>1185</v>
      </c>
      <c r="K22" s="22">
        <f t="shared" si="0"/>
        <v>2370</v>
      </c>
      <c r="L22" s="22">
        <f t="shared" si="1"/>
        <v>4029000</v>
      </c>
      <c r="M22">
        <v>3671425</v>
      </c>
      <c r="N22" s="42" t="s">
        <v>241</v>
      </c>
    </row>
    <row r="23" spans="1:14" x14ac:dyDescent="0.3">
      <c r="A23" s="4" t="s">
        <v>147</v>
      </c>
      <c r="B23" s="4" t="s">
        <v>12</v>
      </c>
      <c r="C23" s="4" t="s">
        <v>13</v>
      </c>
      <c r="D23" s="4" t="s">
        <v>14</v>
      </c>
      <c r="E23" s="5" t="s">
        <v>148</v>
      </c>
      <c r="F23" s="5" t="s">
        <v>16</v>
      </c>
      <c r="G23" t="s">
        <v>176</v>
      </c>
      <c r="H23" t="s">
        <v>177</v>
      </c>
      <c r="I23" t="s">
        <v>19</v>
      </c>
      <c r="J23" s="29">
        <v>1560</v>
      </c>
      <c r="K23" s="22">
        <f t="shared" si="0"/>
        <v>3120</v>
      </c>
      <c r="L23" s="22">
        <f t="shared" si="1"/>
        <v>5304000</v>
      </c>
      <c r="M23">
        <v>4959375</v>
      </c>
      <c r="N23" s="42" t="s">
        <v>241</v>
      </c>
    </row>
    <row r="24" spans="1:14" x14ac:dyDescent="0.3">
      <c r="A24" s="4" t="s">
        <v>147</v>
      </c>
      <c r="B24" s="4" t="s">
        <v>12</v>
      </c>
      <c r="C24" s="4" t="s">
        <v>13</v>
      </c>
      <c r="D24" s="4" t="s">
        <v>14</v>
      </c>
      <c r="E24" s="5" t="s">
        <v>148</v>
      </c>
      <c r="F24" s="5" t="s">
        <v>16</v>
      </c>
      <c r="G24" t="s">
        <v>17</v>
      </c>
      <c r="H24" t="s">
        <v>18</v>
      </c>
      <c r="I24" t="s">
        <v>19</v>
      </c>
      <c r="J24" s="29">
        <v>786.5</v>
      </c>
      <c r="K24" s="22">
        <f t="shared" si="0"/>
        <v>1573</v>
      </c>
      <c r="L24" s="22">
        <f t="shared" si="1"/>
        <v>2674100</v>
      </c>
      <c r="M24">
        <v>3282163</v>
      </c>
      <c r="N24" s="42" t="s">
        <v>239</v>
      </c>
    </row>
    <row r="25" spans="1:14" x14ac:dyDescent="0.3">
      <c r="A25" s="4" t="s">
        <v>147</v>
      </c>
      <c r="B25" s="4" t="s">
        <v>12</v>
      </c>
      <c r="C25" s="4" t="s">
        <v>13</v>
      </c>
      <c r="D25" s="4" t="s">
        <v>14</v>
      </c>
      <c r="E25" s="5" t="s">
        <v>148</v>
      </c>
      <c r="F25" s="5" t="s">
        <v>16</v>
      </c>
      <c r="G25" t="s">
        <v>24</v>
      </c>
      <c r="H25" t="s">
        <v>24</v>
      </c>
      <c r="I25" t="s">
        <v>19</v>
      </c>
      <c r="J25" s="29">
        <v>1349</v>
      </c>
      <c r="K25" s="22">
        <f t="shared" si="0"/>
        <v>2698</v>
      </c>
      <c r="L25" s="22">
        <f t="shared" si="1"/>
        <v>4586600</v>
      </c>
      <c r="M25">
        <v>4412705</v>
      </c>
      <c r="N25" s="42" t="s">
        <v>241</v>
      </c>
    </row>
    <row r="26" spans="1:14" x14ac:dyDescent="0.3">
      <c r="A26" s="4" t="s">
        <v>147</v>
      </c>
      <c r="B26" s="4" t="s">
        <v>12</v>
      </c>
      <c r="C26" s="4" t="s">
        <v>13</v>
      </c>
      <c r="D26" s="4" t="s">
        <v>14</v>
      </c>
      <c r="E26" s="5" t="s">
        <v>148</v>
      </c>
      <c r="F26" s="5" t="s">
        <v>16</v>
      </c>
      <c r="G26" t="s">
        <v>22</v>
      </c>
      <c r="H26" t="s">
        <v>22</v>
      </c>
      <c r="I26" t="s">
        <v>19</v>
      </c>
      <c r="J26" s="29">
        <v>794.5</v>
      </c>
      <c r="K26" s="22">
        <f t="shared" si="0"/>
        <v>1589</v>
      </c>
      <c r="L26" s="22">
        <f t="shared" si="1"/>
        <v>2701300</v>
      </c>
      <c r="M26">
        <v>3403545</v>
      </c>
      <c r="N26" s="42" t="s">
        <v>239</v>
      </c>
    </row>
    <row r="27" spans="1:14" x14ac:dyDescent="0.3">
      <c r="A27" s="4" t="s">
        <v>147</v>
      </c>
      <c r="B27" s="4" t="s">
        <v>12</v>
      </c>
      <c r="C27" s="4" t="s">
        <v>13</v>
      </c>
      <c r="D27" s="4" t="s">
        <v>14</v>
      </c>
      <c r="E27" s="5" t="s">
        <v>148</v>
      </c>
      <c r="F27" s="5" t="s">
        <v>16</v>
      </c>
      <c r="G27" t="s">
        <v>23</v>
      </c>
      <c r="H27" t="s">
        <v>22</v>
      </c>
      <c r="I27" t="s">
        <v>19</v>
      </c>
      <c r="J27" s="29">
        <v>878.5</v>
      </c>
      <c r="K27" s="22">
        <f t="shared" si="0"/>
        <v>1757</v>
      </c>
      <c r="L27" s="22">
        <f t="shared" si="1"/>
        <v>2986900</v>
      </c>
      <c r="M27">
        <v>3512458</v>
      </c>
      <c r="N27" s="42" t="s">
        <v>239</v>
      </c>
    </row>
    <row r="28" spans="1:14" x14ac:dyDescent="0.3">
      <c r="A28" s="4" t="s">
        <v>147</v>
      </c>
      <c r="B28" s="4" t="s">
        <v>12</v>
      </c>
      <c r="C28" s="4" t="s">
        <v>13</v>
      </c>
      <c r="D28" s="4" t="s">
        <v>14</v>
      </c>
      <c r="E28" s="5" t="s">
        <v>148</v>
      </c>
      <c r="F28" s="5" t="s">
        <v>16</v>
      </c>
      <c r="G28" t="s">
        <v>20</v>
      </c>
      <c r="H28" t="s">
        <v>20</v>
      </c>
      <c r="I28" t="s">
        <v>19</v>
      </c>
      <c r="J28" s="29">
        <v>1013.5</v>
      </c>
      <c r="K28" s="22">
        <f t="shared" si="0"/>
        <v>2027</v>
      </c>
      <c r="L28" s="22">
        <f t="shared" si="1"/>
        <v>3445900</v>
      </c>
      <c r="M28">
        <v>3710764</v>
      </c>
      <c r="N28" s="42" t="s">
        <v>240</v>
      </c>
    </row>
    <row r="29" spans="1:14" x14ac:dyDescent="0.3">
      <c r="A29" s="4" t="s">
        <v>147</v>
      </c>
      <c r="B29" s="4" t="s">
        <v>12</v>
      </c>
      <c r="C29" s="4" t="s">
        <v>13</v>
      </c>
      <c r="D29" s="4" t="s">
        <v>14</v>
      </c>
      <c r="E29" s="5" t="s">
        <v>148</v>
      </c>
      <c r="F29" s="5" t="s">
        <v>16</v>
      </c>
      <c r="G29" t="s">
        <v>178</v>
      </c>
      <c r="H29" t="s">
        <v>179</v>
      </c>
      <c r="I29" t="s">
        <v>19</v>
      </c>
      <c r="J29" s="29">
        <v>539.5</v>
      </c>
      <c r="K29" s="22">
        <f t="shared" si="0"/>
        <v>1079</v>
      </c>
      <c r="L29" s="22">
        <f t="shared" si="1"/>
        <v>1834300</v>
      </c>
      <c r="M29">
        <v>2643863</v>
      </c>
      <c r="N29" s="42" t="s">
        <v>239</v>
      </c>
    </row>
    <row r="30" spans="1:14" x14ac:dyDescent="0.3">
      <c r="A30" s="4" t="s">
        <v>147</v>
      </c>
      <c r="B30" s="4" t="s">
        <v>12</v>
      </c>
      <c r="C30" s="4" t="s">
        <v>13</v>
      </c>
      <c r="D30" s="4" t="s">
        <v>14</v>
      </c>
      <c r="E30" s="5" t="s">
        <v>148</v>
      </c>
      <c r="F30" s="5" t="s">
        <v>16</v>
      </c>
      <c r="G30" t="s">
        <v>180</v>
      </c>
      <c r="H30" t="s">
        <v>179</v>
      </c>
      <c r="I30" t="s">
        <v>181</v>
      </c>
      <c r="J30" s="29">
        <v>548.5</v>
      </c>
      <c r="K30" s="22">
        <f t="shared" si="0"/>
        <v>1097</v>
      </c>
      <c r="L30" s="22">
        <f t="shared" si="1"/>
        <v>1864900</v>
      </c>
      <c r="M30">
        <v>2599205</v>
      </c>
      <c r="N30" s="42" t="s">
        <v>239</v>
      </c>
    </row>
    <row r="31" spans="1:14" x14ac:dyDescent="0.3">
      <c r="A31" s="4" t="s">
        <v>147</v>
      </c>
      <c r="B31" s="4" t="s">
        <v>12</v>
      </c>
      <c r="C31" s="4" t="s">
        <v>13</v>
      </c>
      <c r="D31" s="4" t="s">
        <v>14</v>
      </c>
      <c r="E31" s="5" t="s">
        <v>148</v>
      </c>
      <c r="F31" s="5" t="s">
        <v>16</v>
      </c>
      <c r="G31" t="s">
        <v>182</v>
      </c>
      <c r="H31" t="s">
        <v>179</v>
      </c>
      <c r="I31" t="s">
        <v>181</v>
      </c>
      <c r="J31" s="29">
        <v>587</v>
      </c>
      <c r="K31" s="22">
        <f t="shared" si="0"/>
        <v>1174</v>
      </c>
      <c r="L31" s="22">
        <f t="shared" si="1"/>
        <v>1995800</v>
      </c>
      <c r="M31">
        <v>2611351</v>
      </c>
      <c r="N31" s="42" t="s">
        <v>239</v>
      </c>
    </row>
    <row r="32" spans="1:14" x14ac:dyDescent="0.3">
      <c r="A32" s="4" t="s">
        <v>147</v>
      </c>
      <c r="B32" s="4" t="s">
        <v>12</v>
      </c>
      <c r="C32" s="4" t="s">
        <v>13</v>
      </c>
      <c r="D32" s="4" t="s">
        <v>14</v>
      </c>
      <c r="E32" s="5" t="s">
        <v>148</v>
      </c>
      <c r="F32" s="5" t="s">
        <v>16</v>
      </c>
      <c r="G32" t="s">
        <v>183</v>
      </c>
      <c r="H32" t="s">
        <v>179</v>
      </c>
      <c r="I32" t="s">
        <v>19</v>
      </c>
      <c r="J32" s="29">
        <v>475.5</v>
      </c>
      <c r="K32" s="22">
        <f t="shared" si="0"/>
        <v>951</v>
      </c>
      <c r="L32" s="22">
        <f t="shared" si="1"/>
        <v>1616700</v>
      </c>
      <c r="M32">
        <v>2453579</v>
      </c>
      <c r="N32" s="42" t="s">
        <v>239</v>
      </c>
    </row>
    <row r="33" spans="1:14" x14ac:dyDescent="0.3">
      <c r="A33" s="4" t="s">
        <v>147</v>
      </c>
      <c r="B33" s="4" t="s">
        <v>12</v>
      </c>
      <c r="C33" s="4" t="s">
        <v>13</v>
      </c>
      <c r="D33" s="4" t="s">
        <v>14</v>
      </c>
      <c r="E33" s="5" t="s">
        <v>148</v>
      </c>
      <c r="F33" s="5" t="s">
        <v>16</v>
      </c>
      <c r="G33" t="s">
        <v>184</v>
      </c>
      <c r="H33" t="s">
        <v>185</v>
      </c>
      <c r="I33" t="s">
        <v>19</v>
      </c>
      <c r="J33" s="29">
        <v>904</v>
      </c>
      <c r="K33" s="22">
        <f t="shared" si="0"/>
        <v>1808</v>
      </c>
      <c r="L33" s="22">
        <f t="shared" si="1"/>
        <v>3073600</v>
      </c>
      <c r="M33">
        <v>3592478</v>
      </c>
      <c r="N33" s="42" t="s">
        <v>240</v>
      </c>
    </row>
    <row r="34" spans="1:14" x14ac:dyDescent="0.3">
      <c r="A34" s="4" t="s">
        <v>147</v>
      </c>
      <c r="B34" s="4" t="s">
        <v>12</v>
      </c>
      <c r="C34" s="4" t="s">
        <v>13</v>
      </c>
      <c r="D34" s="4" t="s">
        <v>14</v>
      </c>
      <c r="E34" s="5" t="s">
        <v>148</v>
      </c>
      <c r="F34" s="5" t="s">
        <v>16</v>
      </c>
      <c r="G34" t="s">
        <v>186</v>
      </c>
      <c r="H34" t="s">
        <v>185</v>
      </c>
      <c r="I34" t="s">
        <v>19</v>
      </c>
      <c r="J34" s="29">
        <v>840</v>
      </c>
      <c r="K34" s="22">
        <f t="shared" si="0"/>
        <v>1680</v>
      </c>
      <c r="L34" s="22">
        <f t="shared" si="1"/>
        <v>2856000</v>
      </c>
      <c r="M34">
        <v>3333587</v>
      </c>
      <c r="N34" s="42" t="s">
        <v>239</v>
      </c>
    </row>
    <row r="35" spans="1:14" x14ac:dyDescent="0.3">
      <c r="A35" s="4" t="s">
        <v>147</v>
      </c>
      <c r="B35" s="4" t="s">
        <v>12</v>
      </c>
      <c r="C35" s="4" t="s">
        <v>13</v>
      </c>
      <c r="D35" s="4" t="s">
        <v>14</v>
      </c>
      <c r="E35" s="5" t="s">
        <v>148</v>
      </c>
      <c r="F35" s="5" t="s">
        <v>16</v>
      </c>
      <c r="G35" t="s">
        <v>187</v>
      </c>
      <c r="H35" t="s">
        <v>185</v>
      </c>
      <c r="I35" t="s">
        <v>19</v>
      </c>
      <c r="J35" s="29">
        <v>907.5</v>
      </c>
      <c r="K35" s="22">
        <f t="shared" si="0"/>
        <v>1815</v>
      </c>
      <c r="L35" s="22">
        <f t="shared" si="1"/>
        <v>3085500</v>
      </c>
      <c r="M35">
        <v>3684781</v>
      </c>
      <c r="N35" s="42" t="s">
        <v>239</v>
      </c>
    </row>
    <row r="36" spans="1:14" x14ac:dyDescent="0.3">
      <c r="A36" s="4" t="s">
        <v>147</v>
      </c>
      <c r="B36" s="4" t="s">
        <v>12</v>
      </c>
      <c r="C36" s="4" t="s">
        <v>13</v>
      </c>
      <c r="D36" s="4" t="s">
        <v>14</v>
      </c>
      <c r="E36" s="5" t="s">
        <v>148</v>
      </c>
      <c r="F36" s="5" t="s">
        <v>16</v>
      </c>
      <c r="G36" t="s">
        <v>188</v>
      </c>
      <c r="H36" t="s">
        <v>189</v>
      </c>
      <c r="I36" t="s">
        <v>19</v>
      </c>
      <c r="J36" s="29">
        <v>584.5</v>
      </c>
      <c r="K36" s="22">
        <f t="shared" si="0"/>
        <v>1169</v>
      </c>
      <c r="L36" s="22">
        <f t="shared" si="1"/>
        <v>1987300</v>
      </c>
      <c r="M36">
        <v>3128754</v>
      </c>
      <c r="N36" s="42" t="s">
        <v>239</v>
      </c>
    </row>
    <row r="37" spans="1:14" x14ac:dyDescent="0.3">
      <c r="A37" s="4" t="s">
        <v>147</v>
      </c>
      <c r="B37" s="4" t="s">
        <v>12</v>
      </c>
      <c r="C37" s="4" t="s">
        <v>13</v>
      </c>
      <c r="D37" s="4" t="s">
        <v>14</v>
      </c>
      <c r="E37" s="5" t="s">
        <v>148</v>
      </c>
      <c r="F37" s="5" t="s">
        <v>16</v>
      </c>
      <c r="G37" t="s">
        <v>190</v>
      </c>
      <c r="H37" t="s">
        <v>189</v>
      </c>
      <c r="I37" t="s">
        <v>19</v>
      </c>
      <c r="J37" s="29">
        <v>626.5</v>
      </c>
      <c r="K37" s="22">
        <f t="shared" si="0"/>
        <v>1253</v>
      </c>
      <c r="L37" s="22">
        <f t="shared" si="1"/>
        <v>2130100</v>
      </c>
      <c r="M37">
        <v>3091244</v>
      </c>
      <c r="N37" s="42" t="s">
        <v>239</v>
      </c>
    </row>
    <row r="38" spans="1:14" x14ac:dyDescent="0.3">
      <c r="A38" s="4" t="s">
        <v>147</v>
      </c>
      <c r="B38" s="4" t="s">
        <v>12</v>
      </c>
      <c r="C38" s="4" t="s">
        <v>13</v>
      </c>
      <c r="D38" s="4" t="s">
        <v>14</v>
      </c>
      <c r="E38" s="5" t="s">
        <v>148</v>
      </c>
      <c r="F38" s="5" t="s">
        <v>16</v>
      </c>
      <c r="G38" t="s">
        <v>191</v>
      </c>
      <c r="H38" t="s">
        <v>192</v>
      </c>
      <c r="I38" t="s">
        <v>19</v>
      </c>
      <c r="J38" s="29">
        <v>1025</v>
      </c>
      <c r="K38" s="22">
        <f t="shared" si="0"/>
        <v>2050</v>
      </c>
      <c r="L38" s="22">
        <f t="shared" si="1"/>
        <v>3485000</v>
      </c>
      <c r="M38">
        <v>3498710</v>
      </c>
      <c r="N38" s="42" t="s">
        <v>241</v>
      </c>
    </row>
    <row r="39" spans="1:14" x14ac:dyDescent="0.3">
      <c r="A39" s="4" t="s">
        <v>147</v>
      </c>
      <c r="B39" s="4" t="s">
        <v>12</v>
      </c>
      <c r="C39" s="4" t="s">
        <v>13</v>
      </c>
      <c r="D39" s="4" t="s">
        <v>14</v>
      </c>
      <c r="E39" s="5" t="s">
        <v>148</v>
      </c>
      <c r="F39" s="5" t="s">
        <v>16</v>
      </c>
      <c r="G39" t="s">
        <v>193</v>
      </c>
      <c r="H39" t="s">
        <v>192</v>
      </c>
      <c r="I39" t="s">
        <v>19</v>
      </c>
      <c r="J39" s="29">
        <v>1033</v>
      </c>
      <c r="K39" s="22">
        <f t="shared" si="0"/>
        <v>2066</v>
      </c>
      <c r="L39" s="22">
        <f t="shared" si="1"/>
        <v>3512200</v>
      </c>
      <c r="M39">
        <v>4052524</v>
      </c>
      <c r="N39" s="42" t="s">
        <v>239</v>
      </c>
    </row>
    <row r="40" spans="1:14" x14ac:dyDescent="0.3">
      <c r="A40" s="4" t="s">
        <v>147</v>
      </c>
      <c r="B40" s="4" t="s">
        <v>12</v>
      </c>
      <c r="C40" s="4" t="s">
        <v>13</v>
      </c>
      <c r="D40" s="4" t="s">
        <v>14</v>
      </c>
      <c r="E40" s="5" t="s">
        <v>148</v>
      </c>
      <c r="F40" s="5" t="s">
        <v>16</v>
      </c>
      <c r="G40" t="s">
        <v>30</v>
      </c>
      <c r="H40" t="s">
        <v>30</v>
      </c>
      <c r="I40" t="s">
        <v>19</v>
      </c>
      <c r="J40" s="29">
        <v>991.5</v>
      </c>
      <c r="K40" s="22">
        <f t="shared" si="0"/>
        <v>1983</v>
      </c>
      <c r="L40" s="22">
        <f t="shared" si="1"/>
        <v>3371100</v>
      </c>
      <c r="M40">
        <v>4204707</v>
      </c>
      <c r="N40" s="42" t="s">
        <v>239</v>
      </c>
    </row>
    <row r="41" spans="1:14" x14ac:dyDescent="0.3">
      <c r="A41" s="4" t="s">
        <v>147</v>
      </c>
      <c r="B41" s="4" t="s">
        <v>12</v>
      </c>
      <c r="C41" s="4" t="s">
        <v>13</v>
      </c>
      <c r="D41" s="4" t="s">
        <v>14</v>
      </c>
      <c r="E41" s="5" t="s">
        <v>148</v>
      </c>
      <c r="F41" s="5" t="s">
        <v>16</v>
      </c>
      <c r="G41" t="s">
        <v>194</v>
      </c>
      <c r="H41" t="s">
        <v>195</v>
      </c>
      <c r="I41" t="s">
        <v>19</v>
      </c>
      <c r="J41" s="29">
        <v>885</v>
      </c>
      <c r="K41" s="22">
        <f t="shared" si="0"/>
        <v>1770</v>
      </c>
      <c r="L41" s="22">
        <f t="shared" si="1"/>
        <v>3009000</v>
      </c>
      <c r="M41">
        <v>3863703</v>
      </c>
      <c r="N41" s="42" t="s">
        <v>239</v>
      </c>
    </row>
    <row r="42" spans="1:14" x14ac:dyDescent="0.3">
      <c r="A42" s="4" t="s">
        <v>147</v>
      </c>
      <c r="B42" s="4" t="s">
        <v>12</v>
      </c>
      <c r="C42" s="4" t="s">
        <v>13</v>
      </c>
      <c r="D42" s="4" t="s">
        <v>14</v>
      </c>
      <c r="E42" s="5" t="s">
        <v>148</v>
      </c>
      <c r="F42" s="5" t="s">
        <v>16</v>
      </c>
      <c r="G42" t="s">
        <v>196</v>
      </c>
      <c r="H42" t="s">
        <v>30</v>
      </c>
      <c r="I42" t="s">
        <v>19</v>
      </c>
      <c r="J42" s="29">
        <v>995</v>
      </c>
      <c r="K42" s="22">
        <f t="shared" si="0"/>
        <v>1990</v>
      </c>
      <c r="L42" s="22">
        <f t="shared" si="1"/>
        <v>3383000</v>
      </c>
      <c r="M42">
        <v>4257120</v>
      </c>
      <c r="N42" s="42" t="s">
        <v>239</v>
      </c>
    </row>
    <row r="43" spans="1:14" x14ac:dyDescent="0.3">
      <c r="A43" s="4" t="s">
        <v>147</v>
      </c>
      <c r="B43" s="4" t="s">
        <v>12</v>
      </c>
      <c r="C43" s="4" t="s">
        <v>13</v>
      </c>
      <c r="D43" s="4" t="s">
        <v>14</v>
      </c>
      <c r="E43" s="5" t="s">
        <v>148</v>
      </c>
      <c r="F43" s="5" t="s">
        <v>16</v>
      </c>
      <c r="G43" t="s">
        <v>28</v>
      </c>
      <c r="H43" t="s">
        <v>197</v>
      </c>
      <c r="I43" t="s">
        <v>19</v>
      </c>
      <c r="J43" s="29">
        <v>1169</v>
      </c>
      <c r="K43" s="22">
        <f t="shared" si="0"/>
        <v>2338</v>
      </c>
      <c r="L43" s="22">
        <f t="shared" si="1"/>
        <v>3974600</v>
      </c>
      <c r="M43">
        <v>4691569</v>
      </c>
      <c r="N43" s="42" t="s">
        <v>239</v>
      </c>
    </row>
    <row r="44" spans="1:14" x14ac:dyDescent="0.3">
      <c r="A44" s="4" t="s">
        <v>147</v>
      </c>
      <c r="B44" s="4" t="s">
        <v>12</v>
      </c>
      <c r="C44" s="4" t="s">
        <v>13</v>
      </c>
      <c r="D44" s="4" t="s">
        <v>14</v>
      </c>
      <c r="E44" s="5" t="s">
        <v>148</v>
      </c>
      <c r="F44" s="5" t="s">
        <v>16</v>
      </c>
      <c r="G44" t="s">
        <v>198</v>
      </c>
      <c r="H44" t="s">
        <v>197</v>
      </c>
      <c r="I44" t="s">
        <v>19</v>
      </c>
      <c r="J44" s="29">
        <v>948.5</v>
      </c>
      <c r="K44" s="22">
        <f t="shared" si="0"/>
        <v>1897</v>
      </c>
      <c r="L44" s="22">
        <f t="shared" si="1"/>
        <v>3224900</v>
      </c>
      <c r="M44">
        <v>4132533</v>
      </c>
      <c r="N44" s="42" t="s">
        <v>239</v>
      </c>
    </row>
    <row r="45" spans="1:14" x14ac:dyDescent="0.3">
      <c r="A45" s="4" t="s">
        <v>147</v>
      </c>
      <c r="B45" s="4" t="s">
        <v>12</v>
      </c>
      <c r="C45" s="4" t="s">
        <v>13</v>
      </c>
      <c r="D45" s="4" t="s">
        <v>14</v>
      </c>
      <c r="E45" s="5" t="s">
        <v>148</v>
      </c>
      <c r="F45" s="5" t="s">
        <v>16</v>
      </c>
      <c r="G45" t="s">
        <v>199</v>
      </c>
      <c r="H45" t="s">
        <v>200</v>
      </c>
      <c r="I45" t="s">
        <v>19</v>
      </c>
      <c r="J45" s="29">
        <v>880.5</v>
      </c>
      <c r="K45" s="22">
        <f t="shared" si="0"/>
        <v>1761</v>
      </c>
      <c r="L45" s="22">
        <f t="shared" si="1"/>
        <v>2993700</v>
      </c>
      <c r="M45">
        <v>4109146</v>
      </c>
      <c r="N45" s="42" t="s">
        <v>239</v>
      </c>
    </row>
    <row r="46" spans="1:14" x14ac:dyDescent="0.3">
      <c r="A46" s="4" t="s">
        <v>147</v>
      </c>
      <c r="B46" s="4" t="s">
        <v>12</v>
      </c>
      <c r="C46" s="4" t="s">
        <v>13</v>
      </c>
      <c r="D46" s="4" t="s">
        <v>14</v>
      </c>
      <c r="E46" s="5" t="s">
        <v>148</v>
      </c>
      <c r="F46" s="5" t="s">
        <v>16</v>
      </c>
      <c r="G46" t="s">
        <v>201</v>
      </c>
      <c r="H46" t="s">
        <v>26</v>
      </c>
      <c r="I46" t="s">
        <v>19</v>
      </c>
      <c r="J46" s="29">
        <v>1332.5</v>
      </c>
      <c r="K46" s="22">
        <f t="shared" si="0"/>
        <v>2665</v>
      </c>
      <c r="L46" s="22">
        <f t="shared" si="1"/>
        <v>4530500</v>
      </c>
      <c r="M46">
        <v>4860188</v>
      </c>
      <c r="N46" s="42" t="s">
        <v>240</v>
      </c>
    </row>
    <row r="47" spans="1:14" x14ac:dyDescent="0.3">
      <c r="A47" s="4" t="s">
        <v>147</v>
      </c>
      <c r="B47" s="4" t="s">
        <v>12</v>
      </c>
      <c r="C47" s="4" t="s">
        <v>13</v>
      </c>
      <c r="D47" s="4" t="s">
        <v>14</v>
      </c>
      <c r="E47" s="5" t="s">
        <v>148</v>
      </c>
      <c r="F47" s="5" t="s">
        <v>16</v>
      </c>
      <c r="G47" t="s">
        <v>27</v>
      </c>
      <c r="H47" t="s">
        <v>26</v>
      </c>
      <c r="I47" t="s">
        <v>19</v>
      </c>
      <c r="J47" s="29">
        <v>1508</v>
      </c>
      <c r="K47" s="22">
        <f t="shared" si="0"/>
        <v>3016</v>
      </c>
      <c r="L47" s="22">
        <f t="shared" si="1"/>
        <v>5127200</v>
      </c>
      <c r="M47">
        <v>4959375</v>
      </c>
      <c r="N47" s="42" t="s">
        <v>241</v>
      </c>
    </row>
    <row r="48" spans="1:14" x14ac:dyDescent="0.3">
      <c r="A48" s="4" t="s">
        <v>147</v>
      </c>
      <c r="B48" s="4" t="s">
        <v>12</v>
      </c>
      <c r="C48" s="4" t="s">
        <v>13</v>
      </c>
      <c r="D48" s="4" t="s">
        <v>14</v>
      </c>
      <c r="E48" s="5" t="s">
        <v>148</v>
      </c>
      <c r="F48" s="5" t="s">
        <v>16</v>
      </c>
      <c r="G48" t="s">
        <v>202</v>
      </c>
      <c r="H48" t="s">
        <v>26</v>
      </c>
      <c r="I48" t="s">
        <v>19</v>
      </c>
      <c r="J48" s="29">
        <v>1711.5</v>
      </c>
      <c r="K48" s="22">
        <f t="shared" si="0"/>
        <v>3423</v>
      </c>
      <c r="L48" s="22">
        <f t="shared" si="1"/>
        <v>5819100</v>
      </c>
      <c r="M48">
        <v>4959375</v>
      </c>
      <c r="N48" s="42" t="s">
        <v>241</v>
      </c>
    </row>
    <row r="49" spans="1:14" x14ac:dyDescent="0.3">
      <c r="A49" s="4" t="s">
        <v>147</v>
      </c>
      <c r="B49" s="4" t="s">
        <v>12</v>
      </c>
      <c r="C49" s="4" t="s">
        <v>13</v>
      </c>
      <c r="D49" s="4" t="s">
        <v>14</v>
      </c>
      <c r="E49" s="5" t="s">
        <v>148</v>
      </c>
      <c r="F49" s="5" t="s">
        <v>16</v>
      </c>
      <c r="G49" t="s">
        <v>203</v>
      </c>
      <c r="H49" t="s">
        <v>189</v>
      </c>
      <c r="I49" t="s">
        <v>19</v>
      </c>
      <c r="J49" s="29">
        <v>541.5</v>
      </c>
      <c r="K49" s="22">
        <f t="shared" si="0"/>
        <v>1083</v>
      </c>
      <c r="L49" s="22">
        <f t="shared" si="1"/>
        <v>1841100</v>
      </c>
      <c r="M49">
        <v>3001708</v>
      </c>
      <c r="N49" s="42" t="s">
        <v>239</v>
      </c>
    </row>
    <row r="50" spans="1:14" x14ac:dyDescent="0.3">
      <c r="A50" s="4" t="s">
        <v>147</v>
      </c>
      <c r="B50" s="4" t="s">
        <v>12</v>
      </c>
      <c r="C50" s="4" t="s">
        <v>13</v>
      </c>
      <c r="D50" s="4" t="s">
        <v>14</v>
      </c>
      <c r="E50" s="5" t="s">
        <v>148</v>
      </c>
      <c r="F50" s="5" t="s">
        <v>16</v>
      </c>
      <c r="G50" t="s">
        <v>204</v>
      </c>
      <c r="H50" t="s">
        <v>204</v>
      </c>
      <c r="I50" t="s">
        <v>19</v>
      </c>
      <c r="J50" s="29">
        <v>956</v>
      </c>
      <c r="K50" s="22">
        <f t="shared" si="0"/>
        <v>1912</v>
      </c>
      <c r="L50" s="22">
        <f t="shared" si="1"/>
        <v>3250400</v>
      </c>
      <c r="M50">
        <v>3858651</v>
      </c>
      <c r="N50" s="42" t="s">
        <v>239</v>
      </c>
    </row>
    <row r="51" spans="1:14" x14ac:dyDescent="0.3">
      <c r="A51" s="4" t="s">
        <v>147</v>
      </c>
      <c r="B51" s="4" t="s">
        <v>12</v>
      </c>
      <c r="C51" s="4" t="s">
        <v>13</v>
      </c>
      <c r="D51" s="4" t="s">
        <v>14</v>
      </c>
      <c r="E51" s="5" t="s">
        <v>148</v>
      </c>
      <c r="F51" s="5" t="s">
        <v>16</v>
      </c>
      <c r="G51" t="s">
        <v>205</v>
      </c>
      <c r="H51" t="s">
        <v>206</v>
      </c>
      <c r="I51" t="s">
        <v>137</v>
      </c>
      <c r="J51" s="29">
        <v>374</v>
      </c>
      <c r="K51" s="22">
        <f t="shared" si="0"/>
        <v>748</v>
      </c>
      <c r="L51" s="22">
        <f t="shared" si="1"/>
        <v>1271600</v>
      </c>
      <c r="M51">
        <v>1538365</v>
      </c>
      <c r="N51" s="42" t="s">
        <v>240</v>
      </c>
    </row>
    <row r="52" spans="1:14" x14ac:dyDescent="0.3">
      <c r="A52" s="4" t="s">
        <v>147</v>
      </c>
      <c r="B52" s="4" t="s">
        <v>12</v>
      </c>
      <c r="C52" s="4" t="s">
        <v>13</v>
      </c>
      <c r="D52" s="4" t="s">
        <v>14</v>
      </c>
      <c r="E52" s="5" t="s">
        <v>148</v>
      </c>
      <c r="F52" s="5" t="s">
        <v>16</v>
      </c>
      <c r="G52" t="s">
        <v>207</v>
      </c>
      <c r="H52" t="s">
        <v>206</v>
      </c>
      <c r="I52" t="s">
        <v>137</v>
      </c>
      <c r="J52" s="29">
        <v>305</v>
      </c>
      <c r="K52" s="22">
        <f t="shared" si="0"/>
        <v>610</v>
      </c>
      <c r="L52" s="22">
        <f t="shared" si="1"/>
        <v>1037000</v>
      </c>
      <c r="M52">
        <v>1349764</v>
      </c>
      <c r="N52" s="42" t="s">
        <v>240</v>
      </c>
    </row>
    <row r="53" spans="1:14" x14ac:dyDescent="0.3">
      <c r="A53" s="4" t="s">
        <v>147</v>
      </c>
      <c r="B53" s="4" t="s">
        <v>12</v>
      </c>
      <c r="C53" s="4" t="s">
        <v>13</v>
      </c>
      <c r="D53" s="4" t="s">
        <v>14</v>
      </c>
      <c r="E53" s="5" t="s">
        <v>148</v>
      </c>
      <c r="F53" s="5" t="s">
        <v>16</v>
      </c>
      <c r="G53" t="s">
        <v>208</v>
      </c>
      <c r="H53" t="s">
        <v>206</v>
      </c>
      <c r="I53" t="s">
        <v>137</v>
      </c>
      <c r="J53" s="29">
        <v>278.5</v>
      </c>
      <c r="K53" s="22">
        <f t="shared" si="0"/>
        <v>557</v>
      </c>
      <c r="L53" s="22">
        <f t="shared" si="1"/>
        <v>946900</v>
      </c>
      <c r="M53">
        <v>1349764</v>
      </c>
      <c r="N53" s="42" t="s">
        <v>239</v>
      </c>
    </row>
    <row r="54" spans="1:14" x14ac:dyDescent="0.3">
      <c r="A54" s="4" t="s">
        <v>147</v>
      </c>
      <c r="B54" s="4" t="s">
        <v>12</v>
      </c>
      <c r="C54" s="4" t="s">
        <v>13</v>
      </c>
      <c r="D54" s="4" t="s">
        <v>14</v>
      </c>
      <c r="E54" s="5" t="s">
        <v>148</v>
      </c>
      <c r="F54" s="5" t="s">
        <v>16</v>
      </c>
      <c r="G54" t="s">
        <v>209</v>
      </c>
      <c r="H54" t="s">
        <v>210</v>
      </c>
      <c r="I54" t="s">
        <v>137</v>
      </c>
      <c r="J54" s="29">
        <v>301.5</v>
      </c>
      <c r="K54" s="22">
        <f t="shared" si="0"/>
        <v>603</v>
      </c>
      <c r="L54" s="22">
        <f t="shared" si="1"/>
        <v>1025100</v>
      </c>
      <c r="M54">
        <v>1429990</v>
      </c>
      <c r="N54" s="42" t="s">
        <v>240</v>
      </c>
    </row>
    <row r="55" spans="1:14" x14ac:dyDescent="0.3">
      <c r="A55" s="4" t="s">
        <v>147</v>
      </c>
      <c r="B55" s="4" t="s">
        <v>12</v>
      </c>
      <c r="C55" s="4" t="s">
        <v>13</v>
      </c>
      <c r="D55" s="4" t="s">
        <v>14</v>
      </c>
      <c r="E55" s="5" t="s">
        <v>148</v>
      </c>
      <c r="F55" s="5" t="s">
        <v>16</v>
      </c>
      <c r="G55" t="s">
        <v>106</v>
      </c>
      <c r="H55" t="s">
        <v>130</v>
      </c>
      <c r="I55" t="s">
        <v>137</v>
      </c>
      <c r="J55" s="29">
        <v>135</v>
      </c>
      <c r="K55" s="22">
        <f t="shared" si="0"/>
        <v>270</v>
      </c>
      <c r="L55" s="22">
        <f t="shared" si="1"/>
        <v>459000</v>
      </c>
      <c r="M55">
        <v>879460</v>
      </c>
      <c r="N55" s="42" t="s">
        <v>239</v>
      </c>
    </row>
    <row r="56" spans="1:14" x14ac:dyDescent="0.3">
      <c r="A56" s="4" t="s">
        <v>147</v>
      </c>
      <c r="B56" s="4" t="s">
        <v>12</v>
      </c>
      <c r="C56" s="4" t="s">
        <v>13</v>
      </c>
      <c r="D56" s="4" t="s">
        <v>14</v>
      </c>
      <c r="E56" s="5" t="s">
        <v>148</v>
      </c>
      <c r="F56" s="5" t="s">
        <v>16</v>
      </c>
      <c r="G56" t="s">
        <v>211</v>
      </c>
      <c r="H56" t="s">
        <v>130</v>
      </c>
      <c r="I56" t="s">
        <v>137</v>
      </c>
      <c r="J56" s="29">
        <v>222.5</v>
      </c>
      <c r="K56" s="22">
        <f t="shared" si="0"/>
        <v>445</v>
      </c>
      <c r="L56" s="22">
        <f t="shared" si="1"/>
        <v>756500</v>
      </c>
      <c r="M56">
        <v>1179460</v>
      </c>
      <c r="N56" s="42" t="s">
        <v>239</v>
      </c>
    </row>
    <row r="57" spans="1:14" x14ac:dyDescent="0.3">
      <c r="A57" s="4" t="s">
        <v>147</v>
      </c>
      <c r="B57" s="4" t="s">
        <v>12</v>
      </c>
      <c r="C57" s="4" t="s">
        <v>13</v>
      </c>
      <c r="D57" s="4" t="s">
        <v>14</v>
      </c>
      <c r="E57" s="5" t="s">
        <v>148</v>
      </c>
      <c r="F57" s="5" t="s">
        <v>16</v>
      </c>
      <c r="G57" t="s">
        <v>212</v>
      </c>
      <c r="H57" t="s">
        <v>213</v>
      </c>
      <c r="I57" t="s">
        <v>137</v>
      </c>
      <c r="J57" s="29">
        <v>43</v>
      </c>
      <c r="K57" s="22">
        <f t="shared" si="0"/>
        <v>86</v>
      </c>
      <c r="L57" s="22">
        <f t="shared" si="1"/>
        <v>146200</v>
      </c>
      <c r="M57">
        <v>1083752</v>
      </c>
      <c r="N57" s="42" t="s">
        <v>239</v>
      </c>
    </row>
    <row r="58" spans="1:14" x14ac:dyDescent="0.3">
      <c r="A58" s="4" t="s">
        <v>147</v>
      </c>
      <c r="B58" s="4" t="s">
        <v>12</v>
      </c>
      <c r="C58" s="4" t="s">
        <v>13</v>
      </c>
      <c r="D58" s="4" t="s">
        <v>14</v>
      </c>
      <c r="E58" s="5" t="s">
        <v>148</v>
      </c>
      <c r="F58" s="5" t="s">
        <v>16</v>
      </c>
      <c r="G58" t="s">
        <v>214</v>
      </c>
      <c r="H58" t="s">
        <v>215</v>
      </c>
      <c r="I58" t="s">
        <v>137</v>
      </c>
      <c r="J58" s="29">
        <v>229.5</v>
      </c>
      <c r="K58" s="22">
        <f t="shared" si="0"/>
        <v>459</v>
      </c>
      <c r="L58" s="22">
        <f t="shared" si="1"/>
        <v>780300</v>
      </c>
      <c r="M58">
        <v>1210425</v>
      </c>
      <c r="N58" s="42" t="s">
        <v>239</v>
      </c>
    </row>
    <row r="59" spans="1:14" x14ac:dyDescent="0.3">
      <c r="A59" s="4" t="s">
        <v>147</v>
      </c>
      <c r="B59" s="4" t="s">
        <v>12</v>
      </c>
      <c r="C59" s="4" t="s">
        <v>13</v>
      </c>
      <c r="D59" s="4" t="s">
        <v>14</v>
      </c>
      <c r="E59" s="5" t="s">
        <v>148</v>
      </c>
      <c r="F59" s="5" t="s">
        <v>16</v>
      </c>
      <c r="G59" t="s">
        <v>216</v>
      </c>
      <c r="H59" t="s">
        <v>217</v>
      </c>
      <c r="I59" t="s">
        <v>137</v>
      </c>
      <c r="J59" s="29">
        <v>325.5</v>
      </c>
      <c r="K59" s="22">
        <f t="shared" si="0"/>
        <v>651</v>
      </c>
      <c r="L59" s="22">
        <f t="shared" si="1"/>
        <v>1106700</v>
      </c>
      <c r="M59">
        <v>1673483</v>
      </c>
      <c r="N59" s="42" t="s">
        <v>239</v>
      </c>
    </row>
    <row r="60" spans="1:14" x14ac:dyDescent="0.3">
      <c r="A60" s="4" t="s">
        <v>147</v>
      </c>
      <c r="B60" s="4" t="s">
        <v>12</v>
      </c>
      <c r="C60" s="4" t="s">
        <v>13</v>
      </c>
      <c r="D60" s="4" t="s">
        <v>14</v>
      </c>
      <c r="E60" s="5" t="s">
        <v>148</v>
      </c>
      <c r="F60" s="5" t="s">
        <v>16</v>
      </c>
      <c r="G60" t="s">
        <v>218</v>
      </c>
      <c r="H60" t="s">
        <v>219</v>
      </c>
      <c r="I60" t="s">
        <v>137</v>
      </c>
      <c r="J60" s="29">
        <v>433</v>
      </c>
      <c r="K60" s="22">
        <f t="shared" si="0"/>
        <v>866</v>
      </c>
      <c r="L60" s="22">
        <f t="shared" si="1"/>
        <v>1472200</v>
      </c>
      <c r="M60">
        <v>2101354</v>
      </c>
      <c r="N60" s="42" t="s">
        <v>239</v>
      </c>
    </row>
    <row r="61" spans="1:14" x14ac:dyDescent="0.3">
      <c r="A61" s="4" t="s">
        <v>147</v>
      </c>
      <c r="B61" s="4" t="s">
        <v>12</v>
      </c>
      <c r="C61" s="4" t="s">
        <v>13</v>
      </c>
      <c r="D61" s="4" t="s">
        <v>14</v>
      </c>
      <c r="E61" s="5" t="s">
        <v>148</v>
      </c>
      <c r="F61" s="5" t="s">
        <v>16</v>
      </c>
      <c r="G61" t="s">
        <v>220</v>
      </c>
      <c r="H61" t="s">
        <v>213</v>
      </c>
      <c r="I61" t="s">
        <v>137</v>
      </c>
      <c r="J61" s="29">
        <v>98.5</v>
      </c>
      <c r="K61" s="22">
        <f t="shared" si="0"/>
        <v>197</v>
      </c>
      <c r="L61" s="22">
        <f t="shared" si="1"/>
        <v>334900</v>
      </c>
      <c r="M61">
        <v>907328</v>
      </c>
      <c r="N61" s="42" t="s">
        <v>239</v>
      </c>
    </row>
    <row r="62" spans="1:14" x14ac:dyDescent="0.3">
      <c r="A62" s="4" t="s">
        <v>147</v>
      </c>
      <c r="B62" s="4" t="s">
        <v>12</v>
      </c>
      <c r="C62" s="4" t="s">
        <v>13</v>
      </c>
      <c r="D62" s="4" t="s">
        <v>14</v>
      </c>
      <c r="E62" s="5" t="s">
        <v>148</v>
      </c>
      <c r="F62" s="5" t="s">
        <v>16</v>
      </c>
      <c r="G62" t="s">
        <v>221</v>
      </c>
      <c r="H62" t="s">
        <v>206</v>
      </c>
      <c r="I62" t="s">
        <v>137</v>
      </c>
      <c r="J62" s="29">
        <v>435</v>
      </c>
      <c r="K62" s="22">
        <f t="shared" si="0"/>
        <v>870</v>
      </c>
      <c r="L62" s="22">
        <f t="shared" si="1"/>
        <v>1479000</v>
      </c>
      <c r="M62">
        <v>1953504</v>
      </c>
      <c r="N62" s="42" t="s">
        <v>239</v>
      </c>
    </row>
    <row r="63" spans="1:14" x14ac:dyDescent="0.3">
      <c r="A63" s="4" t="s">
        <v>147</v>
      </c>
      <c r="B63" s="4" t="s">
        <v>12</v>
      </c>
      <c r="C63" s="4" t="s">
        <v>13</v>
      </c>
      <c r="D63" s="4" t="s">
        <v>14</v>
      </c>
      <c r="E63" s="5" t="s">
        <v>148</v>
      </c>
      <c r="F63" s="5" t="s">
        <v>16</v>
      </c>
      <c r="G63" t="s">
        <v>222</v>
      </c>
      <c r="H63" t="s">
        <v>213</v>
      </c>
      <c r="I63" t="s">
        <v>137</v>
      </c>
      <c r="J63" s="29">
        <v>179.5</v>
      </c>
      <c r="K63" s="22">
        <f t="shared" si="0"/>
        <v>359</v>
      </c>
      <c r="L63" s="22">
        <f t="shared" si="1"/>
        <v>610300</v>
      </c>
      <c r="M63">
        <v>967816</v>
      </c>
      <c r="N63" s="42" t="s">
        <v>239</v>
      </c>
    </row>
    <row r="64" spans="1:14" x14ac:dyDescent="0.3">
      <c r="A64" s="4" t="s">
        <v>147</v>
      </c>
      <c r="B64" s="4" t="s">
        <v>12</v>
      </c>
      <c r="C64" s="4" t="s">
        <v>13</v>
      </c>
      <c r="D64" s="4" t="s">
        <v>14</v>
      </c>
      <c r="E64" s="5" t="s">
        <v>148</v>
      </c>
      <c r="F64" s="5" t="s">
        <v>16</v>
      </c>
      <c r="G64" t="s">
        <v>113</v>
      </c>
      <c r="H64" t="s">
        <v>219</v>
      </c>
      <c r="I64" t="s">
        <v>137</v>
      </c>
      <c r="J64" s="29">
        <v>320</v>
      </c>
      <c r="K64" s="22">
        <f t="shared" si="0"/>
        <v>640</v>
      </c>
      <c r="L64" s="22">
        <f t="shared" si="1"/>
        <v>1088000</v>
      </c>
      <c r="M64">
        <v>1634564</v>
      </c>
      <c r="N64" s="42" t="s">
        <v>239</v>
      </c>
    </row>
    <row r="65" spans="1:14" x14ac:dyDescent="0.3">
      <c r="A65" s="4" t="s">
        <v>147</v>
      </c>
      <c r="B65" s="4" t="s">
        <v>12</v>
      </c>
      <c r="C65" s="4" t="s">
        <v>13</v>
      </c>
      <c r="D65" s="4" t="s">
        <v>14</v>
      </c>
      <c r="E65" s="5" t="s">
        <v>148</v>
      </c>
      <c r="F65" s="5" t="s">
        <v>16</v>
      </c>
      <c r="G65" t="s">
        <v>223</v>
      </c>
      <c r="H65" t="s">
        <v>219</v>
      </c>
      <c r="I65" t="s">
        <v>224</v>
      </c>
      <c r="J65" s="29">
        <v>413</v>
      </c>
      <c r="K65" s="22">
        <f t="shared" si="0"/>
        <v>826</v>
      </c>
      <c r="L65" s="22">
        <f t="shared" si="1"/>
        <v>1404200</v>
      </c>
      <c r="M65">
        <v>1831152</v>
      </c>
      <c r="N65" s="42" t="s">
        <v>239</v>
      </c>
    </row>
    <row r="66" spans="1:14" x14ac:dyDescent="0.3">
      <c r="A66" s="4" t="s">
        <v>147</v>
      </c>
      <c r="B66" s="4" t="s">
        <v>12</v>
      </c>
      <c r="C66" s="4" t="s">
        <v>13</v>
      </c>
      <c r="D66" s="4" t="s">
        <v>14</v>
      </c>
      <c r="E66" s="5" t="s">
        <v>148</v>
      </c>
      <c r="F66" s="5" t="s">
        <v>16</v>
      </c>
      <c r="G66" t="s">
        <v>143</v>
      </c>
      <c r="H66" t="s">
        <v>225</v>
      </c>
      <c r="I66" t="s">
        <v>181</v>
      </c>
      <c r="J66" s="29">
        <v>426.5</v>
      </c>
      <c r="K66" s="22">
        <f t="shared" si="0"/>
        <v>853</v>
      </c>
      <c r="L66" s="22">
        <f t="shared" si="1"/>
        <v>1450100</v>
      </c>
      <c r="M66">
        <v>2052485</v>
      </c>
      <c r="N66" s="42" t="s">
        <v>239</v>
      </c>
    </row>
    <row r="67" spans="1:14" x14ac:dyDescent="0.3">
      <c r="A67" s="4" t="s">
        <v>147</v>
      </c>
      <c r="B67" s="4" t="s">
        <v>12</v>
      </c>
      <c r="C67" s="4" t="s">
        <v>13</v>
      </c>
      <c r="D67" s="4" t="s">
        <v>14</v>
      </c>
      <c r="E67" s="5" t="s">
        <v>148</v>
      </c>
      <c r="F67" s="5" t="s">
        <v>16</v>
      </c>
      <c r="G67" t="s">
        <v>226</v>
      </c>
      <c r="H67" t="s">
        <v>157</v>
      </c>
      <c r="I67" t="s">
        <v>181</v>
      </c>
      <c r="J67" s="29">
        <v>900</v>
      </c>
      <c r="K67" s="22">
        <f t="shared" ref="K67:K73" si="2">J67*2</f>
        <v>1800</v>
      </c>
      <c r="L67" s="22">
        <f t="shared" ref="L67:L73" si="3">K67*1700</f>
        <v>3060000</v>
      </c>
      <c r="M67">
        <v>3808026</v>
      </c>
      <c r="N67" s="42" t="s">
        <v>239</v>
      </c>
    </row>
    <row r="68" spans="1:14" x14ac:dyDescent="0.3">
      <c r="A68" s="4" t="s">
        <v>147</v>
      </c>
      <c r="B68" s="4" t="s">
        <v>12</v>
      </c>
      <c r="C68" s="4" t="s">
        <v>13</v>
      </c>
      <c r="D68" s="4" t="s">
        <v>14</v>
      </c>
      <c r="E68" s="5" t="s">
        <v>148</v>
      </c>
      <c r="F68" s="5" t="s">
        <v>16</v>
      </c>
      <c r="G68" t="s">
        <v>227</v>
      </c>
      <c r="H68" t="s">
        <v>228</v>
      </c>
      <c r="I68" t="s">
        <v>181</v>
      </c>
      <c r="J68" s="29">
        <v>849</v>
      </c>
      <c r="K68" s="22">
        <f t="shared" si="2"/>
        <v>1698</v>
      </c>
      <c r="L68" s="22">
        <f t="shared" si="3"/>
        <v>2886600</v>
      </c>
      <c r="M68">
        <v>3381857</v>
      </c>
      <c r="N68" s="42" t="s">
        <v>239</v>
      </c>
    </row>
    <row r="69" spans="1:14" x14ac:dyDescent="0.3">
      <c r="A69" s="4" t="s">
        <v>147</v>
      </c>
      <c r="B69" s="4" t="s">
        <v>12</v>
      </c>
      <c r="C69" s="4" t="s">
        <v>13</v>
      </c>
      <c r="D69" s="4" t="s">
        <v>14</v>
      </c>
      <c r="E69" s="5" t="s">
        <v>148</v>
      </c>
      <c r="F69" s="5" t="s">
        <v>16</v>
      </c>
      <c r="G69" t="s">
        <v>229</v>
      </c>
      <c r="H69" t="s">
        <v>157</v>
      </c>
      <c r="I69" t="s">
        <v>181</v>
      </c>
      <c r="J69" s="29">
        <v>817.5</v>
      </c>
      <c r="K69" s="22">
        <f t="shared" si="2"/>
        <v>1635</v>
      </c>
      <c r="L69" s="22">
        <f t="shared" si="3"/>
        <v>2779500</v>
      </c>
      <c r="M69">
        <v>3317245</v>
      </c>
      <c r="N69" s="42" t="s">
        <v>239</v>
      </c>
    </row>
    <row r="70" spans="1:14" x14ac:dyDescent="0.3">
      <c r="A70" s="4" t="s">
        <v>147</v>
      </c>
      <c r="B70" s="4" t="s">
        <v>12</v>
      </c>
      <c r="C70" s="4" t="s">
        <v>13</v>
      </c>
      <c r="D70" s="4" t="s">
        <v>14</v>
      </c>
      <c r="E70" s="5" t="s">
        <v>148</v>
      </c>
      <c r="F70" s="5" t="s">
        <v>16</v>
      </c>
      <c r="G70" t="s">
        <v>230</v>
      </c>
      <c r="H70" t="s">
        <v>197</v>
      </c>
      <c r="I70" t="s">
        <v>181</v>
      </c>
      <c r="J70" s="29">
        <v>926.5</v>
      </c>
      <c r="K70" s="22">
        <f t="shared" si="2"/>
        <v>1853</v>
      </c>
      <c r="L70" s="22">
        <f t="shared" si="3"/>
        <v>3150100</v>
      </c>
      <c r="M70">
        <v>3883637</v>
      </c>
      <c r="N70" s="42" t="s">
        <v>239</v>
      </c>
    </row>
    <row r="71" spans="1:14" x14ac:dyDescent="0.3">
      <c r="A71" s="4" t="s">
        <v>147</v>
      </c>
      <c r="B71" s="4" t="s">
        <v>12</v>
      </c>
      <c r="C71" s="4" t="s">
        <v>13</v>
      </c>
      <c r="D71" s="4" t="s">
        <v>14</v>
      </c>
      <c r="E71" s="5" t="s">
        <v>148</v>
      </c>
      <c r="F71" s="5" t="s">
        <v>16</v>
      </c>
      <c r="G71" t="s">
        <v>231</v>
      </c>
      <c r="H71" t="s">
        <v>197</v>
      </c>
      <c r="I71" t="s">
        <v>181</v>
      </c>
      <c r="J71" s="29">
        <v>1091.5</v>
      </c>
      <c r="K71" s="22">
        <f t="shared" si="2"/>
        <v>2183</v>
      </c>
      <c r="L71" s="22">
        <f t="shared" si="3"/>
        <v>3711100</v>
      </c>
      <c r="M71">
        <v>3550950</v>
      </c>
      <c r="N71" s="42" t="s">
        <v>241</v>
      </c>
    </row>
    <row r="72" spans="1:14" x14ac:dyDescent="0.3">
      <c r="A72" s="4" t="s">
        <v>147</v>
      </c>
      <c r="B72" s="4" t="s">
        <v>12</v>
      </c>
      <c r="C72" s="4" t="s">
        <v>13</v>
      </c>
      <c r="D72" s="4" t="s">
        <v>14</v>
      </c>
      <c r="E72" s="5" t="s">
        <v>148</v>
      </c>
      <c r="F72" s="5" t="s">
        <v>16</v>
      </c>
      <c r="G72" t="s">
        <v>232</v>
      </c>
      <c r="H72" t="s">
        <v>206</v>
      </c>
      <c r="I72" t="s">
        <v>137</v>
      </c>
      <c r="J72" s="29">
        <v>458</v>
      </c>
      <c r="K72" s="22">
        <f t="shared" si="2"/>
        <v>916</v>
      </c>
      <c r="L72" s="22">
        <f t="shared" si="3"/>
        <v>1557200</v>
      </c>
      <c r="M72">
        <v>2268319</v>
      </c>
      <c r="N72" s="42" t="s">
        <v>239</v>
      </c>
    </row>
    <row r="73" spans="1:14" x14ac:dyDescent="0.3">
      <c r="A73" s="4" t="s">
        <v>147</v>
      </c>
      <c r="B73" s="4" t="s">
        <v>12</v>
      </c>
      <c r="C73" s="4" t="s">
        <v>13</v>
      </c>
      <c r="D73" s="4" t="s">
        <v>14</v>
      </c>
      <c r="E73" s="5" t="s">
        <v>148</v>
      </c>
      <c r="F73" s="5" t="s">
        <v>16</v>
      </c>
      <c r="G73" t="s">
        <v>233</v>
      </c>
      <c r="H73" t="s">
        <v>234</v>
      </c>
      <c r="I73" t="s">
        <v>137</v>
      </c>
      <c r="J73" s="29">
        <v>372.5</v>
      </c>
      <c r="K73" s="22">
        <f t="shared" si="2"/>
        <v>745</v>
      </c>
      <c r="L73" s="22">
        <f t="shared" si="3"/>
        <v>1266500</v>
      </c>
      <c r="M73">
        <v>2052485</v>
      </c>
      <c r="N73" s="42" t="s">
        <v>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9C52-6F4B-4201-AA79-0E4F29A39FE0}">
  <dimension ref="A1:F73"/>
  <sheetViews>
    <sheetView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0.109375" bestFit="1" customWidth="1"/>
    <col min="3" max="3" width="7.33203125" bestFit="1" customWidth="1"/>
    <col min="4" max="5" width="4.6640625" bestFit="1" customWidth="1"/>
    <col min="6" max="6" width="14.5546875" style="29" customWidth="1"/>
  </cols>
  <sheetData>
    <row r="1" spans="1:6" ht="15.6" x14ac:dyDescent="0.3">
      <c r="A1" s="46" t="s">
        <v>288</v>
      </c>
      <c r="B1" s="46" t="s">
        <v>7</v>
      </c>
      <c r="C1" s="46" t="s">
        <v>8</v>
      </c>
      <c r="D1" s="46" t="s">
        <v>289</v>
      </c>
      <c r="E1" s="46" t="s">
        <v>290</v>
      </c>
      <c r="F1" s="47" t="s">
        <v>291</v>
      </c>
    </row>
    <row r="2" spans="1:6" x14ac:dyDescent="0.3">
      <c r="A2" t="s">
        <v>149</v>
      </c>
      <c r="B2" t="s">
        <v>150</v>
      </c>
      <c r="C2" t="s">
        <v>35</v>
      </c>
      <c r="D2">
        <v>269</v>
      </c>
      <c r="E2">
        <v>434</v>
      </c>
      <c r="F2" s="29">
        <v>2639315</v>
      </c>
    </row>
    <row r="3" spans="1:6" x14ac:dyDescent="0.3">
      <c r="A3" t="s">
        <v>151</v>
      </c>
      <c r="B3" t="s">
        <v>152</v>
      </c>
      <c r="C3" t="s">
        <v>35</v>
      </c>
      <c r="D3">
        <v>279</v>
      </c>
      <c r="E3">
        <v>452</v>
      </c>
      <c r="F3" s="29">
        <v>2746976</v>
      </c>
    </row>
    <row r="4" spans="1:6" x14ac:dyDescent="0.3">
      <c r="A4" t="s">
        <v>153</v>
      </c>
      <c r="B4" t="s">
        <v>152</v>
      </c>
      <c r="C4" t="s">
        <v>35</v>
      </c>
      <c r="D4">
        <v>330</v>
      </c>
      <c r="E4">
        <v>534</v>
      </c>
      <c r="F4" s="29">
        <v>3244220</v>
      </c>
    </row>
    <row r="5" spans="1:6" x14ac:dyDescent="0.3">
      <c r="A5" t="s">
        <v>33</v>
      </c>
      <c r="B5" t="s">
        <v>34</v>
      </c>
      <c r="C5" t="s">
        <v>35</v>
      </c>
      <c r="D5">
        <v>229</v>
      </c>
      <c r="E5">
        <v>370</v>
      </c>
      <c r="F5" s="29">
        <v>2248843</v>
      </c>
    </row>
    <row r="6" spans="1:6" x14ac:dyDescent="0.3">
      <c r="A6" t="s">
        <v>154</v>
      </c>
      <c r="B6" t="s">
        <v>155</v>
      </c>
      <c r="C6" t="s">
        <v>35</v>
      </c>
      <c r="D6">
        <v>264</v>
      </c>
      <c r="E6">
        <v>426</v>
      </c>
      <c r="F6" s="29">
        <v>2690008</v>
      </c>
    </row>
    <row r="7" spans="1:6" x14ac:dyDescent="0.3">
      <c r="A7" t="s">
        <v>156</v>
      </c>
      <c r="B7" t="s">
        <v>157</v>
      </c>
      <c r="C7" t="s">
        <v>35</v>
      </c>
      <c r="D7">
        <v>388</v>
      </c>
      <c r="E7">
        <v>627</v>
      </c>
      <c r="F7" s="29">
        <v>3808026</v>
      </c>
    </row>
    <row r="8" spans="1:6" x14ac:dyDescent="0.3">
      <c r="A8" t="s">
        <v>36</v>
      </c>
      <c r="B8" t="s">
        <v>158</v>
      </c>
      <c r="C8" t="s">
        <v>35</v>
      </c>
      <c r="D8">
        <v>322</v>
      </c>
      <c r="E8">
        <v>521</v>
      </c>
      <c r="F8" s="29">
        <v>3164081</v>
      </c>
    </row>
    <row r="9" spans="1:6" x14ac:dyDescent="0.3">
      <c r="A9" t="s">
        <v>159</v>
      </c>
      <c r="B9" t="s">
        <v>160</v>
      </c>
      <c r="C9" t="s">
        <v>35</v>
      </c>
      <c r="D9">
        <v>263</v>
      </c>
      <c r="E9">
        <v>426</v>
      </c>
      <c r="F9" s="29">
        <v>2685524</v>
      </c>
    </row>
    <row r="10" spans="1:6" x14ac:dyDescent="0.3">
      <c r="A10" t="s">
        <v>161</v>
      </c>
      <c r="B10" t="s">
        <v>161</v>
      </c>
      <c r="C10" t="s">
        <v>35</v>
      </c>
      <c r="D10">
        <v>257</v>
      </c>
      <c r="E10">
        <v>416</v>
      </c>
      <c r="F10" s="29">
        <v>2527817</v>
      </c>
    </row>
    <row r="11" spans="1:6" x14ac:dyDescent="0.3">
      <c r="A11" t="s">
        <v>162</v>
      </c>
      <c r="B11" t="s">
        <v>163</v>
      </c>
      <c r="C11" t="s">
        <v>35</v>
      </c>
      <c r="D11">
        <v>261</v>
      </c>
      <c r="E11">
        <v>422</v>
      </c>
      <c r="F11" s="29">
        <v>2565819</v>
      </c>
    </row>
    <row r="12" spans="1:6" x14ac:dyDescent="0.3">
      <c r="A12" t="s">
        <v>164</v>
      </c>
      <c r="B12" t="s">
        <v>165</v>
      </c>
      <c r="C12" t="s">
        <v>35</v>
      </c>
      <c r="D12">
        <v>230</v>
      </c>
      <c r="E12">
        <v>373</v>
      </c>
      <c r="F12" s="29">
        <v>2264195</v>
      </c>
    </row>
    <row r="13" spans="1:6" x14ac:dyDescent="0.3">
      <c r="A13" t="s">
        <v>104</v>
      </c>
      <c r="B13" t="s">
        <v>105</v>
      </c>
      <c r="C13" t="s">
        <v>35</v>
      </c>
      <c r="D13">
        <v>279</v>
      </c>
      <c r="E13">
        <v>451</v>
      </c>
      <c r="F13" s="29">
        <v>2741678</v>
      </c>
    </row>
    <row r="14" spans="1:6" x14ac:dyDescent="0.3">
      <c r="A14" t="s">
        <v>166</v>
      </c>
      <c r="B14" t="s">
        <v>166</v>
      </c>
      <c r="C14" t="s">
        <v>35</v>
      </c>
      <c r="D14">
        <v>282</v>
      </c>
      <c r="E14">
        <v>457</v>
      </c>
      <c r="F14" s="29">
        <v>2774125</v>
      </c>
    </row>
    <row r="15" spans="1:6" x14ac:dyDescent="0.3">
      <c r="A15" t="s">
        <v>167</v>
      </c>
      <c r="B15" t="s">
        <v>34</v>
      </c>
      <c r="C15" t="s">
        <v>35</v>
      </c>
      <c r="D15">
        <v>235</v>
      </c>
      <c r="E15">
        <v>380</v>
      </c>
      <c r="F15" s="29">
        <v>2311067</v>
      </c>
    </row>
    <row r="16" spans="1:6" x14ac:dyDescent="0.3">
      <c r="A16" t="s">
        <v>168</v>
      </c>
      <c r="B16" t="s">
        <v>152</v>
      </c>
      <c r="C16" t="s">
        <v>35</v>
      </c>
      <c r="D16">
        <v>291</v>
      </c>
      <c r="E16">
        <v>470</v>
      </c>
      <c r="F16" s="29">
        <v>2854350</v>
      </c>
    </row>
    <row r="17" spans="1:6" x14ac:dyDescent="0.3">
      <c r="A17" t="s">
        <v>169</v>
      </c>
      <c r="B17" t="s">
        <v>34</v>
      </c>
      <c r="C17" t="s">
        <v>35</v>
      </c>
      <c r="D17">
        <v>239</v>
      </c>
      <c r="E17">
        <v>386</v>
      </c>
      <c r="F17" s="29">
        <v>2347137</v>
      </c>
    </row>
    <row r="18" spans="1:6" x14ac:dyDescent="0.3">
      <c r="A18" t="s">
        <v>170</v>
      </c>
      <c r="B18" t="s">
        <v>158</v>
      </c>
      <c r="C18" t="s">
        <v>35</v>
      </c>
      <c r="D18">
        <v>324</v>
      </c>
      <c r="E18">
        <v>524</v>
      </c>
      <c r="F18" s="29">
        <v>3185106</v>
      </c>
    </row>
    <row r="19" spans="1:6" x14ac:dyDescent="0.3">
      <c r="A19" t="s">
        <v>171</v>
      </c>
      <c r="B19" t="s">
        <v>172</v>
      </c>
      <c r="C19" t="s">
        <v>35</v>
      </c>
      <c r="D19">
        <v>301</v>
      </c>
      <c r="E19">
        <v>486</v>
      </c>
      <c r="F19" s="29">
        <v>2952873</v>
      </c>
    </row>
    <row r="20" spans="1:6" x14ac:dyDescent="0.3">
      <c r="A20" t="s">
        <v>173</v>
      </c>
      <c r="B20" t="s">
        <v>105</v>
      </c>
      <c r="C20" t="s">
        <v>35</v>
      </c>
      <c r="D20">
        <v>291</v>
      </c>
      <c r="E20">
        <v>471</v>
      </c>
      <c r="F20" s="29">
        <v>2859457</v>
      </c>
    </row>
    <row r="21" spans="1:6" x14ac:dyDescent="0.3">
      <c r="A21" t="s">
        <v>174</v>
      </c>
      <c r="B21" t="s">
        <v>152</v>
      </c>
      <c r="C21" t="s">
        <v>35</v>
      </c>
      <c r="D21">
        <v>297</v>
      </c>
      <c r="E21">
        <v>481</v>
      </c>
      <c r="F21" s="29">
        <v>2921909</v>
      </c>
    </row>
    <row r="22" spans="1:6" x14ac:dyDescent="0.3">
      <c r="A22" t="s">
        <v>175</v>
      </c>
      <c r="B22" t="s">
        <v>175</v>
      </c>
      <c r="C22" t="s">
        <v>19</v>
      </c>
      <c r="D22">
        <v>374</v>
      </c>
      <c r="E22">
        <v>604</v>
      </c>
      <c r="F22" s="29">
        <v>3671425</v>
      </c>
    </row>
    <row r="23" spans="1:6" x14ac:dyDescent="0.3">
      <c r="A23" t="s">
        <v>176</v>
      </c>
      <c r="B23" t="s">
        <v>177</v>
      </c>
      <c r="C23" t="s">
        <v>19</v>
      </c>
      <c r="D23">
        <v>505</v>
      </c>
      <c r="E23">
        <v>816</v>
      </c>
      <c r="F23" s="29">
        <v>4959375</v>
      </c>
    </row>
    <row r="24" spans="1:6" x14ac:dyDescent="0.3">
      <c r="A24" t="s">
        <v>17</v>
      </c>
      <c r="B24" t="s">
        <v>18</v>
      </c>
      <c r="C24" t="s">
        <v>19</v>
      </c>
      <c r="D24">
        <v>334</v>
      </c>
      <c r="E24">
        <v>540</v>
      </c>
      <c r="F24" s="29">
        <v>3282163</v>
      </c>
    </row>
    <row r="25" spans="1:6" x14ac:dyDescent="0.3">
      <c r="A25" t="s">
        <v>24</v>
      </c>
      <c r="B25" t="s">
        <v>24</v>
      </c>
      <c r="C25" t="s">
        <v>19</v>
      </c>
      <c r="D25">
        <v>449</v>
      </c>
      <c r="E25">
        <v>726</v>
      </c>
      <c r="F25" s="29">
        <v>4412705</v>
      </c>
    </row>
    <row r="26" spans="1:6" x14ac:dyDescent="0.3">
      <c r="A26" t="s">
        <v>22</v>
      </c>
      <c r="B26" t="s">
        <v>22</v>
      </c>
      <c r="C26" t="s">
        <v>19</v>
      </c>
      <c r="D26">
        <v>346</v>
      </c>
      <c r="E26">
        <v>560</v>
      </c>
      <c r="F26" s="29">
        <v>3403545</v>
      </c>
    </row>
    <row r="27" spans="1:6" x14ac:dyDescent="0.3">
      <c r="A27" t="s">
        <v>23</v>
      </c>
      <c r="B27" t="s">
        <v>22</v>
      </c>
      <c r="C27" t="s">
        <v>19</v>
      </c>
      <c r="D27">
        <v>358</v>
      </c>
      <c r="E27">
        <v>578</v>
      </c>
      <c r="F27" s="29">
        <v>3512458</v>
      </c>
    </row>
    <row r="28" spans="1:6" x14ac:dyDescent="0.3">
      <c r="A28" t="s">
        <v>20</v>
      </c>
      <c r="B28" t="s">
        <v>20</v>
      </c>
      <c r="C28" t="s">
        <v>19</v>
      </c>
      <c r="D28">
        <v>378</v>
      </c>
      <c r="E28">
        <v>611</v>
      </c>
      <c r="F28" s="29">
        <v>3710764</v>
      </c>
    </row>
    <row r="29" spans="1:6" x14ac:dyDescent="0.3">
      <c r="A29" t="s">
        <v>178</v>
      </c>
      <c r="B29" t="s">
        <v>179</v>
      </c>
      <c r="C29" t="s">
        <v>19</v>
      </c>
      <c r="D29">
        <v>269</v>
      </c>
      <c r="E29">
        <v>435</v>
      </c>
      <c r="F29" s="29">
        <v>2643863</v>
      </c>
    </row>
    <row r="30" spans="1:6" x14ac:dyDescent="0.3">
      <c r="A30" t="s">
        <v>180</v>
      </c>
      <c r="B30" t="s">
        <v>179</v>
      </c>
      <c r="C30" t="s">
        <v>181</v>
      </c>
      <c r="D30">
        <v>265</v>
      </c>
      <c r="E30">
        <v>428</v>
      </c>
      <c r="F30" s="29">
        <v>2599205</v>
      </c>
    </row>
    <row r="31" spans="1:6" x14ac:dyDescent="0.3">
      <c r="A31" t="s">
        <v>182</v>
      </c>
      <c r="B31" t="s">
        <v>179</v>
      </c>
      <c r="C31" t="s">
        <v>181</v>
      </c>
      <c r="D31">
        <v>266</v>
      </c>
      <c r="E31">
        <v>430</v>
      </c>
      <c r="F31" s="29">
        <v>2611351</v>
      </c>
    </row>
    <row r="32" spans="1:6" x14ac:dyDescent="0.3">
      <c r="A32" t="s">
        <v>183</v>
      </c>
      <c r="B32" t="s">
        <v>179</v>
      </c>
      <c r="C32" t="s">
        <v>19</v>
      </c>
      <c r="D32">
        <v>250</v>
      </c>
      <c r="E32">
        <v>404</v>
      </c>
      <c r="F32" s="29">
        <v>2453579</v>
      </c>
    </row>
    <row r="33" spans="1:6" x14ac:dyDescent="0.3">
      <c r="A33" t="s">
        <v>184</v>
      </c>
      <c r="B33" t="s">
        <v>185</v>
      </c>
      <c r="C33" t="s">
        <v>19</v>
      </c>
      <c r="D33">
        <v>366</v>
      </c>
      <c r="E33">
        <v>591</v>
      </c>
      <c r="F33" s="29">
        <v>3592478</v>
      </c>
    </row>
    <row r="34" spans="1:6" x14ac:dyDescent="0.3">
      <c r="A34" t="s">
        <v>186</v>
      </c>
      <c r="B34" t="s">
        <v>185</v>
      </c>
      <c r="C34" t="s">
        <v>19</v>
      </c>
      <c r="D34">
        <v>339</v>
      </c>
      <c r="E34">
        <v>549</v>
      </c>
      <c r="F34" s="29">
        <v>3333587</v>
      </c>
    </row>
    <row r="35" spans="1:6" x14ac:dyDescent="0.3">
      <c r="A35" t="s">
        <v>187</v>
      </c>
      <c r="B35" t="s">
        <v>185</v>
      </c>
      <c r="C35" t="s">
        <v>19</v>
      </c>
      <c r="D35">
        <v>375</v>
      </c>
      <c r="E35">
        <v>607</v>
      </c>
      <c r="F35" s="29">
        <v>3684781</v>
      </c>
    </row>
    <row r="36" spans="1:6" x14ac:dyDescent="0.3">
      <c r="A36" t="s">
        <v>188</v>
      </c>
      <c r="B36" t="s">
        <v>189</v>
      </c>
      <c r="C36" t="s">
        <v>19</v>
      </c>
      <c r="D36">
        <v>318</v>
      </c>
      <c r="E36">
        <v>515</v>
      </c>
      <c r="F36" s="29">
        <v>3128754</v>
      </c>
    </row>
    <row r="37" spans="1:6" x14ac:dyDescent="0.3">
      <c r="A37" t="s">
        <v>190</v>
      </c>
      <c r="B37" t="s">
        <v>189</v>
      </c>
      <c r="C37" t="s">
        <v>19</v>
      </c>
      <c r="D37">
        <v>315</v>
      </c>
      <c r="E37">
        <v>509</v>
      </c>
      <c r="F37" s="29">
        <v>3091244</v>
      </c>
    </row>
    <row r="38" spans="1:6" x14ac:dyDescent="0.3">
      <c r="A38" t="s">
        <v>191</v>
      </c>
      <c r="B38" t="s">
        <v>192</v>
      </c>
      <c r="C38" t="s">
        <v>19</v>
      </c>
      <c r="D38">
        <v>356</v>
      </c>
      <c r="E38">
        <v>576</v>
      </c>
      <c r="F38" s="29">
        <v>3498710</v>
      </c>
    </row>
    <row r="39" spans="1:6" x14ac:dyDescent="0.3">
      <c r="A39" t="s">
        <v>193</v>
      </c>
      <c r="B39" t="s">
        <v>192</v>
      </c>
      <c r="C39" t="s">
        <v>19</v>
      </c>
      <c r="D39">
        <v>412</v>
      </c>
      <c r="E39">
        <v>667</v>
      </c>
      <c r="F39" s="29">
        <v>4052524</v>
      </c>
    </row>
    <row r="40" spans="1:6" x14ac:dyDescent="0.3">
      <c r="A40" t="s">
        <v>30</v>
      </c>
      <c r="B40" t="s">
        <v>30</v>
      </c>
      <c r="C40" t="s">
        <v>19</v>
      </c>
      <c r="D40">
        <v>428</v>
      </c>
      <c r="E40">
        <v>692</v>
      </c>
      <c r="F40" s="29">
        <v>4204707</v>
      </c>
    </row>
    <row r="41" spans="1:6" x14ac:dyDescent="0.3">
      <c r="A41" t="s">
        <v>194</v>
      </c>
      <c r="B41" t="s">
        <v>195</v>
      </c>
      <c r="C41" t="s">
        <v>19</v>
      </c>
      <c r="D41">
        <v>393</v>
      </c>
      <c r="E41">
        <v>636</v>
      </c>
      <c r="F41" s="29">
        <v>3863703</v>
      </c>
    </row>
    <row r="42" spans="1:6" x14ac:dyDescent="0.3">
      <c r="A42" t="s">
        <v>196</v>
      </c>
      <c r="B42" t="s">
        <v>30</v>
      </c>
      <c r="C42" t="s">
        <v>19</v>
      </c>
      <c r="D42">
        <v>433</v>
      </c>
      <c r="E42">
        <v>701</v>
      </c>
      <c r="F42" s="29">
        <v>4257120</v>
      </c>
    </row>
    <row r="43" spans="1:6" x14ac:dyDescent="0.3">
      <c r="A43" t="s">
        <v>28</v>
      </c>
      <c r="B43" t="s">
        <v>197</v>
      </c>
      <c r="C43" t="s">
        <v>19</v>
      </c>
      <c r="D43">
        <v>478</v>
      </c>
      <c r="E43">
        <v>772</v>
      </c>
      <c r="F43" s="29">
        <v>4691569</v>
      </c>
    </row>
    <row r="44" spans="1:6" x14ac:dyDescent="0.3">
      <c r="A44" t="s">
        <v>198</v>
      </c>
      <c r="B44" t="s">
        <v>197</v>
      </c>
      <c r="C44" t="s">
        <v>19</v>
      </c>
      <c r="D44">
        <v>421</v>
      </c>
      <c r="E44">
        <v>680</v>
      </c>
      <c r="F44" s="29">
        <v>4132533</v>
      </c>
    </row>
    <row r="45" spans="1:6" x14ac:dyDescent="0.3">
      <c r="A45" t="s">
        <v>199</v>
      </c>
      <c r="B45" t="s">
        <v>200</v>
      </c>
      <c r="C45" t="s">
        <v>19</v>
      </c>
      <c r="D45">
        <v>418</v>
      </c>
      <c r="E45">
        <v>676</v>
      </c>
      <c r="F45" s="29">
        <v>4109146</v>
      </c>
    </row>
    <row r="46" spans="1:6" x14ac:dyDescent="0.3">
      <c r="A46" t="s">
        <v>201</v>
      </c>
      <c r="B46" t="s">
        <v>26</v>
      </c>
      <c r="C46" t="s">
        <v>19</v>
      </c>
      <c r="D46">
        <v>495</v>
      </c>
      <c r="E46">
        <v>800</v>
      </c>
      <c r="F46" s="29">
        <v>4860188</v>
      </c>
    </row>
    <row r="47" spans="1:6" x14ac:dyDescent="0.3">
      <c r="A47" t="s">
        <v>27</v>
      </c>
      <c r="B47" t="s">
        <v>26</v>
      </c>
      <c r="C47" t="s">
        <v>19</v>
      </c>
      <c r="D47">
        <v>505</v>
      </c>
      <c r="E47">
        <v>816</v>
      </c>
      <c r="F47" s="29">
        <v>4959375</v>
      </c>
    </row>
    <row r="48" spans="1:6" x14ac:dyDescent="0.3">
      <c r="A48" t="s">
        <v>202</v>
      </c>
      <c r="B48" t="s">
        <v>26</v>
      </c>
      <c r="C48" t="s">
        <v>19</v>
      </c>
      <c r="D48">
        <v>505</v>
      </c>
      <c r="E48">
        <v>816</v>
      </c>
      <c r="F48" s="29">
        <v>4959375</v>
      </c>
    </row>
    <row r="49" spans="1:6" x14ac:dyDescent="0.3">
      <c r="A49" t="s">
        <v>203</v>
      </c>
      <c r="B49" t="s">
        <v>189</v>
      </c>
      <c r="C49" t="s">
        <v>19</v>
      </c>
      <c r="D49">
        <v>306</v>
      </c>
      <c r="E49">
        <v>494</v>
      </c>
      <c r="F49" s="29">
        <v>3001708</v>
      </c>
    </row>
    <row r="50" spans="1:6" x14ac:dyDescent="0.3">
      <c r="A50" t="s">
        <v>204</v>
      </c>
      <c r="B50" t="s">
        <v>204</v>
      </c>
      <c r="C50" t="s">
        <v>19</v>
      </c>
      <c r="D50">
        <v>393</v>
      </c>
      <c r="E50">
        <v>635</v>
      </c>
      <c r="F50" s="29">
        <v>3858651</v>
      </c>
    </row>
    <row r="51" spans="1:6" x14ac:dyDescent="0.3">
      <c r="A51" t="s">
        <v>205</v>
      </c>
      <c r="B51" t="s">
        <v>206</v>
      </c>
      <c r="C51" t="s">
        <v>137</v>
      </c>
      <c r="D51">
        <v>157</v>
      </c>
      <c r="E51">
        <v>253</v>
      </c>
      <c r="F51" s="29">
        <v>1538365</v>
      </c>
    </row>
    <row r="52" spans="1:6" x14ac:dyDescent="0.3">
      <c r="A52" t="s">
        <v>207</v>
      </c>
      <c r="B52" t="s">
        <v>206</v>
      </c>
      <c r="C52" t="s">
        <v>137</v>
      </c>
      <c r="D52">
        <v>137</v>
      </c>
      <c r="E52">
        <v>222</v>
      </c>
      <c r="F52" s="29">
        <v>1349764</v>
      </c>
    </row>
    <row r="53" spans="1:6" x14ac:dyDescent="0.3">
      <c r="A53" t="s">
        <v>208</v>
      </c>
      <c r="B53" t="s">
        <v>206</v>
      </c>
      <c r="C53" t="s">
        <v>137</v>
      </c>
      <c r="D53">
        <v>137</v>
      </c>
      <c r="E53">
        <v>222</v>
      </c>
      <c r="F53" s="29">
        <v>1349764</v>
      </c>
    </row>
    <row r="54" spans="1:6" x14ac:dyDescent="0.3">
      <c r="A54" t="s">
        <v>209</v>
      </c>
      <c r="B54" t="s">
        <v>210</v>
      </c>
      <c r="C54" t="s">
        <v>137</v>
      </c>
      <c r="D54">
        <v>146</v>
      </c>
      <c r="E54">
        <v>235</v>
      </c>
      <c r="F54" s="29">
        <v>1429990</v>
      </c>
    </row>
    <row r="55" spans="1:6" x14ac:dyDescent="0.3">
      <c r="A55" t="s">
        <v>106</v>
      </c>
      <c r="B55" t="s">
        <v>130</v>
      </c>
      <c r="C55" t="s">
        <v>137</v>
      </c>
      <c r="D55">
        <v>90</v>
      </c>
      <c r="E55">
        <v>145</v>
      </c>
      <c r="F55" s="29">
        <v>879460</v>
      </c>
    </row>
    <row r="56" spans="1:6" x14ac:dyDescent="0.3">
      <c r="A56" t="s">
        <v>211</v>
      </c>
      <c r="B56" t="s">
        <v>130</v>
      </c>
      <c r="C56" t="s">
        <v>137</v>
      </c>
      <c r="D56">
        <v>120</v>
      </c>
      <c r="E56">
        <v>194</v>
      </c>
      <c r="F56" s="29">
        <v>1179460</v>
      </c>
    </row>
    <row r="57" spans="1:6" x14ac:dyDescent="0.3">
      <c r="A57" t="s">
        <v>212</v>
      </c>
      <c r="B57" t="s">
        <v>213</v>
      </c>
      <c r="C57" t="s">
        <v>137</v>
      </c>
      <c r="D57">
        <v>110</v>
      </c>
      <c r="E57">
        <v>178</v>
      </c>
      <c r="F57" s="29">
        <v>1083752</v>
      </c>
    </row>
    <row r="58" spans="1:6" x14ac:dyDescent="0.3">
      <c r="A58" t="s">
        <v>214</v>
      </c>
      <c r="B58" t="s">
        <v>215</v>
      </c>
      <c r="C58" t="s">
        <v>137</v>
      </c>
      <c r="D58">
        <v>123</v>
      </c>
      <c r="E58">
        <v>199</v>
      </c>
      <c r="F58" s="29">
        <v>1210425</v>
      </c>
    </row>
    <row r="59" spans="1:6" x14ac:dyDescent="0.3">
      <c r="A59" t="s">
        <v>216</v>
      </c>
      <c r="B59" t="s">
        <v>217</v>
      </c>
      <c r="C59" t="s">
        <v>137</v>
      </c>
      <c r="D59">
        <v>170</v>
      </c>
      <c r="E59">
        <v>275</v>
      </c>
      <c r="F59" s="29">
        <v>1673483</v>
      </c>
    </row>
    <row r="60" spans="1:6" x14ac:dyDescent="0.3">
      <c r="A60" t="s">
        <v>218</v>
      </c>
      <c r="B60" t="s">
        <v>219</v>
      </c>
      <c r="C60" t="s">
        <v>137</v>
      </c>
      <c r="D60">
        <v>214</v>
      </c>
      <c r="E60">
        <v>346</v>
      </c>
      <c r="F60" s="29">
        <v>2101354</v>
      </c>
    </row>
    <row r="61" spans="1:6" x14ac:dyDescent="0.3">
      <c r="A61" t="s">
        <v>220</v>
      </c>
      <c r="B61" t="s">
        <v>213</v>
      </c>
      <c r="C61" t="s">
        <v>137</v>
      </c>
      <c r="D61">
        <v>92</v>
      </c>
      <c r="E61">
        <v>149</v>
      </c>
      <c r="F61" s="29">
        <v>907328</v>
      </c>
    </row>
    <row r="62" spans="1:6" x14ac:dyDescent="0.3">
      <c r="A62" t="s">
        <v>221</v>
      </c>
      <c r="B62" t="s">
        <v>206</v>
      </c>
      <c r="C62" t="s">
        <v>137</v>
      </c>
      <c r="D62">
        <v>199</v>
      </c>
      <c r="E62">
        <v>322</v>
      </c>
      <c r="F62" s="29">
        <v>1953504</v>
      </c>
    </row>
    <row r="63" spans="1:6" x14ac:dyDescent="0.3">
      <c r="A63" t="s">
        <v>222</v>
      </c>
      <c r="B63" t="s">
        <v>213</v>
      </c>
      <c r="C63" t="s">
        <v>137</v>
      </c>
      <c r="D63">
        <v>99</v>
      </c>
      <c r="E63">
        <v>159</v>
      </c>
      <c r="F63" s="29">
        <v>967816</v>
      </c>
    </row>
    <row r="64" spans="1:6" x14ac:dyDescent="0.3">
      <c r="A64" t="s">
        <v>113</v>
      </c>
      <c r="B64" t="s">
        <v>219</v>
      </c>
      <c r="C64" t="s">
        <v>137</v>
      </c>
      <c r="D64">
        <v>166</v>
      </c>
      <c r="E64">
        <v>269</v>
      </c>
      <c r="F64" s="29">
        <v>1634564</v>
      </c>
    </row>
    <row r="65" spans="1:6" x14ac:dyDescent="0.3">
      <c r="A65" t="s">
        <v>223</v>
      </c>
      <c r="B65" t="s">
        <v>219</v>
      </c>
      <c r="C65" t="s">
        <v>224</v>
      </c>
      <c r="D65">
        <v>186</v>
      </c>
      <c r="E65">
        <v>301</v>
      </c>
      <c r="F65" s="29">
        <v>1831152</v>
      </c>
    </row>
    <row r="66" spans="1:6" x14ac:dyDescent="0.3">
      <c r="A66" t="s">
        <v>143</v>
      </c>
      <c r="B66" t="s">
        <v>225</v>
      </c>
      <c r="C66" t="s">
        <v>181</v>
      </c>
      <c r="D66">
        <v>209</v>
      </c>
      <c r="E66">
        <v>338</v>
      </c>
      <c r="F66" s="29">
        <v>2052485</v>
      </c>
    </row>
    <row r="67" spans="1:6" x14ac:dyDescent="0.3">
      <c r="A67" t="s">
        <v>226</v>
      </c>
      <c r="B67" t="s">
        <v>157</v>
      </c>
      <c r="C67" t="s">
        <v>181</v>
      </c>
      <c r="D67">
        <v>388</v>
      </c>
      <c r="E67">
        <v>627</v>
      </c>
      <c r="F67" s="29">
        <v>3808026</v>
      </c>
    </row>
    <row r="68" spans="1:6" x14ac:dyDescent="0.3">
      <c r="A68" t="s">
        <v>227</v>
      </c>
      <c r="B68" t="s">
        <v>228</v>
      </c>
      <c r="C68" t="s">
        <v>181</v>
      </c>
      <c r="D68">
        <v>344</v>
      </c>
      <c r="E68">
        <v>557</v>
      </c>
      <c r="F68" s="29">
        <v>3381857</v>
      </c>
    </row>
    <row r="69" spans="1:6" x14ac:dyDescent="0.3">
      <c r="A69" t="s">
        <v>229</v>
      </c>
      <c r="B69" t="s">
        <v>157</v>
      </c>
      <c r="C69" t="s">
        <v>181</v>
      </c>
      <c r="D69">
        <v>338</v>
      </c>
      <c r="E69">
        <v>546</v>
      </c>
      <c r="F69" s="29">
        <v>3317245</v>
      </c>
    </row>
    <row r="70" spans="1:6" x14ac:dyDescent="0.3">
      <c r="A70" t="s">
        <v>230</v>
      </c>
      <c r="B70" t="s">
        <v>197</v>
      </c>
      <c r="C70" t="s">
        <v>181</v>
      </c>
      <c r="D70">
        <v>395</v>
      </c>
      <c r="E70">
        <v>639</v>
      </c>
      <c r="F70" s="29">
        <v>3883637</v>
      </c>
    </row>
    <row r="71" spans="1:6" x14ac:dyDescent="0.3">
      <c r="A71" t="s">
        <v>231</v>
      </c>
      <c r="B71" t="s">
        <v>197</v>
      </c>
      <c r="C71" t="s">
        <v>181</v>
      </c>
      <c r="D71">
        <v>361</v>
      </c>
      <c r="E71">
        <v>585</v>
      </c>
      <c r="F71" s="29">
        <v>3550950</v>
      </c>
    </row>
    <row r="72" spans="1:6" x14ac:dyDescent="0.3">
      <c r="A72" t="s">
        <v>232</v>
      </c>
      <c r="B72" t="s">
        <v>206</v>
      </c>
      <c r="C72" t="s">
        <v>137</v>
      </c>
      <c r="D72">
        <v>231</v>
      </c>
      <c r="E72">
        <v>373</v>
      </c>
      <c r="F72" s="29">
        <v>2268319</v>
      </c>
    </row>
    <row r="73" spans="1:6" x14ac:dyDescent="0.3">
      <c r="A73" t="s">
        <v>233</v>
      </c>
      <c r="B73" t="s">
        <v>234</v>
      </c>
      <c r="C73" t="s">
        <v>137</v>
      </c>
      <c r="D73">
        <v>209</v>
      </c>
      <c r="E73">
        <v>338</v>
      </c>
      <c r="F73" s="29">
        <v>2052485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B7AA-E9F1-457C-9219-61D5764A7BC6}">
  <dimension ref="A1:J49"/>
  <sheetViews>
    <sheetView workbookViewId="0">
      <selection activeCell="I5" sqref="I5"/>
    </sheetView>
  </sheetViews>
  <sheetFormatPr defaultRowHeight="14.4" x14ac:dyDescent="0.3"/>
  <cols>
    <col min="9" max="9" width="12.5546875" style="9" bestFit="1" customWidth="1"/>
    <col min="10" max="10" width="35" customWidth="1"/>
  </cols>
  <sheetData>
    <row r="1" spans="1:10" ht="28.8" x14ac:dyDescent="0.3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8" t="s">
        <v>37</v>
      </c>
      <c r="J1" s="1" t="s">
        <v>238</v>
      </c>
    </row>
    <row r="2" spans="1:10" x14ac:dyDescent="0.3">
      <c r="A2" s="4" t="s">
        <v>12</v>
      </c>
      <c r="B2" s="4" t="s">
        <v>13</v>
      </c>
      <c r="C2" s="4" t="s">
        <v>14</v>
      </c>
      <c r="D2" s="5" t="s">
        <v>242</v>
      </c>
      <c r="E2" s="6" t="s">
        <v>54</v>
      </c>
      <c r="F2" s="6" t="s">
        <v>20</v>
      </c>
      <c r="G2" s="6" t="s">
        <v>20</v>
      </c>
      <c r="H2" s="7" t="s">
        <v>19</v>
      </c>
      <c r="I2" s="6">
        <v>3329729.7297297297</v>
      </c>
      <c r="J2" s="4" t="s">
        <v>241</v>
      </c>
    </row>
    <row r="3" spans="1:10" x14ac:dyDescent="0.3">
      <c r="A3" s="4" t="s">
        <v>12</v>
      </c>
      <c r="B3" s="4" t="s">
        <v>13</v>
      </c>
      <c r="C3" s="4" t="s">
        <v>14</v>
      </c>
      <c r="D3" s="5" t="s">
        <v>242</v>
      </c>
      <c r="E3" s="6" t="s">
        <v>54</v>
      </c>
      <c r="F3" s="5" t="s">
        <v>17</v>
      </c>
      <c r="G3" s="5" t="s">
        <v>18</v>
      </c>
      <c r="H3" s="8" t="s">
        <v>19</v>
      </c>
      <c r="I3" s="6">
        <v>2724324.3243243243</v>
      </c>
      <c r="J3" s="4" t="s">
        <v>239</v>
      </c>
    </row>
    <row r="4" spans="1:10" x14ac:dyDescent="0.3">
      <c r="A4" s="4" t="s">
        <v>12</v>
      </c>
      <c r="B4" s="4" t="s">
        <v>13</v>
      </c>
      <c r="C4" s="4" t="s">
        <v>14</v>
      </c>
      <c r="D4" s="5" t="s">
        <v>242</v>
      </c>
      <c r="E4" s="6" t="s">
        <v>54</v>
      </c>
      <c r="F4" s="5" t="s">
        <v>243</v>
      </c>
      <c r="G4" s="5" t="s">
        <v>244</v>
      </c>
      <c r="H4" s="8" t="s">
        <v>19</v>
      </c>
      <c r="I4" s="6">
        <v>2648648.6486486485</v>
      </c>
      <c r="J4" s="4" t="s">
        <v>239</v>
      </c>
    </row>
    <row r="5" spans="1:10" x14ac:dyDescent="0.3">
      <c r="A5" s="4" t="s">
        <v>12</v>
      </c>
      <c r="B5" s="4" t="s">
        <v>13</v>
      </c>
      <c r="C5" s="4" t="s">
        <v>14</v>
      </c>
      <c r="D5" s="5" t="s">
        <v>242</v>
      </c>
      <c r="E5" s="6" t="s">
        <v>54</v>
      </c>
      <c r="F5" s="5" t="s">
        <v>30</v>
      </c>
      <c r="G5" s="5" t="s">
        <v>30</v>
      </c>
      <c r="H5" s="8" t="s">
        <v>19</v>
      </c>
      <c r="I5" s="6">
        <v>3935135.1351351351</v>
      </c>
      <c r="J5" s="4" t="s">
        <v>239</v>
      </c>
    </row>
    <row r="6" spans="1:10" x14ac:dyDescent="0.3">
      <c r="A6" s="4" t="s">
        <v>12</v>
      </c>
      <c r="B6" s="4" t="s">
        <v>13</v>
      </c>
      <c r="C6" s="4" t="s">
        <v>14</v>
      </c>
      <c r="D6" s="5" t="s">
        <v>242</v>
      </c>
      <c r="E6" s="6" t="s">
        <v>54</v>
      </c>
      <c r="F6" s="5" t="s">
        <v>198</v>
      </c>
      <c r="G6" s="5" t="s">
        <v>197</v>
      </c>
      <c r="H6" s="8" t="s">
        <v>19</v>
      </c>
      <c r="I6" s="6">
        <v>4540540.5405405406</v>
      </c>
      <c r="J6" s="4" t="s">
        <v>239</v>
      </c>
    </row>
    <row r="7" spans="1:10" x14ac:dyDescent="0.3">
      <c r="A7" s="4" t="s">
        <v>12</v>
      </c>
      <c r="B7" s="4" t="s">
        <v>13</v>
      </c>
      <c r="C7" s="4" t="s">
        <v>14</v>
      </c>
      <c r="D7" s="5" t="s">
        <v>242</v>
      </c>
      <c r="E7" s="6" t="s">
        <v>54</v>
      </c>
      <c r="F7" s="5" t="s">
        <v>28</v>
      </c>
      <c r="G7" s="5" t="s">
        <v>197</v>
      </c>
      <c r="H7" s="8" t="s">
        <v>19</v>
      </c>
      <c r="I7" s="6">
        <v>4540540.5405405406</v>
      </c>
      <c r="J7" s="4" t="s">
        <v>241</v>
      </c>
    </row>
    <row r="8" spans="1:10" x14ac:dyDescent="0.3">
      <c r="A8" s="4" t="s">
        <v>12</v>
      </c>
      <c r="B8" s="4" t="s">
        <v>13</v>
      </c>
      <c r="C8" s="4" t="s">
        <v>14</v>
      </c>
      <c r="D8" s="5" t="s">
        <v>242</v>
      </c>
      <c r="E8" s="6" t="s">
        <v>54</v>
      </c>
      <c r="F8" s="5" t="s">
        <v>245</v>
      </c>
      <c r="G8" s="5" t="s">
        <v>246</v>
      </c>
      <c r="H8" s="8" t="s">
        <v>19</v>
      </c>
      <c r="I8" s="6">
        <v>2724324.3243243243</v>
      </c>
      <c r="J8" s="4" t="s">
        <v>239</v>
      </c>
    </row>
    <row r="9" spans="1:10" x14ac:dyDescent="0.3">
      <c r="A9" s="4" t="s">
        <v>12</v>
      </c>
      <c r="B9" s="4" t="s">
        <v>13</v>
      </c>
      <c r="C9" s="4" t="s">
        <v>14</v>
      </c>
      <c r="D9" s="5" t="s">
        <v>242</v>
      </c>
      <c r="E9" s="6" t="s">
        <v>54</v>
      </c>
      <c r="F9" s="5" t="s">
        <v>24</v>
      </c>
      <c r="G9" s="5" t="s">
        <v>24</v>
      </c>
      <c r="H9" s="8" t="s">
        <v>19</v>
      </c>
      <c r="I9" s="6">
        <v>3935135.1351351351</v>
      </c>
      <c r="J9" s="4" t="s">
        <v>272</v>
      </c>
    </row>
    <row r="10" spans="1:10" x14ac:dyDescent="0.3">
      <c r="A10" s="4" t="s">
        <v>12</v>
      </c>
      <c r="B10" s="4" t="s">
        <v>13</v>
      </c>
      <c r="C10" s="4" t="s">
        <v>14</v>
      </c>
      <c r="D10" s="5" t="s">
        <v>242</v>
      </c>
      <c r="E10" s="6" t="s">
        <v>54</v>
      </c>
      <c r="F10" s="5" t="s">
        <v>190</v>
      </c>
      <c r="G10" s="5" t="s">
        <v>189</v>
      </c>
      <c r="H10" s="8" t="s">
        <v>19</v>
      </c>
      <c r="I10" s="6">
        <v>2724324.3243243243</v>
      </c>
      <c r="J10" s="4" t="s">
        <v>239</v>
      </c>
    </row>
    <row r="11" spans="1:10" x14ac:dyDescent="0.3">
      <c r="A11" s="4" t="s">
        <v>12</v>
      </c>
      <c r="B11" s="4" t="s">
        <v>13</v>
      </c>
      <c r="C11" s="4" t="s">
        <v>14</v>
      </c>
      <c r="D11" s="5" t="s">
        <v>242</v>
      </c>
      <c r="E11" s="6" t="s">
        <v>54</v>
      </c>
      <c r="F11" s="5" t="s">
        <v>23</v>
      </c>
      <c r="G11" s="5" t="s">
        <v>22</v>
      </c>
      <c r="H11" s="8" t="s">
        <v>19</v>
      </c>
      <c r="I11" s="6">
        <v>3178378.3783783787</v>
      </c>
      <c r="J11" s="4" t="s">
        <v>239</v>
      </c>
    </row>
    <row r="12" spans="1:10" x14ac:dyDescent="0.3">
      <c r="A12" s="4" t="s">
        <v>12</v>
      </c>
      <c r="B12" s="4" t="s">
        <v>13</v>
      </c>
      <c r="C12" s="4" t="s">
        <v>14</v>
      </c>
      <c r="D12" s="5" t="s">
        <v>242</v>
      </c>
      <c r="E12" s="6" t="s">
        <v>54</v>
      </c>
      <c r="F12" s="43" t="s">
        <v>21</v>
      </c>
      <c r="G12" s="43" t="s">
        <v>247</v>
      </c>
      <c r="H12" s="8" t="s">
        <v>19</v>
      </c>
      <c r="I12" s="6">
        <v>3254054.054054054</v>
      </c>
      <c r="J12" s="4" t="s">
        <v>239</v>
      </c>
    </row>
    <row r="13" spans="1:10" x14ac:dyDescent="0.3">
      <c r="A13" s="4" t="s">
        <v>12</v>
      </c>
      <c r="B13" s="4" t="s">
        <v>13</v>
      </c>
      <c r="C13" s="4" t="s">
        <v>14</v>
      </c>
      <c r="D13" s="5" t="s">
        <v>242</v>
      </c>
      <c r="E13" s="6" t="s">
        <v>54</v>
      </c>
      <c r="F13" s="5" t="s">
        <v>175</v>
      </c>
      <c r="G13" s="5" t="s">
        <v>175</v>
      </c>
      <c r="H13" s="8" t="s">
        <v>19</v>
      </c>
      <c r="I13" s="6">
        <v>3783783.7837837837</v>
      </c>
      <c r="J13" s="4" t="s">
        <v>239</v>
      </c>
    </row>
    <row r="14" spans="1:10" x14ac:dyDescent="0.3">
      <c r="A14" s="4" t="s">
        <v>12</v>
      </c>
      <c r="B14" s="4" t="s">
        <v>13</v>
      </c>
      <c r="C14" s="4" t="s">
        <v>14</v>
      </c>
      <c r="D14" s="5" t="s">
        <v>242</v>
      </c>
      <c r="E14" s="6" t="s">
        <v>54</v>
      </c>
      <c r="F14" s="5" t="s">
        <v>201</v>
      </c>
      <c r="G14" s="5" t="s">
        <v>26</v>
      </c>
      <c r="H14" s="8" t="s">
        <v>19</v>
      </c>
      <c r="I14" s="6">
        <v>4389189.1891891891</v>
      </c>
      <c r="J14" s="4" t="s">
        <v>241</v>
      </c>
    </row>
    <row r="15" spans="1:10" x14ac:dyDescent="0.3">
      <c r="A15" s="4" t="s">
        <v>12</v>
      </c>
      <c r="B15" s="4" t="s">
        <v>13</v>
      </c>
      <c r="C15" s="4" t="s">
        <v>14</v>
      </c>
      <c r="D15" s="5" t="s">
        <v>242</v>
      </c>
      <c r="E15" s="6" t="s">
        <v>54</v>
      </c>
      <c r="F15" s="5" t="s">
        <v>22</v>
      </c>
      <c r="G15" s="5" t="s">
        <v>22</v>
      </c>
      <c r="H15" s="8" t="s">
        <v>19</v>
      </c>
      <c r="I15" s="6">
        <v>3178378.3783783787</v>
      </c>
      <c r="J15" s="4" t="s">
        <v>239</v>
      </c>
    </row>
    <row r="16" spans="1:10" x14ac:dyDescent="0.3">
      <c r="A16" s="4" t="s">
        <v>12</v>
      </c>
      <c r="B16" s="4" t="s">
        <v>13</v>
      </c>
      <c r="C16" s="4" t="s">
        <v>14</v>
      </c>
      <c r="D16" s="5" t="s">
        <v>242</v>
      </c>
      <c r="E16" s="6" t="s">
        <v>54</v>
      </c>
      <c r="F16" s="5" t="s">
        <v>191</v>
      </c>
      <c r="G16" s="5" t="s">
        <v>192</v>
      </c>
      <c r="H16" s="8" t="s">
        <v>19</v>
      </c>
      <c r="I16" s="6">
        <v>3632432.4324324322</v>
      </c>
      <c r="J16" s="4" t="s">
        <v>239</v>
      </c>
    </row>
    <row r="17" spans="1:10" x14ac:dyDescent="0.3">
      <c r="A17" s="4" t="s">
        <v>12</v>
      </c>
      <c r="B17" s="4" t="s">
        <v>13</v>
      </c>
      <c r="C17" s="4" t="s">
        <v>14</v>
      </c>
      <c r="D17" s="5" t="s">
        <v>242</v>
      </c>
      <c r="E17" s="6" t="s">
        <v>54</v>
      </c>
      <c r="F17" s="5" t="s">
        <v>248</v>
      </c>
      <c r="G17" s="5" t="s">
        <v>249</v>
      </c>
      <c r="H17" s="8" t="s">
        <v>19</v>
      </c>
      <c r="I17" s="6">
        <v>3178378.3783783787</v>
      </c>
      <c r="J17" s="4" t="s">
        <v>241</v>
      </c>
    </row>
    <row r="18" spans="1:10" x14ac:dyDescent="0.3">
      <c r="A18" s="4" t="s">
        <v>12</v>
      </c>
      <c r="B18" s="4" t="s">
        <v>13</v>
      </c>
      <c r="C18" s="4" t="s">
        <v>14</v>
      </c>
      <c r="D18" s="5" t="s">
        <v>242</v>
      </c>
      <c r="E18" s="6" t="s">
        <v>54</v>
      </c>
      <c r="F18" s="5" t="s">
        <v>156</v>
      </c>
      <c r="G18" s="5" t="s">
        <v>157</v>
      </c>
      <c r="H18" s="8" t="s">
        <v>35</v>
      </c>
      <c r="I18" s="6">
        <v>3632432.4324324322</v>
      </c>
      <c r="J18" s="4" t="s">
        <v>239</v>
      </c>
    </row>
    <row r="19" spans="1:10" x14ac:dyDescent="0.3">
      <c r="A19" s="4" t="s">
        <v>12</v>
      </c>
      <c r="B19" s="4" t="s">
        <v>13</v>
      </c>
      <c r="C19" s="4" t="s">
        <v>14</v>
      </c>
      <c r="D19" s="5" t="s">
        <v>242</v>
      </c>
      <c r="E19" s="6" t="s">
        <v>54</v>
      </c>
      <c r="F19" s="5" t="s">
        <v>250</v>
      </c>
      <c r="G19" s="5" t="s">
        <v>185</v>
      </c>
      <c r="H19" s="8" t="s">
        <v>19</v>
      </c>
      <c r="I19" s="6">
        <v>3329729.7297297297</v>
      </c>
      <c r="J19" s="4" t="s">
        <v>239</v>
      </c>
    </row>
    <row r="20" spans="1:10" x14ac:dyDescent="0.3">
      <c r="A20" s="4" t="s">
        <v>12</v>
      </c>
      <c r="B20" s="4" t="s">
        <v>13</v>
      </c>
      <c r="C20" s="4" t="s">
        <v>14</v>
      </c>
      <c r="D20" s="5" t="s">
        <v>242</v>
      </c>
      <c r="E20" s="6" t="s">
        <v>54</v>
      </c>
      <c r="F20" s="5" t="s">
        <v>186</v>
      </c>
      <c r="G20" s="5" t="s">
        <v>185</v>
      </c>
      <c r="H20" s="8" t="s">
        <v>19</v>
      </c>
      <c r="I20" s="6">
        <v>3329729.7297297297</v>
      </c>
      <c r="J20" s="4" t="s">
        <v>239</v>
      </c>
    </row>
    <row r="21" spans="1:10" x14ac:dyDescent="0.3">
      <c r="A21" s="4" t="s">
        <v>12</v>
      </c>
      <c r="B21" s="4" t="s">
        <v>13</v>
      </c>
      <c r="C21" s="4" t="s">
        <v>14</v>
      </c>
      <c r="D21" s="5" t="s">
        <v>242</v>
      </c>
      <c r="E21" s="6" t="s">
        <v>54</v>
      </c>
      <c r="F21" s="5" t="s">
        <v>203</v>
      </c>
      <c r="G21" s="5" t="s">
        <v>189</v>
      </c>
      <c r="H21" s="8" t="s">
        <v>19</v>
      </c>
      <c r="I21" s="6">
        <v>2724324.3243243243</v>
      </c>
      <c r="J21" s="4" t="s">
        <v>239</v>
      </c>
    </row>
    <row r="22" spans="1:10" x14ac:dyDescent="0.3">
      <c r="A22" s="4" t="s">
        <v>12</v>
      </c>
      <c r="B22" s="4" t="s">
        <v>13</v>
      </c>
      <c r="C22" s="4" t="s">
        <v>14</v>
      </c>
      <c r="D22" s="5" t="s">
        <v>242</v>
      </c>
      <c r="E22" s="6" t="s">
        <v>54</v>
      </c>
      <c r="F22" s="5" t="s">
        <v>251</v>
      </c>
      <c r="G22" s="5" t="s">
        <v>179</v>
      </c>
      <c r="H22" s="8" t="s">
        <v>19</v>
      </c>
      <c r="I22" s="6">
        <v>2270270.2702702703</v>
      </c>
      <c r="J22" s="4" t="s">
        <v>239</v>
      </c>
    </row>
    <row r="23" spans="1:10" x14ac:dyDescent="0.3">
      <c r="A23" s="4" t="s">
        <v>12</v>
      </c>
      <c r="B23" s="4" t="s">
        <v>13</v>
      </c>
      <c r="C23" s="4" t="s">
        <v>14</v>
      </c>
      <c r="D23" s="5" t="s">
        <v>242</v>
      </c>
      <c r="E23" s="6" t="s">
        <v>54</v>
      </c>
      <c r="F23" s="5" t="s">
        <v>199</v>
      </c>
      <c r="G23" s="5" t="s">
        <v>200</v>
      </c>
      <c r="H23" s="8" t="s">
        <v>19</v>
      </c>
      <c r="I23" s="6">
        <v>3935135.1351351351</v>
      </c>
      <c r="J23" s="4" t="s">
        <v>239</v>
      </c>
    </row>
    <row r="24" spans="1:10" x14ac:dyDescent="0.3">
      <c r="A24" s="4" t="s">
        <v>12</v>
      </c>
      <c r="B24" s="4" t="s">
        <v>13</v>
      </c>
      <c r="C24" s="4" t="s">
        <v>14</v>
      </c>
      <c r="D24" s="5" t="s">
        <v>242</v>
      </c>
      <c r="E24" s="6" t="s">
        <v>54</v>
      </c>
      <c r="F24" s="43" t="s">
        <v>252</v>
      </c>
      <c r="G24" s="43" t="s">
        <v>253</v>
      </c>
      <c r="H24" s="8" t="s">
        <v>19</v>
      </c>
      <c r="I24" s="6">
        <v>2270270.2702702703</v>
      </c>
      <c r="J24" s="4" t="s">
        <v>239</v>
      </c>
    </row>
    <row r="25" spans="1:10" x14ac:dyDescent="0.3">
      <c r="A25" s="4" t="s">
        <v>12</v>
      </c>
      <c r="B25" s="4" t="s">
        <v>13</v>
      </c>
      <c r="C25" s="4" t="s">
        <v>14</v>
      </c>
      <c r="D25" s="5" t="s">
        <v>242</v>
      </c>
      <c r="E25" s="6" t="s">
        <v>54</v>
      </c>
      <c r="F25" s="6" t="s">
        <v>230</v>
      </c>
      <c r="G25" s="6" t="s">
        <v>197</v>
      </c>
      <c r="H25" s="8" t="s">
        <v>181</v>
      </c>
      <c r="I25" s="6">
        <v>4540540.5405405406</v>
      </c>
      <c r="J25" s="4" t="s">
        <v>239</v>
      </c>
    </row>
    <row r="26" spans="1:10" x14ac:dyDescent="0.3">
      <c r="A26" s="4" t="s">
        <v>12</v>
      </c>
      <c r="B26" s="4" t="s">
        <v>13</v>
      </c>
      <c r="C26" s="4" t="s">
        <v>14</v>
      </c>
      <c r="D26" s="5" t="s">
        <v>242</v>
      </c>
      <c r="E26" s="6" t="s">
        <v>54</v>
      </c>
      <c r="F26" s="5" t="s">
        <v>180</v>
      </c>
      <c r="G26" s="5" t="s">
        <v>179</v>
      </c>
      <c r="H26" s="8" t="s">
        <v>19</v>
      </c>
      <c r="I26" s="6">
        <v>2270270.2702702703</v>
      </c>
      <c r="J26" s="4" t="s">
        <v>239</v>
      </c>
    </row>
    <row r="27" spans="1:10" ht="43.2" x14ac:dyDescent="0.3">
      <c r="A27" s="4" t="s">
        <v>12</v>
      </c>
      <c r="B27" s="4" t="s">
        <v>13</v>
      </c>
      <c r="C27" s="4" t="s">
        <v>14</v>
      </c>
      <c r="D27" s="5" t="s">
        <v>242</v>
      </c>
      <c r="E27" s="6" t="s">
        <v>54</v>
      </c>
      <c r="F27" s="43" t="s">
        <v>254</v>
      </c>
      <c r="G27" s="43" t="s">
        <v>253</v>
      </c>
      <c r="H27" s="8" t="s">
        <v>19</v>
      </c>
      <c r="I27" s="6">
        <v>2270270.2702702703</v>
      </c>
      <c r="J27" s="4" t="s">
        <v>239</v>
      </c>
    </row>
    <row r="28" spans="1:10" x14ac:dyDescent="0.3">
      <c r="A28" s="4" t="s">
        <v>12</v>
      </c>
      <c r="B28" s="4" t="s">
        <v>13</v>
      </c>
      <c r="C28" s="4" t="s">
        <v>14</v>
      </c>
      <c r="D28" s="5" t="s">
        <v>242</v>
      </c>
      <c r="E28" s="6" t="s">
        <v>54</v>
      </c>
      <c r="F28" s="43" t="s">
        <v>255</v>
      </c>
      <c r="G28" s="43" t="s">
        <v>256</v>
      </c>
      <c r="H28" s="8" t="s">
        <v>19</v>
      </c>
      <c r="I28" s="6">
        <v>2951351.351351351</v>
      </c>
      <c r="J28" s="4" t="s">
        <v>239</v>
      </c>
    </row>
    <row r="29" spans="1:10" ht="43.2" x14ac:dyDescent="0.3">
      <c r="A29" s="4" t="s">
        <v>12</v>
      </c>
      <c r="B29" s="4" t="s">
        <v>13</v>
      </c>
      <c r="C29" s="4" t="s">
        <v>14</v>
      </c>
      <c r="D29" s="5" t="s">
        <v>242</v>
      </c>
      <c r="E29" s="6" t="s">
        <v>54</v>
      </c>
      <c r="F29" s="43" t="s">
        <v>257</v>
      </c>
      <c r="G29" s="43" t="s">
        <v>26</v>
      </c>
      <c r="H29" s="8" t="s">
        <v>19</v>
      </c>
      <c r="I29" s="6">
        <v>4389189.1891891891</v>
      </c>
      <c r="J29" s="4" t="s">
        <v>241</v>
      </c>
    </row>
    <row r="30" spans="1:10" x14ac:dyDescent="0.3">
      <c r="A30" s="4" t="s">
        <v>12</v>
      </c>
      <c r="B30" s="4" t="s">
        <v>13</v>
      </c>
      <c r="C30" s="4" t="s">
        <v>14</v>
      </c>
      <c r="D30" s="5" t="s">
        <v>242</v>
      </c>
      <c r="E30" s="6" t="s">
        <v>54</v>
      </c>
      <c r="F30" s="6" t="s">
        <v>258</v>
      </c>
      <c r="G30" s="6" t="s">
        <v>259</v>
      </c>
      <c r="H30" s="8" t="s">
        <v>19</v>
      </c>
      <c r="I30" s="6">
        <v>3632432.4324324322</v>
      </c>
      <c r="J30" s="4" t="s">
        <v>239</v>
      </c>
    </row>
    <row r="31" spans="1:10" ht="43.2" x14ac:dyDescent="0.3">
      <c r="A31" s="4" t="s">
        <v>12</v>
      </c>
      <c r="B31" s="4" t="s">
        <v>13</v>
      </c>
      <c r="C31" s="4" t="s">
        <v>14</v>
      </c>
      <c r="D31" s="5" t="s">
        <v>242</v>
      </c>
      <c r="E31" s="6" t="s">
        <v>54</v>
      </c>
      <c r="F31" s="43" t="s">
        <v>260</v>
      </c>
      <c r="G31" s="43" t="s">
        <v>261</v>
      </c>
      <c r="H31" s="8" t="s">
        <v>19</v>
      </c>
      <c r="I31" s="6">
        <v>4086486.4864864862</v>
      </c>
      <c r="J31" s="4" t="s">
        <v>272</v>
      </c>
    </row>
    <row r="32" spans="1:10" x14ac:dyDescent="0.3">
      <c r="A32" s="4" t="s">
        <v>12</v>
      </c>
      <c r="B32" s="4" t="s">
        <v>13</v>
      </c>
      <c r="C32" s="4" t="s">
        <v>14</v>
      </c>
      <c r="D32" s="5" t="s">
        <v>242</v>
      </c>
      <c r="E32" s="6" t="s">
        <v>54</v>
      </c>
      <c r="F32" s="5" t="s">
        <v>27</v>
      </c>
      <c r="G32" s="5" t="s">
        <v>26</v>
      </c>
      <c r="H32" s="8" t="s">
        <v>19</v>
      </c>
      <c r="I32" s="6">
        <v>4389189.1891891891</v>
      </c>
      <c r="J32" s="4" t="s">
        <v>241</v>
      </c>
    </row>
    <row r="33" spans="1:10" x14ac:dyDescent="0.3">
      <c r="A33" s="4" t="s">
        <v>12</v>
      </c>
      <c r="B33" s="4" t="s">
        <v>13</v>
      </c>
      <c r="C33" s="4" t="s">
        <v>14</v>
      </c>
      <c r="D33" s="5" t="s">
        <v>242</v>
      </c>
      <c r="E33" s="6" t="s">
        <v>54</v>
      </c>
      <c r="F33" s="6" t="s">
        <v>262</v>
      </c>
      <c r="G33" s="6" t="s">
        <v>246</v>
      </c>
      <c r="H33" s="8" t="s">
        <v>19</v>
      </c>
      <c r="I33" s="6">
        <v>2724324.3243243243</v>
      </c>
      <c r="J33" s="4" t="s">
        <v>239</v>
      </c>
    </row>
    <row r="34" spans="1:10" x14ac:dyDescent="0.3">
      <c r="A34" s="4" t="s">
        <v>12</v>
      </c>
      <c r="B34" s="4" t="s">
        <v>13</v>
      </c>
      <c r="C34" s="4" t="s">
        <v>14</v>
      </c>
      <c r="D34" s="5" t="s">
        <v>242</v>
      </c>
      <c r="E34" s="6" t="s">
        <v>54</v>
      </c>
      <c r="F34" s="6" t="s">
        <v>263</v>
      </c>
      <c r="G34" s="6" t="s">
        <v>246</v>
      </c>
      <c r="H34" s="8" t="s">
        <v>19</v>
      </c>
      <c r="I34" s="6">
        <v>2724324.3243243243</v>
      </c>
      <c r="J34" s="4" t="s">
        <v>239</v>
      </c>
    </row>
    <row r="35" spans="1:10" x14ac:dyDescent="0.3">
      <c r="A35" s="4" t="s">
        <v>12</v>
      </c>
      <c r="B35" s="4" t="s">
        <v>13</v>
      </c>
      <c r="C35" s="4" t="s">
        <v>14</v>
      </c>
      <c r="D35" s="5" t="s">
        <v>242</v>
      </c>
      <c r="E35" s="6" t="s">
        <v>54</v>
      </c>
      <c r="F35" s="5" t="s">
        <v>176</v>
      </c>
      <c r="G35" s="5" t="s">
        <v>264</v>
      </c>
      <c r="H35" s="8" t="s">
        <v>19</v>
      </c>
      <c r="I35" s="6">
        <v>4389189.1891891891</v>
      </c>
      <c r="J35" s="4" t="s">
        <v>241</v>
      </c>
    </row>
    <row r="36" spans="1:10" x14ac:dyDescent="0.3">
      <c r="A36" s="4" t="s">
        <v>12</v>
      </c>
      <c r="B36" s="4" t="s">
        <v>13</v>
      </c>
      <c r="C36" s="4" t="s">
        <v>14</v>
      </c>
      <c r="D36" s="5" t="s">
        <v>242</v>
      </c>
      <c r="E36" s="6" t="s">
        <v>54</v>
      </c>
      <c r="F36" s="6" t="s">
        <v>265</v>
      </c>
      <c r="G36" s="6" t="s">
        <v>192</v>
      </c>
      <c r="H36" s="8" t="s">
        <v>19</v>
      </c>
      <c r="I36" s="6">
        <v>3632432.4324324322</v>
      </c>
      <c r="J36" s="4" t="s">
        <v>239</v>
      </c>
    </row>
    <row r="37" spans="1:10" x14ac:dyDescent="0.3">
      <c r="A37" s="4" t="s">
        <v>12</v>
      </c>
      <c r="B37" s="4" t="s">
        <v>13</v>
      </c>
      <c r="C37" s="4" t="s">
        <v>14</v>
      </c>
      <c r="D37" s="5" t="s">
        <v>242</v>
      </c>
      <c r="E37" s="6" t="s">
        <v>54</v>
      </c>
      <c r="F37" s="6" t="s">
        <v>266</v>
      </c>
      <c r="G37" s="6" t="s">
        <v>267</v>
      </c>
      <c r="H37" s="8" t="s">
        <v>19</v>
      </c>
      <c r="I37" s="6">
        <v>3027027.0270270268</v>
      </c>
      <c r="J37" s="4" t="s">
        <v>239</v>
      </c>
    </row>
    <row r="38" spans="1:10" x14ac:dyDescent="0.3">
      <c r="A38" s="4" t="s">
        <v>12</v>
      </c>
      <c r="B38" s="4" t="s">
        <v>13</v>
      </c>
      <c r="C38" s="4" t="s">
        <v>14</v>
      </c>
      <c r="D38" s="5" t="s">
        <v>242</v>
      </c>
      <c r="E38" s="6" t="s">
        <v>54</v>
      </c>
      <c r="F38" s="6" t="s">
        <v>106</v>
      </c>
      <c r="G38" s="6" t="s">
        <v>219</v>
      </c>
      <c r="H38" s="8" t="s">
        <v>268</v>
      </c>
      <c r="I38" s="6">
        <v>1664864.8648648649</v>
      </c>
      <c r="J38" s="4" t="s">
        <v>239</v>
      </c>
    </row>
    <row r="39" spans="1:10" x14ac:dyDescent="0.3">
      <c r="A39" s="4" t="s">
        <v>12</v>
      </c>
      <c r="B39" s="4" t="s">
        <v>13</v>
      </c>
      <c r="C39" s="4" t="s">
        <v>14</v>
      </c>
      <c r="D39" s="5" t="s">
        <v>242</v>
      </c>
      <c r="E39" s="6" t="s">
        <v>54</v>
      </c>
      <c r="F39" s="6" t="s">
        <v>269</v>
      </c>
      <c r="G39" s="6" t="s">
        <v>225</v>
      </c>
      <c r="H39" s="8" t="s">
        <v>268</v>
      </c>
      <c r="I39" s="6">
        <v>2118918.9189189188</v>
      </c>
      <c r="J39" s="4" t="s">
        <v>239</v>
      </c>
    </row>
    <row r="40" spans="1:10" x14ac:dyDescent="0.3">
      <c r="A40" s="4" t="s">
        <v>12</v>
      </c>
      <c r="B40" s="4" t="s">
        <v>13</v>
      </c>
      <c r="C40" s="4" t="s">
        <v>14</v>
      </c>
      <c r="D40" s="5" t="s">
        <v>242</v>
      </c>
      <c r="E40" s="6" t="s">
        <v>54</v>
      </c>
      <c r="F40" s="6" t="s">
        <v>149</v>
      </c>
      <c r="G40" s="6" t="s">
        <v>150</v>
      </c>
      <c r="H40" s="8" t="s">
        <v>35</v>
      </c>
      <c r="I40" s="6">
        <v>2800000</v>
      </c>
      <c r="J40" s="4" t="s">
        <v>239</v>
      </c>
    </row>
    <row r="41" spans="1:10" x14ac:dyDescent="0.3">
      <c r="A41" s="4" t="s">
        <v>12</v>
      </c>
      <c r="B41" s="4" t="s">
        <v>13</v>
      </c>
      <c r="C41" s="4" t="s">
        <v>14</v>
      </c>
      <c r="D41" s="5" t="s">
        <v>242</v>
      </c>
      <c r="E41" s="6" t="s">
        <v>54</v>
      </c>
      <c r="F41" s="6" t="s">
        <v>270</v>
      </c>
      <c r="G41" s="6" t="s">
        <v>225</v>
      </c>
      <c r="H41" s="8" t="s">
        <v>35</v>
      </c>
      <c r="I41" s="6">
        <v>2118918.9189189188</v>
      </c>
      <c r="J41" s="4" t="s">
        <v>239</v>
      </c>
    </row>
    <row r="42" spans="1:10" x14ac:dyDescent="0.3">
      <c r="A42" s="4" t="s">
        <v>12</v>
      </c>
      <c r="B42" s="4" t="s">
        <v>13</v>
      </c>
      <c r="C42" s="4" t="s">
        <v>14</v>
      </c>
      <c r="D42" s="5" t="s">
        <v>242</v>
      </c>
      <c r="E42" s="6" t="s">
        <v>54</v>
      </c>
      <c r="F42" s="6" t="s">
        <v>33</v>
      </c>
      <c r="G42" s="6" t="s">
        <v>34</v>
      </c>
      <c r="H42" s="8" t="s">
        <v>35</v>
      </c>
      <c r="I42" s="6">
        <v>2270270.2702702703</v>
      </c>
      <c r="J42" s="4" t="s">
        <v>239</v>
      </c>
    </row>
    <row r="43" spans="1:10" x14ac:dyDescent="0.3">
      <c r="A43" s="4" t="s">
        <v>12</v>
      </c>
      <c r="B43" s="4" t="s">
        <v>13</v>
      </c>
      <c r="C43" s="4" t="s">
        <v>14</v>
      </c>
      <c r="D43" s="5" t="s">
        <v>242</v>
      </c>
      <c r="E43" s="6" t="s">
        <v>54</v>
      </c>
      <c r="F43" s="6" t="s">
        <v>159</v>
      </c>
      <c r="G43" s="6" t="s">
        <v>160</v>
      </c>
      <c r="H43" s="8" t="s">
        <v>35</v>
      </c>
      <c r="I43" s="6">
        <v>2800000</v>
      </c>
      <c r="J43" s="4" t="s">
        <v>239</v>
      </c>
    </row>
    <row r="44" spans="1:10" x14ac:dyDescent="0.3">
      <c r="A44" s="4" t="s">
        <v>12</v>
      </c>
      <c r="B44" s="4" t="s">
        <v>13</v>
      </c>
      <c r="C44" s="4" t="s">
        <v>14</v>
      </c>
      <c r="D44" s="5" t="s">
        <v>242</v>
      </c>
      <c r="E44" s="6" t="s">
        <v>54</v>
      </c>
      <c r="F44" s="6" t="s">
        <v>271</v>
      </c>
      <c r="G44" s="6" t="s">
        <v>157</v>
      </c>
      <c r="H44" s="8" t="s">
        <v>35</v>
      </c>
      <c r="I44" s="6">
        <v>3632432.4324324322</v>
      </c>
      <c r="J44" s="4" t="s">
        <v>239</v>
      </c>
    </row>
    <row r="46" spans="1:10" ht="28.8" x14ac:dyDescent="0.3">
      <c r="A46" s="1" t="s">
        <v>1</v>
      </c>
      <c r="B46" s="1" t="s">
        <v>2</v>
      </c>
      <c r="C46" s="1" t="s">
        <v>3</v>
      </c>
      <c r="D46" s="2" t="s">
        <v>4</v>
      </c>
      <c r="E46" s="3" t="s">
        <v>5</v>
      </c>
      <c r="F46" s="3" t="s">
        <v>6</v>
      </c>
      <c r="G46" s="3" t="s">
        <v>7</v>
      </c>
      <c r="H46" s="3" t="s">
        <v>8</v>
      </c>
      <c r="I46" s="48" t="s">
        <v>37</v>
      </c>
      <c r="J46" s="1" t="s">
        <v>238</v>
      </c>
    </row>
    <row r="47" spans="1:10" x14ac:dyDescent="0.3">
      <c r="A47" s="4" t="s">
        <v>12</v>
      </c>
      <c r="B47" s="4" t="s">
        <v>13</v>
      </c>
      <c r="C47" s="4" t="s">
        <v>46</v>
      </c>
      <c r="D47" s="5" t="s">
        <v>242</v>
      </c>
      <c r="E47" s="6" t="s">
        <v>54</v>
      </c>
      <c r="F47" s="5" t="s">
        <v>203</v>
      </c>
      <c r="G47" s="5" t="s">
        <v>189</v>
      </c>
      <c r="H47" s="8" t="s">
        <v>19</v>
      </c>
      <c r="I47" s="24">
        <v>1850000</v>
      </c>
      <c r="J47" s="4" t="s">
        <v>239</v>
      </c>
    </row>
    <row r="48" spans="1:10" x14ac:dyDescent="0.3">
      <c r="A48" s="4" t="s">
        <v>12</v>
      </c>
      <c r="B48" s="4" t="s">
        <v>13</v>
      </c>
      <c r="C48" s="4" t="s">
        <v>46</v>
      </c>
      <c r="D48" s="5" t="s">
        <v>242</v>
      </c>
      <c r="E48" s="6" t="s">
        <v>54</v>
      </c>
      <c r="F48" s="43" t="s">
        <v>252</v>
      </c>
      <c r="G48" s="6" t="s">
        <v>253</v>
      </c>
      <c r="H48" s="8" t="s">
        <v>19</v>
      </c>
      <c r="I48" s="24">
        <v>1370000</v>
      </c>
      <c r="J48" s="4" t="s">
        <v>239</v>
      </c>
    </row>
    <row r="49" spans="1:10" x14ac:dyDescent="0.3">
      <c r="A49" s="4" t="s">
        <v>12</v>
      </c>
      <c r="B49" s="4" t="s">
        <v>13</v>
      </c>
      <c r="C49" s="4" t="s">
        <v>46</v>
      </c>
      <c r="D49" s="5" t="s">
        <v>242</v>
      </c>
      <c r="E49" s="6" t="s">
        <v>54</v>
      </c>
      <c r="F49" s="6" t="s">
        <v>271</v>
      </c>
      <c r="G49" s="5" t="s">
        <v>157</v>
      </c>
      <c r="H49" s="8" t="s">
        <v>35</v>
      </c>
      <c r="I49" s="24">
        <v>2430000</v>
      </c>
      <c r="J49" s="4" t="s">
        <v>239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ILERA</vt:lpstr>
      <vt:lpstr>K&amp;D</vt:lpstr>
      <vt:lpstr>SASO</vt:lpstr>
      <vt:lpstr>VAndera</vt:lpstr>
      <vt:lpstr>Mega-Manu</vt:lpstr>
      <vt:lpstr>Natural Beauty</vt:lpstr>
      <vt:lpstr>JAMARA</vt:lpstr>
      <vt:lpstr>Interstyle</vt:lpstr>
      <vt:lpstr>IHS</vt:lpstr>
      <vt:lpstr>JMG</vt:lpstr>
      <vt:lpstr>Lacasera Palatized</vt:lpstr>
      <vt:lpstr>Lacasera Jumbo</vt:lpstr>
      <vt:lpstr>JAT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 Dayekh</dc:creator>
  <cp:lastModifiedBy>Mohamad  Dayekh</cp:lastModifiedBy>
  <dcterms:created xsi:type="dcterms:W3CDTF">2026-06-19T10:46:46Z</dcterms:created>
  <dcterms:modified xsi:type="dcterms:W3CDTF">2026-10-05T14:53:56Z</dcterms:modified>
</cp:coreProperties>
</file>