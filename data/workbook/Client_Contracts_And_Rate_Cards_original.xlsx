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lient Route And Contracts" sheetId="2" state="visible" r:id="rId2"/>
    <sheet xmlns:r="http://schemas.openxmlformats.org/officeDocument/2006/relationships" name="NEW-DSL JMR" sheetId="3" state="hidden" r:id="rId3"/>
    <sheet xmlns:r="http://schemas.openxmlformats.org/officeDocument/2006/relationships" name="Name Changes" sheetId="4" state="visible" r:id="rId4"/>
  </sheets>
  <externalReferences>
    <externalReference xmlns:r="http://schemas.openxmlformats.org/officeDocument/2006/relationships" r:id="rId6"/>
  </externalReferences>
  <definedNames>
    <definedName name="\0">#REF!</definedName>
    <definedName name="\X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311_H">#REF!</definedName>
    <definedName name="_BOM2">#REF!</definedName>
    <definedName name="_COL1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#REF!</definedName>
    <definedName name="_hdr1">#REF!</definedName>
    <definedName name="_hdr2">#REF!</definedName>
    <definedName name="_hdr22">#REF!</definedName>
    <definedName name="_MAK1">#REF!</definedName>
    <definedName name="_MAK2">#REF!</definedName>
    <definedName name="_MAK3">#REF!</definedName>
    <definedName name="_MAK4">#REF!</definedName>
    <definedName name="_ONE1">#REF!</definedName>
    <definedName name="_Order1" hidden="1">0</definedName>
    <definedName name="_ROW1">#REF!</definedName>
    <definedName name="_SIX1">#REF!</definedName>
    <definedName name="_Sort" hidden="1">#REF!</definedName>
    <definedName name="_TEN1">#REF!</definedName>
    <definedName name="_TWO1">#REF!</definedName>
    <definedName name="○">#REF!</definedName>
    <definedName name="a">#REF!</definedName>
    <definedName name="A11A">#REF!</definedName>
    <definedName name="A11B">#REF!</definedName>
    <definedName name="A12A">#REF!</definedName>
    <definedName name="A12B">#REF!</definedName>
    <definedName name="A13A">#REF!</definedName>
    <definedName name="A13B">#REF!</definedName>
    <definedName name="A14A">#REF!</definedName>
    <definedName name="A14B">#REF!</definedName>
    <definedName name="A15A">#REF!</definedName>
    <definedName name="A15B">#REF!</definedName>
    <definedName name="A16A">#REF!</definedName>
    <definedName name="A16B">#REF!</definedName>
    <definedName name="A17A">#REF!</definedName>
    <definedName name="A17B">#REF!</definedName>
    <definedName name="A18A">#REF!</definedName>
    <definedName name="A18B">#REF!</definedName>
    <definedName name="A19A">#REF!</definedName>
    <definedName name="A19B">#REF!</definedName>
    <definedName name="A20A">#REF!</definedName>
    <definedName name="A20B">#REF!</definedName>
    <definedName name="A21A">#REF!</definedName>
    <definedName name="A21B">#REF!</definedName>
    <definedName name="A22A">#REF!</definedName>
    <definedName name="A22B">#REF!</definedName>
    <definedName name="A23A">#REF!</definedName>
    <definedName name="A23B">#REF!</definedName>
    <definedName name="A24A">#REF!</definedName>
    <definedName name="A24B">#REF!</definedName>
    <definedName name="A25A">#REF!</definedName>
    <definedName name="A25B">#REF!</definedName>
    <definedName name="AA">#REF!</definedName>
    <definedName name="aaaa">#REF!</definedName>
    <definedName name="aaaaaaaaaaaa">#REF!</definedName>
    <definedName name="Accountable_Profit">#REF!</definedName>
    <definedName name="Agent">#REF!</definedName>
    <definedName name="ALL">#REF!</definedName>
    <definedName name="AllocP1">#REF!</definedName>
    <definedName name="AllocP2">#REF!</definedName>
    <definedName name="AllParts">#REF!</definedName>
    <definedName name="AllPartsII">#REF!</definedName>
    <definedName name="AllPieceParts">#REF!</definedName>
    <definedName name="AltTable">#REF!</definedName>
    <definedName name="ANKA">#REF!</definedName>
    <definedName name="ANSO">#REF!</definedName>
    <definedName name="APPS_Month">#REF!</definedName>
    <definedName name="APPS_YTD">#REF!</definedName>
    <definedName name="April_YTD_DPP_3300_3500_Summari">#REF!</definedName>
    <definedName name="APS_Month">#REF!</definedName>
    <definedName name="APS_YTD">#REF!</definedName>
    <definedName name="AReview">#REF!</definedName>
    <definedName name="AS2DocOpenMode" hidden="1">"AS2DocumentEdit"</definedName>
    <definedName name="ascasdcac">#REF!</definedName>
    <definedName name="asdsdsdsd">#REF!</definedName>
    <definedName name="Assembly">#REF!</definedName>
    <definedName name="AUKA">#REF!</definedName>
    <definedName name="AUSO">#REF!</definedName>
    <definedName name="Barge">#REF!</definedName>
    <definedName name="BASE_TIME">#REF!</definedName>
    <definedName name="BASE_TIME_YTD">#REF!</definedName>
    <definedName name="BaseCost">#REF!</definedName>
    <definedName name="BD_Perc">#REF!</definedName>
    <definedName name="BlankSpace">#REF!</definedName>
    <definedName name="BOM">#REF!</definedName>
    <definedName name="BOMLT">#REF!</definedName>
    <definedName name="BOMLTII">#REF!</definedName>
    <definedName name="BRAN">#REF!</definedName>
    <definedName name="BRANC">#REF!</definedName>
    <definedName name="BU_list">#REF!</definedName>
    <definedName name="businessunit">#REF!</definedName>
    <definedName name="CALC">#REF!</definedName>
    <definedName name="CALCULATE">#REF!</definedName>
    <definedName name="CASHFLOW">#REF!</definedName>
    <definedName name="Cat_Brnd_Dsgn_Month">#REF!</definedName>
    <definedName name="Cat_Brnd_Dsgn_YTD">#REF!</definedName>
    <definedName name="CFVYR1">#REF!</definedName>
    <definedName name="CFYR1">#REF!</definedName>
    <definedName name="CFYR2">#REF!</definedName>
    <definedName name="ChildBom">#REF!</definedName>
    <definedName name="CHOICE1">#REF!</definedName>
    <definedName name="Client">"Client"</definedName>
    <definedName name="Client_Grade">"C"</definedName>
    <definedName name="CODE">#REF!</definedName>
    <definedName name="ColumnTitle1">#REF!</definedName>
    <definedName name="Comp_Month">#REF!</definedName>
    <definedName name="Comp_YTD">#REF!</definedName>
    <definedName name="Company">#REF!</definedName>
    <definedName name="ContAccessorials">#REF!</definedName>
    <definedName name="ContainerDestLandCost">#REF!</definedName>
    <definedName name="ContainerLandToLandCost">#REF!</definedName>
    <definedName name="ContainerOcean">#REF!</definedName>
    <definedName name="ContainerOriginLandCost">#REF!</definedName>
    <definedName name="ContainerTranspCost">#REF!</definedName>
    <definedName name="ContLandFactor">#REF!</definedName>
    <definedName name="COS">#REF!</definedName>
    <definedName name="Cost">#REF!</definedName>
    <definedName name="CostInput">#REF!</definedName>
    <definedName name="CostTable4">#REF!</definedName>
    <definedName name="CostTable5">#REF!</definedName>
    <definedName name="Country">#REF!</definedName>
    <definedName name="CPLRtrv1">#REF!</definedName>
    <definedName name="CPLRtrv2">#REF!</definedName>
    <definedName name="Criteria_3_1">#REF!</definedName>
    <definedName name="Criteria_3_2">#REF!</definedName>
    <definedName name="Criteria_3_3">#REF!</definedName>
    <definedName name="Criteria_4_1">#REF!</definedName>
    <definedName name="Criteria_4_2">#REF!</definedName>
    <definedName name="Criteria_4_3">#REF!</definedName>
    <definedName name="Criteria_5_1">#REF!</definedName>
    <definedName name="Criteria_5_2">#REF!</definedName>
    <definedName name="Criteria_5_3">#REF!</definedName>
    <definedName name="Criteria_6_1">#REF!</definedName>
    <definedName name="Criteria_6_2">#REF!</definedName>
    <definedName name="Criteria_6_3">#REF!</definedName>
    <definedName name="Criteria_7_1">#REF!</definedName>
    <definedName name="Criteria_7_2">#REF!</definedName>
    <definedName name="Criteria_7_3">#REF!</definedName>
    <definedName name="CSHFLOW">#REF!</definedName>
    <definedName name="CSHFLOW1">#REF!</definedName>
    <definedName name="CubeSize">#REF!</definedName>
    <definedName name="CurrentMonth">#REF!</definedName>
    <definedName name="Customer_Address">"Rm 2409, 24/F Winsor House"</definedName>
    <definedName name="Customer_City">"Causeway Bay, Hong KOng"</definedName>
    <definedName name="Customer_Name">#REF!</definedName>
    <definedName name="Customer_State">"Hong KOng"</definedName>
    <definedName name="Customer_ZIP">"sdf"</definedName>
    <definedName name="DATA">#REF!</definedName>
    <definedName name="_xlnm.Database">#REF!</definedName>
    <definedName name="DataMkt">#REF!</definedName>
    <definedName name="DataNPC">#REF!</definedName>
    <definedName name="DataPivot">#REF!</definedName>
    <definedName name="DateRange">"1998.10.01 To 1998.10.31"</definedName>
    <definedName name="dbo_tblMultiModels">#REF!</definedName>
    <definedName name="DecHdr">#REF!</definedName>
    <definedName name="DEPSCHD">#REF!</definedName>
    <definedName name="DIMENS_1">#REF!</definedName>
    <definedName name="DIMENS_2">#REF!</definedName>
    <definedName name="DIMENS_3">#REF!</definedName>
    <definedName name="DIMENS_4">#REF!</definedName>
    <definedName name="DIMENS_5">#REF!</definedName>
    <definedName name="DIMENS_6">#REF!</definedName>
    <definedName name="DIMENS_7">#REF!</definedName>
    <definedName name="DIMENS_8">#REF!</definedName>
    <definedName name="Discount">#REF!</definedName>
    <definedName name="Display_Component_Design_Information">#REF!</definedName>
    <definedName name="Division">'[1]BP Setup'!$C$6:$C$45</definedName>
    <definedName name="DPP_3300_3500_Summed_Dec_YTD_20">#REF!</definedName>
    <definedName name="DPP_June_YTD_3300_3500_Summed">#REF!</definedName>
    <definedName name="DPP_Month">#REF!</definedName>
    <definedName name="DPP_YTD">#REF!</definedName>
    <definedName name="Duty">#REF!</definedName>
    <definedName name="Dynamics">#REF!</definedName>
    <definedName name="E_Rate">#REF!</definedName>
    <definedName name="EAME_Month">#REF!</definedName>
    <definedName name="EAME_YTD">#REF!</definedName>
    <definedName name="eee">#REF!</definedName>
    <definedName name="EIGHT">#REF!</definedName>
    <definedName name="EIGHT1">#REF!</definedName>
    <definedName name="EIN">#REF!</definedName>
    <definedName name="EngTable">#REF!</definedName>
    <definedName name="ENTDATA">#REF!</definedName>
    <definedName name="EP_Admin_Month">#REF!</definedName>
    <definedName name="EP_Admin_YTD">#REF!</definedName>
    <definedName name="EPG___entire_RFP_by_plant">#REF!</definedName>
    <definedName name="EPNA_Month">#REF!</definedName>
    <definedName name="EPNA_YTD">#REF!</definedName>
    <definedName name="EPNA123">#REF!</definedName>
    <definedName name="EPRINT">#REF!</definedName>
    <definedName name="EQUIPMENT">#REF!</definedName>
    <definedName name="Equipment_Database">#REF!</definedName>
    <definedName name="Equipmenttt">#REF!</definedName>
    <definedName name="EVIEW">#REF!</definedName>
    <definedName name="Ex_CNY_08BP">#REF!</definedName>
    <definedName name="Ex_INR">#REF!</definedName>
    <definedName name="Ex_INR_2010">#REF!</definedName>
    <definedName name="Ex_INR_2015">#REF!</definedName>
    <definedName name="ExBRL">#REF!</definedName>
    <definedName name="ExBrP">#REF!</definedName>
    <definedName name="ExEur">#REF!</definedName>
    <definedName name="ExINR">#REF!</definedName>
    <definedName name="ExRMB">#REF!</definedName>
    <definedName name="F_A_INPUT_JV">#REF!</definedName>
    <definedName name="F_A_SENST_JV">#REF!</definedName>
    <definedName name="F1_Server">"Server Name"</definedName>
    <definedName name="F1_Server_1">"HK-CILLIN"</definedName>
    <definedName name="F1_Server_2">""</definedName>
    <definedName name="F1_Server_3">""</definedName>
    <definedName name="F1_Server_4">""</definedName>
    <definedName name="F1_Server_5">""</definedName>
    <definedName name="F1_Service">"Service "</definedName>
    <definedName name="F1_Service_1">"InterScan NT"</definedName>
    <definedName name="F1_Service_2">""</definedName>
    <definedName name="F1_Service_3">""</definedName>
    <definedName name="F1_Service_4">""</definedName>
    <definedName name="F1_Service_5">""</definedName>
    <definedName name="F1_Virus">"# of Viruses "</definedName>
    <definedName name="F1_virus_1">"1"</definedName>
    <definedName name="F1_virus_2">""</definedName>
    <definedName name="F1_virus_3">""</definedName>
    <definedName name="F1_virus_4">""</definedName>
    <definedName name="F1_virus_5">""</definedName>
    <definedName name="F3_Machine">"Machine Name"</definedName>
    <definedName name="F3_Machine_1">""</definedName>
    <definedName name="F3_Machine_2">""</definedName>
    <definedName name="F3_Machine_3">""</definedName>
    <definedName name="F3_Machine_4">""</definedName>
    <definedName name="F3_Machine_5">""</definedName>
    <definedName name="F3_Virus_1">""</definedName>
    <definedName name="F3_Virus_2">""</definedName>
    <definedName name="F3_Virus_3">""</definedName>
    <definedName name="F3_Virus_4">""</definedName>
    <definedName name="F3_Virus_5">""</definedName>
    <definedName name="F3_Viruses">"# of Viruses "</definedName>
    <definedName name="FGW_Month">#REF!</definedName>
    <definedName name="FGW_YTD">#REF!</definedName>
    <definedName name="Figure_1_Comment">""</definedName>
    <definedName name="Figure_1_Head">"Virus Entry Point Analysis ( Server )"</definedName>
    <definedName name="Figure_2_Head">"Overall Score"</definedName>
    <definedName name="Figure_3_Comment">""</definedName>
    <definedName name="Figure_3_Head">"Virus Entry Point Analysis ( Client )"</definedName>
    <definedName name="Figure_4_Comment">" 
"</definedName>
    <definedName name="Figure_4_Head">"Daily Virus Count"</definedName>
    <definedName name="Figure_5_Comment">" 
"</definedName>
    <definedName name="Figure_5_Head">"Virus Type Analysis"</definedName>
    <definedName name="Figure_6_Comment">" 
"</definedName>
    <definedName name="Figure_6_Head">"Common Viruses"</definedName>
    <definedName name="Figure_7_Comment">" 
"</definedName>
    <definedName name="Figure_7_Head">"Virus Source Analysis"</definedName>
    <definedName name="Figure_8_Comment">" 
"</definedName>
    <definedName name="Figure_8_Head">"Virus Destination Analysis"</definedName>
    <definedName name="FileName">#REF!</definedName>
    <definedName name="FileServer">"File Server"</definedName>
    <definedName name="FileServer_Grade">"C"</definedName>
    <definedName name="FILLZERO">#REF!</definedName>
    <definedName name="FIRSTYEAR">#REF!</definedName>
    <definedName name="Fitting">#REF!</definedName>
    <definedName name="FIVE">#REF!</definedName>
    <definedName name="FIVE1">#REF!</definedName>
    <definedName name="FIX">#REF!</definedName>
    <definedName name="FlowStatusQuo">#REF!</definedName>
    <definedName name="FOB">#REF!</definedName>
    <definedName name="Forecast_Summary">#REF!</definedName>
    <definedName name="FORMAT">#REF!</definedName>
    <definedName name="FormMRtrv2">#REF!</definedName>
    <definedName name="FormMRtrv3">#REF!</definedName>
    <definedName name="FormMSend1">#REF!</definedName>
    <definedName name="FOUR">#REF!</definedName>
    <definedName name="FOUR1">#REF!</definedName>
    <definedName name="FXRtrv1">#REF!</definedName>
    <definedName name="FXRtrv2">#REF!</definedName>
    <definedName name="gEEV">#REF!</definedName>
    <definedName name="Glb_Mktg_Month">#REF!</definedName>
    <definedName name="Glb_Mktg_YTD">#REF!</definedName>
    <definedName name="Grade">"C"</definedName>
    <definedName name="Grade_Level">"Grade "</definedName>
    <definedName name="gtsd">#REF!</definedName>
    <definedName name="hf">#REF!</definedName>
    <definedName name="hid_switch">#REF!</definedName>
    <definedName name="hidden">#REF!</definedName>
    <definedName name="HKI">#REF!</definedName>
    <definedName name="Home">#REF!</definedName>
    <definedName name="HOWMANY">#REF!</definedName>
    <definedName name="HPL_Month">#REF!</definedName>
    <definedName name="HPL_YTD">#REF!</definedName>
    <definedName name="id">#REF!</definedName>
    <definedName name="INFL1">#REF!</definedName>
    <definedName name="INFL2">#REF!</definedName>
    <definedName name="INFLATION">#REF!</definedName>
    <definedName name="INPUT">#REF!</definedName>
    <definedName name="INPUT_J.VENTURE">#REF!</definedName>
    <definedName name="Instruments_Database">#REF!</definedName>
    <definedName name="InternetProtection">"Internet Protection"</definedName>
    <definedName name="InternetProtection_Grade">"C"</definedName>
    <definedName name="IRR">#REF!</definedName>
    <definedName name="JunHdr">#REF!</definedName>
    <definedName name="JVDATA">#REF!</definedName>
    <definedName name="KONS">#REF!</definedName>
    <definedName name="KPI">#REF!</definedName>
    <definedName name="KPI_Inputs">#REF!</definedName>
    <definedName name="kri">#REF!</definedName>
    <definedName name="kuwhgeduqwebacjkbsjdkcbs">#REF!</definedName>
    <definedName name="L1FixPeriodCost">#REF!</definedName>
    <definedName name="L1FlexPeriodCost">#REF!</definedName>
    <definedName name="L1PBaseCost">#REF!</definedName>
    <definedName name="L1VarCost">#REF!</definedName>
    <definedName name="L2FixPeriodCost">#REF!</definedName>
    <definedName name="L2FlexPeriodCost">#REF!</definedName>
    <definedName name="L2NProdCost">#REF!</definedName>
    <definedName name="L2VarCost">#REF!</definedName>
    <definedName name="L3FixPeriodCost">#REF!</definedName>
    <definedName name="L3FlexPeriodCost">#REF!</definedName>
    <definedName name="L3NProdCost">#REF!</definedName>
    <definedName name="L3VarCost">#REF!</definedName>
    <definedName name="LandedIndia">#REF!</definedName>
    <definedName name="LAST">#REF!</definedName>
    <definedName name="LIFE">#REF!</definedName>
    <definedName name="Lister">#REF!</definedName>
    <definedName name="LISTPRICE">#REF!</definedName>
    <definedName name="Loadability">#REF!</definedName>
    <definedName name="Loc">#REF!</definedName>
    <definedName name="LPC_Month">#REF!</definedName>
    <definedName name="LPC_YTD">#REF!</definedName>
    <definedName name="LRF_EPG_Region__Bev_Fritz_">#REF!</definedName>
    <definedName name="M_ERESIDUAL">#REF!</definedName>
    <definedName name="macro1">#REF!</definedName>
    <definedName name="MailSystem">"Mail System"</definedName>
    <definedName name="MailSystem_Grade">"C"</definedName>
    <definedName name="Mbr_List">#REF!</definedName>
    <definedName name="mbr_no">#REF!</definedName>
    <definedName name="MbrAlias">#REF!</definedName>
    <definedName name="MbrName">#REF!</definedName>
    <definedName name="MENU">#REF!</definedName>
    <definedName name="Month">#REF!</definedName>
    <definedName name="MSH150X6X3">#REF!</definedName>
    <definedName name="mybit">#REF!</definedName>
    <definedName name="NAME">#REF!</definedName>
    <definedName name="namee">#REF!</definedName>
    <definedName name="Net_Sales_Transfers">#REF!</definedName>
    <definedName name="Networkptions">#REF!</definedName>
    <definedName name="NINE">#REF!</definedName>
    <definedName name="NINE1">#REF!</definedName>
    <definedName name="NoYes">#REF!</definedName>
    <definedName name="NPI_ADJ_AND_SALES_ORD">#REF!</definedName>
    <definedName name="NSK">#REF!</definedName>
    <definedName name="OcFreight">#REF!</definedName>
    <definedName name="OFF">#REF!</definedName>
    <definedName name="Olly_Summed_ACL">#REF!</definedName>
    <definedName name="OLY_Join___Apr_June">#REF!</definedName>
    <definedName name="OLY_Joined">#REF!</definedName>
    <definedName name="Oly_Rebrand_Joined_Final">#REF!</definedName>
    <definedName name="Oly_Rebrand_Summed">#REF!</definedName>
    <definedName name="OLY_Sep06_YTD_Summed___ACL">#REF!</definedName>
    <definedName name="ON">#REF!</definedName>
    <definedName name="ONE">#REF!</definedName>
    <definedName name="Operation">'[1]BP Setup'!$B$6:$B$45</definedName>
    <definedName name="OptimTime">#REF!</definedName>
    <definedName name="P1Land">#REF!</definedName>
    <definedName name="P2Land">#REF!</definedName>
    <definedName name="P3Land">#REF!</definedName>
    <definedName name="percent">#REF!</definedName>
    <definedName name="PERCENTAGE">#REF!</definedName>
    <definedName name="PIA_RPT">#REF!</definedName>
    <definedName name="PL_names">#REF!</definedName>
    <definedName name="PLBUflag">#REF!</definedName>
    <definedName name="PLBUflag2">#REF!</definedName>
    <definedName name="PLRtrv1">#REF!</definedName>
    <definedName name="PLRtrv2">#REF!</definedName>
    <definedName name="PondiApr">#REF!</definedName>
    <definedName name="PondiAug">#REF!</definedName>
    <definedName name="PondiDec">#REF!</definedName>
    <definedName name="PondiFeb">#REF!</definedName>
    <definedName name="PondiJan">#REF!</definedName>
    <definedName name="PondiJly">#REF!</definedName>
    <definedName name="PondiJun">#REF!</definedName>
    <definedName name="PondiMar">#REF!</definedName>
    <definedName name="PondiMay">#REF!</definedName>
    <definedName name="PondiNov">#REF!</definedName>
    <definedName name="PondiOct">#REF!</definedName>
    <definedName name="PondiSep">#REF!</definedName>
    <definedName name="Port">#REF!</definedName>
    <definedName name="PrdCostRtrv1">#REF!</definedName>
    <definedName name="PrdCostRtrv2">#REF!</definedName>
    <definedName name="PRICE">#REF!</definedName>
    <definedName name="PRINT_SplitTTT_2002">#REF!</definedName>
    <definedName name="PRINT_SplitTTT_2003">#REF!</definedName>
    <definedName name="PRINT_STEX_2002">#REF!</definedName>
    <definedName name="PRINT_STEX_2003">#REF!</definedName>
    <definedName name="PRINT_Totaux_2002">#REF!</definedName>
    <definedName name="PRINT_Totaux_2003">#REF!</definedName>
    <definedName name="PRINT_TTL_2002">#REF!,#REF!</definedName>
    <definedName name="PRINT_TTL_2003">#REF!,#REF!</definedName>
    <definedName name="PRINT_TTT_2002">#REF!</definedName>
    <definedName name="PRINT_TTT_2003">#REF!</definedName>
    <definedName name="PRINT_TTT_TTL_2002">#REF!</definedName>
    <definedName name="PRINT_TTT_TTL_2003">#REF!</definedName>
    <definedName name="PRINT1">#REF!</definedName>
    <definedName name="PRINTJV">#REF!</definedName>
    <definedName name="PRIOR_MTH">#REF!</definedName>
    <definedName name="PRIOR_QTR">#REF!</definedName>
    <definedName name="PriorMonth">#REF!</definedName>
    <definedName name="Prod">#REF!</definedName>
    <definedName name="ProductivityOptions">#REF!</definedName>
    <definedName name="prog_clrarea">#REF!,#REF!,#REF!,#REF!,#REF!,#REF!</definedName>
    <definedName name="Project_Name">#REF!</definedName>
    <definedName name="Project_Number">#REF!</definedName>
    <definedName name="PT_YEAR">#REF!</definedName>
    <definedName name="q">#REF!</definedName>
    <definedName name="QTR">#REF!</definedName>
    <definedName name="QTY">#REF!</definedName>
    <definedName name="RBM___ADJUSTMENT_4__VOLUMES_EFFECT_ON_VARIABLE">#REF!</definedName>
    <definedName name="RECOMMENDATION">" 
"</definedName>
    <definedName name="REMARK">#REF!</definedName>
    <definedName name="REMARK_1">#REF!</definedName>
    <definedName name="Report_Title">"Trend eDoctor Virus Diagnostic Report for  Trend_Micro_HK_Limited"</definedName>
    <definedName name="RepPartsKey">#REF!</definedName>
    <definedName name="RESIDUAL">#REF!</definedName>
    <definedName name="RETURN1">#REF!</definedName>
    <definedName name="RETURN2">#REF!</definedName>
    <definedName name="RETURN3">#REF!</definedName>
    <definedName name="RETURN4">#REF!</definedName>
    <definedName name="RNG_TIME">#REF!</definedName>
    <definedName name="ROI">#REF!</definedName>
    <definedName name="RowTitleRegion1..E2">#REF!</definedName>
    <definedName name="s">#REF!</definedName>
    <definedName name="SALES">#REF!</definedName>
    <definedName name="SAPBEXrevision" hidden="1">2</definedName>
    <definedName name="SAPBEXsysID" hidden="1">"CBP"</definedName>
    <definedName name="SAPBEXwbID" hidden="1">"3YD0ZR9CTB994QJO15M69JYUD"</definedName>
    <definedName name="Scenario">#REF!</definedName>
    <definedName name="ScenarioNum">#REF!</definedName>
    <definedName name="SCORE">#REF!</definedName>
    <definedName name="scores">#REF!</definedName>
    <definedName name="sdcdsc">#REF!</definedName>
    <definedName name="SE_NAME">""</definedName>
    <definedName name="SEITE1">#REF!</definedName>
    <definedName name="SepHdr">#REF!</definedName>
    <definedName name="SERIES_1">#REF!</definedName>
    <definedName name="SERIES_2">#REF!</definedName>
    <definedName name="Service_Type">"Service Type"</definedName>
    <definedName name="SEVEN">#REF!</definedName>
    <definedName name="SEVEN1">#REF!</definedName>
    <definedName name="Shipping">#REF!</definedName>
    <definedName name="SI_NAME">"Trend Micro HK eDoctor"</definedName>
    <definedName name="SIX">#REF!</definedName>
    <definedName name="SixSigma">#REF!</definedName>
    <definedName name="SlsRcnRtrv2">#REF!</definedName>
    <definedName name="SlsRcnSend1">#REF!</definedName>
    <definedName name="SonDad">#REF!</definedName>
    <definedName name="SS_MaxPattern">"Max Pattern Number "</definedName>
    <definedName name="SS_MaxPattern_1">""</definedName>
    <definedName name="SS_MaxPattern_2">""</definedName>
    <definedName name="SS_MaxPattern_3">""</definedName>
    <definedName name="SS_MaxPattern_4">""</definedName>
    <definedName name="SS_MaxPattern_5">""</definedName>
    <definedName name="SS_MaxPattern_6">""</definedName>
    <definedName name="SS_MinPattern">"Min Pattern Number "</definedName>
    <definedName name="SS_MinPattern_1">""</definedName>
    <definedName name="SS_MinPattern_2">""</definedName>
    <definedName name="SS_MinPattern_3">""</definedName>
    <definedName name="SS_MinPattern_4">""</definedName>
    <definedName name="SS_MinPattern_5">""</definedName>
    <definedName name="SS_MinPattern_6">""</definedName>
    <definedName name="SS_ServerNo">"Number of Serveres "</definedName>
    <definedName name="SS_ServerNo_1">""</definedName>
    <definedName name="SS_ServerNo_2">""</definedName>
    <definedName name="SS_ServerNo_3">""</definedName>
    <definedName name="SS_ServerNo_4">""</definedName>
    <definedName name="SS_ServerNo_5">""</definedName>
    <definedName name="SS_ServerNo_6">""</definedName>
    <definedName name="SS_SiteName">"Site Name"</definedName>
    <definedName name="SS_SiteName_1">""</definedName>
    <definedName name="SS_SiteName_2">""</definedName>
    <definedName name="SS_SiteName_3">""</definedName>
    <definedName name="SS_SiteName_4">""</definedName>
    <definedName name="SS_SiteName_5">""</definedName>
    <definedName name="SS_SiteName_6">""</definedName>
    <definedName name="SS_VirusNo">"Number of Viruses "</definedName>
    <definedName name="SS_VirusNo_1">""</definedName>
    <definedName name="SS_VirusNo_2">""</definedName>
    <definedName name="SS_VirusNo_3">""</definedName>
    <definedName name="SS_VirusNo_4">""</definedName>
    <definedName name="SS_VirusNo_5">""</definedName>
    <definedName name="SS_VirusNo_6">""</definedName>
    <definedName name="ssss">#REF!</definedName>
    <definedName name="START">#REF!</definedName>
    <definedName name="startPLflagA">#REF!</definedName>
    <definedName name="startPLflagB">#REF!</definedName>
    <definedName name="startPLflagC">#REF!</definedName>
    <definedName name="StartPLflagD">#REF!</definedName>
    <definedName name="startPLflagE">#REF!</definedName>
    <definedName name="startPLflagF">#REF!</definedName>
    <definedName name="startPLflagG">#REF!</definedName>
    <definedName name="startPLflagH">#REF!</definedName>
    <definedName name="startPLflagI">#REF!</definedName>
    <definedName name="Submission">#REF!</definedName>
    <definedName name="SUMMARY_PRINT">#REF!</definedName>
    <definedName name="Summed">#REF!</definedName>
    <definedName name="SUPPLIER_1">#REF!</definedName>
    <definedName name="SUPPLIER_2">#REF!</definedName>
    <definedName name="SYN_ItemType">#REF!</definedName>
    <definedName name="TABLE">#REF!</definedName>
    <definedName name="table1">#REF!</definedName>
    <definedName name="TechnologyOptions">#REF!</definedName>
    <definedName name="Telephone">"eDoctor"</definedName>
    <definedName name="TEN">#REF!</definedName>
    <definedName name="Terminal">#REF!</definedName>
    <definedName name="tese2">#REF!</definedName>
    <definedName name="test">#REF!</definedName>
    <definedName name="TEST0">#REF!</definedName>
    <definedName name="TESTHKEY">#REF!</definedName>
    <definedName name="TESTKEYS">#REF!</definedName>
    <definedName name="TestRange">#REF!</definedName>
    <definedName name="TESTVKEY">#REF!</definedName>
    <definedName name="TextRefCopy1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8</definedName>
    <definedName name="THREE">#REF!</definedName>
    <definedName name="THREE1">#REF!</definedName>
    <definedName name="TOTALCONTCOST">#REF!</definedName>
    <definedName name="TransYld">#REF!</definedName>
    <definedName name="TruckTYPE">'[1]Average Pricing to Use'!$A$4:$A$12</definedName>
    <definedName name="TWO">#REF!</definedName>
    <definedName name="TYPE">#REF!</definedName>
    <definedName name="Type_of_Plant">#REF!</definedName>
    <definedName name="Type_of_Sale">#REF!</definedName>
    <definedName name="Types">#REF!</definedName>
    <definedName name="VALUE_1">#REF!</definedName>
    <definedName name="VALUE_2">#REF!</definedName>
    <definedName name="VALUE_3">#REF!</definedName>
    <definedName name="VALUE_4">#REF!</definedName>
    <definedName name="VALUE_5">#REF!</definedName>
    <definedName name="VALUE_6">#REF!</definedName>
    <definedName name="VALUE_7">#REF!</definedName>
    <definedName name="VALUE_8">#REF!</definedName>
    <definedName name="VarCstRtrv1">#REF!</definedName>
    <definedName name="VarCstRtrv2">#REF!</definedName>
    <definedName name="VarCstRtrv3">#REF!</definedName>
    <definedName name="Variable_Margin">#REF!</definedName>
    <definedName name="Variant2">#REF!</definedName>
    <definedName name="VIEW1">#REF!</definedName>
    <definedName name="VIEWJV">#REF!</definedName>
    <definedName name="VOL_EXT">#REF!</definedName>
    <definedName name="VolumeSend1">#REF!</definedName>
    <definedName name="VolumeSend2">#REF!</definedName>
    <definedName name="VOLYR1">#REF!</definedName>
    <definedName name="WBGLOBAL">1</definedName>
    <definedName name="we">#REF!</definedName>
    <definedName name="wwwwwwwwwwwwwwwwwwwwwwwwwwwwwwwwwww">#REF!</definedName>
    <definedName name="xfer_grid">#REF!</definedName>
    <definedName name="XfersCostRtrv1">#REF!</definedName>
    <definedName name="XfersIntrcoRtrv1">#REF!</definedName>
    <definedName name="Y_N">#REF!</definedName>
    <definedName name="Year">#REF!</definedName>
    <definedName name="YEARONE">#REF!</definedName>
    <definedName name="ZERO">#REF!</definedName>
    <definedName name="ZEROFILL">#REF!</definedName>
    <definedName name="ZERON">#REF!</definedName>
    <definedName name="ZEROY">#REF!</definedName>
    <definedName name="ZICO">#REF!</definedName>
    <definedName name="ｻﾏﾘ増減">#REF!</definedName>
    <definedName name="ｻﾏﾘ購買">#REF!</definedName>
    <definedName name="上在庫">#REF!</definedName>
    <definedName name="全体">#REF!</definedName>
    <definedName name="国内在庫">#REF!</definedName>
    <definedName name="国内生産">#REF!</definedName>
    <definedName name="国内販01">#REF!</definedName>
    <definedName name="国内販02">#REF!</definedName>
    <definedName name="国内販03">#REF!</definedName>
    <definedName name="国内販04">#REF!</definedName>
    <definedName name="国内販05">#REF!</definedName>
    <definedName name="国内販06">#REF!</definedName>
    <definedName name="国内販07">#REF!</definedName>
    <definedName name="国内販08">#REF!</definedName>
    <definedName name="国内販09">#REF!</definedName>
    <definedName name="国内販10">#REF!</definedName>
    <definedName name="国内販11">#REF!</definedName>
    <definedName name="国内販12">#REF!</definedName>
    <definedName name="国内販fh">#REF!</definedName>
    <definedName name="国内販lh">#REF!</definedName>
    <definedName name="国販9404">#REF!</definedName>
    <definedName name="国販9405">#REF!</definedName>
    <definedName name="国販9406">#REF!</definedName>
    <definedName name="国販9407">#REF!</definedName>
    <definedName name="国販9408">#REF!</definedName>
    <definedName name="国販9409">#REF!</definedName>
    <definedName name="機種">#REF!</definedName>
    <definedName name="海外在庫">#REF!</definedName>
    <definedName name="海外基準在庫">#REF!</definedName>
    <definedName name="海外基準在庫3ヵ年">#REF!</definedName>
    <definedName name="海外生産">#REF!</definedName>
    <definedName name="海外販01">#REF!</definedName>
    <definedName name="海外販02">#REF!</definedName>
    <definedName name="海外販03">#REF!</definedName>
    <definedName name="海外販04">#REF!</definedName>
    <definedName name="海外販05">#REF!</definedName>
    <definedName name="海外販06">#REF!</definedName>
    <definedName name="海外販07">#REF!</definedName>
    <definedName name="海外販08">#REF!</definedName>
    <definedName name="海外販09">#REF!</definedName>
    <definedName name="海外販10">#REF!</definedName>
    <definedName name="海外販11">#REF!</definedName>
    <definedName name="海外販12">#REF!</definedName>
    <definedName name="海外販fh">#REF!</definedName>
    <definedName name="海外販lh">#REF!</definedName>
    <definedName name="海販9404">#REF!</definedName>
    <definedName name="海販9405">#REF!</definedName>
    <definedName name="海販9406">#REF!</definedName>
    <definedName name="海販9407">#REF!</definedName>
    <definedName name="海販9408">#REF!</definedName>
    <definedName name="海販9409">#REF!</definedName>
    <definedName name="英ｻﾏﾘ">#REF!</definedName>
    <definedName name="_xlnm._FilterDatabase" localSheetId="1" hidden="1">'Client Route And Contracts'!$A$7:$O$934</definedName>
    <definedName name="_xlnm._FilterDatabase" localSheetId="2" hidden="1">'NEW-DSL JMR'!$A$7:$BO$212</definedName>
    <definedName name="_xlnm._FilterDatabase" localSheetId="3" hidden="1">'Name Changes'!$A$1:$H$417</definedName>
  </definedNames>
  <calcPr calcId="191029" fullCalcOnLoad="1"/>
  <pivotCaches>
    <pivotCache xmlns:r="http://schemas.openxmlformats.org/officeDocument/2006/relationships" cacheId="143" r:id="rId5"/>
  </pivotCaches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_-* #,##0.00_-;\-* #,##0.00_-;_-* &quot;-&quot;??_-;_-@_-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9"/>
    </font>
    <font>
      <name val="Calibri"/>
      <family val="2"/>
      <sz val="9"/>
    </font>
    <font>
      <name val="Calibri"/>
      <family val="2"/>
      <sz val="11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i val="1"/>
      <color theme="1"/>
      <sz val="11"/>
    </font>
    <font>
      <name val="Calibri Light"/>
      <family val="2"/>
      <color rgb="FF000000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"/>
        <bgColor theme="5" tint="0.7999816888943144"/>
      </patternFill>
    </fill>
    <fill>
      <patternFill patternType="solid">
        <fgColor rgb="FFFFFF00"/>
        <bgColor theme="5" tint="0.7999816888943144"/>
      </patternFill>
    </fill>
    <fill>
      <patternFill patternType="solid">
        <fgColor rgb="FFFF0000"/>
        <bgColor indexed="64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8">
    <xf numFmtId="0" fontId="1" fillId="0" borderId="0"/>
    <xf numFmtId="43" fontId="1" fillId="0" borderId="0"/>
    <xf numFmtId="9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43" fontId="1" fillId="0" borderId="0"/>
  </cellStyleXfs>
  <cellXfs count="27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43" fontId="0" fillId="0" borderId="0" pivotButton="0" quotePrefix="0" xfId="1"/>
    <xf numFmtId="165" fontId="0" fillId="0" borderId="0" pivotButton="0" quotePrefix="0" xfId="0"/>
    <xf numFmtId="9" fontId="0" fillId="0" borderId="0" pivotButton="0" quotePrefix="0" xfId="2"/>
    <xf numFmtId="9" fontId="0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3" fillId="2" borderId="1" pivotButton="0" quotePrefix="0" xfId="0"/>
    <xf numFmtId="0" fontId="3" fillId="0" borderId="1" pivotButton="0" quotePrefix="0" xfId="0"/>
    <xf numFmtId="0" fontId="4" fillId="2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2" borderId="2" applyAlignment="1" pivotButton="0" quotePrefix="0" xfId="1">
      <alignment vertical="center" wrapText="1"/>
    </xf>
    <xf numFmtId="43" fontId="4" fillId="2" borderId="2" applyAlignment="1" pivotButton="0" quotePrefix="0" xfId="1">
      <alignment vertical="center" wrapText="1"/>
    </xf>
    <xf numFmtId="43" fontId="4" fillId="0" borderId="2" applyAlignment="1" pivotButton="0" quotePrefix="0" xfId="1">
      <alignment vertical="center" wrapText="1"/>
    </xf>
    <xf numFmtId="0" fontId="4" fillId="3" borderId="2" applyAlignment="1" pivotButton="0" quotePrefix="0" xfId="0">
      <alignment vertical="center" wrapText="1"/>
    </xf>
    <xf numFmtId="43" fontId="4" fillId="0" borderId="2" applyAlignment="1" pivotButton="0" quotePrefix="0" xfId="1">
      <alignment vertical="center" wrapText="1"/>
    </xf>
    <xf numFmtId="9" fontId="4" fillId="0" borderId="2" applyAlignment="1" pivotButton="0" quotePrefix="0" xfId="2">
      <alignment vertical="center" wrapText="1"/>
    </xf>
    <xf numFmtId="0" fontId="4" fillId="0" borderId="3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2" borderId="1" pivotButton="0" quotePrefix="0" xfId="0"/>
    <xf numFmtId="0" fontId="0" fillId="0" borderId="1" pivotButton="0" quotePrefix="0" xfId="0"/>
    <xf numFmtId="43" fontId="5" fillId="2" borderId="1" pivotButton="0" quotePrefix="0" xfId="1"/>
    <xf numFmtId="43" fontId="5" fillId="0" borderId="1" pivotButton="0" quotePrefix="0" xfId="1"/>
    <xf numFmtId="43" fontId="5" fillId="0" borderId="1" applyAlignment="1" pivotButton="0" quotePrefix="0" xfId="1">
      <alignment horizontal="center"/>
    </xf>
    <xf numFmtId="43" fontId="0" fillId="2" borderId="1" pivotButton="0" quotePrefix="0" xfId="1"/>
    <xf numFmtId="43" fontId="1" fillId="2" borderId="1" pivotButton="0" quotePrefix="0" xfId="1"/>
    <xf numFmtId="43" fontId="1" fillId="0" borderId="1" pivotButton="0" quotePrefix="0" xfId="1"/>
    <xf numFmtId="43" fontId="1" fillId="2" borderId="5" pivotButton="0" quotePrefix="0" xfId="1"/>
    <xf numFmtId="43" fontId="1" fillId="0" borderId="5" pivotButton="0" quotePrefix="0" xfId="1"/>
    <xf numFmtId="43" fontId="0" fillId="0" borderId="5" pivotButton="0" quotePrefix="0" xfId="1"/>
    <xf numFmtId="9" fontId="1" fillId="0" borderId="1" pivotButton="0" quotePrefix="0" xfId="2"/>
    <xf numFmtId="164" fontId="1" fillId="0" borderId="1" pivotButton="0" quotePrefix="0" xfId="1"/>
    <xf numFmtId="164" fontId="0" fillId="0" borderId="1" pivotButton="0" quotePrefix="0" xfId="0"/>
    <xf numFmtId="43" fontId="0" fillId="0" borderId="1" pivotButton="0" quotePrefix="0" xfId="1"/>
    <xf numFmtId="43" fontId="0" fillId="0" borderId="1" applyAlignment="1" pivotButton="0" quotePrefix="0" xfId="1">
      <alignment horizontal="center"/>
    </xf>
    <xf numFmtId="43" fontId="1" fillId="2" borderId="1" applyAlignment="1" pivotButton="0" quotePrefix="0" xfId="1">
      <alignment horizontal="center"/>
    </xf>
    <xf numFmtId="43" fontId="6" fillId="2" borderId="1" applyAlignment="1" pivotButton="0" quotePrefix="0" xfId="1">
      <alignment horizontal="left"/>
    </xf>
    <xf numFmtId="43" fontId="6" fillId="0" borderId="1" applyAlignment="1" pivotButton="0" quotePrefix="0" xfId="1">
      <alignment horizontal="left"/>
    </xf>
    <xf numFmtId="43" fontId="1" fillId="3" borderId="1" pivotButton="0" quotePrefix="0" xfId="1"/>
    <xf numFmtId="43" fontId="6" fillId="2" borderId="1" pivotButton="0" quotePrefix="0" xfId="1"/>
    <xf numFmtId="43" fontId="6" fillId="0" borderId="1" pivotButton="0" quotePrefix="0" xfId="1"/>
    <xf numFmtId="43" fontId="7" fillId="2" borderId="1" applyAlignment="1" pivotButton="0" quotePrefix="0" xfId="1">
      <alignment horizontal="left" vertical="center" wrapText="1"/>
    </xf>
    <xf numFmtId="43" fontId="7" fillId="0" borderId="1" applyAlignment="1" pivotButton="0" quotePrefix="0" xfId="1">
      <alignment horizontal="left" vertical="center" wrapText="1"/>
    </xf>
    <xf numFmtId="43" fontId="0" fillId="2" borderId="0" pivotButton="0" quotePrefix="0" xfId="1"/>
    <xf numFmtId="0" fontId="0" fillId="0" borderId="6" pivotButton="0" quotePrefix="0" xfId="0"/>
    <xf numFmtId="0" fontId="0" fillId="0" borderId="5" pivotButton="0" quotePrefix="0" xfId="0"/>
    <xf numFmtId="0" fontId="8" fillId="0" borderId="5" applyAlignment="1" pivotButton="0" quotePrefix="0" xfId="4">
      <alignment horizontal="left"/>
    </xf>
    <xf numFmtId="0" fontId="9" fillId="0" borderId="5" pivotButton="0" quotePrefix="0" xfId="5"/>
    <xf numFmtId="164" fontId="1" fillId="0" borderId="5" pivotButton="0" quotePrefix="0" xfId="1"/>
    <xf numFmtId="9" fontId="1" fillId="0" borderId="5" pivotButton="0" quotePrefix="0" xfId="2"/>
    <xf numFmtId="164" fontId="0" fillId="0" borderId="5" pivotButton="0" quotePrefix="0" xfId="0"/>
    <xf numFmtId="164" fontId="0" fillId="0" borderId="10" pivotButton="0" quotePrefix="0" xfId="0"/>
    <xf numFmtId="0" fontId="8" fillId="0" borderId="1" applyAlignment="1" pivotButton="0" quotePrefix="0" xfId="4">
      <alignment horizontal="left"/>
    </xf>
    <xf numFmtId="0" fontId="9" fillId="0" borderId="1" pivotButton="0" quotePrefix="0" xfId="5"/>
    <xf numFmtId="0" fontId="1" fillId="0" borderId="1" applyAlignment="1" pivotButton="0" quotePrefix="0" xfId="3">
      <alignment horizontal="left"/>
    </xf>
    <xf numFmtId="0" fontId="1" fillId="0" borderId="1" pivotButton="0" quotePrefix="0" xfId="6"/>
    <xf numFmtId="0" fontId="9" fillId="0" borderId="1" applyAlignment="1" pivotButton="0" quotePrefix="0" xfId="5">
      <alignment horizontal="left"/>
    </xf>
    <xf numFmtId="0" fontId="1" fillId="0" borderId="1" pivotButton="0" quotePrefix="0" xfId="3"/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43" fontId="2" fillId="4" borderId="1" pivotButton="0" quotePrefix="0" xfId="1"/>
    <xf numFmtId="0" fontId="5" fillId="3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5" fillId="0" borderId="5" pivotButton="0" quotePrefix="0" xfId="0"/>
    <xf numFmtId="0" fontId="5" fillId="0" borderId="5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43" fontId="3" fillId="2" borderId="1" applyAlignment="1" pivotButton="0" quotePrefix="0" xfId="1">
      <alignment horizontal="center"/>
    </xf>
    <xf numFmtId="43" fontId="3" fillId="2" borderId="1" pivotButton="0" quotePrefix="0" xfId="1"/>
    <xf numFmtId="0" fontId="5" fillId="3" borderId="1" pivotButton="0" quotePrefix="0" xfId="0"/>
    <xf numFmtId="164" fontId="1" fillId="3" borderId="1" pivotButton="0" quotePrefix="0" xfId="1"/>
    <xf numFmtId="0" fontId="0" fillId="3" borderId="1" applyAlignment="1" pivotButton="0" quotePrefix="0" xfId="0">
      <alignment horizontal="center"/>
    </xf>
    <xf numFmtId="43" fontId="1" fillId="3" borderId="14" pivotButton="0" quotePrefix="0" xfId="1"/>
    <xf numFmtId="0" fontId="0" fillId="0" borderId="15" pivotButton="0" quotePrefix="0" xfId="0"/>
    <xf numFmtId="0" fontId="0" fillId="0" borderId="16" applyAlignment="1" pivotButton="0" quotePrefix="0" xfId="0">
      <alignment horizontal="center"/>
    </xf>
    <xf numFmtId="43" fontId="1" fillId="3" borderId="17" pivotButton="0" quotePrefix="0" xfId="1"/>
    <xf numFmtId="43" fontId="1" fillId="0" borderId="15" pivotButton="0" quotePrefix="0" xfId="1"/>
    <xf numFmtId="164" fontId="1" fillId="0" borderId="15" pivotButton="0" quotePrefix="0" xfId="1"/>
    <xf numFmtId="9" fontId="1" fillId="0" borderId="15" pivotButton="0" quotePrefix="0" xfId="2"/>
    <xf numFmtId="164" fontId="0" fillId="0" borderId="15" pivotButton="0" quotePrefix="0" xfId="0"/>
    <xf numFmtId="0" fontId="0" fillId="3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center"/>
    </xf>
    <xf numFmtId="43" fontId="1" fillId="5" borderId="1" pivotButton="0" quotePrefix="0" xfId="1"/>
    <xf numFmtId="164" fontId="1" fillId="5" borderId="1" pivotButton="0" quotePrefix="0" xfId="1"/>
    <xf numFmtId="0" fontId="0" fillId="2" borderId="7" pivotButton="0" quotePrefix="0" xfId="0"/>
    <xf numFmtId="0" fontId="0" fillId="2" borderId="5" pivotButton="0" quotePrefix="0" xfId="0"/>
    <xf numFmtId="0" fontId="0" fillId="2" borderId="11" pivotButton="0" quotePrefix="0" xfId="0"/>
    <xf numFmtId="0" fontId="0" fillId="2" borderId="6" pivotButton="0" quotePrefix="0" xfId="0"/>
    <xf numFmtId="0" fontId="0" fillId="2" borderId="8" pivotButton="0" quotePrefix="0" xfId="0"/>
    <xf numFmtId="0" fontId="0" fillId="2" borderId="9" pivotButton="0" quotePrefix="0" xfId="0"/>
    <xf numFmtId="0" fontId="1" fillId="2" borderId="9" pivotButton="0" quotePrefix="0" xfId="3"/>
    <xf numFmtId="0" fontId="8" fillId="2" borderId="7" applyAlignment="1" pivotButton="0" quotePrefix="0" xfId="4">
      <alignment horizontal="left" wrapText="1"/>
    </xf>
    <xf numFmtId="0" fontId="0" fillId="2" borderId="12" pivotButton="0" quotePrefix="0" xfId="0"/>
    <xf numFmtId="0" fontId="0" fillId="2" borderId="13" pivotButton="0" quotePrefix="0" xfId="0"/>
    <xf numFmtId="0" fontId="1" fillId="2" borderId="13" pivotButton="0" quotePrefix="0" xfId="3"/>
    <xf numFmtId="0" fontId="8" fillId="2" borderId="11" applyAlignment="1" pivotButton="0" quotePrefix="0" xfId="4">
      <alignment horizontal="left" wrapText="1"/>
    </xf>
    <xf numFmtId="0" fontId="9" fillId="2" borderId="11" applyAlignment="1" pivotButton="0" quotePrefix="0" xfId="5">
      <alignment horizontal="left" vertical="center" wrapText="1"/>
    </xf>
    <xf numFmtId="0" fontId="1" fillId="2" borderId="11" pivotButton="0" quotePrefix="0" xfId="6"/>
    <xf numFmtId="0" fontId="8" fillId="2" borderId="11" applyAlignment="1" pivotButton="0" quotePrefix="0" xfId="4">
      <alignment horizontal="left"/>
    </xf>
    <xf numFmtId="0" fontId="9" fillId="2" borderId="11" pivotButton="0" quotePrefix="0" xfId="5"/>
    <xf numFmtId="0" fontId="1" fillId="2" borderId="11" pivotButton="0" quotePrefix="0" xfId="5"/>
    <xf numFmtId="0" fontId="1" fillId="2" borderId="11" applyAlignment="1" pivotButton="0" quotePrefix="0" xfId="5">
      <alignment horizontal="left"/>
    </xf>
    <xf numFmtId="0" fontId="1" fillId="2" borderId="11" applyAlignment="1" pivotButton="0" quotePrefix="0" xfId="3">
      <alignment horizontal="left"/>
    </xf>
    <xf numFmtId="0" fontId="9" fillId="2" borderId="11" applyAlignment="1" pivotButton="0" quotePrefix="0" xfId="5">
      <alignment horizontal="left"/>
    </xf>
    <xf numFmtId="0" fontId="1" fillId="2" borderId="11" pivotButton="0" quotePrefix="0" xfId="3"/>
    <xf numFmtId="0" fontId="5" fillId="2" borderId="5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10" fillId="2" borderId="1" applyAlignment="1" pivotButton="0" quotePrefix="0" xfId="0">
      <alignment horizontal="center" wrapText="1"/>
    </xf>
    <xf numFmtId="0" fontId="11" fillId="2" borderId="1" applyAlignment="1" pivotButton="0" quotePrefix="0" xfId="0">
      <alignment horizontal="center" wrapText="1"/>
    </xf>
    <xf numFmtId="0" fontId="12" fillId="2" borderId="1" applyAlignment="1" pivotButton="0" quotePrefix="0" xfId="0">
      <alignment horizontal="center" wrapText="1"/>
    </xf>
    <xf numFmtId="0" fontId="11" fillId="2" borderId="1" pivotButton="0" quotePrefix="0" xfId="0"/>
    <xf numFmtId="43" fontId="1" fillId="2" borderId="1" applyAlignment="1" pivotButton="0" quotePrefix="0" xfId="7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43" fontId="9" fillId="2" borderId="5" pivotButton="0" quotePrefix="0" xfId="1"/>
    <xf numFmtId="164" fontId="1" fillId="2" borderId="5" pivotButton="0" quotePrefix="0" xfId="1"/>
    <xf numFmtId="43" fontId="9" fillId="2" borderId="1" pivotButton="0" quotePrefix="0" xfId="1"/>
    <xf numFmtId="43" fontId="0" fillId="2" borderId="1" applyAlignment="1" pivotButton="0" quotePrefix="0" xfId="1">
      <alignment horizontal="center"/>
    </xf>
    <xf numFmtId="43" fontId="3" fillId="2" borderId="1" pivotButton="0" quotePrefix="0" xfId="1"/>
    <xf numFmtId="164" fontId="1" fillId="2" borderId="1" pivotButton="0" quotePrefix="0" xfId="1"/>
    <xf numFmtId="43" fontId="1" fillId="2" borderId="15" pivotButton="0" quotePrefix="0" xfId="1"/>
    <xf numFmtId="164" fontId="1" fillId="2" borderId="15" pivotButton="0" quotePrefix="0" xfId="1"/>
    <xf numFmtId="43" fontId="0" fillId="0" borderId="7" pivotButton="0" quotePrefix="0" xfId="1"/>
    <xf numFmtId="43" fontId="5" fillId="3" borderId="1" pivotButton="0" quotePrefix="0" xfId="1"/>
    <xf numFmtId="43" fontId="0" fillId="3" borderId="1" pivotButton="0" quotePrefix="0" xfId="1"/>
    <xf numFmtId="43" fontId="0" fillId="3" borderId="7" pivotButton="0" quotePrefix="0" xfId="1"/>
    <xf numFmtId="164" fontId="1" fillId="3" borderId="5" pivotButton="0" quotePrefix="0" xfId="1"/>
    <xf numFmtId="43" fontId="1" fillId="3" borderId="5" pivotButton="0" quotePrefix="0" xfId="1"/>
    <xf numFmtId="43" fontId="0" fillId="0" borderId="11" pivotButton="0" quotePrefix="0" xfId="1"/>
    <xf numFmtId="43" fontId="13" fillId="0" borderId="1" applyAlignment="1" pivotButton="0" quotePrefix="0" xfId="1">
      <alignment vertical="center" wrapText="1"/>
    </xf>
    <xf numFmtId="43" fontId="5" fillId="0" borderId="11" pivotButton="0" quotePrefix="0" xfId="1"/>
    <xf numFmtId="164" fontId="1" fillId="0" borderId="1" applyAlignment="1" pivotButton="0" quotePrefix="0" xfId="1">
      <alignment horizontal="center"/>
    </xf>
    <xf numFmtId="43" fontId="1" fillId="0" borderId="11" pivotButton="0" quotePrefix="0" xfId="1"/>
    <xf numFmtId="43" fontId="0" fillId="0" borderId="11" pivotButton="0" quotePrefix="0" xfId="1"/>
    <xf numFmtId="43" fontId="1" fillId="0" borderId="7" pivotButton="0" quotePrefix="0" xfId="1"/>
    <xf numFmtId="43" fontId="5" fillId="3" borderId="11" pivotButton="0" quotePrefix="0" xfId="1"/>
    <xf numFmtId="164" fontId="1" fillId="3" borderId="1" applyAlignment="1" pivotButton="0" quotePrefix="0" xfId="1">
      <alignment horizontal="center"/>
    </xf>
    <xf numFmtId="43" fontId="14" fillId="0" borderId="1" applyAlignment="1" pivotButton="0" quotePrefix="0" xfId="1">
      <alignment vertical="center"/>
    </xf>
    <xf numFmtId="43" fontId="5" fillId="2" borderId="11" pivotButton="0" quotePrefix="0" xfId="1"/>
    <xf numFmtId="164" fontId="1" fillId="2" borderId="1" applyAlignment="1" pivotButton="0" quotePrefix="0" xfId="1">
      <alignment horizontal="center"/>
    </xf>
    <xf numFmtId="0" fontId="0" fillId="0" borderId="18" pivotButton="0" quotePrefix="0" xfId="0"/>
    <xf numFmtId="43" fontId="1" fillId="0" borderId="19" pivotButton="0" quotePrefix="0" xfId="1"/>
    <xf numFmtId="164" fontId="1" fillId="0" borderId="18" pivotButton="0" quotePrefix="0" xfId="1"/>
    <xf numFmtId="43" fontId="1" fillId="0" borderId="14" pivotButton="0" quotePrefix="0" xfId="1"/>
    <xf numFmtId="43" fontId="0" fillId="3" borderId="11" pivotButton="0" quotePrefix="0" xfId="1"/>
    <xf numFmtId="43" fontId="1" fillId="3" borderId="11" pivotButton="0" quotePrefix="0" xfId="1"/>
    <xf numFmtId="43" fontId="0" fillId="0" borderId="0" pivotButton="0" quotePrefix="0" xfId="1"/>
    <xf numFmtId="43" fontId="5" fillId="0" borderId="1" pivotButton="0" quotePrefix="0" xfId="1"/>
    <xf numFmtId="0" fontId="0" fillId="6" borderId="1" applyAlignment="1" pivotButton="0" quotePrefix="0" xfId="0">
      <alignment vertical="center" wrapText="1"/>
    </xf>
    <xf numFmtId="43" fontId="0" fillId="6" borderId="20" applyAlignment="1" pivotButton="0" quotePrefix="0" xfId="1">
      <alignment vertical="center" wrapText="1"/>
    </xf>
    <xf numFmtId="0" fontId="0" fillId="0" borderId="1" applyAlignment="1" pivotButton="0" quotePrefix="0" xfId="0">
      <alignment vertical="center" wrapText="1"/>
    </xf>
    <xf numFmtId="43" fontId="0" fillId="0" borderId="20" applyAlignment="1" pivotButton="0" quotePrefix="0" xfId="1">
      <alignment vertical="center" wrapText="1"/>
    </xf>
    <xf numFmtId="0" fontId="0" fillId="3" borderId="0" pivotButton="0" quotePrefix="0" xfId="0"/>
    <xf numFmtId="0" fontId="0" fillId="3" borderId="1" applyAlignment="1" pivotButton="0" quotePrefix="0" xfId="0">
      <alignment vertical="center" wrapText="1"/>
    </xf>
    <xf numFmtId="43" fontId="0" fillId="3" borderId="20" applyAlignment="1" pivotButton="0" quotePrefix="0" xfId="1">
      <alignment vertical="center" wrapText="1"/>
    </xf>
    <xf numFmtId="0" fontId="0" fillId="7" borderId="1" applyAlignment="1" pivotButton="0" quotePrefix="0" xfId="0">
      <alignment vertical="center" wrapText="1"/>
    </xf>
    <xf numFmtId="43" fontId="0" fillId="7" borderId="20" applyAlignment="1" pivotButton="0" quotePrefix="0" xfId="1">
      <alignment vertical="center" wrapText="1"/>
    </xf>
    <xf numFmtId="43" fontId="5" fillId="0" borderId="1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43" fontId="0" fillId="0" borderId="1" applyAlignment="1" pivotButton="0" quotePrefix="0" xfId="1">
      <alignment horizontal="left"/>
    </xf>
    <xf numFmtId="0" fontId="0" fillId="6" borderId="1" applyAlignment="1" pivotButton="0" quotePrefix="0" xfId="0">
      <alignment horizontal="left" vertical="center" wrapText="1"/>
    </xf>
    <xf numFmtId="43" fontId="5" fillId="0" borderId="18" pivotButton="0" quotePrefix="0" xfId="1"/>
    <xf numFmtId="164" fontId="1" fillId="3" borderId="14" pivotButton="0" quotePrefix="0" xfId="1"/>
    <xf numFmtId="164" fontId="0" fillId="0" borderId="1" pivotButton="0" quotePrefix="0" xfId="1"/>
    <xf numFmtId="43" fontId="1" fillId="8" borderId="1" pivotButton="0" quotePrefix="0" xfId="1"/>
    <xf numFmtId="43" fontId="0" fillId="4" borderId="0" pivotButton="0" quotePrefix="0" xfId="1"/>
    <xf numFmtId="43" fontId="0" fillId="8" borderId="0" pivotButton="0" quotePrefix="0" xfId="1"/>
    <xf numFmtId="0" fontId="0" fillId="2" borderId="8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3" borderId="18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164" fontId="0" fillId="0" borderId="0" pivotButton="0" quotePrefix="0" xfId="1"/>
    <xf numFmtId="43" fontId="0" fillId="0" borderId="0" pivotButton="0" quotePrefix="0" xfId="1"/>
    <xf numFmtId="165" fontId="0" fillId="0" borderId="0" pivotButton="0" quotePrefix="0" xfId="0"/>
    <xf numFmtId="164" fontId="4" fillId="2" borderId="2" applyAlignment="1" pivotButton="0" quotePrefix="0" xfId="1">
      <alignment vertical="center" wrapText="1"/>
    </xf>
    <xf numFmtId="43" fontId="4" fillId="2" borderId="2" applyAlignment="1" pivotButton="0" quotePrefix="0" xfId="1">
      <alignment vertical="center" wrapText="1"/>
    </xf>
    <xf numFmtId="43" fontId="9" fillId="2" borderId="5" pivotButton="0" quotePrefix="0" xfId="1"/>
    <xf numFmtId="164" fontId="1" fillId="2" borderId="5" pivotButton="0" quotePrefix="0" xfId="1"/>
    <xf numFmtId="43" fontId="1" fillId="2" borderId="5" pivotButton="0" quotePrefix="0" xfId="1"/>
    <xf numFmtId="43" fontId="9" fillId="2" borderId="1" pivotButton="0" quotePrefix="0" xfId="1"/>
    <xf numFmtId="164" fontId="1" fillId="2" borderId="1" pivotButton="0" quotePrefix="0" xfId="1"/>
    <xf numFmtId="43" fontId="1" fillId="2" borderId="1" pivotButton="0" quotePrefix="0" xfId="1"/>
    <xf numFmtId="43" fontId="0" fillId="2" borderId="1" applyAlignment="1" pivotButton="0" quotePrefix="0" xfId="1">
      <alignment horizontal="center"/>
    </xf>
    <xf numFmtId="43" fontId="3" fillId="2" borderId="1" pivotButton="0" quotePrefix="0" xfId="1"/>
    <xf numFmtId="43" fontId="3" fillId="2" borderId="1" applyAlignment="1" pivotButton="0" quotePrefix="0" xfId="1">
      <alignment horizontal="center"/>
    </xf>
    <xf numFmtId="43" fontId="1" fillId="2" borderId="1" applyAlignment="1" pivotButton="0" quotePrefix="0" xfId="7">
      <alignment horizontal="center" vertical="center"/>
    </xf>
    <xf numFmtId="43" fontId="1" fillId="2" borderId="15" pivotButton="0" quotePrefix="0" xfId="1"/>
    <xf numFmtId="43" fontId="5" fillId="0" borderId="1" pivotButton="0" quotePrefix="0" xfId="1"/>
    <xf numFmtId="43" fontId="0" fillId="0" borderId="1" pivotButton="0" quotePrefix="0" xfId="1"/>
    <xf numFmtId="43" fontId="0" fillId="0" borderId="7" pivotButton="0" quotePrefix="0" xfId="1"/>
    <xf numFmtId="164" fontId="1" fillId="0" borderId="5" pivotButton="0" quotePrefix="0" xfId="1"/>
    <xf numFmtId="43" fontId="1" fillId="0" borderId="5" pivotButton="0" quotePrefix="0" xfId="1"/>
    <xf numFmtId="43" fontId="5" fillId="3" borderId="1" pivotButton="0" quotePrefix="0" xfId="1"/>
    <xf numFmtId="43" fontId="0" fillId="3" borderId="1" pivotButton="0" quotePrefix="0" xfId="1"/>
    <xf numFmtId="43" fontId="0" fillId="3" borderId="7" pivotButton="0" quotePrefix="0" xfId="1"/>
    <xf numFmtId="164" fontId="1" fillId="3" borderId="5" pivotButton="0" quotePrefix="0" xfId="1"/>
    <xf numFmtId="43" fontId="1" fillId="3" borderId="5" pivotButton="0" quotePrefix="0" xfId="1"/>
    <xf numFmtId="43" fontId="0" fillId="0" borderId="11" pivotButton="0" quotePrefix="0" xfId="1"/>
    <xf numFmtId="164" fontId="1" fillId="0" borderId="1" pivotButton="0" quotePrefix="0" xfId="1"/>
    <xf numFmtId="43" fontId="13" fillId="0" borderId="1" applyAlignment="1" pivotButton="0" quotePrefix="0" xfId="1">
      <alignment vertical="center" wrapText="1"/>
    </xf>
    <xf numFmtId="43" fontId="5" fillId="0" borderId="11" pivotButton="0" quotePrefix="0" xfId="1"/>
    <xf numFmtId="164" fontId="1" fillId="0" borderId="1" applyAlignment="1" pivotButton="0" quotePrefix="0" xfId="1">
      <alignment horizontal="center"/>
    </xf>
    <xf numFmtId="43" fontId="1" fillId="0" borderId="11" pivotButton="0" quotePrefix="0" xfId="1"/>
    <xf numFmtId="43" fontId="1" fillId="0" borderId="1" pivotButton="0" quotePrefix="0" xfId="1"/>
    <xf numFmtId="43" fontId="1" fillId="0" borderId="7" pivotButton="0" quotePrefix="0" xfId="1"/>
    <xf numFmtId="43" fontId="5" fillId="3" borderId="11" pivotButton="0" quotePrefix="0" xfId="1"/>
    <xf numFmtId="164" fontId="1" fillId="3" borderId="1" applyAlignment="1" pivotButton="0" quotePrefix="0" xfId="1">
      <alignment horizontal="center"/>
    </xf>
    <xf numFmtId="43" fontId="14" fillId="0" borderId="1" applyAlignment="1" pivotButton="0" quotePrefix="0" xfId="1">
      <alignment vertical="center"/>
    </xf>
    <xf numFmtId="43" fontId="5" fillId="2" borderId="11" pivotButton="0" quotePrefix="0" xfId="1"/>
    <xf numFmtId="164" fontId="1" fillId="2" borderId="1" applyAlignment="1" pivotButton="0" quotePrefix="0" xfId="1">
      <alignment horizontal="center"/>
    </xf>
    <xf numFmtId="43" fontId="1" fillId="3" borderId="1" pivotButton="0" quotePrefix="0" xfId="1"/>
    <xf numFmtId="43" fontId="1" fillId="0" borderId="19" pivotButton="0" quotePrefix="0" xfId="1"/>
    <xf numFmtId="164" fontId="1" fillId="0" borderId="18" pivotButton="0" quotePrefix="0" xfId="1"/>
    <xf numFmtId="43" fontId="1" fillId="0" borderId="14" pivotButton="0" quotePrefix="0" xfId="1"/>
    <xf numFmtId="43" fontId="6" fillId="0" borderId="1" applyAlignment="1" pivotButton="0" quotePrefix="0" xfId="1">
      <alignment horizontal="left"/>
    </xf>
    <xf numFmtId="43" fontId="0" fillId="3" borderId="11" pivotButton="0" quotePrefix="0" xfId="1"/>
    <xf numFmtId="43" fontId="6" fillId="0" borderId="1" pivotButton="0" quotePrefix="0" xfId="1"/>
    <xf numFmtId="43" fontId="7" fillId="0" borderId="1" applyAlignment="1" pivotButton="0" quotePrefix="0" xfId="1">
      <alignment horizontal="left" vertical="center" wrapText="1"/>
    </xf>
    <xf numFmtId="43" fontId="1" fillId="3" borderId="11" pivotButton="0" quotePrefix="0" xfId="1"/>
    <xf numFmtId="164" fontId="1" fillId="3" borderId="1" pivotButton="0" quotePrefix="0" xfId="1"/>
    <xf numFmtId="43" fontId="0" fillId="6" borderId="20" applyAlignment="1" pivotButton="0" quotePrefix="0" xfId="1">
      <alignment vertical="center" wrapText="1"/>
    </xf>
    <xf numFmtId="43" fontId="0" fillId="0" borderId="20" applyAlignment="1" pivotButton="0" quotePrefix="0" xfId="1">
      <alignment vertical="center" wrapText="1"/>
    </xf>
    <xf numFmtId="43" fontId="0" fillId="3" borderId="20" applyAlignment="1" pivotButton="0" quotePrefix="0" xfId="1">
      <alignment vertical="center" wrapText="1"/>
    </xf>
    <xf numFmtId="43" fontId="0" fillId="7" borderId="20" applyAlignment="1" pivotButton="0" quotePrefix="0" xfId="1">
      <alignment vertical="center" wrapText="1"/>
    </xf>
    <xf numFmtId="43" fontId="5" fillId="0" borderId="1" applyAlignment="1" pivotButton="0" quotePrefix="0" xfId="1">
      <alignment horizontal="left"/>
    </xf>
    <xf numFmtId="43" fontId="0" fillId="0" borderId="1" applyAlignment="1" pivotButton="0" quotePrefix="0" xfId="1">
      <alignment horizontal="left"/>
    </xf>
    <xf numFmtId="43" fontId="5" fillId="0" borderId="18" pivotButton="0" quotePrefix="0" xfId="1"/>
    <xf numFmtId="164" fontId="1" fillId="3" borderId="14" pivotButton="0" quotePrefix="0" xfId="1"/>
    <xf numFmtId="43" fontId="1" fillId="3" borderId="14" pivotButton="0" quotePrefix="0" xfId="1"/>
    <xf numFmtId="164" fontId="0" fillId="0" borderId="1" pivotButton="0" quotePrefix="0" xfId="1"/>
    <xf numFmtId="43" fontId="1" fillId="8" borderId="1" pivotButton="0" quotePrefix="0" xfId="1"/>
    <xf numFmtId="43" fontId="0" fillId="4" borderId="0" pivotButton="0" quotePrefix="0" xfId="1"/>
    <xf numFmtId="43" fontId="0" fillId="8" borderId="0" pivotButton="0" quotePrefix="0" xfId="1"/>
    <xf numFmtId="43" fontId="4" fillId="0" borderId="2" applyAlignment="1" pivotButton="0" quotePrefix="0" xfId="1">
      <alignment vertical="center" wrapText="1"/>
    </xf>
    <xf numFmtId="43" fontId="5" fillId="2" borderId="1" pivotButton="0" quotePrefix="0" xfId="1"/>
    <xf numFmtId="43" fontId="5" fillId="0" borderId="1" applyAlignment="1" pivotButton="0" quotePrefix="0" xfId="1">
      <alignment horizontal="center"/>
    </xf>
    <xf numFmtId="43" fontId="0" fillId="2" borderId="1" pivotButton="0" quotePrefix="0" xfId="1"/>
    <xf numFmtId="43" fontId="0" fillId="0" borderId="5" pivotButton="0" quotePrefix="0" xfId="1"/>
    <xf numFmtId="164" fontId="0" fillId="0" borderId="1" pivotButton="0" quotePrefix="0" xfId="0"/>
    <xf numFmtId="43" fontId="0" fillId="0" borderId="1" applyAlignment="1" pivotButton="0" quotePrefix="0" xfId="1">
      <alignment horizontal="center"/>
    </xf>
    <xf numFmtId="43" fontId="1" fillId="2" borderId="1" applyAlignment="1" pivotButton="0" quotePrefix="0" xfId="1">
      <alignment horizontal="center"/>
    </xf>
    <xf numFmtId="43" fontId="6" fillId="2" borderId="1" applyAlignment="1" pivotButton="0" quotePrefix="0" xfId="1">
      <alignment horizontal="left"/>
    </xf>
    <xf numFmtId="43" fontId="6" fillId="2" borderId="1" pivotButton="0" quotePrefix="0" xfId="1"/>
    <xf numFmtId="43" fontId="7" fillId="2" borderId="1" applyAlignment="1" pivotButton="0" quotePrefix="0" xfId="1">
      <alignment horizontal="left" vertical="center" wrapText="1"/>
    </xf>
    <xf numFmtId="43" fontId="0" fillId="2" borderId="0" pivotButton="0" quotePrefix="0" xfId="1"/>
    <xf numFmtId="164" fontId="0" fillId="0" borderId="5" pivotButton="0" quotePrefix="0" xfId="0"/>
    <xf numFmtId="164" fontId="0" fillId="0" borderId="10" pivotButton="0" quotePrefix="0" xfId="0"/>
    <xf numFmtId="43" fontId="2" fillId="4" borderId="1" pivotButton="0" quotePrefix="0" xfId="1"/>
    <xf numFmtId="43" fontId="1" fillId="3" borderId="17" pivotButton="0" quotePrefix="0" xfId="1"/>
    <xf numFmtId="43" fontId="1" fillId="0" borderId="15" pivotButton="0" quotePrefix="0" xfId="1"/>
    <xf numFmtId="164" fontId="1" fillId="0" borderId="15" pivotButton="0" quotePrefix="0" xfId="1"/>
    <xf numFmtId="164" fontId="1" fillId="2" borderId="15" pivotButton="0" quotePrefix="0" xfId="1"/>
    <xf numFmtId="164" fontId="0" fillId="0" borderId="15" pivotButton="0" quotePrefix="0" xfId="0"/>
    <xf numFmtId="43" fontId="1" fillId="5" borderId="1" pivotButton="0" quotePrefix="0" xfId="1"/>
    <xf numFmtId="164" fontId="1" fillId="5" borderId="1" pivotButton="0" quotePrefix="0" xfId="1"/>
    <xf numFmtId="0" fontId="15" fillId="9" borderId="0" pivotButton="0" quotePrefix="0" xfId="0"/>
    <xf numFmtId="0" fontId="0" fillId="10" borderId="0" pivotButton="0" quotePrefix="0" xfId="0"/>
  </cellXfs>
  <cellStyles count="8">
    <cellStyle name="Normal" xfId="0" builtinId="0"/>
    <cellStyle name="Comma" xfId="1" builtinId="3"/>
    <cellStyle name="Percent" xfId="2" builtinId="5"/>
    <cellStyle name="Normal 3 3" xfId="3"/>
    <cellStyle name="Normal 2 2" xfId="4"/>
    <cellStyle name="Normal 2 2 2" xfId="5"/>
    <cellStyle name="Normal 4 3" xfId="6"/>
    <cellStyle name="Comma 8" xfId="7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BP%202026FInal-Bank%20Lease%20Zenith%20Final-V3%20RecostedJuly%20Rates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late Number"/>
      <sheetName val="JOURNEY PLAN (2)"/>
      <sheetName val="JOURNEY PLAN"/>
      <sheetName val="Actual Vehicle Cost "/>
      <sheetName val="Price List JAT (2)"/>
      <sheetName val="Diesel Issuance (2)"/>
      <sheetName val="Diesel Issuance"/>
      <sheetName val="Comparison Actual VS BP"/>
      <sheetName val="All Prices "/>
      <sheetName val="LacaseraJ45 (2)"/>
      <sheetName val="Jamara 16CBM"/>
      <sheetName val="Jamara 30CBM"/>
      <sheetName val="JMR"/>
      <sheetName val="NEW-DSL JMR"/>
      <sheetName val="Sheet53"/>
      <sheetName val="NEW-DSL"/>
      <sheetName val="CNG Trucks"/>
      <sheetName val="PLSLP"/>
      <sheetName val="Promasidor"/>
      <sheetName val="Sheet55"/>
      <sheetName val="PLSJul (3)"/>
      <sheetName val="PLSJul (2)"/>
      <sheetName val="Mapping DSL"/>
      <sheetName val="PLSJulAC"/>
      <sheetName val="Sheet52"/>
      <sheetName val="Sheet49"/>
      <sheetName val="Sheet50"/>
      <sheetName val="Sheet51"/>
      <sheetName val="PList Diesel 1900) (2)"/>
      <sheetName val="25FT SPecial CLient"/>
      <sheetName val="AB-nbev"/>
      <sheetName val="HIAB Plist 1900"/>
      <sheetName val="16CBM 1900"/>
      <sheetName val="PL"/>
      <sheetName val="30CBM 1900"/>
      <sheetName val="PList Diesel 1989"/>
      <sheetName val="Sheet47"/>
      <sheetName val="Plist 1600"/>
      <sheetName val="HAULAGE PLIST 1050"/>
      <sheetName val="IHS Calculator "/>
      <sheetName val="Sheet46"/>
      <sheetName val="NBL (2)"/>
      <sheetName val="Int CAL DSL Trucks (2)"/>
      <sheetName val="Sheet31"/>
      <sheetName val="Int CAL CNG Trucks (2)"/>
      <sheetName val="Summary BP By Client (2)"/>
      <sheetName val="KPI By Truck (2)"/>
      <sheetName val="Fx (2)"/>
      <sheetName val="10CBM"/>
      <sheetName val="30CBM"/>
      <sheetName val="16CBM Plist"/>
      <sheetName val="HIAB Plist"/>
      <sheetName val="NBL"/>
      <sheetName val="Sheet33"/>
      <sheetName val="Setup"/>
      <sheetName val="Sheet30"/>
      <sheetName val="MTC 2025"/>
      <sheetName val="Sheet24"/>
      <sheetName val="Expat"/>
      <sheetName val="Licence Permit 2026"/>
      <sheetName val="License N Permit2024 2025 Ins"/>
      <sheetName val="Permits 2025"/>
      <sheetName val="Main Asset List Ment Budget2024"/>
      <sheetName val="Main List"/>
      <sheetName val="Tyre"/>
      <sheetName val="Road Expenses 2025"/>
      <sheetName val="Sheet25"/>
      <sheetName val="Sheet28"/>
      <sheetName val="Insurance 2026"/>
      <sheetName val="Diesel  2025"/>
      <sheetName val="Insurance 2024"/>
      <sheetName val="Sheet54"/>
      <sheetName val="BP Worksheet"/>
      <sheetName val="Sheet32"/>
      <sheetName val="Cashflow CNG BOI ONLY On Truck "/>
      <sheetName val="Int CAL DSL Trucks"/>
      <sheetName val="Int CAL CNG Trucks"/>
      <sheetName val="Summary BP By Client"/>
      <sheetName val="Cashflow Yearly With Depreciati"/>
      <sheetName val="KPI By Truck"/>
      <sheetName val="Sheet36"/>
      <sheetName val="Cashflow Yearly"/>
      <sheetName val="Cashflow CNG"/>
      <sheetName val="Detail1"/>
      <sheetName val="Detail2"/>
      <sheetName val="Fx"/>
      <sheetName val="BP Setup"/>
      <sheetName val="BP 2026"/>
      <sheetName val="BP 2025VS 2026"/>
      <sheetName val="ADD ONS"/>
      <sheetName val="Organogram"/>
      <sheetName val="Current Organogram"/>
      <sheetName val="Cashflow CNG BOI"/>
      <sheetName val="Cashflow CNG NBL Proposal"/>
      <sheetName val="Int CAL CNG) (2)"/>
      <sheetName val="Sheet48"/>
      <sheetName val="Sheet42"/>
      <sheetName val="Sheet45"/>
      <sheetName val="Sheet37"/>
      <sheetName val="BP  Study 30 New Trucks "/>
      <sheetName val="BP  Study 20 New Trucks  "/>
      <sheetName val="BP  Study 10 New Trucks "/>
      <sheetName val="Summary BP 2025 VS 2024 (2)"/>
      <sheetName val="Required"/>
      <sheetName val="Summary BP 2025 VS 2024"/>
      <sheetName val="Lagos Permits "/>
      <sheetName val="Incentive Calculation (2)"/>
      <sheetName val="PLIST Matrix Power"/>
      <sheetName val="PLIST Flat Bed IHS "/>
      <sheetName val="Linkage"/>
      <sheetName val="Sheet38"/>
      <sheetName val="Sheet44"/>
      <sheetName val="Sheet34"/>
      <sheetName val="NBiscuit "/>
      <sheetName val="Niger Biscuit "/>
      <sheetName val="Sample of Pricing "/>
      <sheetName val="PLIST BackLloading"/>
      <sheetName val="PLIST Belooxi 102CBM"/>
      <sheetName val="Sheet23"/>
      <sheetName val="Bugdet rollover (2)"/>
      <sheetName val="Full Year Budget Revised"/>
      <sheetName val="Price list By CLient"/>
      <sheetName val="PList 10cbm)"/>
      <sheetName val="Port Trucks"/>
      <sheetName val="PList 25CBM"/>
      <sheetName val="PLIST Hiab"/>
      <sheetName val="PList 16cbm"/>
      <sheetName val="Sheet26"/>
      <sheetName val="PLIST Heavy Duty"/>
      <sheetName val="List Of Truck Insured "/>
      <sheetName val="Old"/>
      <sheetName val="Sheet29"/>
      <sheetName val="Sheet40"/>
      <sheetName val="Average Pricing to Use"/>
      <sheetName val="Price Setup 85%"/>
      <sheetName val="BP Summary at 100%"/>
      <sheetName val="BP Summary on 85%"/>
      <sheetName val="Expenses Account"/>
      <sheetName val="Road Expenses2025PORT"/>
      <sheetName val="Sheet43"/>
      <sheetName val="Sheet35"/>
      <sheetName val="Summary BP2024"/>
      <sheetName val="Shared With Type 23.1.2023"/>
      <sheetName val="Shared 2024 BPf"/>
      <sheetName val="Sheet27"/>
      <sheetName val="Hiab ABJ (2)"/>
      <sheetName val="Accounts"/>
      <sheetName val="Sheet39"/>
      <sheetName val="FATSS"/>
      <sheetName val="FATS New Price "/>
      <sheetName val="LacaseraJ30)"/>
      <sheetName val="Sheet41"/>
      <sheetName val="Beloxxi Plist Calculator (2)"/>
      <sheetName val="BP (3)"/>
      <sheetName val="Transport Jun 2023 (2)"/>
      <sheetName val="Transport Jun 2023"/>
      <sheetName val="JAT Final"/>
      <sheetName val="SASO"/>
      <sheetName val="Bajaj"/>
      <sheetName val="Orient Queen"/>
      <sheetName val="STandard Flour40ton"/>
      <sheetName val="STandard Flour30"/>
      <sheetName val="Lacasera OLD"/>
      <sheetName val="Lacasera CONT OLD DATA "/>
      <sheetName val="Expats"/>
      <sheetName val="Residence Expenses"/>
      <sheetName val="Overseas Air Tickets Expenses"/>
      <sheetName val="Expat Medical Expenses"/>
      <sheetName val="Diesel for Machines (Houses)"/>
      <sheetName val="Depreciation Furniture and Fitt"/>
      <sheetName val="Insurance Expense for Miscellan"/>
      <sheetName val="JAMARA"/>
      <sheetName val="Sheet10"/>
      <sheetName val="Others"/>
      <sheetName val="Price List Lacasera"/>
      <sheetName val="Sheet20"/>
      <sheetName val="Price List CWAY"/>
      <sheetName val="Sheet21"/>
      <sheetName val="Price List JAT"/>
      <sheetName val="Sheet12"/>
      <sheetName val="Actual Profit"/>
      <sheetName val="Sheet19"/>
      <sheetName val="MOH"/>
      <sheetName val="Loading Schedule"/>
      <sheetName val="Sheet13"/>
      <sheetName val="Sheet11"/>
      <sheetName val="Generator"/>
      <sheetName val="Sheet16"/>
      <sheetName val="Sheet18"/>
      <sheetName val="Sheet9"/>
      <sheetName val="BP (2)"/>
      <sheetName val="Sheet17"/>
      <sheetName val="Salary Range "/>
      <sheetName val="RedZone"/>
      <sheetName val="Closed Body Interstate"/>
      <sheetName val="Sheet15"/>
      <sheetName val="Online"/>
      <sheetName val="Sheet14"/>
      <sheetName val="Sheet5"/>
      <sheetName val="Fleet List"/>
      <sheetName val="Sheet7"/>
      <sheetName val="WP REV6 Budgets"/>
      <sheetName val="MNTC Detail 2023"/>
      <sheetName val="Amedned Labor By Vehi June"/>
      <sheetName val="Sheet22"/>
      <sheetName val="Shared Labor"/>
      <sheetName val="WP REV6"/>
      <sheetName val="Permit 2023"/>
      <sheetName val="Insurance 2023"/>
      <sheetName val="Intereset Schedule"/>
      <sheetName val="Final List Staff 2023"/>
      <sheetName val="Interest Calculator Rigid Truck"/>
      <sheetName val="WORKSHOP BUDGET"/>
      <sheetName val="Sheet4"/>
      <sheetName val="Sheet6"/>
      <sheetName val="Sheet8"/>
      <sheetName val="Sheet3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O6">
            <v>108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J1" t="str">
            <v xml:space="preserve">Selling </v>
          </cell>
        </row>
        <row r="2">
          <cell r="H2" t="str">
            <v>Map</v>
          </cell>
          <cell r="J2">
            <v>1890</v>
          </cell>
        </row>
        <row r="3">
          <cell r="H3" t="str">
            <v>45TJAT</v>
          </cell>
          <cell r="J3">
            <v>945</v>
          </cell>
        </row>
        <row r="4">
          <cell r="H4" t="str">
            <v>45TLEBRUNI</v>
          </cell>
          <cell r="J4">
            <v>945</v>
          </cell>
        </row>
        <row r="5">
          <cell r="H5" t="str">
            <v>45TGivanas</v>
          </cell>
          <cell r="J5">
            <v>945</v>
          </cell>
        </row>
        <row r="6">
          <cell r="H6" t="str">
            <v>30TJAMARA</v>
          </cell>
          <cell r="J6">
            <v>850.5</v>
          </cell>
        </row>
        <row r="7">
          <cell r="H7" t="str">
            <v>30TJMG</v>
          </cell>
          <cell r="J7">
            <v>850.5</v>
          </cell>
        </row>
        <row r="8">
          <cell r="H8" t="str">
            <v>30TInterstyle</v>
          </cell>
          <cell r="J8">
            <v>850.5</v>
          </cell>
        </row>
        <row r="9">
          <cell r="H9" t="str">
            <v>45TMega Manu</v>
          </cell>
          <cell r="J9">
            <v>945</v>
          </cell>
        </row>
        <row r="10">
          <cell r="H10" t="str">
            <v>30TMega Manu-Local</v>
          </cell>
          <cell r="J10">
            <v>1323</v>
          </cell>
        </row>
        <row r="11">
          <cell r="H11" t="str">
            <v>45TMega Manu-Local</v>
          </cell>
          <cell r="J11">
            <v>1323</v>
          </cell>
        </row>
        <row r="12">
          <cell r="H12" t="str">
            <v>45TVANDERA</v>
          </cell>
          <cell r="J12">
            <v>945</v>
          </cell>
        </row>
        <row r="13">
          <cell r="H13" t="str">
            <v>45TLacasera</v>
          </cell>
          <cell r="J13">
            <v>945</v>
          </cell>
        </row>
        <row r="14">
          <cell r="H14" t="str">
            <v>45TNATURAL BEAUTY</v>
          </cell>
          <cell r="J14">
            <v>945</v>
          </cell>
        </row>
        <row r="15">
          <cell r="H15" t="str">
            <v>45TSASO</v>
          </cell>
          <cell r="J15">
            <v>945</v>
          </cell>
        </row>
        <row r="16">
          <cell r="H16" t="str">
            <v>30TI'HS</v>
          </cell>
          <cell r="J16">
            <v>850.5</v>
          </cell>
        </row>
        <row r="17">
          <cell r="H17" t="str">
            <v>30TWhitfield Ventures limited</v>
          </cell>
          <cell r="J17">
            <v>283.5</v>
          </cell>
        </row>
        <row r="18">
          <cell r="H18" t="str">
            <v>45tWhitfield Ventures limited</v>
          </cell>
          <cell r="J18">
            <v>283.5</v>
          </cell>
        </row>
        <row r="19">
          <cell r="H19" t="str">
            <v>30TJAT</v>
          </cell>
          <cell r="J19">
            <v>850.5</v>
          </cell>
        </row>
        <row r="20">
          <cell r="H20" t="str">
            <v>45tOrca</v>
          </cell>
          <cell r="J20">
            <v>850.5</v>
          </cell>
        </row>
        <row r="21">
          <cell r="H21" t="str">
            <v>45TABBA SALEH</v>
          </cell>
          <cell r="J21">
            <v>529.20000000000005</v>
          </cell>
        </row>
        <row r="22">
          <cell r="H22" t="str">
            <v>30TSASO</v>
          </cell>
          <cell r="J22">
            <v>850.5</v>
          </cell>
        </row>
        <row r="23">
          <cell r="H23" t="str">
            <v>30TABBA SALEH</v>
          </cell>
          <cell r="J23">
            <v>529.20000000000005</v>
          </cell>
        </row>
        <row r="24">
          <cell r="H24" t="str">
            <v>45TJAMARA</v>
          </cell>
          <cell r="J24">
            <v>850.5</v>
          </cell>
        </row>
        <row r="25">
          <cell r="H25" t="str">
            <v>30T-LCLJAMARA</v>
          </cell>
          <cell r="J25">
            <v>1323</v>
          </cell>
        </row>
        <row r="26">
          <cell r="H26" t="str">
            <v>30TLacasera</v>
          </cell>
          <cell r="J26">
            <v>850.5</v>
          </cell>
        </row>
        <row r="27">
          <cell r="H27" t="str">
            <v>45TPROMASIDOR</v>
          </cell>
          <cell r="J27">
            <v>963.9</v>
          </cell>
        </row>
        <row r="28">
          <cell r="H28" t="str">
            <v>30TPROMASIDOR</v>
          </cell>
          <cell r="J28">
            <v>850.5</v>
          </cell>
        </row>
        <row r="29">
          <cell r="H29" t="str">
            <v>30TBAJAJ</v>
          </cell>
          <cell r="J29">
            <v>850.5</v>
          </cell>
        </row>
        <row r="30">
          <cell r="H30" t="str">
            <v>45TATLANTIC PVC</v>
          </cell>
          <cell r="J30">
            <v>945</v>
          </cell>
        </row>
        <row r="31">
          <cell r="H31" t="str">
            <v>30TNATURAL BEAUTY</v>
          </cell>
          <cell r="J31">
            <v>850.5</v>
          </cell>
        </row>
        <row r="32">
          <cell r="H32" t="str">
            <v>30TNIGER BISCUIT</v>
          </cell>
          <cell r="J32">
            <v>850.5</v>
          </cell>
        </row>
        <row r="33">
          <cell r="H33" t="str">
            <v>30TWALTER &amp; Hiffy</v>
          </cell>
          <cell r="J33">
            <v>567</v>
          </cell>
        </row>
        <row r="34">
          <cell r="H34" t="str">
            <v>30TLebruni</v>
          </cell>
          <cell r="J34">
            <v>850.5</v>
          </cell>
        </row>
        <row r="35">
          <cell r="H35" t="str">
            <v>45TLebruni</v>
          </cell>
          <cell r="J35">
            <v>945</v>
          </cell>
        </row>
        <row r="36">
          <cell r="H36" t="str">
            <v>40TLebruni</v>
          </cell>
          <cell r="J36">
            <v>945</v>
          </cell>
        </row>
        <row r="255">
          <cell r="J255" t="str">
            <v>Company Name</v>
          </cell>
        </row>
        <row r="256">
          <cell r="J256" t="str">
            <v>Address</v>
          </cell>
        </row>
        <row r="257">
          <cell r="J257" t="str">
            <v>Contact Person</v>
          </cell>
        </row>
        <row r="258">
          <cell r="J258" t="str">
            <v>Phone Number</v>
          </cell>
        </row>
        <row r="259">
          <cell r="J259" t="str">
            <v>Emial Address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4">
          <cell r="A4" t="str">
            <v>10CBM</v>
          </cell>
          <cell r="B4">
            <v>50387.354914410913</v>
          </cell>
          <cell r="C4">
            <v>69.230769230769226</v>
          </cell>
          <cell r="D4">
            <v>3.6923076923076921</v>
          </cell>
          <cell r="E4">
            <v>38</v>
          </cell>
        </row>
        <row r="5">
          <cell r="A5" t="str">
            <v>16CBM</v>
          </cell>
          <cell r="B5">
            <v>53058.761400747913</v>
          </cell>
          <cell r="C5">
            <v>66.666666666666671</v>
          </cell>
          <cell r="D5">
            <v>13.846153846153848</v>
          </cell>
          <cell r="E5">
            <v>49</v>
          </cell>
        </row>
        <row r="6">
          <cell r="A6" t="str">
            <v>25CBM</v>
          </cell>
          <cell r="B6">
            <v>84425.629166714381</v>
          </cell>
          <cell r="C6">
            <v>94.907407407407405</v>
          </cell>
          <cell r="D6">
            <v>23.076923076923077</v>
          </cell>
          <cell r="E6">
            <v>59</v>
          </cell>
        </row>
        <row r="7">
          <cell r="A7" t="str">
            <v>Flat Trucks Logistics</v>
          </cell>
          <cell r="B7">
            <v>119873.76958944788</v>
          </cell>
          <cell r="C7">
            <v>82.870370370370367</v>
          </cell>
          <cell r="D7">
            <v>53.846153846153861</v>
          </cell>
          <cell r="E7">
            <v>32</v>
          </cell>
        </row>
        <row r="8">
          <cell r="A8" t="str">
            <v>HAULAGE</v>
          </cell>
          <cell r="B8">
            <v>149471.7028012941</v>
          </cell>
          <cell r="C8">
            <v>93.20409982174688</v>
          </cell>
          <cell r="D8">
            <v>143.84615384615381</v>
          </cell>
          <cell r="E8">
            <v>25</v>
          </cell>
        </row>
        <row r="9">
          <cell r="A9" t="str">
            <v>Hiabs Logistics</v>
          </cell>
          <cell r="B9">
            <v>94169.731358902107</v>
          </cell>
          <cell r="C9">
            <v>145.83333333333334</v>
          </cell>
          <cell r="D9">
            <v>25.384615384615383</v>
          </cell>
          <cell r="E9">
            <v>75</v>
          </cell>
        </row>
        <row r="10">
          <cell r="A10" t="str">
            <v>Flat Trucks Logistics-</v>
          </cell>
          <cell r="B10">
            <v>116390.73353722664</v>
          </cell>
          <cell r="C10">
            <v>382.47863247863245</v>
          </cell>
          <cell r="D10">
            <v>53.846153846153854</v>
          </cell>
          <cell r="E10">
            <v>313</v>
          </cell>
        </row>
        <row r="11">
          <cell r="A11" t="str">
            <v>NBL-DSL</v>
          </cell>
          <cell r="B11">
            <v>187900.17098451007</v>
          </cell>
          <cell r="C11">
            <v>99.621212121212125</v>
          </cell>
          <cell r="D11">
            <v>143.84615384615381</v>
          </cell>
          <cell r="E11">
            <v>36</v>
          </cell>
        </row>
        <row r="12">
          <cell r="A12" t="str">
            <v>NBL-CNG</v>
          </cell>
          <cell r="B12">
            <v>204282.42354423701</v>
          </cell>
          <cell r="C12">
            <v>99.621212121212125</v>
          </cell>
          <cell r="D12">
            <v>143.84615384615381</v>
          </cell>
          <cell r="E12">
            <v>36</v>
          </cell>
        </row>
        <row r="16">
          <cell r="A16" t="str">
            <v>10CBM</v>
          </cell>
          <cell r="B16">
            <v>65503.56138873419</v>
          </cell>
        </row>
        <row r="17">
          <cell r="A17" t="str">
            <v>16CBM</v>
          </cell>
          <cell r="B17">
            <v>68976.389820972297</v>
          </cell>
        </row>
        <row r="18">
          <cell r="A18" t="str">
            <v>25CBM</v>
          </cell>
          <cell r="B18">
            <v>109753.3179167287</v>
          </cell>
        </row>
        <row r="19">
          <cell r="A19" t="str">
            <v>Flat Trucks Logistics</v>
          </cell>
          <cell r="B19">
            <v>173816.96590469941</v>
          </cell>
        </row>
        <row r="20">
          <cell r="A20" t="str">
            <v>HAULAGE</v>
          </cell>
          <cell r="B20">
            <v>216733.96906187641</v>
          </cell>
        </row>
        <row r="21">
          <cell r="A21" t="str">
            <v>Hiabs Logistics</v>
          </cell>
          <cell r="B21">
            <v>122420.65076657274</v>
          </cell>
        </row>
        <row r="22">
          <cell r="A22" t="str">
            <v>Flat Trucks Logistics-</v>
          </cell>
          <cell r="B22">
            <v>279337.7604893439</v>
          </cell>
        </row>
        <row r="23">
          <cell r="A23" t="str">
            <v>NBL-DSL</v>
          </cell>
          <cell r="B23">
            <v>244270.22227986311</v>
          </cell>
        </row>
        <row r="24">
          <cell r="A24" t="str">
            <v>NBL-CNG</v>
          </cell>
          <cell r="B24">
            <v>265567.15060750814</v>
          </cell>
        </row>
      </sheetData>
      <sheetData sheetId="86">
        <row r="6">
          <cell r="B6" t="str">
            <v>10CBM</v>
          </cell>
          <cell r="C6" t="str">
            <v>Closed Body Logistics</v>
          </cell>
          <cell r="Q6">
            <v>83.333333333333329</v>
          </cell>
          <cell r="R6">
            <v>2.7692307692307692</v>
          </cell>
        </row>
        <row r="7">
          <cell r="B7" t="str">
            <v>10CBM</v>
          </cell>
          <cell r="C7" t="str">
            <v>Closed Body Logistics</v>
          </cell>
          <cell r="Q7">
            <v>55.128205128205131</v>
          </cell>
          <cell r="R7">
            <v>4.615384615384615</v>
          </cell>
        </row>
        <row r="8">
          <cell r="B8" t="str">
            <v>16CBM</v>
          </cell>
          <cell r="C8" t="str">
            <v>Closed Body Logistics</v>
          </cell>
          <cell r="Q8">
            <v>66.666666666666671</v>
          </cell>
          <cell r="R8">
            <v>13.846153846153848</v>
          </cell>
        </row>
        <row r="9">
          <cell r="B9" t="str">
            <v>16CBM</v>
          </cell>
          <cell r="C9" t="str">
            <v>Closed Body Logistics</v>
          </cell>
          <cell r="Q9">
            <v>66.666666666666671</v>
          </cell>
          <cell r="R9">
            <v>13.846153846153848</v>
          </cell>
        </row>
        <row r="10">
          <cell r="B10" t="str">
            <v>16CBM</v>
          </cell>
          <cell r="C10" t="str">
            <v>Closed Body Logistics</v>
          </cell>
          <cell r="Q10">
            <v>66.666666666666671</v>
          </cell>
          <cell r="R10">
            <v>13.846153846153848</v>
          </cell>
        </row>
        <row r="11">
          <cell r="B11" t="str">
            <v>16CBM</v>
          </cell>
          <cell r="C11" t="str">
            <v>Closed Body Logistics</v>
          </cell>
          <cell r="Q11">
            <v>66.666666666666671</v>
          </cell>
          <cell r="R11">
            <v>13.846153846153848</v>
          </cell>
        </row>
        <row r="12">
          <cell r="B12" t="str">
            <v>25CBM</v>
          </cell>
          <cell r="C12" t="str">
            <v>Closed Body Logistics</v>
          </cell>
          <cell r="Q12">
            <v>94.907407407407405</v>
          </cell>
          <cell r="R12">
            <v>23.076923076923077</v>
          </cell>
        </row>
        <row r="13">
          <cell r="B13" t="str">
            <v>25CBM</v>
          </cell>
          <cell r="C13" t="str">
            <v>Closed Body Logistics</v>
          </cell>
          <cell r="Q13">
            <v>94.907407407407405</v>
          </cell>
          <cell r="R13">
            <v>23.076923076923077</v>
          </cell>
        </row>
        <row r="14">
          <cell r="B14" t="str">
            <v>Hiabs Logistics</v>
          </cell>
          <cell r="C14" t="str">
            <v>Hiabs Logistics</v>
          </cell>
          <cell r="Q14">
            <v>145.83333333333334</v>
          </cell>
          <cell r="R14">
            <v>24.615384615384613</v>
          </cell>
        </row>
        <row r="15">
          <cell r="B15" t="str">
            <v>Hiabs Logistics</v>
          </cell>
          <cell r="C15" t="str">
            <v>Hiabs Logistics</v>
          </cell>
          <cell r="Q15">
            <v>145.83333333333334</v>
          </cell>
          <cell r="R15">
            <v>24.615384615384613</v>
          </cell>
        </row>
        <row r="16">
          <cell r="B16" t="str">
            <v>Hiabs Logistics</v>
          </cell>
          <cell r="C16" t="str">
            <v>Hiabs Logistics</v>
          </cell>
          <cell r="Q16">
            <v>145.83333333333334</v>
          </cell>
          <cell r="R16">
            <v>30.76923076923077</v>
          </cell>
        </row>
        <row r="17">
          <cell r="B17" t="str">
            <v>Hiabs Logistics</v>
          </cell>
          <cell r="C17" t="str">
            <v>Hiabs Logistics</v>
          </cell>
          <cell r="Q17">
            <v>145.83333333333334</v>
          </cell>
          <cell r="R17">
            <v>24.615384615384613</v>
          </cell>
        </row>
        <row r="18">
          <cell r="B18" t="str">
            <v>Hiabs Logistics</v>
          </cell>
          <cell r="C18" t="str">
            <v>Hiabs Logistics</v>
          </cell>
          <cell r="Q18">
            <v>145.83333333333334</v>
          </cell>
          <cell r="R18">
            <v>24.615384615384613</v>
          </cell>
        </row>
        <row r="19">
          <cell r="B19" t="str">
            <v>Hiabs Logistics</v>
          </cell>
          <cell r="C19" t="str">
            <v>Hiabs Logistics</v>
          </cell>
          <cell r="Q19">
            <v>145.83333333333334</v>
          </cell>
          <cell r="R19">
            <v>24.615384615384613</v>
          </cell>
        </row>
        <row r="20">
          <cell r="B20" t="str">
            <v>Hiabs Logistics</v>
          </cell>
          <cell r="C20" t="str">
            <v>Hiabs Logistics</v>
          </cell>
          <cell r="Q20">
            <v>145.83333333333334</v>
          </cell>
          <cell r="R20">
            <v>24.615384615384613</v>
          </cell>
        </row>
        <row r="21">
          <cell r="B21" t="str">
            <v>Hiabs Logistics</v>
          </cell>
          <cell r="C21" t="str">
            <v>Hiabs Logistics</v>
          </cell>
          <cell r="Q21">
            <v>145.83333333333334</v>
          </cell>
          <cell r="R21">
            <v>24.615384615384613</v>
          </cell>
        </row>
        <row r="22">
          <cell r="B22" t="str">
            <v>Flat Trucks Logistics</v>
          </cell>
          <cell r="C22" t="str">
            <v>Flat Trucks Logistics</v>
          </cell>
          <cell r="Q22">
            <v>82.870370370370367</v>
          </cell>
          <cell r="R22">
            <v>53.846153846153854</v>
          </cell>
        </row>
        <row r="23">
          <cell r="B23" t="str">
            <v>Flat Trucks Logistics</v>
          </cell>
          <cell r="C23" t="str">
            <v>Flat Trucks Logistics</v>
          </cell>
          <cell r="Q23">
            <v>82.870370370370367</v>
          </cell>
          <cell r="R23">
            <v>53.846153846153854</v>
          </cell>
        </row>
        <row r="24">
          <cell r="B24" t="str">
            <v>Flat Trucks Logistics</v>
          </cell>
          <cell r="C24" t="str">
            <v>Flat Trucks Logistics</v>
          </cell>
          <cell r="Q24">
            <v>82.870370370370367</v>
          </cell>
          <cell r="R24">
            <v>53.846153846153854</v>
          </cell>
        </row>
        <row r="25">
          <cell r="B25" t="str">
            <v>Flat Trucks Logistics</v>
          </cell>
          <cell r="C25" t="str">
            <v>Flat Trucks Logistics</v>
          </cell>
          <cell r="Q25">
            <v>82.870370370370367</v>
          </cell>
          <cell r="R25">
            <v>53.846153846153854</v>
          </cell>
        </row>
        <row r="26">
          <cell r="B26" t="str">
            <v>Flat Trucks Logistics</v>
          </cell>
          <cell r="C26" t="str">
            <v>Flat Trucks Logistics</v>
          </cell>
          <cell r="Q26">
            <v>82.870370370370367</v>
          </cell>
          <cell r="R26">
            <v>53.846153846153854</v>
          </cell>
        </row>
        <row r="27">
          <cell r="B27" t="str">
            <v>Flat Trucks Logistics</v>
          </cell>
          <cell r="C27" t="str">
            <v>Flat Trucks Logistics</v>
          </cell>
          <cell r="Q27">
            <v>82.870370370370367</v>
          </cell>
          <cell r="R27">
            <v>53.846153846153854</v>
          </cell>
        </row>
        <row r="28">
          <cell r="B28" t="str">
            <v>Flat Trucks Logistics</v>
          </cell>
          <cell r="C28" t="str">
            <v>Flat Trucks Logistics</v>
          </cell>
          <cell r="Q28">
            <v>82.870370370370367</v>
          </cell>
          <cell r="R28">
            <v>53.846153846153854</v>
          </cell>
        </row>
        <row r="29">
          <cell r="B29" t="str">
            <v>HAULAGE</v>
          </cell>
          <cell r="C29" t="str">
            <v>HAULAGE</v>
          </cell>
          <cell r="Q29">
            <v>81.439393939393938</v>
          </cell>
          <cell r="R29">
            <v>143.84615384615381</v>
          </cell>
        </row>
        <row r="30">
          <cell r="B30" t="str">
            <v>HAULAGE</v>
          </cell>
          <cell r="C30" t="str">
            <v>HAULAGE</v>
          </cell>
          <cell r="Q30">
            <v>99.621212121212125</v>
          </cell>
          <cell r="R30">
            <v>143.84615384615381</v>
          </cell>
        </row>
        <row r="31">
          <cell r="B31" t="str">
            <v>HAULAGE</v>
          </cell>
          <cell r="C31" t="str">
            <v>HAULAGE</v>
          </cell>
          <cell r="Q31">
            <v>99.621212121212125</v>
          </cell>
          <cell r="R31">
            <v>143.84615384615381</v>
          </cell>
        </row>
        <row r="32">
          <cell r="B32" t="str">
            <v>HAULAGE</v>
          </cell>
          <cell r="C32" t="str">
            <v>HAULAGE</v>
          </cell>
          <cell r="Q32">
            <v>99.621212121212125</v>
          </cell>
          <cell r="R32">
            <v>143.84615384615381</v>
          </cell>
        </row>
        <row r="33">
          <cell r="B33" t="str">
            <v>HAULAGE</v>
          </cell>
          <cell r="C33" t="str">
            <v>HAULAGE</v>
          </cell>
          <cell r="Q33">
            <v>99.621212121212125</v>
          </cell>
          <cell r="R33">
            <v>143.84615384615381</v>
          </cell>
        </row>
        <row r="34">
          <cell r="B34" t="str">
            <v>HAULAGE</v>
          </cell>
          <cell r="C34" t="str">
            <v>HAULAGE</v>
          </cell>
          <cell r="Q34">
            <v>99.621212121212125</v>
          </cell>
          <cell r="R34">
            <v>143.84615384615381</v>
          </cell>
        </row>
        <row r="35">
          <cell r="B35" t="str">
            <v>HAULAGE</v>
          </cell>
          <cell r="C35" t="str">
            <v>HAULAGE</v>
          </cell>
          <cell r="Q35">
            <v>99.621212121212125</v>
          </cell>
          <cell r="R35">
            <v>143.84615384615381</v>
          </cell>
        </row>
        <row r="36">
          <cell r="B36" t="str">
            <v>HAULAGE</v>
          </cell>
          <cell r="C36" t="str">
            <v>HAULAGE</v>
          </cell>
          <cell r="Q36">
            <v>99.621212121212125</v>
          </cell>
          <cell r="R36">
            <v>143.84615384615381</v>
          </cell>
        </row>
        <row r="37">
          <cell r="B37" t="str">
            <v>HAULAGE</v>
          </cell>
          <cell r="C37" t="str">
            <v>HAULAGE</v>
          </cell>
          <cell r="Q37">
            <v>99.621212121212125</v>
          </cell>
          <cell r="R37">
            <v>143.84615384615381</v>
          </cell>
        </row>
        <row r="38">
          <cell r="B38" t="str">
            <v>HAULAGE</v>
          </cell>
          <cell r="C38" t="str">
            <v>HAULAGE</v>
          </cell>
          <cell r="Q38">
            <v>99.621212121212125</v>
          </cell>
          <cell r="R38">
            <v>143.84615384615381</v>
          </cell>
        </row>
        <row r="39">
          <cell r="B39" t="str">
            <v>HAULAGE</v>
          </cell>
          <cell r="C39" t="str">
            <v>HAULAGE</v>
          </cell>
          <cell r="Q39">
            <v>99.621212121212125</v>
          </cell>
          <cell r="R39">
            <v>143.84615384615381</v>
          </cell>
        </row>
        <row r="40">
          <cell r="B40" t="str">
            <v>HAULAGE</v>
          </cell>
          <cell r="C40" t="str">
            <v>HAULAGE</v>
          </cell>
          <cell r="Q40">
            <v>99.621212121212125</v>
          </cell>
          <cell r="R40">
            <v>143.84615384615381</v>
          </cell>
        </row>
        <row r="41">
          <cell r="B41" t="str">
            <v>HAULAGE</v>
          </cell>
          <cell r="C41" t="str">
            <v>HAULAGE</v>
          </cell>
          <cell r="Q41">
            <v>81.439393939393938</v>
          </cell>
          <cell r="R41">
            <v>143.84615384615381</v>
          </cell>
        </row>
        <row r="42">
          <cell r="B42" t="str">
            <v>HAULAGE</v>
          </cell>
          <cell r="C42" t="str">
            <v>HAULAGE</v>
          </cell>
          <cell r="Q42">
            <v>81.439393939393938</v>
          </cell>
          <cell r="R42">
            <v>143.84615384615381</v>
          </cell>
        </row>
        <row r="43">
          <cell r="B43" t="str">
            <v>HAULAGE</v>
          </cell>
          <cell r="C43" t="str">
            <v>HAULAGE</v>
          </cell>
          <cell r="Q43">
            <v>81.439393939393938</v>
          </cell>
          <cell r="R43">
            <v>143.84615384615381</v>
          </cell>
        </row>
        <row r="44">
          <cell r="B44" t="str">
            <v>HAULAGE</v>
          </cell>
          <cell r="C44" t="str">
            <v>HAULAGE</v>
          </cell>
          <cell r="Q44">
            <v>81.439393939393938</v>
          </cell>
          <cell r="R44">
            <v>143.84615384615381</v>
          </cell>
        </row>
        <row r="45">
          <cell r="B45" t="str">
            <v>HAULAGE</v>
          </cell>
          <cell r="C45" t="str">
            <v>HAULAGE</v>
          </cell>
          <cell r="Q45">
            <v>81.439393939393938</v>
          </cell>
          <cell r="R45">
            <v>143.84615384615381</v>
          </cell>
        </row>
        <row r="46">
          <cell r="B46" t="str">
            <v>NBL-DSL</v>
          </cell>
          <cell r="Q46">
            <v>99.621212121212125</v>
          </cell>
          <cell r="R46">
            <v>143.84615384615381</v>
          </cell>
        </row>
        <row r="47">
          <cell r="B47" t="str">
            <v>NBL-DSL</v>
          </cell>
          <cell r="Q47">
            <v>99.621212121212125</v>
          </cell>
          <cell r="R47">
            <v>143.84615384615381</v>
          </cell>
        </row>
        <row r="48">
          <cell r="B48" t="str">
            <v>NBL-DSL</v>
          </cell>
          <cell r="Q48">
            <v>99.621212121212125</v>
          </cell>
          <cell r="R48">
            <v>143.84615384615381</v>
          </cell>
        </row>
        <row r="49">
          <cell r="B49" t="str">
            <v>NBL-DSL</v>
          </cell>
          <cell r="Q49">
            <v>99.621212121212125</v>
          </cell>
          <cell r="R49">
            <v>143.84615384615381</v>
          </cell>
        </row>
        <row r="50">
          <cell r="B50" t="str">
            <v>NBL-DSL</v>
          </cell>
          <cell r="Q50">
            <v>99.621212121212125</v>
          </cell>
          <cell r="R50">
            <v>143.84615384615381</v>
          </cell>
        </row>
        <row r="51">
          <cell r="B51" t="str">
            <v>NBL-DSL</v>
          </cell>
          <cell r="Q51">
            <v>99.621212121212125</v>
          </cell>
          <cell r="R51">
            <v>143.84615384615381</v>
          </cell>
        </row>
        <row r="52">
          <cell r="B52" t="str">
            <v>NBL-DSL</v>
          </cell>
          <cell r="Q52">
            <v>99.621212121212125</v>
          </cell>
          <cell r="R52">
            <v>143.84615384615381</v>
          </cell>
        </row>
        <row r="53">
          <cell r="B53" t="str">
            <v>NBL-DSL</v>
          </cell>
          <cell r="Q53">
            <v>99.621212121212125</v>
          </cell>
          <cell r="R53">
            <v>143.84615384615381</v>
          </cell>
        </row>
        <row r="54">
          <cell r="B54" t="str">
            <v>NBL-DSL</v>
          </cell>
          <cell r="Q54">
            <v>99.621212121212125</v>
          </cell>
          <cell r="R54">
            <v>143.84615384615381</v>
          </cell>
        </row>
        <row r="55">
          <cell r="B55" t="str">
            <v>NBL-DSL</v>
          </cell>
          <cell r="Q55">
            <v>99.621212121212125</v>
          </cell>
          <cell r="R55">
            <v>143.84615384615381</v>
          </cell>
        </row>
        <row r="56">
          <cell r="B56" t="str">
            <v>NBL-CNG</v>
          </cell>
          <cell r="Q56">
            <v>99.621212121212125</v>
          </cell>
          <cell r="R56">
            <v>143.84615384615381</v>
          </cell>
        </row>
        <row r="57">
          <cell r="B57" t="str">
            <v>NBL-CNG</v>
          </cell>
          <cell r="Q57">
            <v>99.621212121212125</v>
          </cell>
          <cell r="R57">
            <v>143.84615384615381</v>
          </cell>
        </row>
        <row r="58">
          <cell r="B58" t="str">
            <v>NBL-CNG</v>
          </cell>
          <cell r="Q58">
            <v>99.621212121212125</v>
          </cell>
          <cell r="R58">
            <v>143.84615384615381</v>
          </cell>
        </row>
        <row r="59">
          <cell r="B59" t="str">
            <v>NBL-CNG</v>
          </cell>
          <cell r="Q59">
            <v>99.621212121212125</v>
          </cell>
          <cell r="R59">
            <v>143.84615384615381</v>
          </cell>
        </row>
        <row r="60">
          <cell r="B60" t="str">
            <v>NBL-CNG</v>
          </cell>
          <cell r="Q60">
            <v>99.621212121212125</v>
          </cell>
          <cell r="R60">
            <v>143.84615384615381</v>
          </cell>
        </row>
        <row r="61">
          <cell r="B61" t="str">
            <v>NBL-CNG</v>
          </cell>
          <cell r="Q61">
            <v>99.621212121212125</v>
          </cell>
          <cell r="R61">
            <v>143.84615384615381</v>
          </cell>
        </row>
        <row r="62">
          <cell r="B62" t="str">
            <v>NBL-CNG</v>
          </cell>
          <cell r="Q62">
            <v>99.621212121212125</v>
          </cell>
          <cell r="R62">
            <v>143.84615384615381</v>
          </cell>
        </row>
        <row r="63">
          <cell r="B63" t="str">
            <v>NBL-CNG</v>
          </cell>
          <cell r="Q63">
            <v>99.621212121212125</v>
          </cell>
          <cell r="R63">
            <v>143.84615384615381</v>
          </cell>
        </row>
        <row r="64">
          <cell r="B64" t="str">
            <v>NBL-CNG</v>
          </cell>
          <cell r="Q64">
            <v>99.621212121212125</v>
          </cell>
          <cell r="R64">
            <v>143.84615384615381</v>
          </cell>
        </row>
        <row r="65">
          <cell r="B65" t="str">
            <v>NBL-CNG</v>
          </cell>
          <cell r="Q65">
            <v>99.621212121212125</v>
          </cell>
          <cell r="R65">
            <v>143.84615384615381</v>
          </cell>
        </row>
        <row r="66">
          <cell r="B66" t="str">
            <v>Flat Trucks Logistics-</v>
          </cell>
          <cell r="Q66">
            <v>382.47863247863251</v>
          </cell>
          <cell r="R66">
            <v>53.846153846153847</v>
          </cell>
        </row>
        <row r="67">
          <cell r="B67" t="str">
            <v>Flat Trucks Logistics-</v>
          </cell>
          <cell r="Q67">
            <v>382.47863247863251</v>
          </cell>
          <cell r="R67">
            <v>53.846153846153847</v>
          </cell>
        </row>
        <row r="68">
          <cell r="B68" t="str">
            <v>Flat Trucks Logistics-</v>
          </cell>
          <cell r="Q68">
            <v>382.47863247863251</v>
          </cell>
          <cell r="R68">
            <v>53.846153846153847</v>
          </cell>
        </row>
        <row r="69">
          <cell r="B69" t="str">
            <v>Flat Trucks Logistics-</v>
          </cell>
          <cell r="Q69">
            <v>382.47863247863251</v>
          </cell>
          <cell r="R69">
            <v>53.846153846153847</v>
          </cell>
        </row>
        <row r="70">
          <cell r="B70" t="str">
            <v>Flat Trucks Logistics-</v>
          </cell>
          <cell r="Q70">
            <v>382.47863247863251</v>
          </cell>
          <cell r="R70">
            <v>53.846153846153847</v>
          </cell>
        </row>
        <row r="71">
          <cell r="B71" t="str">
            <v>Flat Trucks Logistics-</v>
          </cell>
          <cell r="Q71">
            <v>382.47863247863251</v>
          </cell>
          <cell r="R71">
            <v>53.846153846153847</v>
          </cell>
        </row>
        <row r="72">
          <cell r="B72" t="str">
            <v>Flat Trucks Logistics-</v>
          </cell>
          <cell r="Q72">
            <v>382.47863247863251</v>
          </cell>
          <cell r="R72">
            <v>53.846153846153847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4">
          <cell r="A4" t="str">
            <v>10CBM</v>
          </cell>
        </row>
        <row r="5">
          <cell r="A5" t="str">
            <v>16CBM</v>
          </cell>
        </row>
        <row r="6">
          <cell r="A6" t="str">
            <v>25CBM</v>
          </cell>
        </row>
        <row r="7">
          <cell r="A7" t="str">
            <v>Flat Trucks Logistics</v>
          </cell>
        </row>
        <row r="8">
          <cell r="A8" t="str">
            <v>HAULAGE</v>
          </cell>
        </row>
        <row r="9">
          <cell r="A9" t="str">
            <v>Hiabs Logistics</v>
          </cell>
        </row>
        <row r="10">
          <cell r="A10" t="str">
            <v>Grand Total</v>
          </cell>
        </row>
      </sheetData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Mohamad Dayekh" refreshedDate="46295.52093668981" createdVersion="8" refreshedVersion="8" minRefreshableVersion="3" recordCount="949" r:id="rId1">
  <cacheSource type="worksheet">
    <worksheetSource ref="A7:O934" sheet="Client Route And Contracts"/>
  </cacheSource>
  <cacheFields count="16">
    <cacheField name="Supervisor" uniqueList="1" numFmtId="0" sqlType="0" hierarchy="0" level="0" databaseField="1">
      <sharedItems count="0"/>
    </cacheField>
    <cacheField name="Fleet Group" uniqueList="1" numFmtId="0" sqlType="0" hierarchy="0" level="0" databaseField="1">
      <sharedItems count="0"/>
    </cacheField>
    <cacheField name="Contract Name " uniqueList="1" numFmtId="0" sqlType="0" hierarchy="0" level="0" databaseField="1">
      <sharedItems count="0"/>
    </cacheField>
    <cacheField name="Truck Size " uniqueList="1" numFmtId="0" sqlType="0" hierarchy="0" level="0" databaseField="1">
      <sharedItems count="0"/>
    </cacheField>
    <cacheField name="Divison" uniqueList="1" numFmtId="0" sqlType="0" hierarchy="0" level="0" databaseField="1">
      <sharedItems count="0"/>
    </cacheField>
    <cacheField name="Truck Tonnage " uniqueList="1" numFmtId="0" sqlType="0" hierarchy="0" level="0" databaseField="1">
      <sharedItems count="0"/>
    </cacheField>
    <cacheField name="Client" uniqueList="1" numFmtId="0" sqlType="0" hierarchy="0" level="0" databaseField="1">
      <sharedItems count="0"/>
    </cacheField>
    <cacheField name="Loading Point " uniqueList="1" numFmtId="0" sqlType="0" hierarchy="0" level="0" databaseField="1">
      <sharedItems count="0"/>
    </cacheField>
    <cacheField name="Destination" uniqueList="1" numFmtId="0" sqlType="0" hierarchy="0" level="0" databaseField="1">
      <sharedItems count="0"/>
    </cacheField>
    <cacheField name="State" uniqueList="1" numFmtId="0" sqlType="0" hierarchy="0" level="0" databaseField="1">
      <sharedItems count="0" containsBlank="1"/>
    </cacheField>
    <cacheField name="Region" uniqueList="1" numFmtId="0" sqlType="0" hierarchy="0" level="0" databaseField="1">
      <sharedItems count="0" containsBlank="1"/>
    </cacheField>
    <cacheField name="KM" uniqueList="1" numFmtId="0" sqlType="0" hierarchy="0" level="0" databaseField="1">
      <sharedItems count="0" containsNumber="1" containsSemiMixedTypes="0" containsString="0" minValue="0" maxValue="1711.5"/>
    </cacheField>
    <cacheField name="Total KM " uniqueList="1" numFmtId="0" sqlType="0" hierarchy="0" level="0" databaseField="1">
      <sharedItems count="0" containsNumber="1" containsSemiMixedTypes="0" containsString="0" minValue="3" maxValue="3423"/>
    </cacheField>
    <cacheField name="Diesel Issuance " uniqueList="1" numFmtId="0" sqlType="0" hierarchy="0" level="0" databaseField="1">
      <sharedItems count="0" containsInteger="1" containsNumber="1" containsSemiMixedTypes="0" containsString="0" minValue="3" maxValue="2396"/>
    </cacheField>
    <cacheField name="Road Expenses" uniqueList="1" numFmtId="165" sqlType="0" hierarchy="0" level="0" databaseField="1">
      <sharedItems count="0" containsNumber="1" containsSemiMixedTypes="0" containsString="0" minValue="72" maxValue="82152"/>
    </cacheField>
    <cacheField name="Price " uniqueList="1" numFmtId="164" sqlType="0" hierarchy="0" level="0" databaseField="1">
      <sharedItems count="0" containsMixedTypes="1" containsNumber="1" minValue="0" maxValue="7170000"/>
    </cacheField>
  </cacheFields>
</pivotCacheDefinition>
</file>

<file path=xl/pivotCache/pivotCacheRecords1.xml><?xml version="1.0" encoding="utf-8"?>
<pivotCacheRecords xmlns="http://schemas.openxmlformats.org/spreadsheetml/2006/main" count="949">
  <r>
    <s v="YEKENE"/>
    <s v="CANTER-8T-25CBM"/>
    <s v="Jamara-8T-25CBM"/>
    <s v="25CBM"/>
    <s v="CANTER"/>
    <s v="8T"/>
    <s v="Jamara"/>
    <s v="Lagos"/>
    <s v="Abule-EGBA-Ijayi-Moshalasi-Kola-Sango"/>
    <s v="Ogun"/>
    <s v="SANGO-OTTA"/>
    <n v="30"/>
    <n v="60"/>
    <n v="90"/>
    <n v="1440"/>
    <n v="141581.78011258"/>
  </r>
  <r>
    <s v="YEKENE"/>
    <s v="CANTER-8T-25CBM"/>
    <s v="Jamara-8T-25CBM"/>
    <s v="25CBM"/>
    <s v="CANTER"/>
    <s v="8T"/>
    <s v="Jamara"/>
    <s v="Lagos"/>
    <s v="Abule-EGBA-Ijayi-Moshalasi-Kola-Sango"/>
    <s v="Lagos"/>
    <s v="ABULE EGBA"/>
    <n v="19"/>
    <n v="38"/>
    <n v="79"/>
    <n v="912"/>
    <n v="141581.78011258"/>
  </r>
  <r>
    <s v="YEKENE"/>
    <s v="CANTER-8T-25CBM"/>
    <s v="Jamara-8T-25CBM"/>
    <s v="25CBM"/>
    <s v="CANTER"/>
    <s v="8T"/>
    <s v="Jamara"/>
    <s v="Lagos"/>
    <s v="Abule-EGBA-Ijayi-Moshalasi-Kola-Sango"/>
    <s v="Lagos"/>
    <s v="AGBADO"/>
    <n v="22.5"/>
    <n v="45"/>
    <n v="82"/>
    <n v="1080"/>
    <n v="141581.78011258"/>
  </r>
  <r>
    <s v="YEKENE"/>
    <s v="CANTER-8T-25CBM"/>
    <s v="Jamara-8T-25CBM"/>
    <s v="25CBM"/>
    <s v="CANTER"/>
    <s v="8T"/>
    <s v="Jamara"/>
    <s v="Lagos"/>
    <s v="Abule-EGBA-Ijayi-Moshalasi-Kola-Sango"/>
    <s v="Lagos"/>
    <s v="IJAIYE"/>
    <n v="14"/>
    <n v="28"/>
    <n v="74"/>
    <n v="672"/>
    <n v="141581.78011258"/>
  </r>
  <r>
    <s v="YEKENE"/>
    <s v="CANTER-8T-25CBM"/>
    <s v="Jamara-8T-25CBM"/>
    <s v="25CBM"/>
    <s v="CANTER"/>
    <s v="8T"/>
    <s v="Jamara"/>
    <s v="Lagos"/>
    <s v="AGBARA-BADAGRI-FESTAC-MILE2 --AMOWO"/>
    <s v="Lagos"/>
    <s v="Agbara"/>
    <n v="47"/>
    <n v="94"/>
    <n v="107"/>
    <n v="2256"/>
    <n v="141581.78011258"/>
  </r>
  <r>
    <s v="YEKENE"/>
    <s v="CANTER-8T-25CBM"/>
    <s v="Jamara-8T-25CBM"/>
    <s v="25CBM"/>
    <s v="CANTER"/>
    <s v="8T"/>
    <s v="Jamara"/>
    <s v="Lagos"/>
    <s v="AGBARA-BADAGRI-FESTAC-MILE2 --AMOWO"/>
    <s v="Lagos"/>
    <s v="Festac"/>
    <n v="23.5"/>
    <n v="47"/>
    <n v="83"/>
    <n v="1128"/>
    <n v="141581.78011258"/>
  </r>
  <r>
    <s v="YEKENE"/>
    <s v="CANTER-8T-25CBM"/>
    <s v="Jamara-8T-25CBM"/>
    <s v="25CBM"/>
    <s v="CANTER"/>
    <s v="8T"/>
    <s v="Jamara"/>
    <s v="Lagos"/>
    <s v="AGBARA-BADAGRI-FESTAC-MILE2 --AMOWO"/>
    <s v="Lagos"/>
    <s v="Mile 2"/>
    <n v="18"/>
    <n v="36"/>
    <n v="78"/>
    <n v="864"/>
    <n v="141581.78011258"/>
  </r>
  <r>
    <s v="YEKENE"/>
    <s v="CANTER-8T-25CBM"/>
    <s v="Jamara-8T-25CBM"/>
    <s v="25CBM"/>
    <s v="CANTER"/>
    <s v="8T"/>
    <s v="Jamara"/>
    <s v="Lagos"/>
    <s v="ALABA"/>
    <s v="Lagos"/>
    <s v="Ojo"/>
    <n v="18"/>
    <n v="36"/>
    <n v="78"/>
    <n v="864"/>
    <n v="141581.78011258"/>
  </r>
  <r>
    <s v="YEKENE"/>
    <s v="CANTER-8T-25CBM"/>
    <s v="Jamara-8T-25CBM"/>
    <s v="25CBM"/>
    <s v="CANTER"/>
    <s v="8T"/>
    <s v="Jamara"/>
    <s v="Lagos"/>
    <s v="IKEJA-AGEGE-DOPEMU-MAGODO"/>
    <s v="Lagos"/>
    <s v="MAGODO"/>
    <n v="12"/>
    <n v="24"/>
    <n v="72"/>
    <n v="576"/>
    <n v="141581.78011258"/>
  </r>
  <r>
    <s v="YEKENE"/>
    <s v="CANTER-8T-25CBM"/>
    <s v="Jamara-8T-25CBM"/>
    <s v="25CBM"/>
    <s v="CANTER"/>
    <s v="8T"/>
    <s v="Jamara"/>
    <s v="Lagos"/>
    <s v="IKEJA-AGEGE-DOPEMU-MAGODO"/>
    <s v="Lagos"/>
    <s v="Agege"/>
    <n v="14"/>
    <n v="28"/>
    <n v="74"/>
    <n v="672"/>
    <n v="141581.78011258"/>
  </r>
  <r>
    <s v="YEKENE"/>
    <s v="CANTER-8T-25CBM"/>
    <s v="Jamara-8T-25CBM"/>
    <s v="25CBM"/>
    <s v="CANTER"/>
    <s v="8T"/>
    <s v="Jamara"/>
    <s v="Lagos"/>
    <s v="IKEJA-AGEGE-DOPEMU-MAGODO"/>
    <s v="Lagos"/>
    <s v="Ikeja"/>
    <n v="11"/>
    <n v="22"/>
    <n v="71"/>
    <n v="528"/>
    <n v="141581.78011258"/>
  </r>
  <r>
    <s v="YEKENE"/>
    <s v="CANTER-8T-25CBM"/>
    <s v="Jamara-8T-25CBM"/>
    <s v="25CBM"/>
    <s v="CANTER"/>
    <s v="8T"/>
    <s v="Jamara"/>
    <s v="Lagos"/>
    <s v="IKM-SHAGARI-EGIGBO-IPAJA-AYOBO-OKOKOMAIKO-OSHODI-ISOLO"/>
    <s v="Lagos"/>
    <s v="Ikotun"/>
    <n v="24.5"/>
    <n v="49"/>
    <n v="84"/>
    <n v="1176"/>
    <n v="141581.78011258"/>
  </r>
  <r>
    <s v="YEKENE"/>
    <s v="CANTER-8T-25CBM"/>
    <s v="Jamara-8T-25CBM"/>
    <s v="25CBM"/>
    <s v="CANTER"/>
    <s v="8T"/>
    <s v="Jamara"/>
    <s v="Lagos"/>
    <s v="IKM-SHAGARI-EGIGBO-IPAJA-AYOBO-OKOKOMAIKO-OSHODI-ISOLO"/>
    <s v="Lagos"/>
    <s v="IPAJA"/>
    <n v="22"/>
    <n v="44"/>
    <n v="82"/>
    <n v="1056"/>
    <n v="141581.78011258"/>
  </r>
  <r>
    <s v="YEKENE"/>
    <s v="CANTER-8T-25CBM"/>
    <s v="Jamara-8T-25CBM"/>
    <s v="25CBM"/>
    <s v="CANTER"/>
    <s v="8T"/>
    <s v="Jamara"/>
    <s v="Lagos"/>
    <s v="IKM-SHAGARI-EGIGBO-IPAJA-AYOBO-OKOKOMAIKO-OSHODI-ISOLO"/>
    <s v="Lagos"/>
    <s v="EJIGBO"/>
    <n v="15"/>
    <n v="30"/>
    <n v="75"/>
    <n v="720"/>
    <n v="141581.78011258"/>
  </r>
  <r>
    <s v="YEKENE"/>
    <s v="CANTER-8T-25CBM"/>
    <s v="Jamara-8T-25CBM"/>
    <s v="25CBM"/>
    <s v="CANTER"/>
    <s v="8T"/>
    <s v="Jamara"/>
    <s v="Lagos"/>
    <s v="IKM-SHAGARI-EGIGBO-IPAJA-AYOBO-OKOKOMAIKO-OSHODI-ISOLO"/>
    <s v="Lagos"/>
    <s v="ISOLO"/>
    <n v="11"/>
    <n v="22"/>
    <n v="71"/>
    <n v="528"/>
    <n v="141581.78011258"/>
  </r>
  <r>
    <s v="YEKENE"/>
    <s v="CANTER-8T-25CBM"/>
    <s v="Jamara-8T-25CBM"/>
    <s v="25CBM"/>
    <s v="CANTER"/>
    <s v="8T"/>
    <s v="Jamara"/>
    <s v="Lagos"/>
    <s v="IKM-SHAGARI-EGIGBO-IPAJA-AYOBO-OKOKOMAIKO-OSHODI-ISOLO"/>
    <s v="Lagos"/>
    <s v="OSHODI"/>
    <n v="8"/>
    <n v="16"/>
    <n v="68"/>
    <n v="384"/>
    <n v="141581.78011258"/>
  </r>
  <r>
    <s v="YEKENE"/>
    <s v="CANTER-8T-25CBM"/>
    <s v="Jamara-8T-25CBM"/>
    <s v="25CBM"/>
    <s v="CANTER"/>
    <s v="8T"/>
    <s v="Jamara"/>
    <s v="Lagos"/>
    <s v="Ilupeju-GBD-APAPA-MUSHIN-OKOTA-FADEYI"/>
    <s v="Lagos"/>
    <s v="Mushin"/>
    <n v="8"/>
    <n v="16"/>
    <n v="68"/>
    <n v="384"/>
    <n v="141581.78011258"/>
  </r>
  <r>
    <s v="YEKENE"/>
    <s v="CANTER-8T-25CBM"/>
    <s v="Jamara-8T-25CBM"/>
    <s v="25CBM"/>
    <s v="CANTER"/>
    <s v="8T"/>
    <s v="Jamara"/>
    <s v="Lagos"/>
    <s v="Ilupeju-GBD-APAPA-MUSHIN-OKOTA-FADEYI"/>
    <s v="Lagos"/>
    <s v="FADEYI"/>
    <n v="8"/>
    <n v="16"/>
    <n v="68"/>
    <n v="384"/>
    <n v="141581.78011258"/>
  </r>
  <r>
    <s v="YEKENE"/>
    <s v="CANTER-8T-25CBM"/>
    <s v="Jamara-8T-25CBM"/>
    <s v="25CBM"/>
    <s v="CANTER"/>
    <s v="8T"/>
    <s v="Jamara"/>
    <s v="Lagos"/>
    <s v="Ilupeju-GBD-APAPA-MUSHIN-OKOTA-FADEYI"/>
    <s v="Lagos"/>
    <s v="OKOTA"/>
    <n v="16"/>
    <n v="32"/>
    <n v="76"/>
    <n v="768"/>
    <n v="141581.78011258"/>
  </r>
  <r>
    <s v="YEKENE"/>
    <s v="CANTER-8T-25CBM"/>
    <s v="Jamara-8T-25CBM"/>
    <s v="25CBM"/>
    <s v="CANTER"/>
    <s v="8T"/>
    <s v="Jamara"/>
    <s v="Lagos"/>
    <s v="Ilupeju-GBD-APAPA-MUSHIN-OKOTA-FADEYI"/>
    <s v="Lagos"/>
    <s v="APAPA"/>
    <n v="27"/>
    <n v="54"/>
    <n v="87"/>
    <n v="1296"/>
    <n v="141581.78011258"/>
  </r>
  <r>
    <s v="YEKENE"/>
    <s v="CANTER-8T-25CBM"/>
    <s v="Jamara-8T-25CBM"/>
    <s v="25CBM"/>
    <s v="CANTER"/>
    <s v="8T"/>
    <s v="Jamara"/>
    <s v="Lagos"/>
    <s v="Ilupeju-GBD-APAPA-MUSHIN-OKOTA-FADEYI"/>
    <s v="Lagos"/>
    <s v="MATORI"/>
    <n v="8"/>
    <n v="16"/>
    <n v="68"/>
    <n v="384"/>
    <n v="141581.78011258"/>
  </r>
  <r>
    <s v="YEKENE"/>
    <s v="CANTER-8T-25CBM"/>
    <s v="Jamara-8T-25CBM"/>
    <s v="25CBM"/>
    <s v="CANTER"/>
    <s v="8T"/>
    <s v="Jamara"/>
    <s v="Lagos"/>
    <s v="Ilupeju-GBD-APAPA-MUSHIN-OKOTA-FADEYI"/>
    <s v="Lagos"/>
    <s v="Gbagada"/>
    <n v="8"/>
    <n v="16"/>
    <n v="68"/>
    <n v="384"/>
    <n v="141581.78011258"/>
  </r>
  <r>
    <s v="YEKENE"/>
    <s v="CANTER-8T-25CBM"/>
    <s v="Jamara-8T-25CBM"/>
    <s v="25CBM"/>
    <s v="CANTER"/>
    <s v="8T"/>
    <s v="Jamara"/>
    <s v="Lagos"/>
    <s v="Ilupeju-GBD-APAPA-MUSHIN-OKOTA-FADEYI"/>
    <s v="Lagos"/>
    <s v="Ilupeju"/>
    <n v="8"/>
    <n v="16"/>
    <n v="68"/>
    <n v="384"/>
    <n v="141581.78011258"/>
  </r>
  <r>
    <s v="YEKENE"/>
    <s v="CANTER-8T-25CBM"/>
    <s v="Jamara-8T-25CBM"/>
    <s v="25CBM"/>
    <s v="CANTER"/>
    <s v="8T"/>
    <s v="Jamara"/>
    <s v="Lagos"/>
    <s v="KETU-IKORODU"/>
    <s v="Lagos"/>
    <s v="IKORODU"/>
    <n v="35"/>
    <n v="70"/>
    <n v="95"/>
    <n v="1680"/>
    <n v="127423.602101322"/>
  </r>
  <r>
    <s v="YEKENE"/>
    <s v="CANTER-8T-25CBM"/>
    <s v="Jamara-8T-25CBM"/>
    <s v="25CBM"/>
    <s v="CANTER"/>
    <s v="8T"/>
    <s v="Jamara"/>
    <s v="Lagos"/>
    <s v="KETU-IKORODU"/>
    <s v="Lagos"/>
    <s v="Ketu"/>
    <n v="10"/>
    <n v="20"/>
    <n v="70"/>
    <n v="480"/>
    <n v="141581.78011258"/>
  </r>
  <r>
    <s v="YEKENE"/>
    <s v="CANTER-8T-25CBM"/>
    <s v="Jamara-8T-25CBM"/>
    <s v="25CBM"/>
    <s v="CANTER"/>
    <s v="8T"/>
    <s v="Jamara"/>
    <s v="Lagos"/>
    <s v="LAGOS-ISLAND-MARINA"/>
    <s v="Lagos"/>
    <s v="LAGOS ISLA"/>
    <n v="18"/>
    <n v="36"/>
    <n v="78"/>
    <n v="864"/>
    <n v="141581.78011258"/>
  </r>
  <r>
    <s v="YEKENE"/>
    <s v="CANTER-8T-25CBM"/>
    <s v="Jamara-8T-25CBM"/>
    <s v="25CBM"/>
    <s v="CANTER"/>
    <s v="8T"/>
    <s v="Jamara"/>
    <s v="Lagos"/>
    <s v="LAGOS-ISLAND-MARINA"/>
    <s v="Lagos"/>
    <s v="MARINA"/>
    <n v="23"/>
    <n v="46"/>
    <n v="83"/>
    <n v="1104"/>
    <n v="141581.78011258"/>
  </r>
  <r>
    <s v="YEKENE"/>
    <s v="CANTER-8T-25CBM"/>
    <s v="Jamara-8T-25CBM"/>
    <s v="25CBM"/>
    <s v="CANTER"/>
    <s v="8T"/>
    <s v="Jamara"/>
    <s v="Lagos"/>
    <s v="Ogun-Abekouta"/>
    <s v="Ogun"/>
    <s v="ABEOKUTA"/>
    <n v="99.5"/>
    <n v="199"/>
    <n v="161"/>
    <n v="4776"/>
    <n v="141581.78011258"/>
  </r>
  <r>
    <s v="YEKENE"/>
    <s v="CANTER-8T-25CBM"/>
    <s v="Jamara-8T-25CBM"/>
    <s v="25CBM"/>
    <s v="CANTER"/>
    <s v="8T"/>
    <s v="Jamara"/>
    <s v="Lagos"/>
    <s v="Sagamu-Ijebu Ode"/>
    <s v="Ogun"/>
    <s v="IJEBU ODE"/>
    <n v="100"/>
    <n v="200"/>
    <n v="162"/>
    <n v="4800"/>
    <n v="141581.78011258"/>
  </r>
  <r>
    <s v="YEKENE"/>
    <s v="CANTER-8T-25CBM"/>
    <s v="Jamara-8T-25CBM"/>
    <s v="25CBM"/>
    <s v="CANTER"/>
    <s v="8T"/>
    <s v="Jamara"/>
    <s v="Lagos"/>
    <s v="Sagamu-Ijebu Ode"/>
    <s v="Ogun"/>
    <s v="Sagamu"/>
    <n v="70"/>
    <n v="140"/>
    <n v="131"/>
    <n v="3360"/>
    <n v="141581.78011258"/>
  </r>
  <r>
    <s v="YEKENE"/>
    <s v="CANTER-8T-25CBM"/>
    <s v="Jamara-8T-25CBM"/>
    <s v="25CBM"/>
    <s v="CANTER"/>
    <s v="8T"/>
    <s v="Jamara"/>
    <s v="Lagos"/>
    <s v="Ojodu-Akute-Mowe"/>
    <s v="Lagos"/>
    <s v="MAGBORO"/>
    <n v="37.6"/>
    <n v="75.2"/>
    <n v="98"/>
    <n v="1804.8"/>
    <n v="141581.78011258"/>
  </r>
  <r>
    <s v="YEKENE"/>
    <s v="CANTER-8T-25CBM"/>
    <s v="Jamara-8T-25CBM"/>
    <s v="25CBM"/>
    <s v="CANTER"/>
    <s v="8T"/>
    <s v="Jamara"/>
    <s v="Lagos"/>
    <s v="Ojodu-Akute-Mowe"/>
    <s v="Lagos"/>
    <s v="Akute"/>
    <n v="25"/>
    <n v="50"/>
    <n v="85"/>
    <n v="1200"/>
    <n v="141581.78011258"/>
  </r>
  <r>
    <s v="YEKENE"/>
    <s v="CANTER-8T-25CBM"/>
    <s v="Jamara-8T-25CBM"/>
    <s v="25CBM"/>
    <s v="CANTER"/>
    <s v="8T"/>
    <s v="Jamara"/>
    <s v="Lagos"/>
    <s v="Ojodu-Akute-Mowe"/>
    <s v="Lagos"/>
    <s v="Ojodu"/>
    <n v="25"/>
    <n v="50"/>
    <n v="85"/>
    <n v="1200"/>
    <n v="141581.78011258"/>
  </r>
  <r>
    <s v="YEKENE"/>
    <s v="CANTER-8T-25CBM"/>
    <s v="Jamara-8T-25CBM"/>
    <s v="25CBM"/>
    <s v="CANTER"/>
    <s v="8T"/>
    <s v="Jamara"/>
    <s v="Lagos"/>
    <s v="SURULELE-TEJESHU-YABA-EBUTE META-OYINGOBO"/>
    <s v="Lagos"/>
    <s v="YABA"/>
    <n v="15"/>
    <n v="30"/>
    <n v="75"/>
    <n v="720"/>
    <n v="141581.78011258"/>
  </r>
  <r>
    <s v="YEKENE"/>
    <s v="CANTER-8T-25CBM"/>
    <s v="Jamara-8T-25CBM"/>
    <s v="25CBM"/>
    <s v="CANTER"/>
    <s v="8T"/>
    <s v="Jamara"/>
    <s v="Lagos"/>
    <s v="SURULELE-TEJESHU-YABA-EBUTE META-OYINGOBO"/>
    <s v="Lagos"/>
    <s v="SURULERE"/>
    <n v="14"/>
    <n v="28"/>
    <n v="74"/>
    <n v="672"/>
    <n v="141581.78011258"/>
  </r>
  <r>
    <s v="YEKENE"/>
    <s v="CANTER-8T-25CBM"/>
    <s v="Jamara-8T-25CBM"/>
    <s v="25CBM"/>
    <s v="CANTER"/>
    <s v="8T"/>
    <s v="Jamara"/>
    <s v="Lagos"/>
    <s v="SURULELE-TEJESHU-YABA-EBUTE META-OYINGOBO"/>
    <s v="Lagos"/>
    <s v="TEJESHO"/>
    <n v="19"/>
    <n v="38"/>
    <n v="79"/>
    <n v="912"/>
    <n v="141581.78011258"/>
  </r>
  <r>
    <s v="YEKENE"/>
    <s v="CANTER-8T-25CBM"/>
    <s v="Jamara-8T-25CBM"/>
    <s v="25CBM"/>
    <s v="CANTER"/>
    <s v="8T"/>
    <s v="Jamara"/>
    <s v="Lagos"/>
    <s v="VI-Lekki-AJAH"/>
    <s v="Lagos"/>
    <s v="Ibeju"/>
    <n v="75"/>
    <n v="150"/>
    <n v="136"/>
    <n v="3600"/>
    <n v="141581.78011258"/>
  </r>
  <r>
    <s v="YEKENE"/>
    <s v="CANTER-8T-25CBM"/>
    <s v="Jamara-8T-25CBM"/>
    <s v="25CBM"/>
    <s v="CANTER"/>
    <s v="8T"/>
    <s v="Jamara"/>
    <s v="Lagos"/>
    <s v="VI-Lekki-AJAH"/>
    <s v="Lagos"/>
    <s v="AJAH"/>
    <n v="40"/>
    <n v="80"/>
    <n v="100"/>
    <n v="1920"/>
    <n v="141581.78011258"/>
  </r>
  <r>
    <s v="YEKENE"/>
    <s v="CANTER-8T-25CBM"/>
    <s v="Jamara-8T-25CBM"/>
    <s v="25CBM"/>
    <s v="CANTER"/>
    <s v="8T"/>
    <s v="Jamara"/>
    <s v="Lagos"/>
    <s v="VI-Lekki-AJAH"/>
    <s v="Lagos"/>
    <s v="lekki"/>
    <n v="35"/>
    <n v="70"/>
    <n v="95"/>
    <n v="1680"/>
    <n v="141581.78011258"/>
  </r>
  <r>
    <s v="YEKENE"/>
    <s v="CANTER-8T-25CBM"/>
    <s v="Jamara-8T-25CBM"/>
    <s v="25CBM"/>
    <s v="CANTER"/>
    <s v="8T"/>
    <s v="Jamara"/>
    <s v="Lagos"/>
    <s v="VI-Lekki-AJAH"/>
    <s v="Lagos"/>
    <s v="VI"/>
    <n v="25"/>
    <n v="50"/>
    <n v="85"/>
    <n v="1200"/>
    <n v="141581.78011258"/>
  </r>
  <r>
    <s v="YEKENE"/>
    <s v="CANTER-8T-25CBM"/>
    <s v="Jamara-8T-25CBM"/>
    <s v="25CBM"/>
    <s v="CANTER"/>
    <s v="8T"/>
    <s v="Jamara"/>
    <s v="Lagos"/>
    <s v="VI-Lekki-AJAH"/>
    <s v="Lagos"/>
    <s v="ONIRU"/>
    <n v="28"/>
    <n v="56"/>
    <n v="88"/>
    <n v="1344"/>
    <n v="127423.602101322"/>
  </r>
  <r>
    <s v="YEKENE"/>
    <s v="CANTER-8T-25CBM"/>
    <s v="Jamara-8T-25CBM"/>
    <s v="25CBM"/>
    <s v="CANTER"/>
    <s v="8T"/>
    <s v="Jamara"/>
    <s v="Lagos"/>
    <s v="Ibadan"/>
    <s v="Oyo"/>
    <s v="Ibadan"/>
    <n v="120.5"/>
    <n v="241"/>
    <n v="182"/>
    <n v="5784"/>
    <n v="235969.6335209667"/>
  </r>
  <r>
    <s v="YEKENE"/>
    <s v="CANTER-8T-25CBM"/>
    <s v="Jamara-8T-25CBM"/>
    <s v="25CBM"/>
    <s v="CANTER"/>
    <s v="8T"/>
    <s v="Jamara"/>
    <s v="Lagos"/>
    <s v="Direct Benin"/>
    <s v="Edo"/>
    <s v="Direct Benin"/>
    <n v="312"/>
    <n v="624"/>
    <n v="378"/>
    <n v="14976"/>
    <n v="353954.4502814501"/>
  </r>
  <r>
    <s v="YEKENE"/>
    <s v="CANTER-8T-25CBM"/>
    <s v="Jamara-8T-25CBM"/>
    <s v="25CBM"/>
    <s v="CANTER"/>
    <s v="8T"/>
    <s v="Jamara"/>
    <s v="Lagos"/>
    <s v="DELTA-ASABA"/>
    <s v="Delta "/>
    <s v="Delta-direct"/>
    <n v="410"/>
    <n v="820"/>
    <n v="478"/>
    <n v="19680"/>
    <n v="377551.4136335467"/>
  </r>
  <r>
    <s v="YEKENE"/>
    <s v="CANTER-8T-25CBM"/>
    <s v="Jamara-8T-25CBM"/>
    <s v="25CBM"/>
    <s v="CANTER"/>
    <s v="8T"/>
    <s v="Jamara"/>
    <s v="Lagos"/>
    <s v="Abule-EGBA-Ijayi-Moshalasi-Kola-Sango"/>
    <s v="Ogun"/>
    <s v="SANGO-OTTA"/>
    <n v="28.4"/>
    <n v="56.8"/>
    <n v="88"/>
    <n v="1363.2"/>
    <n v="141581.78011258"/>
  </r>
  <r>
    <s v="YEKENE"/>
    <s v="CANTER-8T-25CBM"/>
    <s v="Jamara-8T-25CBM"/>
    <s v="25CBM"/>
    <s v="CANTER"/>
    <s v="8T"/>
    <s v="Jamara"/>
    <s v="Lagos"/>
    <s v="Ogun-Abekouta"/>
    <s v="Ogun"/>
    <s v="ABEOKUTA"/>
    <n v="99.5"/>
    <n v="199"/>
    <n v="161"/>
    <n v="4776"/>
    <n v="141581.78011258"/>
  </r>
  <r>
    <s v="YEKENE"/>
    <s v="CANTER-8T-25CBM"/>
    <s v="Jamara-8T-25CBM"/>
    <s v="25CBM"/>
    <s v="CANTER"/>
    <s v="8T"/>
    <s v="Jamara"/>
    <s v="Lagos"/>
    <s v="Sagamu-Ijebu Ode"/>
    <s v="Ogun"/>
    <s v="IJEBU ODE"/>
    <n v="100"/>
    <n v="200"/>
    <n v="162"/>
    <n v="4800"/>
    <n v="141581.78011258"/>
  </r>
  <r>
    <s v="YEKENE"/>
    <s v="CANTER-8T-25CBM"/>
    <s v="Jamara-8T-25CBM"/>
    <s v="25CBM"/>
    <s v="CANTER"/>
    <s v="8T"/>
    <s v="Jamara"/>
    <s v="Lagos"/>
    <s v="Sagamu"/>
    <s v="Ogun"/>
    <s v="Sagamu"/>
    <n v="100"/>
    <n v="200"/>
    <n v="162"/>
    <n v="4800"/>
    <n v="141581.78011258"/>
  </r>
  <r>
    <s v="YEKENE"/>
    <s v="CANTER-8T-25CBM"/>
    <s v="Jamara-8T-25CBM"/>
    <s v="25CBM"/>
    <s v="CANTER"/>
    <s v="8T"/>
    <s v="Jamara"/>
    <s v="Lagos"/>
    <s v="Ibadan"/>
    <s v="Oyo"/>
    <s v="Ibadan"/>
    <n v="120.5"/>
    <n v="241"/>
    <n v="182"/>
    <n v="5784"/>
    <n v="141581.78011258"/>
  </r>
  <r>
    <s v="YEKENE"/>
    <s v="CANTER-8T-25CBM"/>
    <s v="Jamara-8T-25CBM"/>
    <s v="25CBM"/>
    <s v="CANTER"/>
    <s v="8T"/>
    <s v="Jamara"/>
    <s v="Lagos"/>
    <s v="EKITE"/>
    <s v="Ekiti"/>
    <s v="Ado Ekiti"/>
    <n v="353"/>
    <n v="706"/>
    <n v="420"/>
    <n v="16944"/>
    <n v="377551.4136335467"/>
  </r>
  <r>
    <s v="YEKENE"/>
    <s v="CANTER-8T-25CBM"/>
    <s v="Jamara-8T-25CBM"/>
    <s v="25CBM"/>
    <s v="CANTER"/>
    <s v="8T"/>
    <s v="Jamara"/>
    <s v="Lagos"/>
    <s v="ONDO"/>
    <s v="Ondo"/>
    <s v="Akure"/>
    <n v="304"/>
    <n v="608"/>
    <n v="370"/>
    <n v="14592"/>
    <n v="377551.4136335467"/>
  </r>
  <r>
    <s v="YEKENE"/>
    <s v="CANTER-8T-25CBM"/>
    <s v="Jamara-8T-25CBM"/>
    <s v="25CBM"/>
    <s v="CANTER"/>
    <s v="8T"/>
    <s v="Jamara"/>
    <s v="Lagos"/>
    <s v="KWARA"/>
    <s v="Kwara"/>
    <s v="Ilorin"/>
    <n v="297.5"/>
    <n v="595"/>
    <n v="363"/>
    <n v="14280"/>
    <n v="259566.5968730634"/>
  </r>
  <r>
    <s v="YEKENE"/>
    <s v="CANTER-8T-25CBM"/>
    <s v="Jamara-8T-25CBM"/>
    <s v="25CBM"/>
    <s v="CANTER"/>
    <s v="8T"/>
    <s v="Jamara"/>
    <s v="Lagos"/>
    <s v="Abuja"/>
    <s v="Abuja"/>
    <s v="Abuja-Direct"/>
    <n v="755"/>
    <n v="1510"/>
    <n v="770"/>
    <n v="36240"/>
    <n v="707908.9005629001"/>
  </r>
  <r>
    <s v="YEKENE"/>
    <s v="CANTER-3T-16CBM"/>
    <s v="Jamara-3T-16CBM"/>
    <s v="16CBM"/>
    <s v="CANTER"/>
    <s v="3T"/>
    <s v="Jamara"/>
    <s v="Lagos"/>
    <s v="Abule-EGBA-Ijayi-Moshalasi-Kola-Sango"/>
    <s v="Ogun"/>
    <s v="SANGO-OTTA"/>
    <n v="30"/>
    <n v="60"/>
    <n v="90"/>
    <n v="1440"/>
    <n v="88979.54286905425"/>
  </r>
  <r>
    <s v="YEKENE"/>
    <s v="CANTER-3T-16CBM"/>
    <s v="Jamara-3T-16CBM"/>
    <s v="16CBM"/>
    <s v="CANTER"/>
    <s v="3T"/>
    <s v="Jamara"/>
    <s v="Lagos"/>
    <s v="Abule-EGBA-Ijayi-Moshalasi-Kola-Sango"/>
    <s v="Lagos"/>
    <s v="ABULE EGBA"/>
    <n v="19"/>
    <n v="38"/>
    <n v="79"/>
    <n v="912"/>
    <n v="88979.54286905425"/>
  </r>
  <r>
    <s v="YEKENE"/>
    <s v="CANTER-3T-16CBM"/>
    <s v="Jamara-3T-16CBM"/>
    <s v="16CBM"/>
    <s v="CANTER"/>
    <s v="3T"/>
    <s v="Jamara"/>
    <s v="Lagos"/>
    <s v="Abule-EGBA-Ijayi-Moshalasi-Kola-Sango"/>
    <s v="Lagos"/>
    <s v="AGBADO"/>
    <n v="22.5"/>
    <n v="45"/>
    <n v="82"/>
    <n v="1080"/>
    <n v="88979.54286905425"/>
  </r>
  <r>
    <s v="YEKENE"/>
    <s v="CANTER-3T-16CBM"/>
    <s v="Jamara-3T-16CBM"/>
    <s v="16CBM"/>
    <s v="CANTER"/>
    <s v="3T"/>
    <s v="Jamara"/>
    <s v="Lagos"/>
    <s v="Abule-EGBA-Ijayi-Moshalasi-Kola-Sango"/>
    <s v="Lagos"/>
    <s v="IJAIYE"/>
    <n v="14"/>
    <n v="28"/>
    <n v="74"/>
    <n v="672"/>
    <n v="88979.54286905425"/>
  </r>
  <r>
    <s v="YEKENE"/>
    <s v="CANTER-3T-16CBM"/>
    <s v="Jamara-3T-16CBM"/>
    <s v="16CBM"/>
    <s v="CANTER"/>
    <s v="3T"/>
    <s v="Jamara"/>
    <s v="Lagos"/>
    <s v="AGBARA-BADAGRI-FESTAC-MILE2 --AMOWO"/>
    <s v="Lagos"/>
    <s v="Agbara"/>
    <n v="47"/>
    <n v="94"/>
    <n v="107"/>
    <n v="2256"/>
    <n v="88979.54286905425"/>
  </r>
  <r>
    <s v="YEKENE"/>
    <s v="CANTER-3T-16CBM"/>
    <s v="Jamara-3T-16CBM"/>
    <s v="16CBM"/>
    <s v="CANTER"/>
    <s v="3T"/>
    <s v="Jamara"/>
    <s v="Lagos"/>
    <s v="AGBARA-BADAGRI-FESTAC-MILE2 --AMOWO"/>
    <s v="Lagos"/>
    <s v="Festac"/>
    <n v="23.5"/>
    <n v="47"/>
    <n v="83"/>
    <n v="1128"/>
    <n v="88979.54286905425"/>
  </r>
  <r>
    <s v="YEKENE"/>
    <s v="CANTER-3T-16CBM"/>
    <s v="Jamara-3T-16CBM"/>
    <s v="16CBM"/>
    <s v="CANTER"/>
    <s v="3T"/>
    <s v="Jamara"/>
    <s v="Lagos"/>
    <s v="AGBARA-BADAGRI-FESTAC-MILE2 --AMOWO"/>
    <s v="Lagos"/>
    <s v="Mile 2"/>
    <n v="18"/>
    <n v="36"/>
    <n v="78"/>
    <n v="864"/>
    <n v="88979.54286905425"/>
  </r>
  <r>
    <s v="YEKENE"/>
    <s v="CANTER-3T-16CBM"/>
    <s v="Jamara-3T-16CBM"/>
    <s v="16CBM"/>
    <s v="CANTER"/>
    <s v="3T"/>
    <s v="Jamara"/>
    <s v="Lagos"/>
    <s v="ALABA"/>
    <s v="Lagos"/>
    <s v="Ojo"/>
    <n v="18"/>
    <n v="36"/>
    <n v="78"/>
    <n v="864"/>
    <n v="88979.54286905425"/>
  </r>
  <r>
    <s v="YEKENE"/>
    <s v="CANTER-3T-16CBM"/>
    <s v="Jamara-3T-16CBM"/>
    <s v="16CBM"/>
    <s v="CANTER"/>
    <s v="3T"/>
    <s v="Jamara"/>
    <s v="Lagos"/>
    <s v="IKEJA-AGEGE-DOPEMU-MAGODO"/>
    <s v="Lagos"/>
    <s v="MAGODO"/>
    <n v="12"/>
    <n v="24"/>
    <n v="72"/>
    <n v="576"/>
    <n v="88979.54286905425"/>
  </r>
  <r>
    <s v="YEKENE"/>
    <s v="CANTER-3T-16CBM"/>
    <s v="Jamara-3T-16CBM"/>
    <s v="16CBM"/>
    <s v="CANTER"/>
    <s v="3T"/>
    <s v="Jamara"/>
    <s v="Lagos"/>
    <s v="IKEJA-AGEGE-DOPEMU-MAGODO"/>
    <s v="Lagos"/>
    <s v="Agege"/>
    <n v="14"/>
    <n v="28"/>
    <n v="74"/>
    <n v="672"/>
    <n v="88979.54286905425"/>
  </r>
  <r>
    <s v="YEKENE"/>
    <s v="CANTER-3T-16CBM"/>
    <s v="Jamara-3T-16CBM"/>
    <s v="16CBM"/>
    <s v="CANTER"/>
    <s v="3T"/>
    <s v="Jamara"/>
    <s v="Lagos"/>
    <s v="IKEJA-AGEGE-DOPEMU-MAGODO"/>
    <s v="Lagos"/>
    <s v="Ikeja"/>
    <n v="11"/>
    <n v="22"/>
    <n v="71"/>
    <n v="528"/>
    <n v="88979.54286905425"/>
  </r>
  <r>
    <s v="YEKENE"/>
    <s v="CANTER-3T-16CBM"/>
    <s v="Jamara-3T-16CBM"/>
    <s v="16CBM"/>
    <s v="CANTER"/>
    <s v="3T"/>
    <s v="Jamara"/>
    <s v="Lagos"/>
    <s v="IKM-SHAGARI-EGIGBO-IPAJA-AYOBO-OKOKOMAIKO-OSHODI-ISOLO"/>
    <s v="Lagos"/>
    <s v="Ikotun"/>
    <n v="24.5"/>
    <n v="49"/>
    <n v="84"/>
    <n v="1176"/>
    <n v="88979.54286905425"/>
  </r>
  <r>
    <s v="YEKENE"/>
    <s v="CANTER-3T-16CBM"/>
    <s v="Jamara-3T-16CBM"/>
    <s v="16CBM"/>
    <s v="CANTER"/>
    <s v="3T"/>
    <s v="Jamara"/>
    <s v="Lagos"/>
    <s v="IKM-SHAGARI-EGIGBO-IPAJA-AYOBO-OKOKOMAIKO-OSHODI-ISOLO"/>
    <s v="Lagos"/>
    <s v="IPAJA"/>
    <n v="22"/>
    <n v="44"/>
    <n v="82"/>
    <n v="1056"/>
    <n v="88979.54286905425"/>
  </r>
  <r>
    <s v="YEKENE"/>
    <s v="CANTER-3T-16CBM"/>
    <s v="Jamara-3T-16CBM"/>
    <s v="16CBM"/>
    <s v="CANTER"/>
    <s v="3T"/>
    <s v="Jamara"/>
    <s v="Lagos"/>
    <s v="IKM-SHAGARI-EGIGBO-IPAJA-AYOBO-OKOKOMAIKO-OSHODI-ISOLO"/>
    <s v="Lagos"/>
    <s v="EJIGBO"/>
    <n v="15"/>
    <n v="30"/>
    <n v="75"/>
    <n v="720"/>
    <n v="88979.54286905425"/>
  </r>
  <r>
    <s v="YEKENE"/>
    <s v="CANTER-3T-16CBM"/>
    <s v="Jamara-3T-16CBM"/>
    <s v="16CBM"/>
    <s v="CANTER"/>
    <s v="3T"/>
    <s v="Jamara"/>
    <s v="Lagos"/>
    <s v="IKM-SHAGARI-EGIGBO-IPAJA-AYOBO-OKOKOMAIKO-OSHODI-ISOLO"/>
    <s v="Lagos"/>
    <s v="ISOLO"/>
    <n v="11"/>
    <n v="22"/>
    <n v="71"/>
    <n v="528"/>
    <n v="88979.54286905425"/>
  </r>
  <r>
    <s v="YEKENE"/>
    <s v="CANTER-3T-16CBM"/>
    <s v="Jamara-3T-16CBM"/>
    <s v="16CBM"/>
    <s v="CANTER"/>
    <s v="3T"/>
    <s v="Jamara"/>
    <s v="Lagos"/>
    <s v="IKM-SHAGARI-EGIGBO-IPAJA-AYOBO-OKOKOMAIKO-OSHODI-ISOLO"/>
    <s v="Lagos"/>
    <s v="OSHODI"/>
    <n v="8"/>
    <n v="16"/>
    <n v="68"/>
    <n v="384"/>
    <n v="88979.54286905425"/>
  </r>
  <r>
    <s v="YEKENE"/>
    <s v="CANTER-3T-16CBM"/>
    <s v="Jamara-3T-16CBM"/>
    <s v="16CBM"/>
    <s v="CANTER"/>
    <s v="3T"/>
    <s v="Jamara"/>
    <s v="Lagos"/>
    <s v="Ilupeju-GBD-APAPA-MUSHIN-OKOTA-FADEYI"/>
    <s v="Lagos"/>
    <s v="Mushin"/>
    <n v="8"/>
    <n v="16"/>
    <n v="68"/>
    <n v="384"/>
    <n v="88979.54286905425"/>
  </r>
  <r>
    <s v="YEKENE"/>
    <s v="CANTER-3T-16CBM"/>
    <s v="Jamara-3T-16CBM"/>
    <s v="16CBM"/>
    <s v="CANTER"/>
    <s v="3T"/>
    <s v="Jamara"/>
    <s v="Lagos"/>
    <s v="Ilupeju-GBD-APAPA-MUSHIN-OKOTA-FADEYI"/>
    <s v="Lagos"/>
    <s v="FADEYI"/>
    <n v="8"/>
    <n v="16"/>
    <n v="68"/>
    <n v="384"/>
    <n v="88979.54286905425"/>
  </r>
  <r>
    <s v="YEKENE"/>
    <s v="CANTER-3T-16CBM"/>
    <s v="Jamara-3T-16CBM"/>
    <s v="16CBM"/>
    <s v="CANTER"/>
    <s v="3T"/>
    <s v="Jamara"/>
    <s v="Lagos"/>
    <s v="Ilupeju-GBD-APAPA-MUSHIN-OKOTA-FADEYI"/>
    <s v="Lagos"/>
    <s v="OKOTA"/>
    <n v="16"/>
    <n v="32"/>
    <n v="76"/>
    <n v="768"/>
    <n v="88979.54286905425"/>
  </r>
  <r>
    <s v="YEKENE"/>
    <s v="CANTER-3T-16CBM"/>
    <s v="Jamara-3T-16CBM"/>
    <s v="16CBM"/>
    <s v="CANTER"/>
    <s v="3T"/>
    <s v="Jamara"/>
    <s v="Lagos"/>
    <s v="Ilupeju-GBD-APAPA-MUSHIN-OKOTA-FADEYI"/>
    <s v="Lagos"/>
    <s v="APAPA"/>
    <n v="27"/>
    <n v="54"/>
    <n v="87"/>
    <n v="1296"/>
    <n v="88979.54286905425"/>
  </r>
  <r>
    <s v="YEKENE"/>
    <s v="CANTER-3T-16CBM"/>
    <s v="Jamara-3T-16CBM"/>
    <s v="16CBM"/>
    <s v="CANTER"/>
    <s v="3T"/>
    <s v="Jamara"/>
    <s v="Lagos"/>
    <s v="Ilupeju-GBD-APAPA-MUSHIN-OKOTA-FADEYI"/>
    <s v="Lagos"/>
    <s v="MATORI"/>
    <n v="8"/>
    <n v="16"/>
    <n v="68"/>
    <n v="384"/>
    <n v="88979.54286905425"/>
  </r>
  <r>
    <s v="YEKENE"/>
    <s v="CANTER-3T-16CBM"/>
    <s v="Jamara-3T-16CBM"/>
    <s v="16CBM"/>
    <s v="CANTER"/>
    <s v="3T"/>
    <s v="Jamara"/>
    <s v="Lagos"/>
    <s v="Ilupeju-GBD-APAPA-MUSHIN-OKOTA-FADEYI"/>
    <s v="Lagos"/>
    <s v="Gbagada"/>
    <n v="8"/>
    <n v="16"/>
    <n v="68"/>
    <n v="384"/>
    <n v="88979.54286905425"/>
  </r>
  <r>
    <s v="YEKENE"/>
    <s v="CANTER-3T-16CBM"/>
    <s v="Jamara-3T-16CBM"/>
    <s v="16CBM"/>
    <s v="CANTER"/>
    <s v="3T"/>
    <s v="Jamara"/>
    <s v="Lagos"/>
    <s v="Ilupeju-GBD-APAPA-MUSHIN-OKOTA-FADEYI"/>
    <s v="Lagos"/>
    <s v="Ilupeju"/>
    <n v="8"/>
    <n v="16"/>
    <n v="68"/>
    <n v="384"/>
    <n v="88979.54286905425"/>
  </r>
  <r>
    <s v="YEKENE"/>
    <s v="CANTER-3T-16CBM"/>
    <s v="Jamara-3T-16CBM"/>
    <s v="16CBM"/>
    <s v="CANTER"/>
    <s v="3T"/>
    <s v="Jamara"/>
    <s v="Lagos"/>
    <s v="KETU-IKORODU"/>
    <s v="Lagos"/>
    <s v="IKORODU"/>
    <n v="35"/>
    <n v="70"/>
    <n v="95"/>
    <n v="1680"/>
    <n v="80081.58858214882"/>
  </r>
  <r>
    <s v="YEKENE"/>
    <s v="CANTER-3T-16CBM"/>
    <s v="Jamara-3T-16CBM"/>
    <s v="16CBM"/>
    <s v="CANTER"/>
    <s v="3T"/>
    <s v="Jamara"/>
    <s v="Lagos"/>
    <s v="KETU-IKORODU"/>
    <s v="Lagos"/>
    <s v="Ketu"/>
    <n v="10"/>
    <n v="20"/>
    <n v="70"/>
    <n v="480"/>
    <n v="88979.54286905425"/>
  </r>
  <r>
    <s v="YEKENE"/>
    <s v="CANTER-3T-16CBM"/>
    <s v="Jamara-3T-16CBM"/>
    <s v="16CBM"/>
    <s v="CANTER"/>
    <s v="3T"/>
    <s v="Jamara"/>
    <s v="Lagos"/>
    <s v="LAGOS-ISLAND-MARINA"/>
    <s v="Lagos"/>
    <s v="LAGOS ISLA"/>
    <n v="18"/>
    <n v="36"/>
    <n v="78"/>
    <n v="864"/>
    <n v="88979.54286905425"/>
  </r>
  <r>
    <s v="YEKENE"/>
    <s v="CANTER-3T-16CBM"/>
    <s v="Jamara-3T-16CBM"/>
    <s v="16CBM"/>
    <s v="CANTER"/>
    <s v="3T"/>
    <s v="Jamara"/>
    <s v="Lagos"/>
    <s v="LAGOS-ISLAND-MARINA"/>
    <s v="Lagos"/>
    <s v="MARINA"/>
    <n v="23"/>
    <n v="46"/>
    <n v="83"/>
    <n v="1104"/>
    <n v="88979.54286905425"/>
  </r>
  <r>
    <s v="YEKENE"/>
    <s v="CANTER-3T-16CBM"/>
    <s v="Jamara-3T-16CBM"/>
    <s v="16CBM"/>
    <s v="CANTER"/>
    <s v="3T"/>
    <s v="Jamara"/>
    <s v="Lagos"/>
    <s v="Ogun-Abekouta"/>
    <s v="Ogun"/>
    <s v="ABEOKUTA"/>
    <n v="99.5"/>
    <n v="199"/>
    <n v="161"/>
    <n v="4776"/>
    <n v="88979.54286905425"/>
  </r>
  <r>
    <s v="YEKENE"/>
    <s v="CANTER-3T-16CBM"/>
    <s v="Jamara-3T-16CBM"/>
    <s v="16CBM"/>
    <s v="CANTER"/>
    <s v="3T"/>
    <s v="Jamara"/>
    <s v="Lagos"/>
    <s v="Sagamu-Ijebu Ode"/>
    <s v="Ogun"/>
    <s v="IJEBU ODE"/>
    <n v="100"/>
    <n v="200"/>
    <n v="162"/>
    <n v="4800"/>
    <n v="88979.54286905425"/>
  </r>
  <r>
    <s v="YEKENE"/>
    <s v="CANTER-3T-16CBM"/>
    <s v="Jamara-3T-16CBM"/>
    <s v="16CBM"/>
    <s v="CANTER"/>
    <s v="3T"/>
    <s v="Jamara"/>
    <s v="Lagos"/>
    <s v="Sagamu-Ijebu Ode"/>
    <s v="Ogun"/>
    <s v="Sagamu"/>
    <n v="70"/>
    <n v="140"/>
    <n v="131"/>
    <n v="3360"/>
    <n v="88979.54286905425"/>
  </r>
  <r>
    <s v="YEKENE"/>
    <s v="CANTER-3T-16CBM"/>
    <s v="Jamara-3T-16CBM"/>
    <s v="16CBM"/>
    <s v="CANTER"/>
    <s v="3T"/>
    <s v="Jamara"/>
    <s v="Lagos"/>
    <s v="Ojodu-Akute-Mowe"/>
    <s v="Lagos"/>
    <s v="MAGBORO"/>
    <n v="37.6"/>
    <n v="75.2"/>
    <n v="98"/>
    <n v="1804.8"/>
    <n v="88979.54286905425"/>
  </r>
  <r>
    <s v="YEKENE"/>
    <s v="CANTER-3T-16CBM"/>
    <s v="Jamara-3T-16CBM"/>
    <s v="16CBM"/>
    <s v="CANTER"/>
    <s v="3T"/>
    <s v="Jamara"/>
    <s v="Lagos"/>
    <s v="Ojodu-Akute-Mowe"/>
    <s v="Lagos"/>
    <s v="Akute"/>
    <n v="25"/>
    <n v="50"/>
    <n v="85"/>
    <n v="1200"/>
    <n v="88979.54286905425"/>
  </r>
  <r>
    <s v="YEKENE"/>
    <s v="CANTER-3T-16CBM"/>
    <s v="Jamara-3T-16CBM"/>
    <s v="16CBM"/>
    <s v="CANTER"/>
    <s v="3T"/>
    <s v="Jamara"/>
    <s v="Lagos"/>
    <s v="Ojodu-Akute-Mowe"/>
    <s v="Lagos"/>
    <s v="Ojodu"/>
    <n v="25"/>
    <n v="50"/>
    <n v="85"/>
    <n v="1200"/>
    <n v="88979.54286905425"/>
  </r>
  <r>
    <s v="YEKENE"/>
    <s v="CANTER-3T-16CBM"/>
    <s v="Jamara-3T-16CBM"/>
    <s v="16CBM"/>
    <s v="CANTER"/>
    <s v="3T"/>
    <s v="Jamara"/>
    <s v="Lagos"/>
    <s v="SURULELE-TEJESHU-YABA-EBUTE META-OYINGOBO"/>
    <s v="Lagos"/>
    <s v="YABA"/>
    <n v="15"/>
    <n v="30"/>
    <n v="75"/>
    <n v="720"/>
    <n v="88979.54286905425"/>
  </r>
  <r>
    <s v="YEKENE"/>
    <s v="CANTER-3T-16CBM"/>
    <s v="Jamara-3T-16CBM"/>
    <s v="16CBM"/>
    <s v="CANTER"/>
    <s v="3T"/>
    <s v="Jamara"/>
    <s v="Lagos"/>
    <s v="SURULELE-TEJESHU-YABA-EBUTE META-OYINGOBO"/>
    <s v="Lagos"/>
    <s v="SURULERE"/>
    <n v="14"/>
    <n v="28"/>
    <n v="74"/>
    <n v="672"/>
    <n v="88979.54286905425"/>
  </r>
  <r>
    <s v="YEKENE"/>
    <s v="CANTER-3T-16CBM"/>
    <s v="Jamara-3T-16CBM"/>
    <s v="16CBM"/>
    <s v="CANTER"/>
    <s v="3T"/>
    <s v="Jamara"/>
    <s v="Lagos"/>
    <s v="SURULELE-TEJESHU-YABA-EBUTE META-OYINGOBO"/>
    <s v="Lagos"/>
    <s v="TEJESHO"/>
    <n v="19"/>
    <n v="38"/>
    <n v="79"/>
    <n v="912"/>
    <n v="88979.54286905425"/>
  </r>
  <r>
    <s v="YEKENE"/>
    <s v="CANTER-3T-16CBM"/>
    <s v="Jamara-3T-16CBM"/>
    <s v="16CBM"/>
    <s v="CANTER"/>
    <s v="3T"/>
    <s v="Jamara"/>
    <s v="Lagos"/>
    <s v="VI-Lekki-AJAH"/>
    <s v="Lagos"/>
    <s v="Ibeju"/>
    <n v="75"/>
    <n v="150"/>
    <n v="136"/>
    <n v="3600"/>
    <n v="88979.54286905425"/>
  </r>
  <r>
    <s v="YEKENE"/>
    <s v="CANTER-3T-16CBM"/>
    <s v="Jamara-3T-16CBM"/>
    <s v="16CBM"/>
    <s v="CANTER"/>
    <s v="3T"/>
    <s v="Jamara"/>
    <s v="Lagos"/>
    <s v="VI-Lekki-AJAH"/>
    <s v="Lagos"/>
    <s v="AJAH"/>
    <n v="40"/>
    <n v="80"/>
    <n v="100"/>
    <n v="1920"/>
    <n v="88979.54286905425"/>
  </r>
  <r>
    <s v="YEKENE"/>
    <s v="CANTER-3T-16CBM"/>
    <s v="Jamara-3T-16CBM"/>
    <s v="16CBM"/>
    <s v="CANTER"/>
    <s v="3T"/>
    <s v="Jamara"/>
    <s v="Lagos"/>
    <s v="VI-Lekki-AJAH"/>
    <s v="Lagos"/>
    <s v="lekki"/>
    <n v="35"/>
    <n v="70"/>
    <n v="95"/>
    <n v="1680"/>
    <n v="88979.54286905425"/>
  </r>
  <r>
    <s v="YEKENE"/>
    <s v="CANTER-3T-16CBM"/>
    <s v="Jamara-3T-16CBM"/>
    <s v="16CBM"/>
    <s v="CANTER"/>
    <s v="3T"/>
    <s v="Jamara"/>
    <s v="Lagos"/>
    <s v="VI-Lekki-AJAH"/>
    <s v="Lagos"/>
    <s v="VI"/>
    <n v="25"/>
    <n v="50"/>
    <n v="85"/>
    <n v="1200"/>
    <n v="88979.54286905425"/>
  </r>
  <r>
    <s v="YEKENE"/>
    <s v="CANTER-3T-16CBM"/>
    <s v="Jamara-3T-16CBM"/>
    <s v="16CBM"/>
    <s v="CANTER"/>
    <s v="3T"/>
    <s v="Jamara"/>
    <s v="Lagos"/>
    <s v="VI-Lekki-AJAH"/>
    <s v="Lagos"/>
    <s v="ONIRU"/>
    <n v="28"/>
    <n v="56"/>
    <n v="88"/>
    <n v="1344"/>
    <n v="80081.58858214882"/>
  </r>
  <r>
    <s v="YEKENE"/>
    <s v="CANTER-3T-16CBM"/>
    <s v="Jamara-3T-16CBM"/>
    <s v="16CBM"/>
    <s v="CANTER"/>
    <s v="3T"/>
    <s v="Jamara"/>
    <s v="Lagos"/>
    <s v="Ibadan"/>
    <s v="Oyo"/>
    <s v="Ibadan"/>
    <n v="120.5"/>
    <n v="241"/>
    <n v="182"/>
    <n v="5784"/>
    <n v="148299.2381150904"/>
  </r>
  <r>
    <s v="YEKENE"/>
    <s v="CANTER-3T-16CBM"/>
    <s v="Jamara-3T-16CBM"/>
    <s v="16CBM"/>
    <s v="CANTER"/>
    <s v="3T"/>
    <s v="Jamara"/>
    <s v="Lagos"/>
    <s v="Direct Benin"/>
    <s v="Edo"/>
    <s v="Direct Benin"/>
    <n v="312"/>
    <n v="624"/>
    <n v="378"/>
    <n v="14976"/>
    <n v="222448.8571726357"/>
  </r>
  <r>
    <s v="YEKENE"/>
    <s v="CANTER-3T-16CBM"/>
    <s v="Jamara-3T-16CBM"/>
    <s v="16CBM"/>
    <s v="CANTER"/>
    <s v="3T"/>
    <s v="Jamara"/>
    <s v="Lagos"/>
    <s v="DELTA-ASABA"/>
    <s v="Delta "/>
    <s v="Delta-direct"/>
    <n v="410"/>
    <n v="820"/>
    <n v="478"/>
    <n v="19680"/>
    <n v="237278.7809841447"/>
  </r>
  <r>
    <s v="YEKENE"/>
    <s v="CANTER-3T-16CBM"/>
    <s v="Jamara-3T-16CBM"/>
    <s v="16CBM"/>
    <s v="CANTER"/>
    <s v="3T"/>
    <s v="Jamara"/>
    <s v="Lagos"/>
    <s v="Abule-EGBA-Ijayi-Moshalasi-Kola-Sango"/>
    <s v="Ogun"/>
    <s v="SANGO-OTTA"/>
    <n v="28.4"/>
    <n v="56.8"/>
    <n v="88"/>
    <n v="1363.2"/>
    <n v="88979.54286905425"/>
  </r>
  <r>
    <s v="YEKENE"/>
    <s v="CANTER-3T-16CBM"/>
    <s v="Jamara-3T-16CBM"/>
    <s v="16CBM"/>
    <s v="CANTER"/>
    <s v="3T"/>
    <s v="Jamara"/>
    <s v="Lagos"/>
    <s v="Ogun-Abekouta"/>
    <s v="Ogun"/>
    <s v="ABEOKUTA"/>
    <n v="99.5"/>
    <n v="199"/>
    <n v="161"/>
    <n v="4776"/>
    <n v="88979.54286905425"/>
  </r>
  <r>
    <s v="YEKENE"/>
    <s v="CANTER-3T-16CBM"/>
    <s v="Jamara-3T-16CBM"/>
    <s v="16CBM"/>
    <s v="CANTER"/>
    <s v="3T"/>
    <s v="Jamara"/>
    <s v="Lagos"/>
    <s v="Sagamu-Ijebu Ode"/>
    <s v="Ogun"/>
    <s v="IJEBU ODE"/>
    <n v="100"/>
    <n v="200"/>
    <n v="162"/>
    <n v="4800"/>
    <n v="88979.54286905425"/>
  </r>
  <r>
    <s v="YEKENE"/>
    <s v="CANTER-3T-16CBM"/>
    <s v="Jamara-3T-16CBM"/>
    <s v="16CBM"/>
    <s v="CANTER"/>
    <s v="3T"/>
    <s v="Jamara"/>
    <s v="Lagos"/>
    <s v="Sagamu"/>
    <s v="Ogun"/>
    <s v="Sagamu"/>
    <n v="100"/>
    <n v="200"/>
    <n v="162"/>
    <n v="4800"/>
    <n v="88979.54286905425"/>
  </r>
  <r>
    <s v="YEKENE"/>
    <s v="CANTER-3T-16CBM"/>
    <s v="Jamara-3T-16CBM"/>
    <s v="16CBM"/>
    <s v="CANTER"/>
    <s v="3T"/>
    <s v="Jamara"/>
    <s v="Lagos"/>
    <s v="Ibadan"/>
    <s v="Oyo"/>
    <s v="Ibadan"/>
    <n v="120.5"/>
    <n v="241"/>
    <n v="182"/>
    <n v="5784"/>
    <n v="88979.54286905425"/>
  </r>
  <r>
    <s v="YEKENE"/>
    <s v="CANTER-3T-16CBM"/>
    <s v="Jamara-3T-16CBM"/>
    <s v="16CBM"/>
    <s v="CANTER"/>
    <s v="3T"/>
    <s v="Jamara"/>
    <s v="Lagos"/>
    <s v="EKITE"/>
    <s v="Ekiti"/>
    <s v="Ado Ekiti"/>
    <n v="353"/>
    <n v="706"/>
    <n v="420"/>
    <n v="16944"/>
    <n v="237278.7809841447"/>
  </r>
  <r>
    <s v="YEKENE"/>
    <s v="CANTER-3T-16CBM"/>
    <s v="Jamara-3T-16CBM"/>
    <s v="16CBM"/>
    <s v="CANTER"/>
    <s v="3T"/>
    <s v="Jamara"/>
    <s v="Lagos"/>
    <s v="ONDO"/>
    <s v="Ondo"/>
    <s v="Akure"/>
    <n v="304"/>
    <n v="608"/>
    <n v="370"/>
    <n v="14592"/>
    <n v="237278.7809841447"/>
  </r>
  <r>
    <s v="YEKENE"/>
    <s v="CANTER-3T-16CBM"/>
    <s v="Jamara-3T-16CBM"/>
    <s v="16CBM"/>
    <s v="CANTER"/>
    <s v="3T"/>
    <s v="Jamara"/>
    <s v="Lagos"/>
    <s v="KWARA"/>
    <s v="Kwara"/>
    <s v="Ilorin"/>
    <n v="297.5"/>
    <n v="595"/>
    <n v="363"/>
    <n v="14280"/>
    <n v="163129.1619265995"/>
  </r>
  <r>
    <s v="YEKENE"/>
    <s v="CANTER-3T-16CBM"/>
    <s v="Jamara-3T-16CBM"/>
    <s v="16CBM"/>
    <s v="CANTER"/>
    <s v="3T"/>
    <s v="Jamara"/>
    <s v="Lagos"/>
    <s v="Abuja"/>
    <s v="Abuja"/>
    <s v="Abuja-Direct"/>
    <n v="755"/>
    <n v="1510"/>
    <n v="770"/>
    <n v="36240"/>
    <n v="444897.7143452713"/>
  </r>
  <r>
    <s v="ASINI/Yekeni"/>
    <s v="Hiabs Logistics-10T-Upcountry"/>
    <s v="JMG-10T-Upcountry"/>
    <s v="Upcountry"/>
    <s v="Hiabs Logistics"/>
    <s v="10T"/>
    <s v="JMG"/>
    <s v="Port Harcourt"/>
    <s v="Obudu Cattle Ranch"/>
    <m/>
    <m/>
    <n v="525.5"/>
    <n v="1051"/>
    <n v="596"/>
    <n v="25224"/>
    <n v="658010.9978703284"/>
  </r>
  <r>
    <s v="ASINI/Yekeni"/>
    <s v="Hiabs Logistics-10T-Upcountry"/>
    <s v="JMG-10T-Upcountry"/>
    <s v="Upcountry"/>
    <s v="Hiabs Logistics"/>
    <s v="10T"/>
    <s v="JMG"/>
    <s v="Port Harcourt"/>
    <s v="MAKURDI"/>
    <m/>
    <m/>
    <n v="485.5"/>
    <n v="971"/>
    <n v="555"/>
    <n v="23304"/>
    <n v="658010.9978703284"/>
  </r>
  <r>
    <s v="ASINI/Yekeni"/>
    <s v="Hiabs Logistics-10T-Upcountry"/>
    <s v="JMG-10T-Upcountry"/>
    <s v="Upcountry"/>
    <s v="Hiabs Logistics"/>
    <s v="10T"/>
    <s v="JMG"/>
    <s v="Port Harcourt"/>
    <s v="KPOKO"/>
    <m/>
    <m/>
    <n v="485.5"/>
    <n v="971"/>
    <n v="555"/>
    <n v="23304"/>
    <n v="658010.9978703284"/>
  </r>
  <r>
    <s v="ASINI/Yekeni"/>
    <s v="Hiabs Logistics-10T-Upcountry"/>
    <s v="JMG-10T-Upcountry"/>
    <s v="Upcountry"/>
    <s v="Hiabs Logistics"/>
    <s v="10T"/>
    <s v="JMG"/>
    <s v="Port Harcourt"/>
    <s v="OGOJA"/>
    <m/>
    <m/>
    <n v="405"/>
    <n v="810"/>
    <n v="473"/>
    <n v="19440"/>
    <n v="526408.7982962627"/>
  </r>
  <r>
    <s v="ASINI/Yekeni"/>
    <s v="Hiabs Logistics-10T-Upcountry"/>
    <s v="JMG-10T-Upcountry"/>
    <s v="Upcountry"/>
    <s v="Hiabs Logistics"/>
    <s v="10T"/>
    <s v="JMG"/>
    <s v="Port Harcourt"/>
    <s v="OTUKPO"/>
    <m/>
    <m/>
    <n v="384"/>
    <n v="768"/>
    <n v="451"/>
    <n v="18432"/>
    <n v="526408.7982962627"/>
  </r>
  <r>
    <s v="ASINI/Yekeni"/>
    <s v="Hiabs Logistics-10T-Upcountry"/>
    <s v="JMG-10T-Upcountry"/>
    <s v="Upcountry"/>
    <s v="Hiabs Logistics"/>
    <s v="10T"/>
    <s v="JMG"/>
    <s v="Port Harcourt"/>
    <s v="IKOM"/>
    <m/>
    <m/>
    <n v="358"/>
    <n v="716"/>
    <n v="425"/>
    <n v="17184"/>
    <n v="658010.9978703284"/>
  </r>
  <r>
    <s v="ASINI/Yekeni"/>
    <s v="Hiabs Logistics-10T-Upcountry"/>
    <s v="JMG-10T-Upcountry"/>
    <s v="Upcountry"/>
    <s v="Hiabs Logistics"/>
    <s v="10T"/>
    <s v="JMG"/>
    <s v="Port Harcourt"/>
    <s v="EKPOMA"/>
    <m/>
    <m/>
    <n v="359"/>
    <n v="718"/>
    <n v="426"/>
    <n v="17232"/>
    <n v="526408.7982962627"/>
  </r>
  <r>
    <s v="ASINI/Yekeni"/>
    <s v="Hiabs Logistics-10T-Upcountry"/>
    <s v="JMG-10T-Upcountry"/>
    <s v="Upcountry"/>
    <s v="Hiabs Logistics"/>
    <s v="10T"/>
    <s v="JMG"/>
    <s v="Port Harcourt"/>
    <s v="AUCHI"/>
    <m/>
    <m/>
    <n v="335.5"/>
    <n v="671"/>
    <n v="402"/>
    <n v="16104"/>
    <n v="526408.7982962627"/>
  </r>
  <r>
    <s v="ASINI/Yekeni"/>
    <s v="Hiabs Logistics-10T-Upcountry"/>
    <s v="JMG-10T-Upcountry"/>
    <s v="Upcountry"/>
    <s v="Hiabs Logistics"/>
    <s v="10T"/>
    <s v="JMG"/>
    <s v="Port Harcourt"/>
    <s v="OTUKPA"/>
    <m/>
    <m/>
    <n v="327"/>
    <n v="654"/>
    <n v="393"/>
    <n v="15696"/>
    <n v="526408.7982962627"/>
  </r>
  <r>
    <s v="ASINI/Yekeni"/>
    <s v="Hiabs Logistics-10T-Upcountry"/>
    <s v="JMG-10T-Upcountry"/>
    <s v="Upcountry"/>
    <s v="Hiabs Logistics"/>
    <s v="10T"/>
    <s v="JMG"/>
    <s v="Port Harcourt"/>
    <s v="NSUKA"/>
    <m/>
    <m/>
    <n v="290.5"/>
    <n v="581"/>
    <n v="356"/>
    <n v="13944"/>
    <n v="394806.5987221971"/>
  </r>
  <r>
    <s v="ASINI/Yekeni"/>
    <s v="Hiabs Logistics-10T-Upcountry"/>
    <s v="JMG-10T-Upcountry"/>
    <s v="Upcountry"/>
    <s v="Hiabs Logistics"/>
    <s v="10T"/>
    <s v="JMG"/>
    <s v="Port Harcourt"/>
    <s v="Benin"/>
    <m/>
    <m/>
    <n v="289"/>
    <n v="578"/>
    <n v="354"/>
    <n v="13872"/>
    <n v="394806.5987221971"/>
  </r>
  <r>
    <s v="ASINI/Yekeni"/>
    <s v="Hiabs Logistics-10T-Upcountry"/>
    <s v="JMG-10T-Upcountry"/>
    <s v="Upcountry"/>
    <s v="Hiabs Logistics"/>
    <s v="10T"/>
    <s v="JMG"/>
    <s v="Port Harcourt"/>
    <s v="UROMI"/>
    <m/>
    <m/>
    <n v="288"/>
    <n v="576"/>
    <n v="353"/>
    <n v="13824"/>
    <n v="394806.5987221971"/>
  </r>
  <r>
    <s v="ASINI/Yekeni"/>
    <s v="Hiabs Logistics-10T-Upcountry"/>
    <s v="JMG-10T-Upcountry"/>
    <s v="Upcountry"/>
    <s v="Hiabs Logistics"/>
    <s v="10T"/>
    <s v="JMG"/>
    <s v="Port Harcourt"/>
    <s v="Ebonyi"/>
    <m/>
    <m/>
    <n v="279.5"/>
    <n v="559"/>
    <n v="345"/>
    <n v="13416"/>
    <n v="394806.5987221971"/>
  </r>
  <r>
    <s v="ASINI/Yekeni"/>
    <s v="Hiabs Logistics-10T-Upcountry"/>
    <s v="JMG-10T-Upcountry"/>
    <s v="Upcountry"/>
    <s v="Hiabs Logistics"/>
    <s v="10T"/>
    <s v="JMG"/>
    <s v="Port Harcourt"/>
    <s v="ABAKALIKI"/>
    <m/>
    <m/>
    <n v="279.5"/>
    <n v="559"/>
    <n v="345"/>
    <n v="13416"/>
    <n v="394806.5987221971"/>
  </r>
  <r>
    <s v="ASINI/Yekeni"/>
    <s v="Hiabs Logistics-10T-Upcountry"/>
    <s v="JMG-10T-Upcountry"/>
    <s v="Upcountry"/>
    <s v="Hiabs Logistics"/>
    <s v="10T"/>
    <s v="JMG"/>
    <s v="Port Harcourt"/>
    <s v="AGBOR"/>
    <m/>
    <m/>
    <n v="269"/>
    <n v="538"/>
    <n v="334"/>
    <n v="12912"/>
    <n v="394806.5987221971"/>
  </r>
  <r>
    <s v="ASINI/Yekeni"/>
    <s v="Hiabs Logistics-10T-Upcountry"/>
    <s v="JMG-10T-Upcountry"/>
    <s v="Upcountry"/>
    <s v="Hiabs Logistics"/>
    <s v="10T"/>
    <s v="JMG"/>
    <s v="Port Harcourt"/>
    <s v="AKPABUYO"/>
    <m/>
    <m/>
    <n v="253"/>
    <n v="506"/>
    <n v="318"/>
    <n v="12144"/>
    <n v="394806.5987221971"/>
  </r>
  <r>
    <s v="ASINI/Yekeni"/>
    <s v="Hiabs Logistics-10T-Upcountry"/>
    <s v="JMG-10T-Upcountry"/>
    <s v="Upcountry"/>
    <s v="Hiabs Logistics"/>
    <s v="10T"/>
    <s v="JMG"/>
    <s v="Port Harcourt"/>
    <s v="Enugu"/>
    <m/>
    <m/>
    <n v="249.5"/>
    <n v="499"/>
    <n v="314"/>
    <n v="11976"/>
    <n v="394806.5987221971"/>
  </r>
  <r>
    <s v="ASINI/Yekeni"/>
    <s v="Hiabs Logistics-10T-Upcountry"/>
    <s v="JMG-10T-Upcountry"/>
    <s v="Upcountry"/>
    <s v="Hiabs Logistics"/>
    <s v="10T"/>
    <s v="JMG"/>
    <s v="Port Harcourt"/>
    <s v="SAPELE"/>
    <m/>
    <m/>
    <n v="233.5"/>
    <n v="467"/>
    <n v="298"/>
    <n v="11208"/>
    <n v="394806.5987221971"/>
  </r>
  <r>
    <s v="ASINI/Yekeni"/>
    <s v="Hiabs Logistics-10T-Upcountry"/>
    <s v="JMG-10T-Upcountry"/>
    <s v="Upcountry"/>
    <s v="Hiabs Logistics"/>
    <s v="10T"/>
    <s v="JMG"/>
    <s v="Port Harcourt"/>
    <s v="Calabar"/>
    <m/>
    <m/>
    <n v="228"/>
    <n v="456"/>
    <n v="292"/>
    <n v="10944"/>
    <n v="394806.5987221971"/>
  </r>
  <r>
    <s v="ASINI/Yekeni"/>
    <s v="Hiabs Logistics-10T-Upcountry"/>
    <s v="JMG-10T-Upcountry"/>
    <s v="Upcountry"/>
    <s v="Hiabs Logistics"/>
    <s v="10T"/>
    <s v="JMG"/>
    <s v="Port Harcourt"/>
    <s v="KWALE"/>
    <m/>
    <m/>
    <n v="227"/>
    <n v="454"/>
    <n v="291"/>
    <n v="10896"/>
    <n v="394806.5987221971"/>
  </r>
  <r>
    <s v="ASINI/Yekeni"/>
    <s v="Hiabs Logistics-10T-Upcountry"/>
    <s v="JMG-10T-Upcountry"/>
    <s v="Upcountry"/>
    <s v="Hiabs Logistics"/>
    <s v="10T"/>
    <s v="JMG"/>
    <s v="Port Harcourt"/>
    <s v="Anambra"/>
    <m/>
    <m/>
    <n v="224"/>
    <n v="448"/>
    <n v="288"/>
    <n v="10752"/>
    <n v="394806.5987221971"/>
  </r>
  <r>
    <s v="ASINI/Yekeni"/>
    <s v="Hiabs Logistics-10T-Upcountry"/>
    <s v="JMG-10T-Upcountry"/>
    <s v="Upcountry"/>
    <s v="Hiabs Logistics"/>
    <s v="10T"/>
    <s v="JMG"/>
    <s v="Port Harcourt"/>
    <s v="AKAMPA"/>
    <m/>
    <m/>
    <n v="220"/>
    <n v="440"/>
    <n v="284"/>
    <n v="10560"/>
    <n v="394806.5987221971"/>
  </r>
  <r>
    <s v="ASINI/Yekeni"/>
    <s v="Hiabs Logistics-10T-Upcountry"/>
    <s v="JMG-10T-Upcountry"/>
    <s v="Upcountry"/>
    <s v="Hiabs Logistics"/>
    <s v="10T"/>
    <s v="JMG"/>
    <s v="Port Harcourt"/>
    <s v="AWKA"/>
    <m/>
    <m/>
    <n v="216"/>
    <n v="432"/>
    <n v="280"/>
    <n v="10368"/>
    <n v="394806.5987221971"/>
  </r>
  <r>
    <s v="ASINI/Yekeni"/>
    <s v="Hiabs Logistics-10T-Upcountry"/>
    <s v="JMG-10T-Upcountry"/>
    <s v="Upcountry"/>
    <s v="Hiabs Logistics"/>
    <s v="10T"/>
    <s v="JMG"/>
    <s v="Port Harcourt"/>
    <s v="ODUKPANI"/>
    <m/>
    <m/>
    <n v="214"/>
    <n v="428"/>
    <n v="278"/>
    <n v="10272"/>
    <n v="394806.5987221971"/>
  </r>
  <r>
    <s v="ASINI/Yekeni"/>
    <s v="Hiabs Logistics-10T-Upcountry"/>
    <s v="JMG-10T-Upcountry"/>
    <s v="Upcountry"/>
    <s v="Hiabs Logistics"/>
    <s v="10T"/>
    <s v="JMG"/>
    <s v="Port Harcourt"/>
    <s v="ABRAKA"/>
    <m/>
    <m/>
    <n v="212.5"/>
    <n v="425"/>
    <n v="276"/>
    <n v="10200"/>
    <n v="394806.5987221971"/>
  </r>
  <r>
    <s v="ASINI/Yekeni"/>
    <s v="Hiabs Logistics-10T-Upcountry"/>
    <s v="JMG-10T-Upcountry"/>
    <s v="Upcountry"/>
    <s v="Hiabs Logistics"/>
    <s v="10T"/>
    <s v="JMG"/>
    <s v="Port Harcourt"/>
    <s v="OJI RIVER"/>
    <m/>
    <m/>
    <n v="208.5"/>
    <n v="417"/>
    <n v="272"/>
    <n v="10008"/>
    <n v="394806.5987221971"/>
  </r>
  <r>
    <s v="ASINI/Yekeni"/>
    <s v="Hiabs Logistics-10T-Upcountry"/>
    <s v="JMG-10T-Upcountry"/>
    <s v="Upcountry"/>
    <s v="Hiabs Logistics"/>
    <s v="10T"/>
    <s v="JMG"/>
    <s v="Port Harcourt"/>
    <s v="ASABA"/>
    <m/>
    <m/>
    <n v="205"/>
    <n v="410"/>
    <n v="269"/>
    <n v="9840"/>
    <n v="394806.5987221971"/>
  </r>
  <r>
    <s v="ASINI/Yekeni"/>
    <s v="Hiabs Logistics-10T-Upcountry"/>
    <s v="JMG-10T-Upcountry"/>
    <s v="Upcountry"/>
    <s v="Hiabs Logistics"/>
    <s v="10T"/>
    <s v="JMG"/>
    <s v="Port Harcourt"/>
    <s v="Warri"/>
    <m/>
    <m/>
    <n v="197"/>
    <n v="394"/>
    <n v="260"/>
    <n v="9456"/>
    <n v="394806.5987221971"/>
  </r>
  <r>
    <s v="ASINI/Yekeni"/>
    <s v="Hiabs Logistics-10T-Upcountry"/>
    <s v="JMG-10T-Upcountry"/>
    <s v="Upcountry"/>
    <s v="Hiabs Logistics"/>
    <s v="10T"/>
    <s v="JMG"/>
    <s v="Port Harcourt"/>
    <s v="Arochukwu"/>
    <m/>
    <m/>
    <n v="189"/>
    <n v="378"/>
    <n v="252"/>
    <n v="9072"/>
    <n v="394806.5987221971"/>
  </r>
  <r>
    <s v="ASINI/Yekeni"/>
    <s v="Hiabs Logistics-10T-Upcountry"/>
    <s v="JMG-10T-Upcountry"/>
    <s v="Upcountry"/>
    <s v="Hiabs Logistics"/>
    <s v="10T"/>
    <s v="JMG"/>
    <s v="Port Harcourt"/>
    <s v="OnitSha"/>
    <m/>
    <m/>
    <n v="188.5"/>
    <n v="377"/>
    <n v="252"/>
    <n v="9048"/>
    <n v="394806.5987221971"/>
  </r>
  <r>
    <s v="ASINI/Yekeni"/>
    <s v="Hiabs Logistics-10T-Upcountry"/>
    <s v="JMG-10T-Upcountry"/>
    <s v="Upcountry"/>
    <s v="Hiabs Logistics"/>
    <s v="10T"/>
    <s v="JMG"/>
    <s v="Port Harcourt"/>
    <s v="NNEWI"/>
    <m/>
    <m/>
    <n v="179"/>
    <n v="358"/>
    <n v="242"/>
    <n v="8592"/>
    <n v="394806.5987221971"/>
  </r>
  <r>
    <s v="ASINI/Yekeni"/>
    <s v="Hiabs Logistics-10T-Upcountry"/>
    <s v="JMG-10T-Upcountry"/>
    <s v="Upcountry"/>
    <s v="Hiabs Logistics"/>
    <s v="10T"/>
    <s v="JMG"/>
    <s v="Port Harcourt"/>
    <s v="Arondizogu"/>
    <m/>
    <m/>
    <n v="176"/>
    <n v="352"/>
    <n v="239"/>
    <n v="8448"/>
    <n v="394806.5987221971"/>
  </r>
  <r>
    <s v="ASINI/Yekeni"/>
    <s v="Hiabs Logistics-10T-Upcountry"/>
    <s v="JMG-10T-Upcountry"/>
    <s v="Upcountry"/>
    <s v="Hiabs Logistics"/>
    <s v="10T"/>
    <s v="JMG"/>
    <s v="Port Harcourt"/>
    <s v="UGHELLE"/>
    <m/>
    <m/>
    <n v="169"/>
    <n v="338"/>
    <n v="232"/>
    <n v="8112"/>
    <n v="394806.5987221971"/>
  </r>
  <r>
    <s v="ASINI/Yekeni"/>
    <s v="Hiabs Logistics-10T-Upcountry"/>
    <s v="JMG-10T-Upcountry"/>
    <s v="Upcountry"/>
    <s v="Hiabs Logistics"/>
    <s v="10T"/>
    <s v="JMG"/>
    <s v="Port Harcourt"/>
    <s v="Ohafia"/>
    <m/>
    <m/>
    <n v="164.5"/>
    <n v="329"/>
    <n v="227"/>
    <n v="7896"/>
    <n v="394806.5987221971"/>
  </r>
  <r>
    <s v="ASINI/Yekeni"/>
    <s v="Hiabs Logistics-10T-Upcountry"/>
    <s v="JMG-10T-Upcountry"/>
    <s v="Upcountry"/>
    <s v="Hiabs Logistics"/>
    <s v="10T"/>
    <s v="JMG"/>
    <s v="Port Harcourt"/>
    <s v="MBO"/>
    <m/>
    <m/>
    <n v="163.5"/>
    <n v="327"/>
    <n v="226"/>
    <n v="7848"/>
    <n v="394806.5987221971"/>
  </r>
  <r>
    <s v="ASINI/Yekeni"/>
    <s v="Hiabs Logistics-10T-Upcountry"/>
    <s v="JMG-10T-Upcountry"/>
    <s v="Upcountry"/>
    <s v="Hiabs Logistics"/>
    <s v="10T"/>
    <s v="JMG"/>
    <s v="Port Harcourt"/>
    <s v="UTURU"/>
    <m/>
    <m/>
    <n v="159.5"/>
    <n v="319"/>
    <n v="222"/>
    <n v="7656"/>
    <n v="394806.5987221971"/>
  </r>
  <r>
    <s v="ASINI/Yekeni"/>
    <s v="Hiabs Logistics-10T-Upcountry"/>
    <s v="JMG-10T-Upcountry"/>
    <s v="Upcountry"/>
    <s v="Hiabs Logistics"/>
    <s v="10T"/>
    <s v="JMG"/>
    <s v="Port Harcourt"/>
    <s v="OKOBO"/>
    <m/>
    <m/>
    <n v="159.5"/>
    <n v="319"/>
    <n v="222"/>
    <n v="7656"/>
    <n v="394806.5987221971"/>
  </r>
  <r>
    <s v="ASINI/Yekeni"/>
    <s v="Hiabs Logistics-10T-Upcountry"/>
    <s v="JMG-10T-Upcountry"/>
    <s v="Upcountry"/>
    <s v="Hiabs Logistics"/>
    <s v="10T"/>
    <s v="JMG"/>
    <s v="Port Harcourt"/>
    <s v="ORON"/>
    <m/>
    <m/>
    <n v="156.5"/>
    <n v="313"/>
    <n v="219"/>
    <n v="7512"/>
    <n v="394806.5987221971"/>
  </r>
  <r>
    <s v="ASINI/Yekeni"/>
    <s v="Hiabs Logistics-10T-Upcountry"/>
    <s v="JMG-10T-Upcountry"/>
    <s v="Upcountry"/>
    <s v="Hiabs Logistics"/>
    <s v="10T"/>
    <s v="JMG"/>
    <s v="Port Harcourt"/>
    <s v="OGUTA"/>
    <m/>
    <m/>
    <n v="147.5"/>
    <n v="295"/>
    <n v="210"/>
    <n v="7080"/>
    <n v="263204.3991481314"/>
  </r>
  <r>
    <s v="ASINI/Yekeni"/>
    <s v="Hiabs Logistics-10T-Upcountry"/>
    <s v="JMG-10T-Upcountry"/>
    <s v="Upcountry"/>
    <s v="Hiabs Logistics"/>
    <s v="10T"/>
    <s v="JMG"/>
    <s v="Port Harcourt"/>
    <s v="Okigwe"/>
    <m/>
    <m/>
    <n v="147"/>
    <n v="294"/>
    <n v="209"/>
    <n v="7056"/>
    <n v="263204.3991481314"/>
  </r>
  <r>
    <s v="ASINI/Yekeni"/>
    <s v="Hiabs Logistics-10T-Upcountry"/>
    <s v="JMG-10T-Upcountry"/>
    <s v="Upcountry"/>
    <s v="Hiabs Logistics"/>
    <s v="10T"/>
    <s v="JMG"/>
    <s v="Port Harcourt"/>
    <s v="ITU"/>
    <m/>
    <m/>
    <n v="145"/>
    <n v="290"/>
    <n v="207"/>
    <n v="6960"/>
    <n v="263204.3991481314"/>
  </r>
  <r>
    <s v="ASINI/Yekeni"/>
    <s v="Hiabs Logistics-10T-Upcountry"/>
    <s v="JMG-10T-Upcountry"/>
    <s v="Upcountry"/>
    <s v="Hiabs Logistics"/>
    <s v="10T"/>
    <s v="JMG"/>
    <s v="Port Harcourt"/>
    <s v="Uyo"/>
    <m/>
    <m/>
    <n v="145"/>
    <n v="290"/>
    <n v="207"/>
    <n v="6960"/>
    <n v="263204.3991481314"/>
  </r>
  <r>
    <s v="ASINI/Yekeni"/>
    <s v="Hiabs Logistics-10T-Upcountry"/>
    <s v="JMG-10T-Upcountry"/>
    <s v="Upcountry"/>
    <s v="Hiabs Logistics"/>
    <s v="10T"/>
    <s v="JMG"/>
    <s v="Port Harcourt"/>
    <s v="IKOT EKPENE"/>
    <m/>
    <m/>
    <n v="140"/>
    <n v="280"/>
    <n v="202"/>
    <n v="6720"/>
    <n v="263204.3991481314"/>
  </r>
  <r>
    <s v="ASINI/Yekeni"/>
    <s v="Hiabs Logistics-10T-Upcountry"/>
    <s v="JMG-10T-Upcountry"/>
    <s v="Upcountry"/>
    <s v="Hiabs Logistics"/>
    <s v="10T"/>
    <s v="JMG"/>
    <s v="Port Harcourt"/>
    <s v="Akwaibom "/>
    <m/>
    <m/>
    <n v="139"/>
    <n v="278"/>
    <n v="201"/>
    <n v="6672"/>
    <n v="263204.3991481314"/>
  </r>
  <r>
    <s v="ASINI/Yekeni"/>
    <s v="Hiabs Logistics-10T-Upcountry"/>
    <s v="JMG-10T-Upcountry"/>
    <s v="Upcountry"/>
    <s v="Hiabs Logistics"/>
    <s v="10T"/>
    <s v="JMG"/>
    <s v="Port Harcourt"/>
    <s v="Nsit Ibom"/>
    <m/>
    <m/>
    <n v="136"/>
    <n v="272"/>
    <n v="198"/>
    <n v="6528"/>
    <n v="394806.5987221971"/>
  </r>
  <r>
    <s v="ASINI/Yekeni"/>
    <s v="Hiabs Logistics-10T-Upcountry"/>
    <s v="JMG-10T-Upcountry"/>
    <s v="Upcountry"/>
    <s v="Hiabs Logistics"/>
    <s v="10T"/>
    <s v="JMG"/>
    <s v="Port Harcourt"/>
    <s v="SAGBAMA"/>
    <m/>
    <m/>
    <n v="123.5"/>
    <n v="247"/>
    <n v="185"/>
    <n v="5928"/>
    <n v="394806.5987221971"/>
  </r>
  <r>
    <s v="ASINI/Yekeni"/>
    <s v="Hiabs Logistics-10T-Upcountry"/>
    <s v="JMG-10T-Upcountry"/>
    <s v="Upcountry"/>
    <s v="Hiabs Logistics"/>
    <s v="10T"/>
    <s v="JMG"/>
    <s v="Port Harcourt"/>
    <s v="IMO STATE"/>
    <m/>
    <m/>
    <n v="120.5"/>
    <n v="241"/>
    <n v="182"/>
    <n v="5784"/>
    <n v="394806.5987221971"/>
  </r>
  <r>
    <s v="ASINI/Yekeni"/>
    <s v="Hiabs Logistics-10T-Upcountry"/>
    <s v="JMG-10T-Upcountry"/>
    <s v="Upcountry"/>
    <s v="Hiabs Logistics"/>
    <s v="10T"/>
    <s v="JMG"/>
    <s v="Port Harcourt"/>
    <s v="YENAGOA"/>
    <m/>
    <m/>
    <n v="118"/>
    <n v="236"/>
    <n v="180"/>
    <n v="5664"/>
    <n v="394806.5987221971"/>
  </r>
  <r>
    <s v="ASINI/Yekeni"/>
    <s v="Hiabs Logistics-10T-Upcountry"/>
    <s v="JMG-10T-Upcountry"/>
    <s v="Upcountry"/>
    <s v="Hiabs Logistics"/>
    <s v="10T"/>
    <s v="JMG"/>
    <s v="Port Harcourt"/>
    <s v="Bayelsa"/>
    <m/>
    <m/>
    <n v="117"/>
    <n v="234"/>
    <n v="179"/>
    <n v="5616"/>
    <n v="263204.3991481314"/>
  </r>
  <r>
    <s v="ASINI/Yekeni"/>
    <s v="Hiabs Logistics-10T-Upcountry"/>
    <s v="JMG-10T-Upcountry"/>
    <s v="Upcountry"/>
    <s v="Hiabs Logistics"/>
    <s v="10T"/>
    <s v="JMG"/>
    <s v="Port Harcourt"/>
    <s v="UMUAHIA"/>
    <m/>
    <m/>
    <n v="116"/>
    <n v="232"/>
    <n v="178"/>
    <n v="5568"/>
    <n v="394806.5987221971"/>
  </r>
  <r>
    <s v="ASINI/Yekeni"/>
    <s v="Hiabs Logistics-10T-Upcountry"/>
    <s v="JMG-10T-Upcountry"/>
    <s v="Upcountry"/>
    <s v="Hiabs Logistics"/>
    <s v="10T"/>
    <s v="JMG"/>
    <s v="Port Harcourt"/>
    <s v="EKET"/>
    <m/>
    <m/>
    <n v="115.5"/>
    <n v="231"/>
    <n v="177"/>
    <n v="5544"/>
    <n v="394806.5987221971"/>
  </r>
  <r>
    <s v="ASINI/Yekeni"/>
    <s v="Hiabs Logistics-10T-Upcountry"/>
    <s v="JMG-10T-Upcountry"/>
    <s v="Upcountry"/>
    <s v="Hiabs Logistics"/>
    <s v="10T"/>
    <s v="JMG"/>
    <s v="Port Harcourt"/>
    <s v="OWERrI"/>
    <m/>
    <m/>
    <n v="106"/>
    <n v="212"/>
    <n v="168"/>
    <n v="5088"/>
    <n v="394806.5987221971"/>
  </r>
  <r>
    <s v="ASINI/Yekeni"/>
    <s v="Hiabs Logistics-10T-Upcountry"/>
    <s v="JMG-10T-Upcountry"/>
    <s v="Upcountry"/>
    <s v="Hiabs Logistics"/>
    <s v="10T"/>
    <s v="JMG"/>
    <s v="Port Harcourt"/>
    <s v="IKOT ABASI"/>
    <m/>
    <m/>
    <n v="93"/>
    <n v="186"/>
    <n v="154"/>
    <n v="4464"/>
    <n v="394806.5987221971"/>
  </r>
  <r>
    <s v="ASINI/Yekeni"/>
    <s v="Hiabs Logistics-10T-Upcountry"/>
    <s v="JMG-10T-Upcountry"/>
    <s v="Upcountry"/>
    <s v="Hiabs Logistics"/>
    <s v="10T"/>
    <s v="JMG"/>
    <s v="Port Harcourt"/>
    <s v="OMOKU"/>
    <m/>
    <m/>
    <n v="88.5"/>
    <n v="177"/>
    <n v="150"/>
    <n v="4248"/>
    <n v="394806.5987221971"/>
  </r>
  <r>
    <s v="ASINI/Yekeni"/>
    <s v="Hiabs Logistics-10T-Upcountry"/>
    <s v="JMG-10T-Upcountry"/>
    <s v="Upcountry"/>
    <s v="Hiabs Logistics"/>
    <s v="10T"/>
    <s v="JMG"/>
    <s v="Port Harcourt"/>
    <s v="MBIAMA"/>
    <m/>
    <m/>
    <n v="87.5"/>
    <n v="175"/>
    <n v="149"/>
    <n v="4200"/>
    <n v="394806.5987221971"/>
  </r>
  <r>
    <s v="ASINI/Yekeni"/>
    <s v="Hiabs Logistics-10T-Upcountry"/>
    <s v="JMG-10T-Upcountry"/>
    <s v="Upcountry"/>
    <s v="Hiabs Logistics"/>
    <s v="10T"/>
    <s v="JMG"/>
    <s v="Port Harcourt"/>
    <s v="ABUA"/>
    <m/>
    <m/>
    <n v="78"/>
    <n v="156"/>
    <n v="139"/>
    <n v="3744"/>
    <n v="263204.3991481314"/>
  </r>
  <r>
    <s v="ASINI/Yekeni"/>
    <s v="Hiabs Logistics-10T-Upcountry"/>
    <s v="JMG-10T-Upcountry"/>
    <s v="Upcountry"/>
    <s v="Hiabs Logistics"/>
    <s v="10T"/>
    <s v="JMG"/>
    <s v="Port Harcourt"/>
    <s v="Ahaoda"/>
    <m/>
    <m/>
    <n v="69.5"/>
    <n v="139"/>
    <n v="130"/>
    <n v="3336"/>
    <n v="263204.3991481314"/>
  </r>
  <r>
    <s v="ASINI/Yekeni"/>
    <s v="Hiabs Logistics-10T-Upcountry"/>
    <s v="JMG-10T-Upcountry"/>
    <s v="Upcountry"/>
    <s v="Hiabs Logistics"/>
    <s v="10T"/>
    <s v="JMG"/>
    <s v="Port Harcourt"/>
    <s v="ABA"/>
    <m/>
    <m/>
    <n v="63.5"/>
    <n v="127"/>
    <n v="124"/>
    <n v="3048"/>
    <n v="329005.4989351642"/>
  </r>
  <r>
    <s v="ASINI/Yekeni"/>
    <s v="Hiabs Logistics-10T-Upcountry"/>
    <s v="JMG-10T-Upcountry"/>
    <s v="Upcountry"/>
    <s v="Hiabs Logistics"/>
    <s v="10T"/>
    <s v="JMG"/>
    <s v="Port Harcourt"/>
    <s v="Mbaise"/>
    <m/>
    <m/>
    <n v="60"/>
    <n v="120"/>
    <n v="121"/>
    <n v="2880"/>
    <n v="263204.3991481314"/>
  </r>
  <r>
    <s v="ASINI/Yekeni"/>
    <s v="Hiabs Logistics-10T-Upcountry"/>
    <s v="JMG-10T-Upcountry"/>
    <s v="Upcountry"/>
    <s v="Hiabs Logistics"/>
    <s v="10T"/>
    <s v="JMG"/>
    <s v="Port Harcourt"/>
    <s v="ELELE"/>
    <m/>
    <m/>
    <n v="54.5"/>
    <n v="109"/>
    <n v="115"/>
    <n v="2616"/>
    <n v="263204.3991481314"/>
  </r>
  <r>
    <s v="ASINI/Yekeni"/>
    <s v="Hiabs Logistics-10T-Local"/>
    <s v="JMG-10T-Local"/>
    <s v="Local"/>
    <s v="Hiabs Logistics"/>
    <s v="10T"/>
    <s v="JMG"/>
    <s v="Port Harcourt"/>
    <s v="BORI"/>
    <m/>
    <m/>
    <n v="44.5"/>
    <n v="89"/>
    <n v="105"/>
    <n v="2136"/>
    <n v="263204.3991481314"/>
  </r>
  <r>
    <s v="ASINI/Yekeni"/>
    <s v="Hiabs Logistics-10T-Local"/>
    <s v="JMG-10T-Local"/>
    <s v="Local"/>
    <s v="Hiabs Logistics"/>
    <s v="10T"/>
    <s v="JMG"/>
    <s v="Port Harcourt"/>
    <s v="ISIOKPO"/>
    <m/>
    <m/>
    <n v="43"/>
    <n v="86"/>
    <n v="103"/>
    <n v="2064"/>
    <n v="263204.3991481314"/>
  </r>
  <r>
    <s v="ASINI/Yekeni"/>
    <s v="Hiabs Logistics-10T-Local"/>
    <s v="JMG-10T-Local"/>
    <s v="Local"/>
    <s v="Hiabs Logistics"/>
    <s v="10T"/>
    <s v="JMG"/>
    <s v="Port Harcourt"/>
    <s v="OMAGWA"/>
    <m/>
    <m/>
    <n v="33.7"/>
    <n v="67.40000000000001"/>
    <n v="94"/>
    <n v="1617.6"/>
    <n v="263204.3991481314"/>
  </r>
  <r>
    <s v="ASINI/Yekeni"/>
    <s v="Hiabs Logistics-10T-Local"/>
    <s v="JMG-10T-Local"/>
    <s v="Local"/>
    <s v="Hiabs Logistics"/>
    <s v="10T"/>
    <s v="JMG"/>
    <s v="Port Harcourt"/>
    <s v="CHOBA"/>
    <m/>
    <m/>
    <n v="22.25"/>
    <n v="44.5"/>
    <n v="82"/>
    <n v="1068"/>
    <n v="263204.3991481314"/>
  </r>
  <r>
    <s v="ASINI/Yekeni"/>
    <s v="Hiabs Logistics-10T-Local"/>
    <s v="JMG-10T-Local"/>
    <s v="Local"/>
    <s v="Hiabs Logistics"/>
    <s v="10T"/>
    <s v="JMG"/>
    <s v="Port Harcourt"/>
    <s v="ONNE"/>
    <m/>
    <m/>
    <n v="21.75"/>
    <n v="43.5"/>
    <n v="82"/>
    <n v="1044"/>
    <n v="263204.3991481314"/>
  </r>
  <r>
    <s v="ASINI/Yekeni"/>
    <s v="Hiabs Logistics-10T-Local"/>
    <s v="JMG-10T-Local"/>
    <s v="Local"/>
    <s v="Hiabs Logistics"/>
    <s v="10T"/>
    <s v="JMG"/>
    <s v="Port Harcourt"/>
    <s v="Alakahia"/>
    <m/>
    <m/>
    <n v="20.45"/>
    <n v="40.9"/>
    <n v="80"/>
    <n v="981.5999999999999"/>
    <n v="263204.3991481314"/>
  </r>
  <r>
    <s v="ASINI/Yekeni"/>
    <s v="Hiabs Logistics-10T-Local"/>
    <s v="JMG-10T-Local"/>
    <s v="Local"/>
    <s v="Hiabs Logistics"/>
    <s v="10T"/>
    <s v="JMG"/>
    <s v="Port Harcourt"/>
    <s v="OYIGBO"/>
    <m/>
    <m/>
    <n v="20.35"/>
    <n v="40.7"/>
    <n v="80"/>
    <n v="976.8000000000001"/>
    <n v="263204.3991481314"/>
  </r>
  <r>
    <s v="ASINI/Yekeni"/>
    <s v="Hiabs Logistics-10T-Local"/>
    <s v="JMG-10T-Local"/>
    <s v="Local"/>
    <s v="Hiabs Logistics"/>
    <s v="10T"/>
    <s v="JMG"/>
    <s v="Port Harcourt"/>
    <s v="Okrika "/>
    <m/>
    <m/>
    <n v="19.4"/>
    <n v="38.8"/>
    <n v="79"/>
    <n v="931.1999999999999"/>
    <n v="263204.3991481314"/>
  </r>
  <r>
    <s v="ASINI/Yekeni"/>
    <s v="Hiabs Logistics-10T-Local"/>
    <s v="JMG-10T-Local"/>
    <s v="Local"/>
    <s v="Hiabs Logistics"/>
    <s v="10T"/>
    <s v="JMG"/>
    <s v="Port Harcourt"/>
    <s v="OGONI"/>
    <m/>
    <m/>
    <n v="17.9"/>
    <n v="35.8"/>
    <n v="78"/>
    <n v="859.1999999999999"/>
    <n v="263204.3991481314"/>
  </r>
  <r>
    <s v="ASINI/Yekeni"/>
    <s v="Hiabs Logistics-10T-Local"/>
    <s v="JMG-10T-Local"/>
    <s v="Local"/>
    <s v="Hiabs Logistics"/>
    <s v="10T"/>
    <s v="JMG"/>
    <s v="Port Harcourt"/>
    <s v="Airport Road"/>
    <m/>
    <m/>
    <n v="16"/>
    <n v="32"/>
    <n v="76"/>
    <n v="768"/>
    <n v="263204.3991481314"/>
  </r>
  <r>
    <s v="ASINI/Yekeni"/>
    <s v="Hiabs Logistics-10T-Local"/>
    <s v="JMG-10T-Local"/>
    <s v="Local"/>
    <s v="Hiabs Logistics"/>
    <s v="10T"/>
    <s v="JMG"/>
    <s v="Port Harcourt"/>
    <s v="Eleme"/>
    <m/>
    <m/>
    <n v="14.05"/>
    <n v="28.1"/>
    <n v="74"/>
    <n v="674.4000000000001"/>
    <n v="131602.1995740657"/>
  </r>
  <r>
    <s v="ASINI/Yekeni"/>
    <s v="Hiabs Logistics-10T-Local"/>
    <s v="JMG-10T-Local"/>
    <s v="Local"/>
    <s v="Hiabs Logistics"/>
    <s v="10T"/>
    <s v="JMG"/>
    <s v="Port Harcourt"/>
    <s v="Rumukpakolosi"/>
    <m/>
    <m/>
    <n v="10.2"/>
    <n v="20.4"/>
    <n v="70"/>
    <n v="489.6"/>
    <n v="263204.3991481314"/>
  </r>
  <r>
    <s v="ASINI/Yekeni"/>
    <s v="Hiabs Logistics-10T-Local"/>
    <s v="JMG-10T-Local"/>
    <s v="Local"/>
    <s v="Hiabs Logistics"/>
    <s v="10T"/>
    <s v="JMG"/>
    <s v="Port Harcourt"/>
    <s v="Rumuepirikom"/>
    <m/>
    <m/>
    <n v="8.75"/>
    <n v="17.5"/>
    <n v="68"/>
    <n v="420"/>
    <n v="263204.3991481314"/>
  </r>
  <r>
    <s v="ASINI/Yekeni"/>
    <s v="Hiabs Logistics-10T-Local"/>
    <s v="JMG-10T-Local"/>
    <s v="Local"/>
    <s v="Hiabs Logistics"/>
    <s v="10T"/>
    <s v="JMG"/>
    <s v="Port Harcourt"/>
    <s v="Ogbunabali"/>
    <m/>
    <m/>
    <n v="4.9"/>
    <n v="9.800000000000001"/>
    <n v="64"/>
    <n v="235.2"/>
    <n v="263204.3991481314"/>
  </r>
  <r>
    <s v="ASINI/Yekeni"/>
    <s v="Hiabs Logistics-10T-Local"/>
    <s v="JMG-10T-Local"/>
    <s v="Local"/>
    <s v="Hiabs Logistics"/>
    <s v="10T"/>
    <s v="JMG"/>
    <s v="Port Harcourt"/>
    <s v="Elekahia"/>
    <m/>
    <m/>
    <n v="3.625"/>
    <n v="7.25"/>
    <n v="3"/>
    <n v="174"/>
    <n v="263204.3991481314"/>
  </r>
  <r>
    <s v="ASINI/Yekeni"/>
    <s v="Hiabs Logistics-10T-Local"/>
    <s v="JMG-10T-Local"/>
    <s v="Local"/>
    <s v="Hiabs Logistics"/>
    <s v="10T"/>
    <s v="JMG"/>
    <s v="Port Harcourt"/>
    <s v="Transamadi"/>
    <m/>
    <m/>
    <n v="2.75"/>
    <n v="5.5"/>
    <n v="62"/>
    <n v="132"/>
    <n v="263204.3991481314"/>
  </r>
  <r>
    <s v="HARUNA/YEKINI"/>
    <s v="Hiabs Logistics-10T-Upcountry"/>
    <s v="JMG-10T-Upcountry"/>
    <s v="Upcountry"/>
    <s v="Hiabs Logistics"/>
    <s v="10T"/>
    <s v="JMG"/>
    <s v="Abuja"/>
    <s v="MUBI"/>
    <m/>
    <m/>
    <n v="965.5"/>
    <n v="1931"/>
    <n v="1044"/>
    <n v="46344"/>
    <n v="1052817.596592525"/>
  </r>
  <r>
    <s v="HARUNA/YEKINI"/>
    <s v="Hiabs Logistics-10T-Upcountry"/>
    <s v="JMG-10T-Upcountry"/>
    <s v="Upcountry"/>
    <s v="Hiabs Logistics"/>
    <s v="10T"/>
    <s v="JMG"/>
    <s v="Abuja"/>
    <s v="Maiduguri"/>
    <m/>
    <m/>
    <n v="845"/>
    <n v="1690"/>
    <n v="921"/>
    <n v="40560"/>
    <n v="921215.3970184599"/>
  </r>
  <r>
    <s v="HARUNA/YEKINI"/>
    <s v="Hiabs Logistics-10T-Upcountry"/>
    <s v="JMG-10T-Upcountry"/>
    <s v="Upcountry"/>
    <s v="Hiabs Logistics"/>
    <s v="10T"/>
    <s v="JMG"/>
    <s v="Abuja"/>
    <s v="Yola"/>
    <m/>
    <m/>
    <n v="796.5"/>
    <n v="1593"/>
    <n v="872"/>
    <n v="38232"/>
    <n v="921215.3970184599"/>
  </r>
  <r>
    <s v="HARUNA/YEKINI"/>
    <s v="Hiabs Logistics-10T-Upcountry"/>
    <s v="JMG-10T-Upcountry"/>
    <s v="Upcountry"/>
    <s v="Hiabs Logistics"/>
    <s v="10T"/>
    <s v="JMG"/>
    <s v="Abuja"/>
    <s v="yobe"/>
    <m/>
    <m/>
    <n v="710.5"/>
    <n v="1421"/>
    <n v="784"/>
    <n v="34104"/>
    <n v="684331.4377851416"/>
  </r>
  <r>
    <s v="HARUNA/YEKINI"/>
    <s v="Hiabs Logistics-10T-Upcountry"/>
    <s v="JMG-10T-Upcountry"/>
    <s v="Upcountry"/>
    <s v="Hiabs Logistics"/>
    <s v="10T"/>
    <s v="JMG"/>
    <s v="Abuja"/>
    <s v="Lagos"/>
    <m/>
    <m/>
    <n v="695.5"/>
    <n v="1391"/>
    <n v="769"/>
    <n v="33384"/>
    <n v="684331.4377851416"/>
  </r>
  <r>
    <s v="HARUNA/YEKINI"/>
    <s v="Hiabs Logistics-10T-Upcountry"/>
    <s v="JMG-10T-Upcountry"/>
    <s v="Upcountry"/>
    <s v="Hiabs Logistics"/>
    <s v="10T"/>
    <s v="JMG"/>
    <s v="Abuja"/>
    <s v="PHC"/>
    <m/>
    <m/>
    <n v="684.5"/>
    <n v="1369"/>
    <n v="758"/>
    <n v="32856"/>
    <n v="684331.4377851416"/>
  </r>
  <r>
    <s v="HARUNA/YEKINI"/>
    <s v="Hiabs Logistics-10T-Upcountry"/>
    <s v="JMG-10T-Upcountry"/>
    <s v="Upcountry"/>
    <s v="Hiabs Logistics"/>
    <s v="10T"/>
    <s v="JMG"/>
    <s v="Abuja"/>
    <s v="Abekeuta "/>
    <m/>
    <m/>
    <n v="662"/>
    <n v="1324"/>
    <n v="735"/>
    <n v="31776"/>
    <n v="684331.4377851416"/>
  </r>
  <r>
    <s v="HARUNA/YEKINI"/>
    <s v="Hiabs Logistics-10T-Upcountry"/>
    <s v="JMG-10T-Upcountry"/>
    <s v="Upcountry"/>
    <s v="Hiabs Logistics"/>
    <s v="10T"/>
    <s v="JMG"/>
    <s v="Abuja"/>
    <s v="Bernin Kebi"/>
    <m/>
    <m/>
    <n v="660"/>
    <n v="1320"/>
    <n v="733"/>
    <n v="31680"/>
    <n v="684331.4377851416"/>
  </r>
  <r>
    <s v="HARUNA/YEKINI"/>
    <s v="Hiabs Logistics-10T-Upcountry"/>
    <s v="JMG-10T-Upcountry"/>
    <s v="Upcountry"/>
    <s v="Hiabs Logistics"/>
    <s v="10T"/>
    <s v="JMG"/>
    <s v="Abuja"/>
    <s v="SOKOTO"/>
    <m/>
    <m/>
    <n v="656.5"/>
    <n v="1313"/>
    <n v="729"/>
    <n v="31512"/>
    <n v="684331.4377851416"/>
  </r>
  <r>
    <s v="HARUNA/YEKINI"/>
    <s v="Hiabs Logistics-10T-Upcountry"/>
    <s v="JMG-10T-Upcountry"/>
    <s v="Upcountry"/>
    <s v="Hiabs Logistics"/>
    <s v="10T"/>
    <s v="JMG"/>
    <s v="Abuja"/>
    <s v="Jalingo"/>
    <m/>
    <m/>
    <n v="616.5"/>
    <n v="1233"/>
    <n v="688"/>
    <n v="29592"/>
    <n v="684331.4377851416"/>
  </r>
  <r>
    <s v="HARUNA/YEKINI"/>
    <s v="Hiabs Logistics-10T-Upcountry"/>
    <s v="JMG-10T-Upcountry"/>
    <s v="Upcountry"/>
    <s v="Hiabs Logistics"/>
    <s v="10T"/>
    <s v="JMG"/>
    <s v="Abuja"/>
    <s v="Warri"/>
    <m/>
    <m/>
    <n v="592"/>
    <n v="1184"/>
    <n v="663"/>
    <n v="28416"/>
    <n v="552729.2382110759"/>
  </r>
  <r>
    <s v="HARUNA/YEKINI"/>
    <s v="Hiabs Logistics-10T-Upcountry"/>
    <s v="JMG-10T-Upcountry"/>
    <s v="Upcountry"/>
    <s v="Hiabs Logistics"/>
    <s v="10T"/>
    <s v="JMG"/>
    <s v="Abuja"/>
    <s v="Ibadan"/>
    <m/>
    <m/>
    <n v="566.5"/>
    <n v="1133"/>
    <n v="637"/>
    <n v="27192"/>
    <n v="552729.2382110759"/>
  </r>
  <r>
    <s v="HARUNA/YEKINI"/>
    <s v="Hiabs Logistics-10T-Upcountry"/>
    <s v="JMG-10T-Upcountry"/>
    <s v="Upcountry"/>
    <s v="Hiabs Logistics"/>
    <s v="10T"/>
    <s v="JMG"/>
    <s v="Abuja"/>
    <s v="GOMBE"/>
    <m/>
    <m/>
    <n v="546.5"/>
    <n v="1093"/>
    <n v="617"/>
    <n v="26232"/>
    <n v="552729.2382110759"/>
  </r>
  <r>
    <s v="HARUNA/YEKINI"/>
    <s v="Hiabs Logistics-10T-Upcountry"/>
    <s v="JMG-10T-Upcountry"/>
    <s v="Upcountry"/>
    <s v="Hiabs Logistics"/>
    <s v="10T"/>
    <s v="JMG"/>
    <s v="Abuja"/>
    <s v="Zamfara"/>
    <m/>
    <m/>
    <n v="532"/>
    <n v="1064"/>
    <n v="602"/>
    <n v="25536"/>
    <n v="658010.9978703284"/>
  </r>
  <r>
    <s v="HARUNA/YEKINI"/>
    <s v="Hiabs Logistics-10T-Upcountry"/>
    <s v="JMG-10T-Upcountry"/>
    <s v="Upcountry"/>
    <s v="Hiabs Logistics"/>
    <s v="10T"/>
    <s v="JMG"/>
    <s v="Abuja"/>
    <s v="Benin"/>
    <m/>
    <m/>
    <n v="489.5"/>
    <n v="979"/>
    <n v="559"/>
    <n v="23496"/>
    <n v="658010.9978703284"/>
  </r>
  <r>
    <s v="HARUNA/YEKINI"/>
    <s v="Hiabs Logistics-10T-Upcountry"/>
    <s v="JMG-10T-Upcountry"/>
    <s v="Upcountry"/>
    <s v="Hiabs Logistics"/>
    <s v="10T"/>
    <s v="JMG"/>
    <s v="Abuja"/>
    <s v="Kano"/>
    <m/>
    <m/>
    <n v="429"/>
    <n v="858"/>
    <n v="497"/>
    <n v="20592"/>
    <n v="526408.7982962627"/>
  </r>
  <r>
    <s v="HARUNA/YEKINI"/>
    <s v="Hiabs Logistics-10T-Upcountry"/>
    <s v="JMG-10T-Upcountry"/>
    <s v="Upcountry"/>
    <s v="Hiabs Logistics"/>
    <s v="10T"/>
    <s v="JMG"/>
    <s v="Abuja"/>
    <s v="Bauchi"/>
    <m/>
    <m/>
    <n v="396"/>
    <n v="792"/>
    <n v="463"/>
    <n v="19008"/>
    <n v="526408.7982962627"/>
  </r>
  <r>
    <s v="HARUNA/YEKINI"/>
    <s v="Hiabs Logistics-10T-Upcountry"/>
    <s v="JMG-10T-Upcountry"/>
    <s v="Upcountry"/>
    <s v="Hiabs Logistics"/>
    <s v="10T"/>
    <s v="JMG"/>
    <s v="Abuja"/>
    <s v="GBOKO"/>
    <m/>
    <m/>
    <n v="374"/>
    <n v="748"/>
    <n v="441"/>
    <n v="17952"/>
    <n v="526408.7982962627"/>
  </r>
  <r>
    <s v="HARUNA/YEKINI"/>
    <s v="Hiabs Logistics-10T-Upcountry"/>
    <s v="JMG-10T-Upcountry"/>
    <s v="Upcountry"/>
    <s v="Hiabs Logistics"/>
    <s v="10T"/>
    <s v="JMG"/>
    <s v="Abuja"/>
    <s v="ANKPA"/>
    <m/>
    <m/>
    <n v="371.5"/>
    <n v="743"/>
    <n v="438"/>
    <n v="17832"/>
    <n v="526408.7982962627"/>
  </r>
  <r>
    <s v="HARUNA/YEKINI"/>
    <s v="Hiabs Logistics-10T-Upcountry"/>
    <s v="JMG-10T-Upcountry"/>
    <s v="Upcountry"/>
    <s v="Hiabs Logistics"/>
    <s v="10T"/>
    <s v="JMG"/>
    <s v="Abuja"/>
    <s v="IDAH"/>
    <m/>
    <m/>
    <n v="327"/>
    <n v="654"/>
    <n v="393"/>
    <n v="15696"/>
    <n v="526408.7982962627"/>
  </r>
  <r>
    <s v="HARUNA/YEKINI"/>
    <s v="Hiabs Logistics-10T-Upcountry"/>
    <s v="JMG-10T-Upcountry"/>
    <s v="Upcountry"/>
    <s v="Hiabs Logistics"/>
    <s v="10T"/>
    <s v="JMG"/>
    <s v="Abuja"/>
    <s v="MAKURDI"/>
    <m/>
    <m/>
    <n v="288.5"/>
    <n v="577"/>
    <n v="354"/>
    <n v="13848"/>
    <n v="460607.6985092299"/>
  </r>
  <r>
    <s v="HARUNA/YEKINI"/>
    <s v="Hiabs Logistics-10T-Upcountry"/>
    <s v="JMG-10T-Upcountry"/>
    <s v="Upcountry"/>
    <s v="Hiabs Logistics"/>
    <s v="10T"/>
    <s v="JMG"/>
    <s v="Abuja"/>
    <s v="OTUKPO"/>
    <m/>
    <m/>
    <n v="286"/>
    <n v="572"/>
    <n v="351"/>
    <n v="13728"/>
    <n v="460607.6985092299"/>
  </r>
  <r>
    <s v="HARUNA/YEKINI"/>
    <s v="Hiabs Logistics-10T-Upcountry"/>
    <s v="JMG-10T-Upcountry"/>
    <s v="Upcountry"/>
    <s v="Hiabs Logistics"/>
    <s v="10T"/>
    <s v="JMG"/>
    <s v="Abuja"/>
    <s v="OKENE"/>
    <m/>
    <m/>
    <n v="267"/>
    <n v="534"/>
    <n v="332"/>
    <n v="12816"/>
    <n v="394806.5987221971"/>
  </r>
  <r>
    <s v="HARUNA/YEKINI"/>
    <s v="Hiabs Logistics-10T-Upcountry"/>
    <s v="JMG-10T-Upcountry"/>
    <s v="Upcountry"/>
    <s v="Hiabs Logistics"/>
    <s v="10T"/>
    <s v="JMG"/>
    <s v="Abuja"/>
    <s v="Jos"/>
    <m/>
    <m/>
    <n v="265"/>
    <n v="530"/>
    <n v="330"/>
    <n v="12720"/>
    <n v="394806.5987221971"/>
  </r>
  <r>
    <s v="HARUNA/YEKINI"/>
    <s v="Hiabs Logistics-10T-Upcountry"/>
    <s v="JMG-10T-Upcountry"/>
    <s v="Upcountry"/>
    <s v="Hiabs Logistics"/>
    <s v="10T"/>
    <s v="JMG"/>
    <s v="Abuja"/>
    <s v="OBAJANA"/>
    <m/>
    <m/>
    <n v="234"/>
    <n v="468"/>
    <n v="298"/>
    <n v="11232"/>
    <n v="394806.5987221971"/>
  </r>
  <r>
    <s v="HARUNA/YEKINI"/>
    <s v="Hiabs Logistics-10T-Upcountry"/>
    <s v="JMG-10T-Upcountry"/>
    <s v="Upcountry"/>
    <s v="Hiabs Logistics"/>
    <s v="10T"/>
    <s v="JMG"/>
    <s v="Abuja"/>
    <s v="LOKOJA"/>
    <m/>
    <m/>
    <n v="200.5"/>
    <n v="401"/>
    <n v="264"/>
    <n v="9624"/>
    <n v="394806.5987221971"/>
  </r>
  <r>
    <s v="HARUNA/YEKINI"/>
    <s v="Hiabs Logistics-10T-Upcountry"/>
    <s v="JMG-10T-Upcountry"/>
    <s v="Upcountry"/>
    <s v="Hiabs Logistics"/>
    <s v="10T"/>
    <s v="JMG"/>
    <s v="Abuja"/>
    <s v="Kaduna"/>
    <m/>
    <m/>
    <n v="195.5"/>
    <n v="391"/>
    <n v="259"/>
    <n v="9384"/>
    <n v="394806.5987221971"/>
  </r>
  <r>
    <s v="HARUNA/YEKINI"/>
    <s v="Hiabs Logistics-10T-Upcountry"/>
    <s v="JMG-10T-Upcountry"/>
    <s v="Upcountry"/>
    <s v="Hiabs Logistics"/>
    <s v="10T"/>
    <s v="JMG"/>
    <s v="Abuja"/>
    <s v="Lafia"/>
    <m/>
    <m/>
    <n v="188"/>
    <n v="376"/>
    <n v="251"/>
    <n v="9024"/>
    <n v="394806.5987221971"/>
  </r>
  <r>
    <s v="HARUNA/YEKINI"/>
    <s v="Hiabs Logistics-10T-Upcountry"/>
    <s v="JMG-10T-Upcountry"/>
    <s v="Upcountry"/>
    <s v="Hiabs Logistics"/>
    <s v="10T"/>
    <s v="JMG"/>
    <s v="Abuja"/>
    <s v="Minna"/>
    <m/>
    <m/>
    <n v="162.5"/>
    <n v="325"/>
    <n v="225"/>
    <n v="7800"/>
    <n v="394806.5987221971"/>
  </r>
  <r>
    <s v="HARUNA/YEKINI"/>
    <s v="Hiabs Logistics-10T-Upcountry"/>
    <s v="JMG-10T-Upcountry"/>
    <s v="Upcountry"/>
    <s v="Hiabs Logistics"/>
    <s v="10T"/>
    <s v="JMG"/>
    <s v="Abuja"/>
    <s v="Keffi "/>
    <m/>
    <m/>
    <n v="65.5"/>
    <n v="131"/>
    <n v="126"/>
    <n v="3144"/>
    <n v="263204.3991481314"/>
  </r>
  <r>
    <s v="HARUNA/YEKINI"/>
    <s v="Hiabs Logistics-10T-Upcountry"/>
    <s v="JMG-10T-Upcountry"/>
    <s v="Upcountry"/>
    <s v="Hiabs Logistics"/>
    <s v="10T"/>
    <s v="JMG"/>
    <s v="Abuja"/>
    <s v="Suleja"/>
    <m/>
    <m/>
    <n v="63.5"/>
    <n v="127"/>
    <n v="124"/>
    <n v="3048"/>
    <n v="263204.3991481314"/>
  </r>
  <r>
    <s v="HARUNA/YEKINI"/>
    <s v="Hiabs Logistics-10T-Local"/>
    <s v="JMG-10T-Local"/>
    <s v="Local"/>
    <s v="Hiabs Logistics"/>
    <s v="10T"/>
    <s v="JMG"/>
    <s v="Abuja"/>
    <s v="Gwagwalada"/>
    <m/>
    <m/>
    <n v="56.5"/>
    <n v="113"/>
    <n v="117"/>
    <n v="2712"/>
    <n v="263204.3991481314"/>
  </r>
  <r>
    <s v="HARUNA/YEKINI"/>
    <s v="Hiabs Logistics-10T-Local"/>
    <s v="JMG-10T-Local"/>
    <s v="Local"/>
    <s v="Hiabs Logistics"/>
    <s v="10T"/>
    <s v="JMG"/>
    <s v="Abuja"/>
    <s v="KARSHI"/>
    <m/>
    <m/>
    <n v="44.3"/>
    <n v="88.59999999999999"/>
    <n v="105"/>
    <n v="2126.4"/>
    <n v="263204.3991481314"/>
  </r>
  <r>
    <s v="HARUNA/YEKINI"/>
    <s v="Hiabs Logistics-10T-Local"/>
    <s v="JMG-10T-Local"/>
    <s v="Local"/>
    <s v="Hiabs Logistics"/>
    <s v="10T"/>
    <s v="JMG"/>
    <s v="Abuja"/>
    <s v="Zuba"/>
    <m/>
    <m/>
    <n v="40.8"/>
    <n v="81.59999999999999"/>
    <n v="101"/>
    <n v="1958.4"/>
    <n v="197403.2993610985"/>
  </r>
  <r>
    <s v="HARUNA/YEKINI"/>
    <s v="Hiabs Logistics-10T-Local"/>
    <s v="JMG-10T-Local"/>
    <s v="Local"/>
    <s v="Hiabs Logistics"/>
    <s v="10T"/>
    <s v="JMG"/>
    <s v="Abuja"/>
    <s v="BWARI"/>
    <m/>
    <m/>
    <n v="40"/>
    <n v="80"/>
    <n v="100"/>
    <n v="1920"/>
    <n v="263204.3991481314"/>
  </r>
  <r>
    <s v="HARUNA/YEKINI"/>
    <s v="Hiabs Logistics-10T-Local"/>
    <s v="JMG-10T-Local"/>
    <s v="Local"/>
    <s v="Hiabs Logistics"/>
    <s v="10T"/>
    <s v="JMG"/>
    <s v="Abuja"/>
    <s v="KUJE"/>
    <m/>
    <m/>
    <n v="39.5"/>
    <n v="79"/>
    <n v="40"/>
    <n v="1896"/>
    <n v="263204.3991481314"/>
  </r>
  <r>
    <s v="HARUNA/YEKINI"/>
    <s v="Hiabs Logistics-10T-Local"/>
    <s v="JMG-10T-Local"/>
    <s v="Local"/>
    <s v="Hiabs Logistics"/>
    <s v="10T"/>
    <s v="JMG"/>
    <s v="Abuja"/>
    <s v="KURUDU"/>
    <m/>
    <m/>
    <n v="30.25"/>
    <n v="60.5"/>
    <n v="90"/>
    <n v="1452"/>
    <n v="263204.3991481314"/>
  </r>
  <r>
    <s v="HARUNA/YEKINI"/>
    <s v="Hiabs Logistics-10T-Local"/>
    <s v="JMG-10T-Local"/>
    <s v="Local"/>
    <s v="Hiabs Logistics"/>
    <s v="10T"/>
    <s v="JMG"/>
    <s v="Abuja"/>
    <s v="KUBWA"/>
    <m/>
    <m/>
    <n v="29"/>
    <n v="58"/>
    <n v="89"/>
    <n v="1392"/>
    <n v="263204.3991481314"/>
  </r>
  <r>
    <s v="HARUNA/YEKINI"/>
    <s v="Hiabs Logistics-10T-Local"/>
    <s v="JMG-10T-Local"/>
    <s v="Local"/>
    <s v="Hiabs Logistics"/>
    <s v="10T"/>
    <s v="JMG"/>
    <s v="Abuja"/>
    <s v="JEGA"/>
    <m/>
    <m/>
    <n v="26.4"/>
    <n v="52.8"/>
    <n v="86"/>
    <n v="1267.2"/>
    <n v="263204.3991481314"/>
  </r>
  <r>
    <s v="HARUNA/YEKINI"/>
    <s v="Hiabs Logistics-10T-Local"/>
    <s v="JMG-10T-Local"/>
    <s v="Local"/>
    <s v="Hiabs Logistics"/>
    <s v="10T"/>
    <s v="JMG"/>
    <s v="Abuja"/>
    <s v="Mararaba"/>
    <m/>
    <m/>
    <n v="24.7"/>
    <n v="49.4"/>
    <n v="85"/>
    <n v="1185.6"/>
    <n v="394806.5987221971"/>
  </r>
  <r>
    <s v="HARUNA/YEKINI"/>
    <s v="Hiabs Logistics-10T-Local"/>
    <s v="JMG-10T-Local"/>
    <s v="Local"/>
    <s v="Hiabs Logistics"/>
    <s v="10T"/>
    <s v="JMG"/>
    <s v="Abuja"/>
    <s v="KARU"/>
    <m/>
    <m/>
    <n v="24.3"/>
    <n v="48.6"/>
    <n v="84"/>
    <n v="1166.4"/>
    <n v="263204.3991481314"/>
  </r>
  <r>
    <s v="HARUNA/YEKINI"/>
    <s v="Hiabs Logistics-10T-Local"/>
    <s v="JMG-10T-Local"/>
    <s v="Local"/>
    <s v="Hiabs Logistics"/>
    <s v="10T"/>
    <s v="JMG"/>
    <s v="Abuja"/>
    <s v="JIKOYI"/>
    <m/>
    <m/>
    <n v="24.25"/>
    <n v="48.5"/>
    <n v="84"/>
    <n v="1164"/>
    <n v="263204.3991481314"/>
  </r>
  <r>
    <s v="HARUNA/YEKINI"/>
    <s v="Hiabs Logistics-10T-Local"/>
    <s v="JMG-10T-Local"/>
    <s v="Local"/>
    <s v="Hiabs Logistics"/>
    <s v="10T"/>
    <s v="JMG"/>
    <s v="Abuja"/>
    <s v="NYANYA"/>
    <m/>
    <m/>
    <n v="23.6"/>
    <n v="47.2"/>
    <n v="84"/>
    <n v="1132.8"/>
    <n v="263204.3991481314"/>
  </r>
  <r>
    <s v="HARUNA/YEKINI"/>
    <s v="Hiabs Logistics-10T-Local"/>
    <s v="JMG-10T-Local"/>
    <s v="Local"/>
    <s v="Hiabs Logistics"/>
    <s v="10T"/>
    <s v="JMG"/>
    <s v="Abuja"/>
    <s v="KASANA"/>
    <m/>
    <m/>
    <n v="21.05"/>
    <n v="42.1"/>
    <n v="81"/>
    <n v="1010.4"/>
    <n v="263204.3991481314"/>
  </r>
  <r>
    <s v="HARUNA/YEKINI"/>
    <s v="Hiabs Logistics-10T-Local"/>
    <s v="JMG-10T-Local"/>
    <s v="Local"/>
    <s v="Hiabs Logistics"/>
    <s v="10T"/>
    <s v="JMG"/>
    <s v="Abuja"/>
    <s v="RIVER PARK"/>
    <m/>
    <m/>
    <n v="20.85"/>
    <n v="41.7"/>
    <n v="81"/>
    <n v="1000.8"/>
    <n v="263204.3991481314"/>
  </r>
  <r>
    <s v="HARUNA/YEKINI"/>
    <s v="Hiabs Logistics-10T-Local"/>
    <s v="JMG-10T-Local"/>
    <s v="Local"/>
    <s v="Hiabs Logistics"/>
    <s v="10T"/>
    <s v="JMG"/>
    <s v="Abuja"/>
    <s v="PYAKASA"/>
    <m/>
    <m/>
    <n v="19.4"/>
    <n v="38.8"/>
    <n v="79"/>
    <n v="931.1999999999999"/>
    <n v="263204.3991481314"/>
  </r>
  <r>
    <s v="HARUNA/YEKINI"/>
    <s v="Hiabs Logistics-10T-Local"/>
    <s v="JMG-10T-Local"/>
    <s v="Local"/>
    <s v="Hiabs Logistics"/>
    <s v="10T"/>
    <s v="JMG"/>
    <s v="Abuja"/>
    <s v="Airport Road"/>
    <m/>
    <m/>
    <n v="19.15"/>
    <n v="38.3"/>
    <n v="79"/>
    <n v="919.1999999999999"/>
    <n v="263204.3991481314"/>
  </r>
  <r>
    <s v="HARUNA/YEKINI"/>
    <s v="Hiabs Logistics-10T-Local"/>
    <s v="JMG-10T-Local"/>
    <s v="Local"/>
    <s v="Hiabs Logistics"/>
    <s v="10T"/>
    <s v="JMG"/>
    <s v="Abuja"/>
    <s v="Dutse Alhaji"/>
    <m/>
    <m/>
    <n v="19.05"/>
    <n v="38.1"/>
    <n v="79"/>
    <n v="914.4000000000001"/>
    <n v="263204.3991481314"/>
  </r>
  <r>
    <s v="HARUNA/YEKINI"/>
    <s v="Hiabs Logistics-10T-Local"/>
    <s v="JMG-10T-Local"/>
    <s v="Local"/>
    <s v="Hiabs Logistics"/>
    <s v="10T"/>
    <s v="JMG"/>
    <s v="Abuja"/>
    <s v="LUGBE"/>
    <m/>
    <m/>
    <n v="18.95"/>
    <n v="37.9"/>
    <n v="79"/>
    <n v="909.5999999999999"/>
    <n v="263204.3991481314"/>
  </r>
  <r>
    <s v="HARUNA/YEKINI"/>
    <s v="Hiabs Logistics-10T-Local"/>
    <s v="JMG-10T-Local"/>
    <s v="Local"/>
    <s v="Hiabs Logistics"/>
    <s v="10T"/>
    <s v="JMG"/>
    <s v="Abuja"/>
    <s v="LOKOGOMA"/>
    <m/>
    <m/>
    <n v="16.65"/>
    <n v="33.3"/>
    <n v="76"/>
    <n v="799.1999999999999"/>
    <n v="263204.3991481314"/>
  </r>
  <r>
    <s v="HARUNA/YEKINI"/>
    <s v="Hiabs Logistics-10T-Local"/>
    <s v="JMG-10T-Local"/>
    <s v="Local"/>
    <s v="Hiabs Logistics"/>
    <s v="10T"/>
    <s v="JMG"/>
    <s v="Abuja"/>
    <s v="AYA -FCT"/>
    <m/>
    <m/>
    <n v="16.55"/>
    <n v="33.1"/>
    <n v="76"/>
    <n v="794.4000000000001"/>
    <n v="263204.3991481314"/>
  </r>
  <r>
    <s v="HARUNA/YEKINI"/>
    <s v="Hiabs Logistics-10T-Local"/>
    <s v="JMG-10T-Local"/>
    <s v="Local"/>
    <s v="Hiabs Logistics"/>
    <s v="10T"/>
    <s v="JMG"/>
    <s v="Abuja"/>
    <s v="APO MECHANIC VILLAGE"/>
    <m/>
    <m/>
    <n v="16.5"/>
    <n v="33"/>
    <n v="76"/>
    <n v="792"/>
    <n v="263204.3991481314"/>
  </r>
  <r>
    <s v="HARUNA/YEKINI"/>
    <s v="Hiabs Logistics-10T-Local"/>
    <s v="JMG-10T-Local"/>
    <s v="Local"/>
    <s v="Hiabs Logistics"/>
    <s v="10T"/>
    <s v="JMG"/>
    <s v="Abuja"/>
    <s v="BIDA"/>
    <m/>
    <m/>
    <n v="16"/>
    <n v="32"/>
    <n v="76"/>
    <n v="768"/>
    <n v="263204.3991481314"/>
  </r>
  <r>
    <s v="HARUNA/YEKINI"/>
    <s v="Hiabs Logistics-10T-Local"/>
    <s v="JMG-10T-Local"/>
    <s v="Local"/>
    <s v="Hiabs Logistics"/>
    <s v="10T"/>
    <s v="JMG"/>
    <s v="Abuja"/>
    <s v="SUNNYVALE"/>
    <m/>
    <m/>
    <n v="15.1"/>
    <n v="30.2"/>
    <n v="75"/>
    <n v="724.8"/>
    <n v="263204.3991481314"/>
  </r>
  <r>
    <s v="HARUNA/YEKINI"/>
    <s v="Hiabs Logistics-10T-Local"/>
    <s v="JMG-10T-Local"/>
    <s v="Local"/>
    <s v="Hiabs Logistics"/>
    <s v="10T"/>
    <s v="JMG"/>
    <s v="Abuja"/>
    <s v="Asokoro"/>
    <m/>
    <m/>
    <n v="15"/>
    <n v="30"/>
    <n v="75"/>
    <n v="720"/>
    <n v="263204.3991481314"/>
  </r>
  <r>
    <s v="HARUNA/YEKINI"/>
    <s v="Hiabs Logistics-10T-Local"/>
    <s v="JMG-10T-Local"/>
    <s v="Local"/>
    <s v="Hiabs Logistics"/>
    <s v="10T"/>
    <s v="JMG"/>
    <s v="Abuja"/>
    <s v="KARMO"/>
    <m/>
    <m/>
    <n v="13.9"/>
    <n v="27.8"/>
    <n v="74"/>
    <n v="667.2"/>
    <n v="263204.3991481314"/>
  </r>
  <r>
    <s v="HARUNA/YEKINI"/>
    <s v="Hiabs Logistics-10T-Local"/>
    <s v="JMG-10T-Local"/>
    <s v="Local"/>
    <s v="Hiabs Logistics"/>
    <s v="10T"/>
    <s v="JMG"/>
    <s v="Abuja"/>
    <s v="MPAPE ASOKORO"/>
    <m/>
    <m/>
    <n v="13.25"/>
    <n v="26.5"/>
    <n v="73"/>
    <n v="636"/>
    <n v="263204.3991481314"/>
  </r>
  <r>
    <s v="HARUNA/YEKINI"/>
    <s v="Hiabs Logistics-10T-Local"/>
    <s v="JMG-10T-Local"/>
    <s v="Local"/>
    <s v="Hiabs Logistics"/>
    <s v="10T"/>
    <s v="JMG"/>
    <s v="Abuja"/>
    <s v="GUZAPE, GARKI"/>
    <m/>
    <m/>
    <n v="13.1"/>
    <n v="26.2"/>
    <n v="73"/>
    <n v="628.8"/>
    <n v="263204.3991481314"/>
  </r>
  <r>
    <s v="HARUNA/YEKINI"/>
    <s v="Hiabs Logistics-10T-Local"/>
    <s v="JMG-10T-Local"/>
    <s v="Local"/>
    <s v="Hiabs Logistics"/>
    <s v="10T"/>
    <s v="JMG"/>
    <s v="Abuja"/>
    <s v="SUNCITY"/>
    <m/>
    <m/>
    <n v="12.45"/>
    <n v="24.9"/>
    <n v="72"/>
    <n v="597.5999999999999"/>
    <n v="263204.3991481314"/>
  </r>
  <r>
    <s v="HARUNA/YEKINI"/>
    <s v="Hiabs Logistics-10T-Local"/>
    <s v="JMG-10T-Local"/>
    <s v="Local"/>
    <s v="Hiabs Logistics"/>
    <s v="10T"/>
    <s v="JMG"/>
    <s v="Abuja"/>
    <s v="Garki 2"/>
    <m/>
    <m/>
    <n v="12.3"/>
    <n v="24.6"/>
    <n v="72"/>
    <n v="590.4000000000001"/>
    <n v="263204.3991481314"/>
  </r>
  <r>
    <s v="HARUNA/YEKINI"/>
    <s v="Hiabs Logistics-10T-Local"/>
    <s v="JMG-10T-Local"/>
    <s v="Local"/>
    <s v="Hiabs Logistics"/>
    <s v="10T"/>
    <s v="JMG"/>
    <s v="Abuja"/>
    <s v="GALADIMAWA"/>
    <m/>
    <m/>
    <n v="11.6"/>
    <n v="23.2"/>
    <n v="71"/>
    <n v="556.8"/>
    <n v="263204.3991481314"/>
  </r>
  <r>
    <s v="HARUNA/YEKINI"/>
    <s v="Hiabs Logistics-10T-Local"/>
    <s v="JMG-10T-Local"/>
    <s v="Local"/>
    <s v="Hiabs Logistics"/>
    <s v="10T"/>
    <s v="JMG"/>
    <s v="Abuja"/>
    <s v="Area 11"/>
    <m/>
    <m/>
    <n v="11.5"/>
    <n v="23"/>
    <n v="71"/>
    <n v="552"/>
    <n v="263204.3991481314"/>
  </r>
  <r>
    <s v="HARUNA/YEKINI"/>
    <s v="Hiabs Logistics-10T-Local"/>
    <s v="JMG-10T-Local"/>
    <s v="Local"/>
    <s v="Hiabs Logistics"/>
    <s v="10T"/>
    <s v="JMG"/>
    <s v="Abuja"/>
    <s v="EFAB"/>
    <m/>
    <m/>
    <n v="10.5"/>
    <n v="21"/>
    <n v="70"/>
    <n v="504"/>
    <n v="263204.3991481314"/>
  </r>
  <r>
    <s v="HARUNA/YEKINI"/>
    <s v="Hiabs Logistics-10T-Local"/>
    <s v="JMG-10T-Local"/>
    <s v="Local"/>
    <s v="Hiabs Logistics"/>
    <s v="10T"/>
    <s v="JMG"/>
    <s v="Abuja"/>
    <s v="Deidei"/>
    <m/>
    <m/>
    <n v="10.4"/>
    <n v="20.8"/>
    <n v="70"/>
    <n v="499.2"/>
    <n v="263204.3991481314"/>
  </r>
  <r>
    <s v="HARUNA/YEKINI"/>
    <s v="Hiabs Logistics-10T-Local"/>
    <s v="JMG-10T-Local"/>
    <s v="Local"/>
    <s v="Hiabs Logistics"/>
    <s v="10T"/>
    <s v="JMG"/>
    <s v="Abuja"/>
    <s v="Games Village"/>
    <m/>
    <m/>
    <n v="10.25"/>
    <n v="20.5"/>
    <n v="70"/>
    <n v="492"/>
    <n v="263204.3991481314"/>
  </r>
  <r>
    <s v="HARUNA/YEKINI"/>
    <s v="Hiabs Logistics-10T-Local"/>
    <s v="JMG-10T-Local"/>
    <s v="Local"/>
    <s v="Hiabs Logistics"/>
    <s v="10T"/>
    <s v="JMG"/>
    <s v="Abuja"/>
    <s v="CITEC"/>
    <m/>
    <m/>
    <n v="9.9"/>
    <n v="19.8"/>
    <n v="70"/>
    <n v="475.2"/>
    <n v="263204.3991481314"/>
  </r>
  <r>
    <s v="HARUNA/YEKINI"/>
    <s v="Hiabs Logistics-10T-Local"/>
    <s v="JMG-10T-Local"/>
    <s v="Local"/>
    <s v="Hiabs Logistics"/>
    <s v="10T"/>
    <s v="JMG"/>
    <s v="Abuja"/>
    <s v="GUDU"/>
    <m/>
    <m/>
    <n v="9.75"/>
    <n v="19.5"/>
    <n v="69"/>
    <n v="468"/>
    <n v="263204.3991481314"/>
  </r>
  <r>
    <s v="HARUNA/YEKINI"/>
    <s v="Hiabs Logistics-10T-Local"/>
    <s v="JMG-10T-Local"/>
    <s v="Local"/>
    <s v="Hiabs Logistics"/>
    <s v="10T"/>
    <s v="JMG"/>
    <s v="Abuja"/>
    <s v="GWARINPA"/>
    <m/>
    <m/>
    <n v="9.25"/>
    <n v="18.5"/>
    <n v="69"/>
    <n v="444"/>
    <n v="263204.3991481314"/>
  </r>
  <r>
    <s v="HARUNA/YEKINI"/>
    <s v="Hiabs Logistics-10T-Local"/>
    <s v="JMG-10T-Local"/>
    <s v="Local"/>
    <s v="Hiabs Logistics"/>
    <s v="10T"/>
    <s v="JMG"/>
    <s v="Abuja"/>
    <s v="APO"/>
    <m/>
    <m/>
    <n v="9.25"/>
    <n v="18.5"/>
    <n v="69"/>
    <n v="444"/>
    <n v="263204.3991481314"/>
  </r>
  <r>
    <s v="HARUNA/YEKINI"/>
    <s v="Hiabs Logistics-10T-Local"/>
    <s v="JMG-10T-Local"/>
    <s v="Local"/>
    <s v="Hiabs Logistics"/>
    <s v="10T"/>
    <s v="JMG"/>
    <s v="Abuja"/>
    <s v="APO,GUDU"/>
    <m/>
    <m/>
    <n v="9.199999999999999"/>
    <n v="18.4"/>
    <n v="69"/>
    <n v="441.6"/>
    <n v="263204.3991481314"/>
  </r>
  <r>
    <s v="HARUNA/YEKINI"/>
    <s v="Hiabs Logistics-10T-Local"/>
    <s v="JMG-10T-Local"/>
    <s v="Local"/>
    <s v="Hiabs Logistics"/>
    <s v="10T"/>
    <s v="JMG"/>
    <s v="Abuja"/>
    <s v="MAITAMA-FCT"/>
    <m/>
    <m/>
    <n v="8.65"/>
    <n v="17.3"/>
    <n v="68"/>
    <n v="415.2"/>
    <n v="263204.3991481314"/>
  </r>
  <r>
    <s v="HARUNA/YEKINI"/>
    <s v="Hiabs Logistics-10T-Local"/>
    <s v="JMG-10T-Local"/>
    <s v="Local"/>
    <s v="Hiabs Logistics"/>
    <s v="10T"/>
    <s v="JMG"/>
    <s v="Abuja"/>
    <s v="Maitama"/>
    <m/>
    <m/>
    <n v="8.65"/>
    <n v="17.3"/>
    <n v="68"/>
    <n v="415.2"/>
    <n v="263204.3991481314"/>
  </r>
  <r>
    <s v="HARUNA/YEKINI"/>
    <s v="Hiabs Logistics-10T-Local"/>
    <s v="JMG-10T-Local"/>
    <s v="Local"/>
    <s v="Hiabs Logistics"/>
    <s v="10T"/>
    <s v="JMG"/>
    <s v="Abuja"/>
    <s v="LIFE CAMP"/>
    <m/>
    <m/>
    <n v="8.35"/>
    <n v="16.7"/>
    <n v="68"/>
    <n v="400.8"/>
    <n v="263204.3991481314"/>
  </r>
  <r>
    <s v="HARUNA/YEKINI"/>
    <s v="Hiabs Logistics-10T-Local"/>
    <s v="JMG-10T-Local"/>
    <s v="Local"/>
    <s v="Hiabs Logistics"/>
    <s v="10T"/>
    <s v="JMG"/>
    <s v="Abuja"/>
    <s v="KADO"/>
    <m/>
    <m/>
    <n v="7.8"/>
    <n v="15.6"/>
    <n v="67"/>
    <n v="374.4"/>
    <n v="263204.3991481314"/>
  </r>
  <r>
    <s v="HARUNA/YEKINI"/>
    <s v="Hiabs Logistics-10T-Local"/>
    <s v="JMG-10T-Local"/>
    <s v="Local"/>
    <s v="Hiabs Logistics"/>
    <s v="10T"/>
    <s v="JMG"/>
    <s v="Abuja"/>
    <s v="KETAMPE"/>
    <m/>
    <m/>
    <n v="7.55"/>
    <n v="15.1"/>
    <n v="67"/>
    <n v="362.4"/>
    <n v="263204.3991481314"/>
  </r>
  <r>
    <s v="HARUNA/YEKINI"/>
    <s v="Hiabs Logistics-10T-Local"/>
    <s v="JMG-10T-Local"/>
    <s v="Local"/>
    <s v="Hiabs Logistics"/>
    <s v="10T"/>
    <s v="JMG"/>
    <s v="Abuja"/>
    <s v="Durumi"/>
    <m/>
    <m/>
    <n v="7.35"/>
    <n v="14.7"/>
    <n v="67"/>
    <n v="352.8"/>
    <n v="263204.3991481314"/>
  </r>
  <r>
    <s v="HARUNA/YEKINI"/>
    <s v="Hiabs Logistics-10T-Local"/>
    <s v="JMG-10T-Local"/>
    <s v="Local"/>
    <s v="Hiabs Logistics"/>
    <s v="10T"/>
    <s v="JMG"/>
    <s v="Abuja"/>
    <s v="WUSE ZONE"/>
    <m/>
    <m/>
    <n v="6.25"/>
    <n v="12.5"/>
    <n v="66"/>
    <n v="300"/>
    <n v="263204.3991481314"/>
  </r>
  <r>
    <s v="HARUNA/YEKINI"/>
    <s v="Hiabs Logistics-10T-Local"/>
    <s v="JMG-10T-Local"/>
    <s v="Local"/>
    <s v="Hiabs Logistics"/>
    <s v="10T"/>
    <s v="JMG"/>
    <s v="Abuja"/>
    <s v="Wuse"/>
    <m/>
    <m/>
    <n v="6.2"/>
    <n v="12.4"/>
    <n v="66"/>
    <n v="297.6"/>
    <n v="263204.3991481314"/>
  </r>
  <r>
    <s v="HARUNA/YEKINI"/>
    <s v="Hiabs Logistics-10T-Local"/>
    <s v="JMG-10T-Local"/>
    <s v="Local"/>
    <s v="Hiabs Logistics"/>
    <s v="10T"/>
    <s v="JMG"/>
    <s v="Abuja"/>
    <s v="WUSE 2"/>
    <m/>
    <m/>
    <n v="5.2"/>
    <n v="10.4"/>
    <n v="65"/>
    <n v="249.6"/>
    <n v="263204.3991481314"/>
  </r>
  <r>
    <s v="HARUNA/YEKINI"/>
    <s v="Hiabs Logistics-10T-Local"/>
    <s v="JMG-10T-Local"/>
    <s v="Local"/>
    <s v="Hiabs Logistics"/>
    <s v="10T"/>
    <s v="JMG"/>
    <s v="Abuja"/>
    <s v="JABI"/>
    <m/>
    <m/>
    <n v="3.85"/>
    <n v="7.7"/>
    <n v="63"/>
    <n v="184.8"/>
    <n v="263204.3991481314"/>
  </r>
  <r>
    <s v="HARUNA/YEKINI"/>
    <s v="Hiabs Logistics-10T-Local"/>
    <s v="JMG-10T-Local"/>
    <s v="Local"/>
    <s v="Hiabs Logistics"/>
    <s v="10T"/>
    <s v="JMG"/>
    <s v="Abuja"/>
    <s v="WUSE ZONE 6"/>
    <m/>
    <m/>
    <n v="2.5"/>
    <n v="5"/>
    <n v="62"/>
    <n v="120"/>
    <n v="131602.1995740657"/>
  </r>
  <r>
    <s v="HARUNA/YEKINI"/>
    <s v="Hiabs Logistics-10T-Local"/>
    <s v="JMG-10T-Local"/>
    <s v="Local"/>
    <s v="Hiabs Logistics"/>
    <s v="10T"/>
    <s v="JMG"/>
    <s v="Abuja"/>
    <s v="Wuse Zone 5"/>
    <m/>
    <m/>
    <n v="2.5"/>
    <n v="5"/>
    <n v="62"/>
    <n v="120"/>
    <n v="263204.3991481314"/>
  </r>
  <r>
    <s v="HARUNA/YEKINI"/>
    <s v="Hiabs Logistics-10T-Local"/>
    <s v="JMG-10T-Local"/>
    <s v="Local"/>
    <s v="Hiabs Logistics"/>
    <s v="10T"/>
    <s v="JMG"/>
    <s v="Abuja"/>
    <s v="UTAKO"/>
    <m/>
    <m/>
    <n v="1.5"/>
    <n v="3"/>
    <n v="61"/>
    <n v="72"/>
    <n v="263204.3991481314"/>
  </r>
  <r>
    <s v="YEKINI"/>
    <s v="Hiabs Logistics-10T-Upcountry"/>
    <s v="JMG-10T-Upcountry"/>
    <s v="Upcountry"/>
    <s v="Hiabs Logistics"/>
    <s v="10T"/>
    <s v="JMG"/>
    <s v="Lagos"/>
    <s v="Kano"/>
    <m/>
    <m/>
    <n v="1250"/>
    <n v="2500"/>
    <n v="1335"/>
    <n v="60000"/>
    <n v="1184419.796166591"/>
  </r>
  <r>
    <s v="YEKINI"/>
    <s v="Hiabs Logistics-10T-Upcountry"/>
    <s v="JMG-10T-Upcountry"/>
    <s v="Upcountry"/>
    <s v="Hiabs Logistics"/>
    <s v="10T"/>
    <s v="JMG"/>
    <s v="Lagos"/>
    <s v="KADUNA"/>
    <m/>
    <m/>
    <n v="950"/>
    <n v="1900"/>
    <n v="1029"/>
    <n v="45600"/>
    <n v="921215.3970184599"/>
  </r>
  <r>
    <s v="YEKINI"/>
    <s v="Hiabs Logistics-10T-Upcountry"/>
    <s v="JMG-10T-Upcountry"/>
    <s v="Upcountry"/>
    <s v="Hiabs Logistics"/>
    <s v="10T"/>
    <s v="JMG"/>
    <s v="Lagos"/>
    <s v="Abuja "/>
    <m/>
    <m/>
    <n v="755"/>
    <n v="1510"/>
    <n v="830"/>
    <n v="36240"/>
    <n v="789613.1974443941"/>
  </r>
  <r>
    <s v="YEKINI"/>
    <s v="Hiabs Logistics-10T-Upcountry"/>
    <s v="JMG-10T-Upcountry"/>
    <s v="Upcountry"/>
    <s v="Hiabs Logistics"/>
    <s v="10T"/>
    <s v="JMG"/>
    <s v="Lagos"/>
    <s v="Akwa-IBOM"/>
    <m/>
    <m/>
    <n v="120"/>
    <n v="1450"/>
    <n v="799"/>
    <n v="34800"/>
    <n v="658010.9978703284"/>
  </r>
  <r>
    <s v="YEKINI"/>
    <s v="Hiabs Logistics-10T-Upcountry"/>
    <s v="JMG-10T-Upcountry"/>
    <s v="Upcountry"/>
    <s v="Hiabs Logistics"/>
    <s v="10T"/>
    <s v="JMG"/>
    <s v="Lagos"/>
    <s v="PHC"/>
    <m/>
    <m/>
    <n v="617"/>
    <n v="1234"/>
    <n v="689"/>
    <n v="29616"/>
    <n v="658010.9978703284"/>
  </r>
  <r>
    <s v="YEKINI"/>
    <s v="Hiabs Logistics-10T-Upcountry"/>
    <s v="JMG-10T-Upcountry"/>
    <s v="Upcountry"/>
    <s v="Hiabs Logistics"/>
    <s v="10T"/>
    <s v="JMG"/>
    <s v="Lagos"/>
    <s v="Anambra"/>
    <m/>
    <m/>
    <n v="675"/>
    <n v="1350"/>
    <n v="748"/>
    <n v="32400"/>
    <n v="658010.9978703284"/>
  </r>
  <r>
    <s v="YEKINI"/>
    <s v="Hiabs Logistics-10T-Upcountry"/>
    <s v="JMG-10T-Upcountry"/>
    <s v="Upcountry"/>
    <s v="Hiabs Logistics"/>
    <s v="10T"/>
    <s v="JMG"/>
    <s v="Lagos"/>
    <s v="Onitsha"/>
    <m/>
    <m/>
    <n v="575"/>
    <n v="1150"/>
    <n v="646"/>
    <n v="27600"/>
    <n v="526408.7982962627"/>
  </r>
  <r>
    <s v="YEKINI"/>
    <s v="Hiabs Logistics-10T-Upcountry"/>
    <s v="JMG-10T-Upcountry"/>
    <s v="Upcountry"/>
    <s v="Hiabs Logistics"/>
    <s v="10T"/>
    <s v="JMG"/>
    <s v="Lagos"/>
    <s v="Warri"/>
    <m/>
    <m/>
    <n v="375"/>
    <n v="750"/>
    <n v="442"/>
    <n v="18000"/>
    <n v="394806.5987221971"/>
  </r>
  <r>
    <s v="YEKINI"/>
    <s v="Hiabs Logistics-10T-Upcountry"/>
    <s v="JMG-10T-Upcountry"/>
    <s v="Upcountry"/>
    <s v="Hiabs Logistics"/>
    <s v="10T"/>
    <s v="JMG"/>
    <s v="Lagos"/>
    <s v="ADO EKITI"/>
    <m/>
    <m/>
    <n v="376.5"/>
    <n v="753"/>
    <n v="444"/>
    <n v="18072"/>
    <n v="394806.5987221971"/>
  </r>
  <r>
    <s v="YEKINI"/>
    <s v="Hiabs Logistics-10T-Upcountry"/>
    <s v="JMG-10T-Upcountry"/>
    <s v="Upcountry"/>
    <s v="Hiabs Logistics"/>
    <s v="10T"/>
    <s v="JMG"/>
    <s v="Lagos"/>
    <s v="Benin"/>
    <m/>
    <m/>
    <n v="312"/>
    <n v="624"/>
    <n v="378"/>
    <n v="14976"/>
    <n v="394806.5987221971"/>
  </r>
  <r>
    <s v="YEKINI"/>
    <s v="Hiabs Logistics-10T-Upcountry"/>
    <s v="JMG-10T-Upcountry"/>
    <s v="Upcountry"/>
    <s v="Hiabs Logistics"/>
    <s v="10T"/>
    <s v="JMG"/>
    <s v="Lagos"/>
    <s v="Akure"/>
    <m/>
    <m/>
    <n v="304"/>
    <n v="608"/>
    <n v="370"/>
    <n v="14592"/>
    <n v="394806.5987221971"/>
  </r>
  <r>
    <s v="YEKINI"/>
    <s v="Hiabs Logistics-10T-Upcountry"/>
    <s v="JMG-10T-Upcountry"/>
    <s v="Upcountry"/>
    <s v="Hiabs Logistics"/>
    <s v="10T"/>
    <s v="JMG"/>
    <s v="Lagos"/>
    <s v="ILORIN"/>
    <m/>
    <m/>
    <n v="297.5"/>
    <n v="595"/>
    <n v="363"/>
    <n v="14280"/>
    <n v="263204.3991481314"/>
  </r>
  <r>
    <s v="YEKINI"/>
    <s v="Hiabs Logistics-10T-Upcountry"/>
    <s v="JMG-10T-Upcountry"/>
    <s v="Upcountry"/>
    <s v="Hiabs Logistics"/>
    <s v="10T"/>
    <s v="JMG"/>
    <s v="Lagos"/>
    <s v="Iseyin"/>
    <m/>
    <m/>
    <n v="297.5"/>
    <n v="595"/>
    <n v="363"/>
    <n v="14280"/>
    <n v="263204.3991481314"/>
  </r>
  <r>
    <s v="YEKINI"/>
    <s v="Hiabs Logistics-10T-Upcountry"/>
    <s v="JMG-10T-Upcountry"/>
    <s v="Upcountry"/>
    <s v="Hiabs Logistics"/>
    <s v="10T"/>
    <s v="JMG"/>
    <s v="Lagos"/>
    <s v="Osun"/>
    <m/>
    <m/>
    <n v="203.5"/>
    <n v="407"/>
    <n v="267"/>
    <n v="9768"/>
    <n v="263204.3991481314"/>
  </r>
  <r>
    <s v="YEKINI"/>
    <s v="Hiabs Logistics-10T-Upcountry"/>
    <s v="JMG-10T-Upcountry"/>
    <s v="Upcountry"/>
    <s v="Hiabs Logistics"/>
    <s v="10T"/>
    <s v="JMG"/>
    <s v="Lagos"/>
    <s v="IJEBU ODE"/>
    <m/>
    <m/>
    <n v="100"/>
    <n v="200"/>
    <n v="162"/>
    <n v="4800"/>
    <n v="131602.1995740657"/>
  </r>
  <r>
    <s v="YEKINI"/>
    <s v="Hiabs Logistics-10T-Upcountry"/>
    <s v="JMG-10T-Upcountry"/>
    <s v="Upcountry"/>
    <s v="Hiabs Logistics"/>
    <s v="10T"/>
    <s v="JMG"/>
    <s v="Lagos"/>
    <s v="ILE-EFE"/>
    <m/>
    <m/>
    <n v="202.5"/>
    <n v="405"/>
    <n v="266"/>
    <n v="9720"/>
    <n v="263204.3991481314"/>
  </r>
  <r>
    <s v="YEKINI"/>
    <s v="Hiabs Logistics-10T-Upcountry"/>
    <s v="JMG-10T-Upcountry"/>
    <s v="Upcountry"/>
    <s v="Hiabs Logistics"/>
    <s v="10T"/>
    <s v="JMG"/>
    <s v="Lagos"/>
    <s v="Ibadan"/>
    <m/>
    <m/>
    <n v="120.5"/>
    <n v="241"/>
    <n v="182"/>
    <n v="5784"/>
    <n v="131602.1995740657"/>
  </r>
  <r>
    <s v="YEKINI"/>
    <s v="Hiabs Logistics-10T-Local"/>
    <s v="JMG-10T-Local"/>
    <s v="Local"/>
    <s v="Hiabs Logistics"/>
    <s v="10T"/>
    <s v="JMG"/>
    <s v="Lagos"/>
    <s v="Abekeuta "/>
    <m/>
    <m/>
    <n v="99.5"/>
    <n v="199"/>
    <n v="161"/>
    <n v="4776"/>
    <n v="131602.1995740657"/>
  </r>
  <r>
    <s v="YEKINI"/>
    <s v="Hiabs Logistics-10T-Local"/>
    <s v="JMG-10T-Local"/>
    <s v="Local"/>
    <s v="Hiabs Logistics"/>
    <s v="10T"/>
    <s v="JMG"/>
    <s v="Lagos"/>
    <s v="Shagamu"/>
    <m/>
    <m/>
    <n v="70"/>
    <n v="140"/>
    <n v="131"/>
    <n v="3360"/>
    <n v="131602.1995740657"/>
  </r>
  <r>
    <s v="YEKINI"/>
    <s v="Hiabs Logistics-10T-Local"/>
    <s v="JMG-10T-Local"/>
    <s v="Local"/>
    <s v="Hiabs Logistics"/>
    <s v="10T"/>
    <s v="JMG"/>
    <s v="Lagos"/>
    <s v="Ogun "/>
    <m/>
    <m/>
    <n v="58"/>
    <n v="116"/>
    <n v="119"/>
    <n v="2784"/>
    <n v="131602.1995740657"/>
  </r>
  <r>
    <s v="YEKINI"/>
    <s v="Hiabs Logistics-10T-Local"/>
    <s v="JMG-10T-Local"/>
    <s v="Local"/>
    <s v="Hiabs Logistics"/>
    <s v="10T"/>
    <s v="JMG"/>
    <s v="Lagos"/>
    <s v="Ajah"/>
    <m/>
    <m/>
    <n v="39.65"/>
    <n v="79.3"/>
    <n v="100"/>
    <n v="1903.2"/>
    <n v="131602.1995740657"/>
  </r>
  <r>
    <s v="YEKINI"/>
    <s v="Hiabs Logistics-10T-Local"/>
    <s v="JMG-10T-Local"/>
    <s v="Local"/>
    <s v="Hiabs Logistics"/>
    <s v="10T"/>
    <s v="JMG"/>
    <s v="Lagos"/>
    <s v="Alaba "/>
    <m/>
    <m/>
    <n v="39"/>
    <n v="78"/>
    <n v="99"/>
    <n v="1872"/>
    <n v="131602.1995740657"/>
  </r>
  <r>
    <s v="YEKINI"/>
    <s v="Hiabs Logistics-10T-Local"/>
    <s v="JMG-10T-Local"/>
    <s v="Local"/>
    <s v="Hiabs Logistics"/>
    <s v="10T"/>
    <s v="JMG"/>
    <s v="Lagos"/>
    <s v="OKOKOMAIKO"/>
    <m/>
    <m/>
    <n v="38.15"/>
    <n v="76.3"/>
    <n v="98"/>
    <n v="1831.2"/>
    <n v="131602.1995740657"/>
  </r>
  <r>
    <s v="YEKINI"/>
    <s v="Hiabs Logistics-10T-Local"/>
    <s v="JMG-10T-Local"/>
    <s v="Local"/>
    <s v="Hiabs Logistics"/>
    <s v="10T"/>
    <s v="JMG"/>
    <s v="Lagos"/>
    <s v="MOWE"/>
    <m/>
    <m/>
    <n v="37.6"/>
    <n v="75.2"/>
    <n v="98"/>
    <n v="1804.8"/>
    <n v="131602.1995740657"/>
  </r>
  <r>
    <s v="YEKINI"/>
    <s v="Hiabs Logistics-10T-Local"/>
    <s v="JMG-10T-Local"/>
    <s v="Local"/>
    <s v="Hiabs Logistics"/>
    <s v="10T"/>
    <s v="JMG"/>
    <s v="Lagos"/>
    <s v="MAGBORO"/>
    <m/>
    <m/>
    <n v="33"/>
    <n v="66"/>
    <n v="93"/>
    <n v="1584"/>
    <n v="131602.1995740657"/>
  </r>
  <r>
    <s v="YEKINI"/>
    <s v="Hiabs Logistics-10T-Local"/>
    <s v="JMG-10T-Local"/>
    <s v="Local"/>
    <s v="Hiabs Logistics"/>
    <s v="10T"/>
    <s v="JMG"/>
    <s v="Lagos"/>
    <s v="Trade Fair "/>
    <m/>
    <m/>
    <n v="29.5"/>
    <n v="59"/>
    <n v="90"/>
    <n v="1416"/>
    <n v="131602.1995740657"/>
  </r>
  <r>
    <s v="YEKINI"/>
    <s v="Hiabs Logistics-10T-Local"/>
    <s v="JMG-10T-Local"/>
    <s v="Local"/>
    <s v="Hiabs Logistics"/>
    <s v="10T"/>
    <s v="JMG"/>
    <s v="Lagos"/>
    <s v="Sango-Ota"/>
    <m/>
    <m/>
    <n v="28.4"/>
    <n v="56.8"/>
    <n v="88"/>
    <n v="1363.2"/>
    <n v="131602.1995740657"/>
  </r>
  <r>
    <s v="YEKINI"/>
    <s v="Hiabs Logistics-10T-Local"/>
    <s v="JMG-10T-Local"/>
    <s v="Local"/>
    <s v="Hiabs Logistics"/>
    <s v="10T"/>
    <s v="JMG"/>
    <s v="Lagos"/>
    <s v="Lekki "/>
    <m/>
    <m/>
    <n v="26.05"/>
    <n v="52.1"/>
    <n v="86"/>
    <n v="1250.4"/>
    <n v="131602.1995740657"/>
  </r>
  <r>
    <s v="YEKINI"/>
    <s v="Hiabs Logistics-10T-Local"/>
    <s v="JMG-10T-Local"/>
    <s v="Local"/>
    <s v="Hiabs Logistics"/>
    <s v="10T"/>
    <s v="JMG"/>
    <s v="Lagos"/>
    <s v="FESTAC"/>
    <m/>
    <m/>
    <n v="24.6"/>
    <n v="49.2"/>
    <n v="85"/>
    <n v="1180.8"/>
    <n v="131602.1995740657"/>
  </r>
  <r>
    <s v="YEKINI"/>
    <s v="Hiabs Logistics-10T-Local"/>
    <s v="JMG-10T-Local"/>
    <s v="Local"/>
    <s v="Hiabs Logistics"/>
    <s v="10T"/>
    <s v="JMG"/>
    <s v="Lagos"/>
    <s v="IKORODU"/>
    <m/>
    <m/>
    <n v="24.25"/>
    <n v="48.5"/>
    <n v="84"/>
    <n v="1164"/>
    <n v="131602.1995740657"/>
  </r>
  <r>
    <s v="YEKINI"/>
    <s v="Hiabs Logistics-10T-Local"/>
    <s v="JMG-10T-Local"/>
    <s v="Local"/>
    <s v="Hiabs Logistics"/>
    <s v="10T"/>
    <s v="JMG"/>
    <s v="Lagos"/>
    <s v="VI "/>
    <m/>
    <m/>
    <n v="24"/>
    <n v="48"/>
    <n v="84"/>
    <n v="1152"/>
    <n v="131602.1995740657"/>
  </r>
  <r>
    <s v="YEKINI"/>
    <s v="Hiabs Logistics-10T-Local"/>
    <s v="JMG-10T-Local"/>
    <s v="Local"/>
    <s v="Hiabs Logistics"/>
    <s v="10T"/>
    <s v="JMG"/>
    <s v="Lagos"/>
    <s v="Oniru"/>
    <m/>
    <m/>
    <n v="23.1"/>
    <n v="46.2"/>
    <n v="83"/>
    <n v="1108.8"/>
    <n v="131602.1995740657"/>
  </r>
  <r>
    <s v="YEKINI"/>
    <s v="Hiabs Logistics-10T-Local"/>
    <s v="JMG-10T-Local"/>
    <s v="Local"/>
    <s v="Hiabs Logistics"/>
    <s v="10T"/>
    <s v="JMG"/>
    <s v="Lagos"/>
    <s v="Lagos Island "/>
    <m/>
    <m/>
    <n v="23"/>
    <n v="46"/>
    <n v="83"/>
    <n v="1104"/>
    <n v="131602.1995740657"/>
  </r>
  <r>
    <s v="YEKINI"/>
    <s v="Hiabs Logistics-10T-Local"/>
    <s v="JMG-10T-Local"/>
    <s v="Local"/>
    <s v="Hiabs Logistics"/>
    <s v="10T"/>
    <s v="JMG"/>
    <s v="Lagos"/>
    <s v="ABULE EGBA"/>
    <m/>
    <m/>
    <n v="22.25"/>
    <n v="44.5"/>
    <n v="82"/>
    <n v="1068"/>
    <n v="131602.1995740657"/>
  </r>
  <r>
    <s v="YEKINI"/>
    <s v="Hiabs Logistics-10T-Local"/>
    <s v="JMG-10T-Local"/>
    <s v="Local"/>
    <s v="Hiabs Logistics"/>
    <s v="10T"/>
    <s v="JMG"/>
    <s v="Lagos"/>
    <s v="BARBEACH"/>
    <m/>
    <m/>
    <n v="21.9"/>
    <n v="43.8"/>
    <n v="82"/>
    <n v="1051.2"/>
    <n v="131602.1995740657"/>
  </r>
  <r>
    <s v="YEKINI"/>
    <s v="Hiabs Logistics-10T-Local"/>
    <s v="JMG-10T-Local"/>
    <s v="Local"/>
    <s v="Hiabs Logistics"/>
    <s v="10T"/>
    <s v="JMG"/>
    <s v="Lagos"/>
    <s v="ADEOLA ODEKU"/>
    <m/>
    <m/>
    <n v="21.6"/>
    <n v="43.2"/>
    <n v="82"/>
    <n v="1036.8"/>
    <n v="131602.1995740657"/>
  </r>
  <r>
    <s v="YEKINI"/>
    <s v="Hiabs Logistics-10T-Local"/>
    <s v="JMG-10T-Local"/>
    <s v="Local"/>
    <s v="Hiabs Logistics"/>
    <s v="10T"/>
    <s v="JMG"/>
    <s v="Lagos"/>
    <s v="Mushin"/>
    <m/>
    <m/>
    <n v="21.5"/>
    <n v="43"/>
    <n v="81"/>
    <n v="1032"/>
    <n v="131602.1995740657"/>
  </r>
  <r>
    <s v="YEKINI"/>
    <s v="Hiabs Logistics-10T-Local"/>
    <s v="JMG-10T-Local"/>
    <s v="Local"/>
    <s v="Hiabs Logistics"/>
    <s v="10T"/>
    <s v="JMG"/>
    <s v="Lagos"/>
    <s v="AGBADO"/>
    <m/>
    <m/>
    <n v="21.2"/>
    <n v="42.4"/>
    <n v="81"/>
    <n v="1017.6"/>
    <n v="131602.1995740657"/>
  </r>
  <r>
    <s v="YEKINI"/>
    <s v="Hiabs Logistics-10T-Local"/>
    <s v="JMG-10T-Local"/>
    <s v="Local"/>
    <s v="Hiabs Logistics"/>
    <s v="10T"/>
    <s v="JMG"/>
    <s v="Lagos"/>
    <s v="Akute"/>
    <m/>
    <m/>
    <n v="20.5"/>
    <n v="41"/>
    <n v="80"/>
    <n v="984"/>
    <n v="131602.1995740657"/>
  </r>
  <r>
    <s v="YEKINI"/>
    <s v="Hiabs Logistics-10T-Local"/>
    <s v="JMG-10T-Local"/>
    <s v="Local"/>
    <s v="Hiabs Logistics"/>
    <s v="10T"/>
    <s v="JMG"/>
    <s v="Lagos"/>
    <s v="IKM"/>
    <m/>
    <m/>
    <n v="19.5"/>
    <n v="39"/>
    <n v="79"/>
    <n v="936"/>
    <n v="131602.1995740657"/>
  </r>
  <r>
    <s v="YEKINI"/>
    <s v="Hiabs Logistics-10T-Local"/>
    <s v="JMG-10T-Local"/>
    <s v="Local"/>
    <s v="Hiabs Logistics"/>
    <s v="10T"/>
    <s v="JMG"/>
    <s v="Lagos"/>
    <s v="Tejesho "/>
    <m/>
    <m/>
    <n v="19"/>
    <n v="38"/>
    <n v="79"/>
    <n v="912"/>
    <n v="131602.1995740657"/>
  </r>
  <r>
    <s v="YEKINI"/>
    <s v="Hiabs Logistics-10T-Local"/>
    <s v="JMG-10T-Local"/>
    <s v="Local"/>
    <s v="Hiabs Logistics"/>
    <s v="10T"/>
    <s v="JMG"/>
    <s v="Lagos"/>
    <s v="Dembal "/>
    <m/>
    <m/>
    <n v="19"/>
    <n v="38"/>
    <n v="79"/>
    <n v="912"/>
    <n v="131602.1995740657"/>
  </r>
  <r>
    <s v="YEKINI"/>
    <s v="Hiabs Logistics-10T-Local"/>
    <s v="JMG-10T-Local"/>
    <s v="Local"/>
    <s v="Hiabs Logistics"/>
    <s v="10T"/>
    <s v="JMG"/>
    <s v="Lagos"/>
    <s v="MILE2"/>
    <m/>
    <m/>
    <n v="18.4"/>
    <n v="36.8"/>
    <n v="78"/>
    <n v="883.1999999999999"/>
    <n v="131602.1995740657"/>
  </r>
  <r>
    <s v="YEKINI"/>
    <s v="Hiabs Logistics-10T-Local"/>
    <s v="JMG-10T-Local"/>
    <s v="Local"/>
    <s v="Hiabs Logistics"/>
    <s v="10T"/>
    <s v="JMG"/>
    <s v="Lagos"/>
    <s v="MARINA"/>
    <m/>
    <m/>
    <n v="18.05"/>
    <n v="36.1"/>
    <n v="78"/>
    <n v="866.4000000000001"/>
    <n v="131602.1995740657"/>
  </r>
  <r>
    <s v="YEKINI"/>
    <s v="Hiabs Logistics-10T-Local"/>
    <s v="JMG-10T-Local"/>
    <s v="Local"/>
    <s v="Hiabs Logistics"/>
    <s v="10T"/>
    <s v="JMG"/>
    <s v="Lagos"/>
    <s v="OKOTA"/>
    <m/>
    <m/>
    <n v="17.85"/>
    <n v="35.7"/>
    <n v="78"/>
    <n v="856.8000000000001"/>
    <n v="131602.1995740657"/>
  </r>
  <r>
    <s v="YEKINI"/>
    <s v="Hiabs Logistics-10T-Local"/>
    <s v="JMG-10T-Local"/>
    <s v="Local"/>
    <s v="Hiabs Logistics"/>
    <s v="10T"/>
    <s v="JMG"/>
    <s v="Lagos"/>
    <s v="IYANA PAJA"/>
    <m/>
    <m/>
    <n v="16.8"/>
    <n v="33.6"/>
    <n v="77"/>
    <n v="806.4000000000001"/>
    <n v="131602.1995740657"/>
  </r>
  <r>
    <s v="YEKINI"/>
    <s v="Hiabs Logistics-10T-Local"/>
    <s v="JMG-10T-Local"/>
    <s v="Local"/>
    <s v="Hiabs Logistics"/>
    <s v="10T"/>
    <s v="JMG"/>
    <s v="Lagos"/>
    <s v="JANKARA"/>
    <m/>
    <m/>
    <n v="16.2"/>
    <n v="32.4"/>
    <n v="76"/>
    <n v="777.5999999999999"/>
    <n v="131602.1995740657"/>
  </r>
  <r>
    <s v="YEKINI"/>
    <s v="Hiabs Logistics-10T-Local"/>
    <s v="JMG-10T-Local"/>
    <s v="Local"/>
    <s v="Hiabs Logistics"/>
    <s v="10T"/>
    <s v="JMG"/>
    <s v="Lagos"/>
    <s v="Orile"/>
    <m/>
    <m/>
    <n v="16.05"/>
    <n v="32.1"/>
    <n v="76"/>
    <n v="770.4000000000001"/>
    <n v="131602.1995740657"/>
  </r>
  <r>
    <s v="YEKINI"/>
    <s v="Hiabs Logistics-10T-Local"/>
    <s v="JMG-10T-Local"/>
    <s v="Local"/>
    <s v="Hiabs Logistics"/>
    <s v="10T"/>
    <s v="JMG"/>
    <s v="Lagos"/>
    <s v="APAPA"/>
    <m/>
    <m/>
    <n v="16"/>
    <n v="32"/>
    <n v="76"/>
    <n v="768"/>
    <n v="131602.1995740657"/>
  </r>
  <r>
    <s v="YEKINI"/>
    <s v="Hiabs Logistics-10T-Local"/>
    <s v="JMG-10T-Local"/>
    <s v="Local"/>
    <s v="Hiabs Logistics"/>
    <s v="10T"/>
    <s v="JMG"/>
    <s v="Lagos"/>
    <s v="EJIGBO"/>
    <m/>
    <m/>
    <n v="15.75"/>
    <n v="31.5"/>
    <n v="76"/>
    <n v="756"/>
    <n v="131602.1995740657"/>
  </r>
  <r>
    <s v="YEKINI"/>
    <s v="Hiabs Logistics-10T-Local"/>
    <s v="JMG-10T-Local"/>
    <s v="Local"/>
    <s v="Hiabs Logistics"/>
    <s v="10T"/>
    <s v="JMG"/>
    <s v="Lagos"/>
    <s v="OJODU"/>
    <m/>
    <m/>
    <n v="14.95"/>
    <n v="29.9"/>
    <n v="75"/>
    <n v="717.5999999999999"/>
    <n v="131602.1995740657"/>
  </r>
  <r>
    <s v="YEKINI"/>
    <s v="Hiabs Logistics-10T-Local"/>
    <s v="JMG-10T-Local"/>
    <s v="Local"/>
    <s v="Hiabs Logistics"/>
    <s v="10T"/>
    <s v="JMG"/>
    <s v="Lagos"/>
    <s v="Agege"/>
    <m/>
    <m/>
    <n v="13.85"/>
    <n v="27.7"/>
    <n v="74"/>
    <n v="664.8"/>
    <n v="131602.1995740657"/>
  </r>
  <r>
    <s v="YEKINI"/>
    <s v="Hiabs Logistics-10T-Local"/>
    <s v="JMG-10T-Local"/>
    <s v="Local"/>
    <s v="Hiabs Logistics"/>
    <s v="10T"/>
    <s v="JMG"/>
    <s v="Lagos"/>
    <s v="IJAIYE"/>
    <m/>
    <m/>
    <n v="14.35"/>
    <n v="28.7"/>
    <n v="74"/>
    <n v="688.8"/>
    <n v="131602.1995740657"/>
  </r>
  <r>
    <s v="YEKINI"/>
    <s v="Hiabs Logistics-10T-Local"/>
    <s v="JMG-10T-Local"/>
    <s v="Local"/>
    <s v="Hiabs Logistics"/>
    <s v="10T"/>
    <s v="JMG"/>
    <s v="Lagos"/>
    <s v="OGBA"/>
    <m/>
    <m/>
    <n v="13.05"/>
    <n v="26.1"/>
    <n v="73"/>
    <n v="626.4000000000001"/>
    <n v="131602.1995740657"/>
  </r>
  <r>
    <s v="YEKINI"/>
    <s v="Hiabs Logistics-10T-Local"/>
    <s v="JMG-10T-Local"/>
    <s v="Local"/>
    <s v="Hiabs Logistics"/>
    <s v="10T"/>
    <s v="JMG"/>
    <s v="Lagos"/>
    <s v="Ikeja "/>
    <m/>
    <m/>
    <n v="13"/>
    <n v="26"/>
    <n v="73"/>
    <n v="624"/>
    <n v="131602.1995740657"/>
  </r>
  <r>
    <s v="YEKINI"/>
    <s v="Hiabs Logistics-10T-Local"/>
    <s v="JMG-10T-Local"/>
    <s v="Local"/>
    <s v="Hiabs Logistics"/>
    <s v="10T"/>
    <s v="JMG"/>
    <s v="Lagos"/>
    <s v="EBUTE METTA"/>
    <m/>
    <m/>
    <n v="12.7"/>
    <n v="25.4"/>
    <n v="72"/>
    <n v="609.5999999999999"/>
    <n v="131602.1995740657"/>
  </r>
  <r>
    <s v="YEKINI"/>
    <s v="Hiabs Logistics-10T-Local"/>
    <s v="JMG-10T-Local"/>
    <s v="Local"/>
    <s v="Hiabs Logistics"/>
    <s v="10T"/>
    <s v="JMG"/>
    <s v="Lagos"/>
    <s v="SURULERE"/>
    <m/>
    <m/>
    <n v="12.3"/>
    <n v="24.6"/>
    <n v="72"/>
    <n v="590.4000000000001"/>
    <n v="131602.1995740657"/>
  </r>
  <r>
    <s v="YEKINI"/>
    <s v="Hiabs Logistics-10T-Local"/>
    <s v="JMG-10T-Local"/>
    <s v="Local"/>
    <s v="Hiabs Logistics"/>
    <s v="10T"/>
    <s v="JMG"/>
    <s v="Lagos"/>
    <s v="Isolo"/>
    <m/>
    <m/>
    <n v="12.1"/>
    <n v="24.2"/>
    <n v="72"/>
    <n v="580.8"/>
    <n v="131602.1995740657"/>
  </r>
  <r>
    <s v="YEKINI"/>
    <s v="Hiabs Logistics-10T-Local"/>
    <s v="JMG-10T-Local"/>
    <s v="Local"/>
    <s v="Hiabs Logistics"/>
    <s v="10T"/>
    <s v="JMG"/>
    <s v="Lagos"/>
    <s v="Nigerian Gas"/>
    <m/>
    <m/>
    <n v="10.85"/>
    <n v="21.7"/>
    <n v="71"/>
    <n v="520.8"/>
    <n v="131602.1995740657"/>
  </r>
  <r>
    <s v="YEKINI"/>
    <s v="Hiabs Logistics-10T-Local"/>
    <s v="JMG-10T-Local"/>
    <s v="Local"/>
    <s v="Hiabs Logistics"/>
    <s v="10T"/>
    <s v="JMG"/>
    <s v="Lagos"/>
    <s v="Ikeja Branch"/>
    <m/>
    <m/>
    <n v="10.85"/>
    <n v="21.7"/>
    <n v="71"/>
    <n v="520.8"/>
    <n v="131602.1995740657"/>
  </r>
  <r>
    <s v="YEKINI"/>
    <s v="Hiabs Logistics-10T-Local"/>
    <s v="JMG-10T-Local"/>
    <s v="Local"/>
    <s v="Hiabs Logistics"/>
    <s v="10T"/>
    <s v="JMG"/>
    <s v="Lagos"/>
    <s v="ALAPERE"/>
    <m/>
    <m/>
    <n v="10.3"/>
    <n v="20.6"/>
    <n v="70"/>
    <n v="494.4"/>
    <n v="131602.1995740657"/>
  </r>
  <r>
    <s v="YEKINI"/>
    <s v="Hiabs Logistics-10T-Local"/>
    <s v="JMG-10T-Local"/>
    <s v="Local"/>
    <s v="Hiabs Logistics"/>
    <s v="10T"/>
    <s v="JMG"/>
    <s v="Lagos"/>
    <s v="KODESHO"/>
    <m/>
    <m/>
    <n v="9.800000000000001"/>
    <n v="19.6"/>
    <n v="69"/>
    <n v="470.4"/>
    <n v="131602.1995740657"/>
  </r>
  <r>
    <s v="YEKINI"/>
    <s v="Hiabs Logistics-10T-Local"/>
    <s v="JMG-10T-Local"/>
    <s v="Local"/>
    <s v="Hiabs Logistics"/>
    <s v="10T"/>
    <s v="JMG"/>
    <s v="Lagos"/>
    <s v="YABA"/>
    <m/>
    <m/>
    <n v="9.6"/>
    <n v="19.2"/>
    <n v="69"/>
    <n v="460.8"/>
    <n v="131602.1995740657"/>
  </r>
  <r>
    <s v="YEKINI"/>
    <s v="Hiabs Logistics-10T-Local"/>
    <s v="JMG-10T-Local"/>
    <s v="Local"/>
    <s v="Hiabs Logistics"/>
    <s v="10T"/>
    <s v="JMG"/>
    <s v="Lagos"/>
    <s v="Oshodi"/>
    <m/>
    <m/>
    <n v="9.300000000000001"/>
    <n v="18.6"/>
    <n v="69"/>
    <n v="446.4"/>
    <n v="131602.1995740657"/>
  </r>
  <r>
    <s v="YEKINI"/>
    <s v="Hiabs Logistics-10T-Local"/>
    <s v="JMG-10T-Local"/>
    <s v="Local"/>
    <s v="Hiabs Logistics"/>
    <s v="10T"/>
    <s v="JMG"/>
    <s v="Lagos"/>
    <s v="MATORI"/>
    <m/>
    <m/>
    <n v="8.15"/>
    <n v="16.3"/>
    <n v="68"/>
    <n v="391.2"/>
    <n v="131602.1995740657"/>
  </r>
  <r>
    <s v="YEKINI"/>
    <s v="Hiabs Logistics-10T-Local"/>
    <s v="JMG-10T-Local"/>
    <s v="Local"/>
    <s v="Hiabs Logistics"/>
    <s v="10T"/>
    <s v="JMG"/>
    <s v="Lagos"/>
    <s v="Bariga"/>
    <m/>
    <m/>
    <n v="5.75"/>
    <n v="11.5"/>
    <n v="65"/>
    <n v="276"/>
    <n v="131602.1995740657"/>
  </r>
  <r>
    <s v="YEKINI"/>
    <s v="Hiabs Logistics-8T-Upcountry"/>
    <s v="JMG-8T-Upcountry"/>
    <s v="Upcountry"/>
    <s v="Hiabs Logistics"/>
    <s v="8T"/>
    <s v="JMG"/>
    <s v="Lagos"/>
    <s v="Kano"/>
    <m/>
    <m/>
    <n v="1250"/>
    <n v="2500"/>
    <n v="1335"/>
    <n v="60000"/>
    <n v="1184419.796166591"/>
  </r>
  <r>
    <s v="YEKINI"/>
    <s v="Hiabs Logistics-8T-Upcountry"/>
    <s v="JMG-8T-Upcountry"/>
    <s v="Upcountry"/>
    <s v="Hiabs Logistics"/>
    <s v="8T"/>
    <s v="JMG"/>
    <s v="Lagos"/>
    <s v="KADUNA"/>
    <m/>
    <m/>
    <n v="950"/>
    <n v="1900"/>
    <n v="1029"/>
    <n v="45600"/>
    <n v="921215.3970184599"/>
  </r>
  <r>
    <s v="YEKINI"/>
    <s v="Hiabs Logistics-8T-Upcountry"/>
    <s v="JMG-8T-Upcountry"/>
    <s v="Upcountry"/>
    <s v="Hiabs Logistics"/>
    <s v="8T"/>
    <s v="JMG"/>
    <s v="Lagos"/>
    <s v="Abuja "/>
    <m/>
    <m/>
    <n v="755"/>
    <n v="1510"/>
    <n v="830"/>
    <n v="36240"/>
    <n v="789613.1974443941"/>
  </r>
  <r>
    <s v="YEKINI"/>
    <s v="Hiabs Logistics-8T-Upcountry"/>
    <s v="JMG-8T-Upcountry"/>
    <s v="Upcountry"/>
    <s v="Hiabs Logistics"/>
    <s v="8T"/>
    <s v="JMG"/>
    <s v="Lagos"/>
    <s v="Akwa-IBOM"/>
    <m/>
    <m/>
    <n v="725"/>
    <n v="1450"/>
    <n v="799"/>
    <n v="34800"/>
    <n v="658010.9978703284"/>
  </r>
  <r>
    <s v="YEKINI"/>
    <s v="Hiabs Logistics-8T-Upcountry"/>
    <s v="JMG-8T-Upcountry"/>
    <s v="Upcountry"/>
    <s v="Hiabs Logistics"/>
    <s v="8T"/>
    <s v="JMG"/>
    <s v="Lagos"/>
    <s v="PHC"/>
    <m/>
    <m/>
    <n v="617"/>
    <n v="1234"/>
    <n v="689"/>
    <n v="29616"/>
    <n v="658010.9978703284"/>
  </r>
  <r>
    <s v="YEKINI"/>
    <s v="Hiabs Logistics-8T-Upcountry"/>
    <s v="JMG-8T-Upcountry"/>
    <s v="Upcountry"/>
    <s v="Hiabs Logistics"/>
    <s v="8T"/>
    <s v="JMG"/>
    <s v="Lagos"/>
    <s v="Anambra"/>
    <m/>
    <m/>
    <n v="675"/>
    <n v="1350"/>
    <n v="748"/>
    <n v="32400"/>
    <n v="658010.9978703284"/>
  </r>
  <r>
    <s v="YEKINI"/>
    <s v="Hiabs Logistics-8T-Upcountry"/>
    <s v="JMG-8T-Upcountry"/>
    <s v="Upcountry"/>
    <s v="Hiabs Logistics"/>
    <s v="8T"/>
    <s v="JMG"/>
    <s v="Lagos"/>
    <s v="Onitsha"/>
    <m/>
    <m/>
    <n v="575"/>
    <n v="1150"/>
    <n v="646"/>
    <n v="27600"/>
    <n v="526408.7982962627"/>
  </r>
  <r>
    <s v="YEKINI"/>
    <s v="Hiabs Logistics-8T-Upcountry"/>
    <s v="JMG-8T-Upcountry"/>
    <s v="Upcountry"/>
    <s v="Hiabs Logistics"/>
    <s v="8T"/>
    <s v="JMG"/>
    <s v="Lagos"/>
    <s v="Warri"/>
    <m/>
    <m/>
    <n v="375"/>
    <n v="750"/>
    <n v="442"/>
    <n v="18000"/>
    <n v="394806.5987221971"/>
  </r>
  <r>
    <s v="YEKINI"/>
    <s v="Hiabs Logistics-8T-Upcountry"/>
    <s v="JMG-8T-Upcountry"/>
    <s v="Upcountry"/>
    <s v="Hiabs Logistics"/>
    <s v="8T"/>
    <s v="JMG"/>
    <s v="Lagos"/>
    <s v="ADO EKITI"/>
    <m/>
    <m/>
    <n v="376.5"/>
    <n v="753"/>
    <n v="444"/>
    <n v="18072"/>
    <n v="394806.5987221971"/>
  </r>
  <r>
    <s v="YEKINI"/>
    <s v="Hiabs Logistics-8T-Upcountry"/>
    <s v="JMG-8T-Upcountry"/>
    <s v="Upcountry"/>
    <s v="Hiabs Logistics"/>
    <s v="8T"/>
    <s v="JMG"/>
    <s v="Lagos"/>
    <s v="Benin"/>
    <m/>
    <m/>
    <n v="312"/>
    <n v="624"/>
    <n v="378"/>
    <n v="14976"/>
    <n v="394806.5987221971"/>
  </r>
  <r>
    <s v="YEKINI"/>
    <s v="Hiabs Logistics-8T-Upcountry"/>
    <s v="JMG-8T-Upcountry"/>
    <s v="Upcountry"/>
    <s v="Hiabs Logistics"/>
    <s v="8T"/>
    <s v="JMG"/>
    <s v="Lagos"/>
    <s v="Akure"/>
    <m/>
    <m/>
    <n v="304"/>
    <n v="608"/>
    <n v="370"/>
    <n v="14592"/>
    <n v="394806.5987221971"/>
  </r>
  <r>
    <s v="YEKINI"/>
    <s v="Hiabs Logistics-8T-Upcountry"/>
    <s v="JMG-8T-Upcountry"/>
    <s v="Upcountry"/>
    <s v="Hiabs Logistics"/>
    <s v="8T"/>
    <s v="JMG"/>
    <s v="Lagos"/>
    <s v="ILORIN"/>
    <m/>
    <m/>
    <n v="297.5"/>
    <n v="595"/>
    <n v="363"/>
    <n v="14280"/>
    <n v="263204.3991481314"/>
  </r>
  <r>
    <s v="YEKINI"/>
    <s v="Hiabs Logistics-8T-Upcountry"/>
    <s v="JMG-8T-Upcountry"/>
    <s v="Upcountry"/>
    <s v="Hiabs Logistics"/>
    <s v="8T"/>
    <s v="JMG"/>
    <s v="Lagos"/>
    <s v="Iseyin"/>
    <m/>
    <m/>
    <n v="297.5"/>
    <n v="595"/>
    <n v="363"/>
    <n v="14280"/>
    <n v="263204.3991481314"/>
  </r>
  <r>
    <s v="YEKINI"/>
    <s v="Hiabs Logistics-8T-Upcountry"/>
    <s v="JMG-8T-Upcountry"/>
    <s v="Upcountry"/>
    <s v="Hiabs Logistics"/>
    <s v="8T"/>
    <s v="JMG"/>
    <s v="Lagos"/>
    <s v="Osun"/>
    <m/>
    <m/>
    <n v="203.5"/>
    <n v="407"/>
    <n v="267"/>
    <n v="9768"/>
    <n v="263204.3991481314"/>
  </r>
  <r>
    <s v="YEKINI"/>
    <s v="Hiabs Logistics-8T-Upcountry"/>
    <s v="JMG-8T-Upcountry"/>
    <s v="Upcountry"/>
    <s v="Hiabs Logistics"/>
    <s v="8T"/>
    <s v="JMG"/>
    <s v="Lagos"/>
    <s v="IJEBU ODE"/>
    <m/>
    <m/>
    <n v="100"/>
    <n v="200"/>
    <n v="162"/>
    <n v="4800"/>
    <n v="131602.1995740657"/>
  </r>
  <r>
    <s v="YEKINI"/>
    <s v="Hiabs Logistics-8T-Upcountry"/>
    <s v="JMG-8T-Upcountry"/>
    <s v="Upcountry"/>
    <s v="Hiabs Logistics"/>
    <s v="8T"/>
    <s v="JMG"/>
    <s v="Lagos"/>
    <s v="ILE-EFE"/>
    <m/>
    <m/>
    <n v="202.5"/>
    <n v="405"/>
    <n v="266"/>
    <n v="9720"/>
    <n v="263204.3991481314"/>
  </r>
  <r>
    <s v="YEKINI"/>
    <s v="Hiabs Logistics-8T-Upcountry"/>
    <s v="JMG-8T-Upcountry"/>
    <s v="Upcountry"/>
    <s v="Hiabs Logistics"/>
    <s v="8T"/>
    <s v="JMG"/>
    <s v="Lagos"/>
    <s v="Ibadan"/>
    <m/>
    <m/>
    <n v="120.5"/>
    <n v="241"/>
    <n v="182"/>
    <n v="5784"/>
    <n v="131602.1995740657"/>
  </r>
  <r>
    <s v="YEKINI"/>
    <s v="Hiabs Logistics-8T-Upcountry"/>
    <s v="JMG-8T-Upcountry"/>
    <s v="Upcountry"/>
    <s v="Hiabs Logistics"/>
    <s v="8T"/>
    <s v="JMG"/>
    <s v="Lagos"/>
    <s v="Abekeuta "/>
    <m/>
    <m/>
    <n v="99.5"/>
    <n v="199"/>
    <n v="161"/>
    <n v="4776"/>
    <n v="131602.1995740657"/>
  </r>
  <r>
    <s v="YEKINI"/>
    <s v="Hiabs Logistics-8T-Upcountry"/>
    <s v="JMG-8T-Upcountry"/>
    <s v="Upcountry"/>
    <s v="Hiabs Logistics"/>
    <s v="8T"/>
    <s v="JMG"/>
    <s v="Lagos"/>
    <s v="Shagamu"/>
    <m/>
    <m/>
    <n v="70"/>
    <n v="140"/>
    <n v="131"/>
    <n v="3360"/>
    <n v="131602.1995740657"/>
  </r>
  <r>
    <s v="YEKINI"/>
    <s v="Hiabs Logistics-8T-Upcountry"/>
    <s v="JMG-8T-Upcountry"/>
    <s v="Upcountry"/>
    <s v="Hiabs Logistics"/>
    <s v="8T"/>
    <s v="JMG"/>
    <s v="Lagos"/>
    <s v="Ogun "/>
    <m/>
    <m/>
    <n v="58"/>
    <n v="116"/>
    <n v="119"/>
    <n v="2784"/>
    <n v="131602.1995740657"/>
  </r>
  <r>
    <s v="YEKINI"/>
    <s v="Hiabs Logistics-8T-Local"/>
    <s v="JMG-8T-Local"/>
    <s v="Local"/>
    <s v="Hiabs Logistics"/>
    <s v="8T"/>
    <s v="JMG"/>
    <s v="Lagos"/>
    <s v="Ajah"/>
    <m/>
    <m/>
    <n v="39.65"/>
    <n v="79.3"/>
    <n v="100"/>
    <n v="1903.2"/>
    <n v="131602.1995740657"/>
  </r>
  <r>
    <s v="YEKINI"/>
    <s v="Hiabs Logistics-8T-Local"/>
    <s v="JMG-8T-Local"/>
    <s v="Local"/>
    <s v="Hiabs Logistics"/>
    <s v="8T"/>
    <s v="JMG"/>
    <s v="Lagos"/>
    <s v="Alaba "/>
    <m/>
    <m/>
    <n v="39"/>
    <n v="78"/>
    <n v="99"/>
    <n v="1872"/>
    <n v="131602.1995740657"/>
  </r>
  <r>
    <s v="YEKINI"/>
    <s v="Hiabs Logistics-8T-Local"/>
    <s v="JMG-8T-Local"/>
    <s v="Local"/>
    <s v="Hiabs Logistics"/>
    <s v="8T"/>
    <s v="JMG"/>
    <s v="Lagos"/>
    <s v="OKOKOMAIKO"/>
    <m/>
    <m/>
    <n v="38.15"/>
    <n v="76.3"/>
    <n v="98"/>
    <n v="1831.2"/>
    <n v="131602.1995740657"/>
  </r>
  <r>
    <s v="YEKINI"/>
    <s v="Hiabs Logistics-8T-Local"/>
    <s v="JMG-8T-Local"/>
    <s v="Local"/>
    <s v="Hiabs Logistics"/>
    <s v="8T"/>
    <s v="JMG"/>
    <s v="Lagos"/>
    <s v="MOWE"/>
    <m/>
    <m/>
    <n v="37.6"/>
    <n v="75.2"/>
    <n v="98"/>
    <n v="1804.8"/>
    <n v="131602.1995740657"/>
  </r>
  <r>
    <s v="YEKINI"/>
    <s v="Hiabs Logistics-8T-Local"/>
    <s v="JMG-8T-Local"/>
    <s v="Local"/>
    <s v="Hiabs Logistics"/>
    <s v="8T"/>
    <s v="JMG"/>
    <s v="Lagos"/>
    <s v="MAGBORO"/>
    <m/>
    <m/>
    <n v="33"/>
    <n v="66"/>
    <n v="93"/>
    <n v="1584"/>
    <n v="131602.1995740657"/>
  </r>
  <r>
    <s v="YEKINI"/>
    <s v="Hiabs Logistics-8T-Local"/>
    <s v="JMG-8T-Local"/>
    <s v="Local"/>
    <s v="Hiabs Logistics"/>
    <s v="8T"/>
    <s v="JMG"/>
    <s v="Lagos"/>
    <s v="Trade Fair "/>
    <m/>
    <m/>
    <n v="29.5"/>
    <n v="59"/>
    <n v="90"/>
    <n v="1416"/>
    <n v="131602.1995740657"/>
  </r>
  <r>
    <s v="YEKINI"/>
    <s v="Hiabs Logistics-8T-Local"/>
    <s v="JMG-8T-Local"/>
    <s v="Local"/>
    <s v="Hiabs Logistics"/>
    <s v="8T"/>
    <s v="JMG"/>
    <s v="Lagos"/>
    <s v="Sango-Ota"/>
    <m/>
    <m/>
    <n v="28.4"/>
    <n v="56.8"/>
    <n v="88"/>
    <n v="1363.2"/>
    <n v="131602.1995740657"/>
  </r>
  <r>
    <s v="YEKINI"/>
    <s v="Hiabs Logistics-8T-Local"/>
    <s v="JMG-8T-Local"/>
    <s v="Local"/>
    <s v="Hiabs Logistics"/>
    <s v="8T"/>
    <s v="JMG"/>
    <s v="Lagos"/>
    <s v="Lekki "/>
    <m/>
    <m/>
    <n v="26.05"/>
    <n v="52.1"/>
    <n v="86"/>
    <n v="1250.4"/>
    <n v="131602.1995740657"/>
  </r>
  <r>
    <s v="YEKINI"/>
    <s v="Hiabs Logistics-8T-Local"/>
    <s v="JMG-8T-Local"/>
    <s v="Local"/>
    <s v="Hiabs Logistics"/>
    <s v="8T"/>
    <s v="JMG"/>
    <s v="Lagos"/>
    <s v="FESTAC"/>
    <m/>
    <m/>
    <n v="24.6"/>
    <n v="49.2"/>
    <n v="85"/>
    <n v="1180.8"/>
    <n v="131602.1995740657"/>
  </r>
  <r>
    <s v="YEKINI"/>
    <s v="Hiabs Logistics-8T-Local"/>
    <s v="JMG-8T-Local"/>
    <s v="Local"/>
    <s v="Hiabs Logistics"/>
    <s v="8T"/>
    <s v="JMG"/>
    <s v="Lagos"/>
    <s v="IKORODU"/>
    <m/>
    <m/>
    <n v="24.25"/>
    <n v="48.5"/>
    <n v="84"/>
    <n v="1164"/>
    <n v="131602.1995740657"/>
  </r>
  <r>
    <s v="YEKINI"/>
    <s v="Hiabs Logistics-8T-Local"/>
    <s v="JMG-8T-Local"/>
    <s v="Local"/>
    <s v="Hiabs Logistics"/>
    <s v="8T"/>
    <s v="JMG"/>
    <s v="Lagos"/>
    <s v="VI "/>
    <m/>
    <m/>
    <n v="24"/>
    <n v="48"/>
    <n v="84"/>
    <n v="1152"/>
    <n v="131602.1995740657"/>
  </r>
  <r>
    <s v="YEKINI"/>
    <s v="Hiabs Logistics-8T-Local"/>
    <s v="JMG-8T-Local"/>
    <s v="Local"/>
    <s v="Hiabs Logistics"/>
    <s v="8T"/>
    <s v="JMG"/>
    <s v="Lagos"/>
    <s v="Oniru"/>
    <m/>
    <m/>
    <n v="23.1"/>
    <n v="46.2"/>
    <n v="83"/>
    <n v="1108.8"/>
    <n v="131602.1995740657"/>
  </r>
  <r>
    <s v="YEKINI"/>
    <s v="Hiabs Logistics-8T-Local"/>
    <s v="JMG-8T-Local"/>
    <s v="Local"/>
    <s v="Hiabs Logistics"/>
    <s v="8T"/>
    <s v="JMG"/>
    <s v="Lagos"/>
    <s v="Lagos Island "/>
    <m/>
    <m/>
    <n v="23"/>
    <n v="46"/>
    <n v="83"/>
    <n v="1104"/>
    <n v="131602.1995740657"/>
  </r>
  <r>
    <s v="YEKINI"/>
    <s v="Hiabs Logistics-8T-Local"/>
    <s v="JMG-8T-Local"/>
    <s v="Local"/>
    <s v="Hiabs Logistics"/>
    <s v="8T"/>
    <s v="JMG"/>
    <s v="Lagos"/>
    <s v="ABULE EGBA"/>
    <m/>
    <m/>
    <n v="22.25"/>
    <n v="44.5"/>
    <n v="82"/>
    <n v="1068"/>
    <n v="131602.1995740657"/>
  </r>
  <r>
    <s v="YEKINI"/>
    <s v="Hiabs Logistics-8T-Local"/>
    <s v="JMG-8T-Local"/>
    <s v="Local"/>
    <s v="Hiabs Logistics"/>
    <s v="8T"/>
    <s v="JMG"/>
    <s v="Lagos"/>
    <s v="BARBEACH"/>
    <m/>
    <m/>
    <n v="21.9"/>
    <n v="43.8"/>
    <n v="82"/>
    <n v="1051.2"/>
    <n v="131602.1995740657"/>
  </r>
  <r>
    <s v="YEKINI"/>
    <s v="Hiabs Logistics-8T-Local"/>
    <s v="JMG-8T-Local"/>
    <s v="Local"/>
    <s v="Hiabs Logistics"/>
    <s v="8T"/>
    <s v="JMG"/>
    <s v="Lagos"/>
    <s v="ADEOLA ODEKU"/>
    <m/>
    <m/>
    <n v="21.6"/>
    <n v="43.2"/>
    <n v="82"/>
    <n v="1036.8"/>
    <n v="131602.1995740657"/>
  </r>
  <r>
    <s v="YEKINI"/>
    <s v="Hiabs Logistics-8T-Local"/>
    <s v="JMG-8T-Local"/>
    <s v="Local"/>
    <s v="Hiabs Logistics"/>
    <s v="8T"/>
    <s v="JMG"/>
    <s v="Lagos"/>
    <s v="Mushin"/>
    <m/>
    <m/>
    <n v="21.5"/>
    <n v="43"/>
    <n v="81"/>
    <n v="1032"/>
    <n v="131602.1995740657"/>
  </r>
  <r>
    <s v="YEKINI"/>
    <s v="Hiabs Logistics-8T-Local"/>
    <s v="JMG-8T-Local"/>
    <s v="Local"/>
    <s v="Hiabs Logistics"/>
    <s v="8T"/>
    <s v="JMG"/>
    <s v="Lagos"/>
    <s v="AGBADO"/>
    <m/>
    <m/>
    <n v="21.2"/>
    <n v="42.4"/>
    <n v="81"/>
    <n v="1017.6"/>
    <n v="131602.1995740657"/>
  </r>
  <r>
    <s v="YEKINI"/>
    <s v="Hiabs Logistics-8T-Local"/>
    <s v="JMG-8T-Local"/>
    <s v="Local"/>
    <s v="Hiabs Logistics"/>
    <s v="8T"/>
    <s v="JMG"/>
    <s v="Lagos"/>
    <s v="Akute"/>
    <m/>
    <m/>
    <n v="20.5"/>
    <n v="41"/>
    <n v="80"/>
    <n v="984"/>
    <n v="131602.1995740657"/>
  </r>
  <r>
    <s v="YEKINI"/>
    <s v="Hiabs Logistics-8T-Local"/>
    <s v="JMG-8T-Local"/>
    <s v="Local"/>
    <s v="Hiabs Logistics"/>
    <s v="8T"/>
    <s v="JMG"/>
    <s v="Lagos"/>
    <s v="IKM"/>
    <m/>
    <m/>
    <n v="19.5"/>
    <n v="39"/>
    <n v="79"/>
    <n v="936"/>
    <n v="131602.1995740657"/>
  </r>
  <r>
    <s v="YEKINI"/>
    <s v="Hiabs Logistics-8T-Local"/>
    <s v="JMG-8T-Local"/>
    <s v="Local"/>
    <s v="Hiabs Logistics"/>
    <s v="8T"/>
    <s v="JMG"/>
    <s v="Lagos"/>
    <s v="Tejesho "/>
    <m/>
    <m/>
    <n v="19"/>
    <n v="38"/>
    <n v="79"/>
    <n v="912"/>
    <n v="131602.1995740657"/>
  </r>
  <r>
    <s v="YEKINI"/>
    <s v="Hiabs Logistics-8T-Local"/>
    <s v="JMG-8T-Local"/>
    <s v="Local"/>
    <s v="Hiabs Logistics"/>
    <s v="8T"/>
    <s v="JMG"/>
    <s v="Lagos"/>
    <s v="Dembal "/>
    <m/>
    <m/>
    <n v="19"/>
    <n v="38"/>
    <n v="79"/>
    <n v="912"/>
    <n v="131602.1995740657"/>
  </r>
  <r>
    <s v="YEKINI"/>
    <s v="Hiabs Logistics-8T-Local"/>
    <s v="JMG-8T-Local"/>
    <s v="Local"/>
    <s v="Hiabs Logistics"/>
    <s v="8T"/>
    <s v="JMG"/>
    <s v="Lagos"/>
    <s v="MILE2"/>
    <m/>
    <m/>
    <n v="18.4"/>
    <n v="36.8"/>
    <n v="78"/>
    <n v="883.1999999999999"/>
    <n v="131602.1995740657"/>
  </r>
  <r>
    <s v="YEKINI"/>
    <s v="Hiabs Logistics-8T-Local"/>
    <s v="JMG-8T-Local"/>
    <s v="Local"/>
    <s v="Hiabs Logistics"/>
    <s v="8T"/>
    <s v="JMG"/>
    <s v="Lagos"/>
    <s v="MARINA"/>
    <m/>
    <m/>
    <n v="18.05"/>
    <n v="36.1"/>
    <n v="78"/>
    <n v="866.4000000000001"/>
    <n v="131602.1995740657"/>
  </r>
  <r>
    <s v="YEKINI"/>
    <s v="Hiabs Logistics-8T-Local"/>
    <s v="JMG-8T-Local"/>
    <s v="Local"/>
    <s v="Hiabs Logistics"/>
    <s v="8T"/>
    <s v="JMG"/>
    <s v="Lagos"/>
    <s v="OKOTA"/>
    <m/>
    <m/>
    <n v="17.85"/>
    <n v="35.7"/>
    <n v="78"/>
    <n v="856.8000000000001"/>
    <n v="131602.1995740657"/>
  </r>
  <r>
    <s v="YEKINI"/>
    <s v="Hiabs Logistics-8T-Local"/>
    <s v="JMG-8T-Local"/>
    <s v="Local"/>
    <s v="Hiabs Logistics"/>
    <s v="8T"/>
    <s v="JMG"/>
    <s v="Lagos"/>
    <s v="IYANA PAJA"/>
    <m/>
    <m/>
    <n v="16.8"/>
    <n v="33.6"/>
    <n v="77"/>
    <n v="806.4000000000001"/>
    <n v="131602.1995740657"/>
  </r>
  <r>
    <s v="YEKINI"/>
    <s v="Hiabs Logistics-8T-Local"/>
    <s v="JMG-8T-Local"/>
    <s v="Local"/>
    <s v="Hiabs Logistics"/>
    <s v="8T"/>
    <s v="JMG"/>
    <s v="Lagos"/>
    <s v="JANKARA"/>
    <m/>
    <m/>
    <n v="16.2"/>
    <n v="32.4"/>
    <n v="76"/>
    <n v="777.5999999999999"/>
    <n v="131602.1995740657"/>
  </r>
  <r>
    <s v="YEKINI"/>
    <s v="Hiabs Logistics-8T-Local"/>
    <s v="JMG-8T-Local"/>
    <s v="Local"/>
    <s v="Hiabs Logistics"/>
    <s v="8T"/>
    <s v="JMG"/>
    <s v="Lagos"/>
    <s v="Orile"/>
    <m/>
    <m/>
    <n v="16.05"/>
    <n v="32.1"/>
    <n v="76"/>
    <n v="770.4000000000001"/>
    <n v="131602.1995740657"/>
  </r>
  <r>
    <s v="YEKINI"/>
    <s v="Hiabs Logistics-8T-Local"/>
    <s v="JMG-8T-Local"/>
    <s v="Local"/>
    <s v="Hiabs Logistics"/>
    <s v="8T"/>
    <s v="JMG"/>
    <s v="Lagos"/>
    <s v="APAPA"/>
    <m/>
    <m/>
    <n v="16"/>
    <n v="32"/>
    <n v="76"/>
    <n v="768"/>
    <n v="131602.1995740657"/>
  </r>
  <r>
    <s v="YEKINI"/>
    <s v="Hiabs Logistics-8T-Local"/>
    <s v="JMG-8T-Local"/>
    <s v="Local"/>
    <s v="Hiabs Logistics"/>
    <s v="8T"/>
    <s v="JMG"/>
    <s v="Lagos"/>
    <s v="EJIGBO"/>
    <m/>
    <m/>
    <n v="15.75"/>
    <n v="31.5"/>
    <n v="76"/>
    <n v="756"/>
    <n v="131602.1995740657"/>
  </r>
  <r>
    <s v="YEKINI"/>
    <s v="Hiabs Logistics-8T-Local"/>
    <s v="JMG-8T-Local"/>
    <s v="Local"/>
    <s v="Hiabs Logistics"/>
    <s v="8T"/>
    <s v="JMG"/>
    <s v="Lagos"/>
    <s v="OJODU"/>
    <m/>
    <m/>
    <n v="14.95"/>
    <n v="29.9"/>
    <n v="75"/>
    <n v="717.5999999999999"/>
    <n v="131602.1995740657"/>
  </r>
  <r>
    <s v="YEKINI"/>
    <s v="Hiabs Logistics-8T-Local"/>
    <s v="JMG-8T-Local"/>
    <s v="Local"/>
    <s v="Hiabs Logistics"/>
    <s v="8T"/>
    <s v="JMG"/>
    <s v="Lagos"/>
    <s v="Agege"/>
    <m/>
    <m/>
    <n v="13.85"/>
    <n v="27.7"/>
    <n v="74"/>
    <n v="664.8"/>
    <n v="131602.1995740657"/>
  </r>
  <r>
    <s v="YEKINI"/>
    <s v="Hiabs Logistics-8T-Local"/>
    <s v="JMG-8T-Local"/>
    <s v="Local"/>
    <s v="Hiabs Logistics"/>
    <s v="8T"/>
    <s v="JMG"/>
    <s v="Lagos"/>
    <s v="IJAIYE"/>
    <m/>
    <m/>
    <n v="14.35"/>
    <n v="28.7"/>
    <n v="74"/>
    <n v="688.8"/>
    <n v="131602.1995740657"/>
  </r>
  <r>
    <s v="YEKINI"/>
    <s v="Hiabs Logistics-8T-Local"/>
    <s v="JMG-8T-Local"/>
    <s v="Local"/>
    <s v="Hiabs Logistics"/>
    <s v="8T"/>
    <s v="JMG"/>
    <s v="Lagos"/>
    <s v="OGBA"/>
    <m/>
    <m/>
    <n v="13.05"/>
    <n v="26.1"/>
    <n v="73"/>
    <n v="626.4000000000001"/>
    <n v="131602.1995740657"/>
  </r>
  <r>
    <s v="YEKINI"/>
    <s v="Hiabs Logistics-8T-Local"/>
    <s v="JMG-8T-Local"/>
    <s v="Local"/>
    <s v="Hiabs Logistics"/>
    <s v="8T"/>
    <s v="JMG"/>
    <s v="Lagos"/>
    <s v="Ikeja "/>
    <m/>
    <m/>
    <n v="13"/>
    <n v="26"/>
    <n v="73"/>
    <n v="624"/>
    <n v="131602.1995740657"/>
  </r>
  <r>
    <s v="YEKINI"/>
    <s v="Hiabs Logistics-8T-Local"/>
    <s v="JMG-8T-Local"/>
    <s v="Local"/>
    <s v="Hiabs Logistics"/>
    <s v="8T"/>
    <s v="JMG"/>
    <s v="Lagos"/>
    <s v="EBUTE METTA"/>
    <m/>
    <m/>
    <n v="12.7"/>
    <n v="25.4"/>
    <n v="72"/>
    <n v="609.5999999999999"/>
    <n v="131602.1995740657"/>
  </r>
  <r>
    <s v="YEKINI"/>
    <s v="Hiabs Logistics-8T-Local"/>
    <s v="JMG-8T-Local"/>
    <s v="Local"/>
    <s v="Hiabs Logistics"/>
    <s v="8T"/>
    <s v="JMG"/>
    <s v="Lagos"/>
    <s v="SURULERE"/>
    <m/>
    <m/>
    <n v="12.3"/>
    <n v="24.6"/>
    <n v="72"/>
    <n v="590.4000000000001"/>
    <n v="131602.1995740657"/>
  </r>
  <r>
    <s v="YEKINI"/>
    <s v="Hiabs Logistics-8T-Local"/>
    <s v="JMG-8T-Local"/>
    <s v="Local"/>
    <s v="Hiabs Logistics"/>
    <s v="8T"/>
    <s v="JMG"/>
    <s v="Lagos"/>
    <s v="Isolo"/>
    <m/>
    <m/>
    <n v="12.1"/>
    <n v="24.2"/>
    <n v="72"/>
    <n v="580.8"/>
    <n v="131602.1995740657"/>
  </r>
  <r>
    <s v="YEKINI"/>
    <s v="Hiabs Logistics-8T-Local"/>
    <s v="JMG-8T-Local"/>
    <s v="Local"/>
    <s v="Hiabs Logistics"/>
    <s v="8T"/>
    <s v="JMG"/>
    <s v="Lagos"/>
    <s v="Nigerian Gas"/>
    <m/>
    <m/>
    <n v="10.85"/>
    <n v="21.7"/>
    <n v="71"/>
    <n v="520.8"/>
    <n v="131602.1995740657"/>
  </r>
  <r>
    <s v="YEKINI"/>
    <s v="Hiabs Logistics-8T-Local"/>
    <s v="JMG-8T-Local"/>
    <s v="Local"/>
    <s v="Hiabs Logistics"/>
    <s v="8T"/>
    <s v="JMG"/>
    <s v="Lagos"/>
    <s v="Ikeja Branch"/>
    <m/>
    <m/>
    <n v="10.85"/>
    <n v="21.7"/>
    <n v="71"/>
    <n v="520.8"/>
    <n v="131602.1995740657"/>
  </r>
  <r>
    <s v="YEKINI"/>
    <s v="Hiabs Logistics-8T-Local"/>
    <s v="JMG-8T-Local"/>
    <s v="Local"/>
    <s v="Hiabs Logistics"/>
    <s v="8T"/>
    <s v="JMG"/>
    <s v="Lagos"/>
    <s v="ALAPERE"/>
    <m/>
    <m/>
    <n v="10.3"/>
    <n v="20.6"/>
    <n v="70"/>
    <n v="494.4"/>
    <n v="131602.1995740657"/>
  </r>
  <r>
    <s v="YEKINI"/>
    <s v="Hiabs Logistics-8T-Local"/>
    <s v="JMG-8T-Local"/>
    <s v="Local"/>
    <s v="Hiabs Logistics"/>
    <s v="8T"/>
    <s v="JMG"/>
    <s v="Lagos"/>
    <s v="KODESHO"/>
    <m/>
    <m/>
    <n v="9.800000000000001"/>
    <n v="19.6"/>
    <n v="69"/>
    <n v="470.4"/>
    <n v="131602.1995740657"/>
  </r>
  <r>
    <s v="YEKINI"/>
    <s v="Hiabs Logistics-8T-Local"/>
    <s v="JMG-8T-Local"/>
    <s v="Local"/>
    <s v="Hiabs Logistics"/>
    <s v="8T"/>
    <s v="JMG"/>
    <s v="Lagos"/>
    <s v="YABA"/>
    <m/>
    <m/>
    <n v="9.6"/>
    <n v="19.2"/>
    <n v="69"/>
    <n v="460.8"/>
    <n v="131602.1995740657"/>
  </r>
  <r>
    <s v="YEKINI"/>
    <s v="Hiabs Logistics-8T-Local"/>
    <s v="JMG-8T-Local"/>
    <s v="Local"/>
    <s v="Hiabs Logistics"/>
    <s v="8T"/>
    <s v="JMG"/>
    <s v="Lagos"/>
    <s v="Oshodi"/>
    <m/>
    <m/>
    <n v="9.300000000000001"/>
    <n v="18.6"/>
    <n v="69"/>
    <n v="446.4"/>
    <n v="131602.1995740657"/>
  </r>
  <r>
    <s v="YEKINI"/>
    <s v="Hiabs Logistics-8T-Local"/>
    <s v="JMG-8T-Local"/>
    <s v="Local"/>
    <s v="Hiabs Logistics"/>
    <s v="8T"/>
    <s v="JMG"/>
    <s v="Lagos"/>
    <s v="MATORI"/>
    <m/>
    <m/>
    <n v="8.15"/>
    <n v="16.3"/>
    <n v="68"/>
    <n v="391.2"/>
    <n v="131602.1995740657"/>
  </r>
  <r>
    <s v="YEKINI"/>
    <s v="Hiabs Logistics-8T-Local"/>
    <s v="JMG-8T-Local"/>
    <s v="Local"/>
    <s v="Hiabs Logistics"/>
    <s v="8T"/>
    <s v="JMG"/>
    <s v="Lagos"/>
    <s v="Bariga"/>
    <m/>
    <m/>
    <n v="5.75"/>
    <n v="11.5"/>
    <n v="65"/>
    <n v="276"/>
    <n v="131602.1995740657"/>
  </r>
  <r>
    <s v="AFEEZ AJIBADE/Ebenezer"/>
    <s v="-45T-JUMBO"/>
    <s v="JAT-45T-JUMBO"/>
    <s v="JUMBO"/>
    <s v="NBL-DSL"/>
    <s v="45T"/>
    <s v="JAT"/>
    <s v="IBADAN"/>
    <s v="Kano"/>
    <s v="Kano"/>
    <s v="North"/>
    <n v="952"/>
    <n v="1904"/>
    <n v="1332"/>
    <n v="45696"/>
    <n v="3329729.72972973"/>
  </r>
  <r>
    <s v="AFEEZ AJIBADE/Ebenezer"/>
    <s v="NBL-DSL-45T-JUMBO"/>
    <s v="ABBA SALEH-45T-JUMBO"/>
    <s v="JUMBO"/>
    <s v="NBL-DSL"/>
    <s v="45T"/>
    <s v="ABBA SALEH"/>
    <s v="Keffi"/>
    <s v="OGERE"/>
    <s v="OGERE"/>
    <s v="West"/>
    <n v="372.5"/>
    <n v="745"/>
    <n v="521"/>
    <n v="17880"/>
    <n v="1650000"/>
  </r>
  <r>
    <s v="AFEEZ AJIBADE/Ebenezer"/>
    <s v="NBL-DSL-30T-JUMBO"/>
    <s v="ABBA SALEH-30T-JUMBO"/>
    <s v="JUMBO"/>
    <s v="NBL-DSL"/>
    <s v="30T"/>
    <s v="ABBA SALEH"/>
    <s v="Keffi"/>
    <s v="OGERE"/>
    <s v="OGERE"/>
    <s v="West"/>
    <n v="372.5"/>
    <n v="745"/>
    <n v="521"/>
    <n v="17880"/>
    <n v="1100000"/>
  </r>
  <r>
    <s v="AFEEZ AJIBADE/Ebenezer"/>
    <s v="NBL-DSL-45T-JUMBO"/>
    <s v="JAT-45T-JUMBO"/>
    <s v="JUMBO"/>
    <s v="NBL-DSL"/>
    <s v="45T"/>
    <s v="JAT"/>
    <s v="IBADAN"/>
    <s v="Abuja"/>
    <s v="FCT"/>
    <s v="North"/>
    <n v="650"/>
    <n v="1300"/>
    <n v="910"/>
    <n v="31200"/>
    <n v="2724324.324324324"/>
  </r>
  <r>
    <s v="AFEEZ AJIBADE/Ebenezer"/>
    <s v="NBL-DSL-45T-JUMBO"/>
    <s v="JAT-45T-JUMBO"/>
    <s v="JUMBO"/>
    <s v="NBL-DSL"/>
    <s v="45T"/>
    <s v="JAT"/>
    <s v="IBADAN"/>
    <s v="Suleja"/>
    <s v="SULEJA"/>
    <s v="North"/>
    <n v="650"/>
    <n v="1300"/>
    <n v="910"/>
    <n v="31200"/>
    <n v="2648648.648648649"/>
  </r>
  <r>
    <s v="AFEEZ AJIBADE/Ebenezer"/>
    <s v="NBL-DSL-45T-JUMBO"/>
    <s v="JAT-45T-JUMBO"/>
    <s v="JUMBO"/>
    <s v="NBL-DSL"/>
    <s v="45T"/>
    <s v="JAT"/>
    <s v="IBADAN"/>
    <s v="Sokoto"/>
    <s v="Sokoto"/>
    <s v="North"/>
    <n v="863.5"/>
    <n v="1727"/>
    <n v="1208"/>
    <n v="41448"/>
    <n v="3935135.135135135"/>
  </r>
  <r>
    <s v="AFEEZ AJIBADE/Ebenezer"/>
    <s v="NBL-DSL-45T-JUMBO"/>
    <s v="JAT-45T-JUMBO"/>
    <s v="JUMBO"/>
    <s v="NBL-DSL"/>
    <s v="45T"/>
    <s v="JAT"/>
    <s v="IBADAN"/>
    <s v="Wukari"/>
    <s v="Taraba"/>
    <s v="North"/>
    <n v="910"/>
    <n v="1820"/>
    <n v="1274"/>
    <n v="43680"/>
    <n v="4540540.540540541"/>
  </r>
  <r>
    <s v="AFEEZ AJIBADE/Ebenezer"/>
    <s v="NBL-DSL-45T-JUMBO"/>
    <s v="JAT-45T-JUMBO"/>
    <s v="JUMBO"/>
    <s v="NBL-DSL"/>
    <s v="45T"/>
    <s v="JAT"/>
    <s v="IBADAN"/>
    <s v="Jalingo"/>
    <s v="Taraba"/>
    <s v="North"/>
    <n v="1350"/>
    <n v="2700"/>
    <n v="1890"/>
    <n v="64800"/>
    <n v="4540540.540540541"/>
  </r>
  <r>
    <s v="AFEEZ AJIBADE/Ebenezer"/>
    <s v="NBL-DSL-45T-JUMBO"/>
    <s v="JAT-45T-JUMBO"/>
    <s v="JUMBO"/>
    <s v="NBL-DSL"/>
    <s v="45T"/>
    <s v="JAT"/>
    <s v="IBADAN"/>
    <s v="KONTANGORA"/>
    <s v="niger"/>
    <s v="North"/>
    <n v="470"/>
    <n v="940"/>
    <n v="658"/>
    <n v="22560"/>
    <n v="2724324.324324324"/>
  </r>
  <r>
    <s v="AFEEZ AJIBADE/Ebenezer"/>
    <s v="NBL-DSL-45T-JUMBO"/>
    <s v="JAT-45T-JUMBO"/>
    <s v="JUMBO"/>
    <s v="NBL-DSL"/>
    <s v="45T"/>
    <s v="JAT"/>
    <s v="IBADAN"/>
    <s v="Gombe"/>
    <s v="Gombe"/>
    <s v="North"/>
    <n v="1110.5"/>
    <n v="2221"/>
    <n v="1554"/>
    <n v="53304"/>
    <n v="4273000"/>
  </r>
  <r>
    <s v="AFEEZ AJIBADE/Ebenezer"/>
    <s v="NBL-DSL-45T-JUMBO"/>
    <s v="JAT-45T-JUMBO"/>
    <s v="JUMBO"/>
    <s v="NBL-DSL"/>
    <s v="45T"/>
    <s v="JAT"/>
    <s v="IBADAN"/>
    <s v="Minna"/>
    <s v="niger"/>
    <s v="North"/>
    <n v="499"/>
    <n v="998"/>
    <n v="698"/>
    <n v="23952"/>
    <n v="2875676"/>
  </r>
  <r>
    <s v="AFEEZ AJIBADE/Ebenezer"/>
    <s v="NBL-DSL-45T-JUMBO"/>
    <s v="JAT-45T-JUMBO"/>
    <s v="JUMBO"/>
    <s v="NBL-DSL"/>
    <s v="45T"/>
    <s v="JAT"/>
    <s v="IBADAN"/>
    <s v="Zaria"/>
    <s v="Kaduna"/>
    <s v="North"/>
    <n v="797.5"/>
    <n v="1595"/>
    <n v="1116"/>
    <n v="38280"/>
    <n v="3178378.378378379"/>
  </r>
  <r>
    <s v="AFEEZ AJIBADE/Ebenezer"/>
    <s v="NBL-DSL-45T-JUMBO"/>
    <s v="JAT-45T-JUMBO"/>
    <s v="JUMBO"/>
    <s v="NBL-DSL"/>
    <s v="45T"/>
    <s v="JAT"/>
    <s v="IBADAN"/>
    <s v="FUNTUA"/>
    <s v="KASTINA"/>
    <s v="North"/>
    <n v="681.5"/>
    <n v="1363"/>
    <n v="954"/>
    <n v="32712"/>
    <n v="3254054.054054054"/>
  </r>
  <r>
    <s v="AFEEZ AJIBADE/Ebenezer"/>
    <s v="NBL-DSL-45T-JUMBO"/>
    <s v="JAT-45T-JUMBO"/>
    <s v="JUMBO"/>
    <s v="NBL-DSL"/>
    <s v="45T"/>
    <s v="JAT"/>
    <s v="IBADAN"/>
    <s v="Bauchi"/>
    <s v="Bauchi"/>
    <s v="North"/>
    <n v="955.5"/>
    <n v="1911"/>
    <n v="1337"/>
    <n v="45864"/>
    <n v="3783783.783783784"/>
  </r>
  <r>
    <s v="AFEEZ AJIBADE/Ebenezer"/>
    <s v="NBL-DSL-45T-JUMBO"/>
    <s v="JAT-45T-JUMBO"/>
    <s v="JUMBO"/>
    <s v="NBL-DSL"/>
    <s v="45T"/>
    <s v="JAT"/>
    <s v="IBADAN"/>
    <s v="Yola"/>
    <s v="Adamawa"/>
    <s v="North"/>
    <n v="1450"/>
    <n v="2900"/>
    <n v="2030"/>
    <n v="69600"/>
    <e v="#REF!"/>
  </r>
  <r>
    <s v="AFEEZ AJIBADE/Ebenezer"/>
    <s v="NBL-DSL-45T-JUMBO"/>
    <s v="JAT-45T-JUMBO"/>
    <s v="JUMBO"/>
    <s v="NBL-DSL"/>
    <s v="45T"/>
    <s v="JAT"/>
    <s v="IBADAN"/>
    <s v="Kaduna"/>
    <s v="Kaduna"/>
    <s v="North"/>
    <n v="719"/>
    <n v="1438"/>
    <n v="1006"/>
    <n v="34512"/>
    <n v="3178378.378378379"/>
  </r>
  <r>
    <s v="AFEEZ AJIBADE/Ebenezer"/>
    <s v="NBL-DSL-45T-JUMBO"/>
    <s v="JAT-45T-JUMBO"/>
    <s v="JUMBO"/>
    <s v="NBL-DSL"/>
    <s v="45T"/>
    <s v="JAT"/>
    <s v="IBADAN"/>
    <s v="Jos"/>
    <s v="Plateau"/>
    <s v="North"/>
    <n v="829"/>
    <n v="1658"/>
    <n v="1160"/>
    <n v="39792"/>
    <n v="3632432.432432432"/>
  </r>
  <r>
    <s v="AFEEZ AJIBADE/Ebenezer"/>
    <s v="NBL-DSL-45T-JUMBO"/>
    <s v="JAT-45T-JUMBO"/>
    <s v="JUMBO"/>
    <s v="NBL-DSL"/>
    <s v="45T"/>
    <s v="JAT"/>
    <s v="IBADAN"/>
    <s v="SAMINAKA"/>
    <s v="Kaduna"/>
    <s v="North"/>
    <n v="950"/>
    <n v="1900"/>
    <n v="1330"/>
    <n v="45600"/>
    <n v="3178378.378378379"/>
  </r>
  <r>
    <s v="AFEEZ AJIBADE/Ebenezer"/>
    <s v="NBL-DSL-45T-JUMBO"/>
    <s v="JAT-45T-JUMBO"/>
    <s v="JUMBO"/>
    <s v="NBL-DSL"/>
    <s v="45T"/>
    <s v="JAT"/>
    <s v="IBADAN"/>
    <s v="MAKURDI"/>
    <s v="Benue"/>
    <s v="East"/>
    <n v="624.5"/>
    <n v="1249"/>
    <n v="874"/>
    <n v="29976"/>
    <n v="3632432.432432432"/>
  </r>
  <r>
    <s v="AFEEZ AJIBADE/Ebenezer"/>
    <s v="NBL-DSL-45T-JUMBO"/>
    <s v="JAT-45T-JUMBO"/>
    <s v="JUMBO"/>
    <s v="NBL-DSL"/>
    <s v="45T"/>
    <s v="JAT"/>
    <s v="IBADAN"/>
    <s v="LAFIA"/>
    <s v="Nasarawa"/>
    <s v="North"/>
    <n v="850"/>
    <n v="1700"/>
    <n v="1190"/>
    <n v="40800"/>
    <n v="3329729.72972973"/>
  </r>
  <r>
    <s v="AFEEZ AJIBADE/Ebenezer"/>
    <s v="NBL-DSL-45T-JUMBO"/>
    <s v="JAT-45T-JUMBO"/>
    <s v="JUMBO"/>
    <s v="NBL-DSL"/>
    <s v="45T"/>
    <s v="JAT"/>
    <s v="IBADAN"/>
    <s v="Keffi"/>
    <s v="Nasarawa"/>
    <s v="North"/>
    <n v="736"/>
    <n v="1472"/>
    <n v="1030"/>
    <n v="35328"/>
    <n v="3329729.72972973"/>
  </r>
  <r>
    <s v="AFEEZ AJIBADE/Ebenezer"/>
    <s v="NBL-DSL-45T-JUMBO"/>
    <s v="JAT-45T-JUMBO"/>
    <s v="JUMBO"/>
    <s v="NBL-DSL"/>
    <s v="45T"/>
    <s v="JAT"/>
    <s v="IBADAN"/>
    <s v="Bida"/>
    <s v="niger"/>
    <s v="North"/>
    <n v="412.5"/>
    <n v="825"/>
    <n v="577"/>
    <n v="19800"/>
    <n v="1891892"/>
  </r>
  <r>
    <s v="AFEEZ AJIBADE/Ebenezer"/>
    <s v="NBL-DSL-45T-JUMBO"/>
    <s v="JAT-45T-JUMBO"/>
    <s v="JUMBO"/>
    <s v="NBL-DSL"/>
    <s v="45T"/>
    <s v="JAT"/>
    <s v="IBADAN"/>
    <s v="IDAH"/>
    <s v="Kogi"/>
    <s v="North"/>
    <n v="501"/>
    <n v="1002"/>
    <n v="701"/>
    <n v="24048"/>
    <n v="2270270.27027027"/>
  </r>
  <r>
    <s v="AFEEZ AJIBADE/Ebenezer"/>
    <s v="NBL-DSL-45T-JUMBO"/>
    <s v="JAT-45T-JUMBO"/>
    <s v="JUMBO"/>
    <s v="NBL-DSL"/>
    <s v="45T"/>
    <s v="JAT"/>
    <s v="IBADAN"/>
    <s v="Gusau"/>
    <s v="Zamfara"/>
    <s v="North"/>
    <n v="833"/>
    <n v="1666"/>
    <n v="1166"/>
    <n v="39984"/>
    <n v="3935135.135135135"/>
  </r>
  <r>
    <s v="AFEEZ AJIBADE/Ebenezer"/>
    <s v="NBL-DSL-45T-JUMBO"/>
    <s v="JAT-45T-JUMBO"/>
    <s v="JUMBO"/>
    <s v="NBL-DSL"/>
    <s v="45T"/>
    <s v="JAT"/>
    <s v="IBADAN"/>
    <s v="KABBA"/>
    <s v="Kogi"/>
    <s v="North"/>
    <n v="300"/>
    <n v="600"/>
    <n v="420"/>
    <n v="14400"/>
    <n v="2270270.27027027"/>
  </r>
  <r>
    <s v="AFEEZ AJIBADE/Ebenezer"/>
    <s v="NBL-DSL-45T-JUMBO"/>
    <s v="JAT-45T-JUMBO"/>
    <s v="JUMBO"/>
    <s v="NBL-DSL"/>
    <s v="45T"/>
    <s v="JAT"/>
    <s v="IBADAN"/>
    <s v="Takum"/>
    <s v="Taraba"/>
    <s v="Central"/>
    <n v="883"/>
    <n v="1766"/>
    <n v="1236"/>
    <n v="42384"/>
    <n v="4540540.540540541"/>
  </r>
  <r>
    <s v="AFEEZ AJIBADE/Ebenezer"/>
    <s v="NBL-DSL-45T-JUMBO"/>
    <s v="JAT-45T-JUMBO"/>
    <s v="JUMBO"/>
    <s v="NBL-DSL"/>
    <s v="45T"/>
    <s v="JAT"/>
    <s v="IBADAN"/>
    <s v="Lokoja"/>
    <s v="Kogi"/>
    <s v="North"/>
    <n v="500"/>
    <n v="1000"/>
    <n v="700"/>
    <n v="24000"/>
    <n v="2270270.27027027"/>
  </r>
  <r>
    <s v="AFEEZ AJIBADE/Ebenezer"/>
    <s v="NBL-DSL-45T-JUMBO"/>
    <s v="JAT-45T-JUMBO"/>
    <s v="JUMBO"/>
    <s v="NBL-DSL"/>
    <s v="45T"/>
    <s v="JAT"/>
    <s v="IBADAN"/>
    <s v="AYANGBA"/>
    <s v="Kogi"/>
    <s v="North"/>
    <n v="451.5"/>
    <n v="903"/>
    <n v="632"/>
    <n v="21672"/>
    <n v="2270270.27027027"/>
  </r>
  <r>
    <s v="AFEEZ AJIBADE/Ebenezer"/>
    <s v="NBL-DSL-45T-JUMBO"/>
    <s v="JAT-45T-JUMBO"/>
    <s v="JUMBO"/>
    <s v="NBL-DSL"/>
    <s v="45T"/>
    <s v="JAT"/>
    <s v="IBADAN"/>
    <s v="YAURI"/>
    <s v="kebbi"/>
    <s v="North"/>
    <n v="727.5"/>
    <n v="1455"/>
    <n v="1018"/>
    <n v="34920"/>
    <n v="2951351.351351351"/>
  </r>
  <r>
    <s v="AFEEZ AJIBADE/Ebenezer"/>
    <s v="NBL-DSL-45T-JUMBO"/>
    <s v="JAT-45T-JUMBO"/>
    <s v="JUMBO"/>
    <s v="NBL-DSL"/>
    <s v="45T"/>
    <s v="JAT"/>
    <s v="IBADAN"/>
    <s v="GANYE"/>
    <s v="Adamawa"/>
    <s v="North"/>
    <n v="1270"/>
    <n v="2540"/>
    <n v="1778"/>
    <n v="60960"/>
    <n v="4389189.189189189"/>
  </r>
  <r>
    <s v="AFEEZ AJIBADE/Ebenezer"/>
    <s v="NBL-DSL-45T-JUMBO"/>
    <s v="JAT-45T-JUMBO"/>
    <s v="JUMBO"/>
    <s v="NBL-DSL"/>
    <s v="45T"/>
    <s v="JAT"/>
    <s v="IBADAN"/>
    <s v="GBOKO"/>
    <s v="Benue"/>
    <s v="North"/>
    <n v="685"/>
    <n v="1370"/>
    <n v="959"/>
    <n v="32880"/>
    <n v="3632432.432432432"/>
  </r>
  <r>
    <s v="AFEEZ AJIBADE/Ebenezer"/>
    <s v="NBL-DSL-45T-JUMBO"/>
    <s v="JAT-45T-JUMBO"/>
    <s v="JUMBO"/>
    <s v="NBL-DSL"/>
    <s v="45T"/>
    <s v="JAT"/>
    <s v="IBADAN"/>
    <s v="POTISKUM"/>
    <s v="yobe"/>
    <s v="North"/>
    <n v="1174.5"/>
    <n v="2349"/>
    <n v="1644"/>
    <n v="56376"/>
    <n v="4086486.486486486"/>
  </r>
  <r>
    <s v="AFEEZ AJIBADE/Ebenezer"/>
    <s v="NBL-DSL-45T-JUMBO"/>
    <s v="JAT-45T-JUMBO"/>
    <s v="JUMBO"/>
    <s v="NBL-DSL"/>
    <s v="45T"/>
    <s v="JAT"/>
    <s v="IBADAN"/>
    <s v="Mubi"/>
    <s v="Adamawa"/>
    <s v="North"/>
    <n v="1443"/>
    <n v="2886"/>
    <n v="2020"/>
    <n v="69264"/>
    <n v="4389189.189189189"/>
  </r>
  <r>
    <s v="AFEEZ AJIBADE/Ebenezer"/>
    <s v="NBL-DSL-45T-JUMBO"/>
    <s v="JAT-45T-JUMBO"/>
    <s v="JUMBO"/>
    <s v="NBL-DSL"/>
    <s v="45T"/>
    <s v="JAT"/>
    <s v="IBADAN"/>
    <s v="ABAJI"/>
    <s v="niger"/>
    <s v="North"/>
    <n v="469.5"/>
    <n v="939"/>
    <n v="657"/>
    <n v="22536"/>
    <n v="2724324.324324324"/>
  </r>
  <r>
    <s v="AFEEZ AJIBADE/Ebenezer"/>
    <s v="NBL-DSL-45T-JUMBO"/>
    <s v="JAT-45T-JUMBO"/>
    <s v="JUMBO"/>
    <s v="NBL-DSL"/>
    <s v="45T"/>
    <s v="JAT"/>
    <s v="IBADAN"/>
    <s v="Tigina"/>
    <s v="niger"/>
    <s v="North"/>
    <n v="500"/>
    <n v="1000"/>
    <n v="700"/>
    <n v="24000"/>
    <n v="2724324.324324324"/>
  </r>
  <r>
    <s v="AFEEZ AJIBADE/Ebenezer"/>
    <s v="NBL-DSL-45T-JUMBO"/>
    <s v="JAT-45T-JUMBO"/>
    <s v="JUMBO"/>
    <s v="NBL-DSL"/>
    <s v="45T"/>
    <s v="JAT"/>
    <s v="IBADAN"/>
    <s v="Maiduguri"/>
    <s v="Borno"/>
    <s v="North"/>
    <n v="1404"/>
    <n v="2808"/>
    <n v="1965"/>
    <n v="67392"/>
    <n v="5000000"/>
  </r>
  <r>
    <s v="AFEEZ AJIBADE/Ebenezer"/>
    <s v="NBL-DSL-45T-JUMBO"/>
    <s v="JAT-45T-JUMBO"/>
    <s v="JUMBO"/>
    <s v="NBL-DSL"/>
    <s v="45T"/>
    <s v="JAT"/>
    <s v="IBADAN"/>
    <s v="SHANDAM"/>
    <s v="Plateau"/>
    <s v="North"/>
    <n v="899"/>
    <n v="1798"/>
    <n v="1258"/>
    <n v="43152"/>
    <n v="3632432.432432432"/>
  </r>
  <r>
    <s v="AFEEZ AJIBADE/Ebenezer"/>
    <s v="NBL-DSL-45T-JUMBO"/>
    <s v="JAT-45T-JUMBO"/>
    <s v="JUMBO"/>
    <s v="NBL-DSL"/>
    <s v="45T"/>
    <s v="JAT"/>
    <s v="IBADAN"/>
    <s v="KOKO"/>
    <s v="BIN YAURI"/>
    <s v="North"/>
    <n v="660"/>
    <n v="1320"/>
    <n v="924"/>
    <n v="31680"/>
    <n v="3027027.027027027"/>
  </r>
  <r>
    <s v="AFEEZ AJIBADE/Ebenezer"/>
    <s v="NBL-DSL-45T-JUMBO"/>
    <s v="JAT-45T-JUMBO"/>
    <s v="JUMBO"/>
    <s v="NBL-DSL"/>
    <s v="45T"/>
    <s v="JAT"/>
    <s v="IBADAN"/>
    <s v="Ibadan"/>
    <s v="Edo"/>
    <s v="South"/>
    <n v="285"/>
    <n v="570"/>
    <n v="399"/>
    <n v="13680"/>
    <n v="1664864.864864865"/>
  </r>
  <r>
    <s v="AFEEZ AJIBADE/Ebenezer"/>
    <s v="NBL-DSL-45T-JUMBO"/>
    <s v="JAT-45T-JUMBO"/>
    <s v="JUMBO"/>
    <s v="NBL-DSL"/>
    <s v="45T"/>
    <s v="JAT"/>
    <s v="IBADAN"/>
    <s v="EKPOMA"/>
    <s v="Delta"/>
    <s v="South"/>
    <n v="346"/>
    <n v="692"/>
    <n v="484"/>
    <n v="16608"/>
    <n v="2118918.918918919"/>
  </r>
  <r>
    <s v="AFEEZ AJIBADE/Ebenezer"/>
    <s v="NBL-DSL-45T-JUMBO"/>
    <s v="JAT-45T-JUMBO"/>
    <s v="JUMBO"/>
    <s v="NBL-DSL"/>
    <s v="45T"/>
    <s v="JAT"/>
    <s v="IBADAN"/>
    <s v="Aba"/>
    <s v="Abia"/>
    <s v="East"/>
    <n v="573"/>
    <n v="1146"/>
    <n v="802"/>
    <n v="27504"/>
    <n v="2800000"/>
  </r>
  <r>
    <s v="AFEEZ AJIBADE/Ebenezer"/>
    <s v="NBL-DSL-45T-JUMBO"/>
    <s v="JAT-45T-JUMBO"/>
    <s v="JUMBO"/>
    <s v="NBL-DSL"/>
    <s v="45T"/>
    <s v="JAT"/>
    <s v="IBADAN"/>
    <s v="Agbor"/>
    <s v="Delta"/>
    <s v="East"/>
    <n v="350"/>
    <n v="700"/>
    <n v="490"/>
    <n v="16800"/>
    <n v="2118918.918918919"/>
  </r>
  <r>
    <s v="AFEEZ AJIBADE/Ebenezer"/>
    <s v="NBL-DSL-45T-JUMBO"/>
    <s v="JAT-45T-JUMBO"/>
    <s v="JUMBO"/>
    <s v="NBL-DSL"/>
    <s v="45T"/>
    <s v="JAT"/>
    <s v="IBADAN"/>
    <s v="Onitsha"/>
    <s v="Anambra"/>
    <s v="East"/>
    <n v="471"/>
    <n v="942"/>
    <n v="659"/>
    <n v="22608"/>
    <n v="2270270.27027027"/>
  </r>
  <r>
    <s v="AFEEZ AJIBADE/Ebenezer"/>
    <s v="NBL-DSL-45T-JUMBO"/>
    <s v="JAT-45T-JUMBO"/>
    <s v="JUMBO"/>
    <s v="NBL-DSL"/>
    <s v="45T"/>
    <s v="JAT"/>
    <s v="IBADAN"/>
    <s v="Abakalike"/>
    <s v="Ebo"/>
    <s v="East"/>
    <n v="627"/>
    <n v="1254"/>
    <n v="877"/>
    <n v="30096"/>
    <n v="2800000"/>
  </r>
  <r>
    <s v="AFEEZ AJIBADE/Ebenezer"/>
    <s v="NBL-DSL-45T-JUMBO"/>
    <s v="JAT-45T-JUMBO"/>
    <s v="JUMBO"/>
    <s v="NBL-DSL"/>
    <s v="45T"/>
    <s v="JAT"/>
    <s v="IBADAN"/>
    <s v="OTUKPO"/>
    <s v="Benue"/>
    <s v="East"/>
    <n v="574"/>
    <n v="1148"/>
    <n v="803"/>
    <n v="27552"/>
    <n v="3632432.432432432"/>
  </r>
  <r>
    <s v="AFEEZ AJIBADE/Ebenezer"/>
    <s v="NBL-DSL-45T-JUMBO"/>
    <s v="Givanas-45T-JUMBO"/>
    <s v="JUMBO"/>
    <s v="NBL-DSL"/>
    <s v="45T"/>
    <s v="Givanas"/>
    <s v="Lagos"/>
    <s v="Onitsha"/>
    <s v="Anambra"/>
    <s v="East"/>
    <n v="450"/>
    <n v="900"/>
    <n v="630"/>
    <n v="21600"/>
    <n v="2000000"/>
  </r>
  <r>
    <s v="AFEEZ AJIBADE/Ebenezer"/>
    <s v="NBL-DSL-45T-JUMBO"/>
    <s v="Givanas-45T-JUMBO"/>
    <s v="JUMBO"/>
    <s v="NBL-DSL"/>
    <s v="45T"/>
    <s v="Givanas"/>
    <s v="Lagos"/>
    <s v="kano"/>
    <s v="Kano"/>
    <s v="North"/>
    <n v="1100"/>
    <n v="2200"/>
    <n v="1540"/>
    <n v="52800"/>
    <n v="4450000"/>
  </r>
  <r>
    <s v="AFEEZ AJIBADE/Ebenezer"/>
    <s v="NBL-DSL-30T-JUMBO"/>
    <s v="JAMARA-30T-JUMBO"/>
    <s v="JUMBO"/>
    <s v="NBL-DSL"/>
    <s v="30T"/>
    <s v="Jamara"/>
    <s v="Lagos"/>
    <s v="Port Harcourt"/>
    <s v="Rivers"/>
    <s v="East"/>
    <n v="630"/>
    <n v="1260"/>
    <n v="882"/>
    <n v="30240"/>
    <n v="2630000"/>
  </r>
  <r>
    <s v="AFEEZ AJIBADE/Ebenezer"/>
    <s v="NBL-DSL-30T-JUMBO"/>
    <s v="JAMARA-30T-JUMBO"/>
    <s v="JUMBO"/>
    <s v="NBL-DSL"/>
    <s v="30T"/>
    <s v="Jamara"/>
    <s v="Lagos"/>
    <s v="Abuja"/>
    <s v="FCT"/>
    <s v="North"/>
    <n v="755"/>
    <n v="1510"/>
    <n v="1057"/>
    <n v="36240"/>
    <n v="2970000"/>
  </r>
  <r>
    <s v="AFEEZ AJIBADE/Ebenezer"/>
    <s v="NBL-DSL-30T-JUMBO"/>
    <s v="JAMARA-30T-JUMBO"/>
    <s v="JUMBO"/>
    <s v="NBL-DSL"/>
    <s v="30T"/>
    <s v="Jamara"/>
    <s v="Lagos"/>
    <s v="Kano"/>
    <s v="Kano"/>
    <s v="North"/>
    <n v="1100"/>
    <n v="2200"/>
    <n v="1540"/>
    <n v="52800"/>
    <n v="3950000"/>
  </r>
  <r>
    <s v="AFEEZ AJIBADE/Ebenezer"/>
    <s v="NBL-DSL-30T-JUMBO"/>
    <s v="JAMARA-30T-JUMBO"/>
    <s v="JUMBO"/>
    <s v="NBL-DSL"/>
    <s v="30T"/>
    <s v="Jamara"/>
    <s v="Lagos"/>
    <s v="Ibadan"/>
    <s v="Ibadan"/>
    <s v="North"/>
    <n v="120"/>
    <n v="240"/>
    <n v="168"/>
    <n v="5760"/>
    <n v="750000"/>
  </r>
  <r>
    <s v="AFEEZ AJIBADE/Ebenezer"/>
    <s v="NBL-DSL-30T-FLATBED"/>
    <s v="JMG-30T-FLATBED"/>
    <s v="FLATBED"/>
    <s v="NBL-DSL"/>
    <s v="30T"/>
    <s v="JMG"/>
    <s v="Lagos"/>
    <s v="Port Harcourt"/>
    <s v="Rivers"/>
    <s v="East"/>
    <n v="650"/>
    <n v="1300"/>
    <n v="910"/>
    <n v="31200"/>
    <n v="2840000"/>
  </r>
  <r>
    <s v="AFEEZ AJIBADE/Ebenezer"/>
    <s v="NBL-DSL-30T-FLATBED"/>
    <s v="JMG-30T-FLATBED"/>
    <s v="FLATBED"/>
    <s v="NBL-DSL"/>
    <s v="30T"/>
    <s v="JMG"/>
    <s v="Lagos"/>
    <s v="Abuja"/>
    <s v="FCT"/>
    <s v="North"/>
    <n v="755"/>
    <n v="1510"/>
    <n v="1057"/>
    <n v="36240"/>
    <n v="3300000"/>
  </r>
  <r>
    <s v="AFEEZ AJIBADE/Ebenezer"/>
    <s v="NBL-DSL-30T-FLATBED"/>
    <s v="JMG-30T-FLATBED"/>
    <s v="FLATBED"/>
    <s v="NBL-DSL"/>
    <s v="30T"/>
    <s v="JMG"/>
    <s v="Lagos"/>
    <s v="Kano"/>
    <s v="Kano"/>
    <s v="North"/>
    <n v="1100"/>
    <n v="2200"/>
    <n v="1540"/>
    <n v="52800"/>
    <n v="4530000"/>
  </r>
  <r>
    <s v="AFEEZ AJIBADE/Ebenezer"/>
    <s v="NBL-DSL-30T-FLATBED"/>
    <s v="JMG-30T-FLATBED"/>
    <s v="FLATBED"/>
    <s v="NBL-DSL"/>
    <s v="30T"/>
    <s v="JMG"/>
    <s v="Lagos"/>
    <s v="Ibadan "/>
    <s v="Oyo"/>
    <s v="West"/>
    <n v="120"/>
    <n v="240"/>
    <n v="168"/>
    <n v="5760"/>
    <n v="740000"/>
  </r>
  <r>
    <s v="AFEEZ AJIBADE/Ebenezer"/>
    <s v="NBL-DSL-30T-FLATBED"/>
    <s v="JMG-30T-FLATBED"/>
    <s v="FLATBED"/>
    <s v="NBL-DSL"/>
    <s v="30T"/>
    <s v="JMG"/>
    <s v="Lagos"/>
    <s v="Kaduna"/>
    <s v="Kaduna"/>
    <s v="North"/>
    <n v="950"/>
    <n v="1900"/>
    <n v="1330"/>
    <n v="45600"/>
    <n v="3970000"/>
  </r>
  <r>
    <s v="AFEEZ AJIBADE/Ebenezer"/>
    <s v="NBL-DSL-30T-JUMBO"/>
    <s v="Interstyle-30T-JUMBO"/>
    <s v="JUMBO"/>
    <s v="NBL-DSL"/>
    <s v="30T"/>
    <s v="Interstyle"/>
    <s v="Abuja "/>
    <s v="Abuja "/>
    <s v="FCT"/>
    <s v="North"/>
    <n v="750"/>
    <n v="750"/>
    <n v="525"/>
    <n v="18000"/>
    <n v="1550000"/>
  </r>
  <r>
    <s v="AFEEZ AJIBADE/Ebenezer"/>
    <s v="NBL-DSL-30T-JUMBO"/>
    <s v="Interstyle-30T-JUMBO"/>
    <s v="JUMBO"/>
    <s v="NBL-DSL"/>
    <s v="30T"/>
    <s v="Interstyle"/>
    <s v="APAPA"/>
    <s v="Abuja "/>
    <s v="Abuja"/>
    <s v="North"/>
    <n v="750"/>
    <n v="1500"/>
    <n v="1050"/>
    <n v="36000"/>
    <n v="3300000"/>
  </r>
  <r>
    <s v="AFEEZ AJIBADE/Ebenezer"/>
    <s v="NBL-DSL-30T-JUMBO"/>
    <s v="Interstyle-30T-JUMBO"/>
    <s v="JUMBO"/>
    <s v="NBL-DSL"/>
    <s v="30T"/>
    <s v="Interstyle"/>
    <s v="APAPA"/>
    <s v="Warri"/>
    <s v="WARRI"/>
    <s v="East"/>
    <n v="435"/>
    <n v="870"/>
    <n v="609"/>
    <n v="20880"/>
    <n v="2300000"/>
  </r>
  <r>
    <s v="AFEEZ AJIBADE/Ebenezer"/>
    <s v="NBL-DSL-45T-JUMBO"/>
    <s v="Mega Manu-45T-JUMBO"/>
    <s v="JUMBO"/>
    <s v="NBL-DSL"/>
    <s v="45T"/>
    <s v="Mega Manu"/>
    <s v="Lagos"/>
    <s v="Onitsha"/>
    <s v="Anambra"/>
    <s v="East"/>
    <n v="460"/>
    <n v="920"/>
    <n v="644"/>
    <n v="22080"/>
    <n v="2020000"/>
  </r>
  <r>
    <s v="AFEEZ AJIBADE/Ebenezer"/>
    <s v="NBL-DSL-45T-JUMBO"/>
    <s v="Mega Manu-45T-JUMBO"/>
    <s v="JUMBO"/>
    <s v="NBL-DSL"/>
    <s v="45T"/>
    <s v="Mega Manu"/>
    <s v="Lagos"/>
    <s v="ABA "/>
    <s v="Abia"/>
    <s v="East"/>
    <n v="620"/>
    <n v="1240"/>
    <n v="868"/>
    <n v="29760"/>
    <n v="2700000"/>
  </r>
  <r>
    <s v="AFEEZ AJIBADE/Ebenezer"/>
    <s v="NBL-DSL-45T-JUMBO"/>
    <s v="Mega Manu-45T-JUMBO"/>
    <s v="JUMBO"/>
    <s v="NBL-DSL"/>
    <s v="45T"/>
    <s v="Mega Manu"/>
    <s v="Lagos"/>
    <s v="Kano"/>
    <s v="Kano"/>
    <s v="North"/>
    <n v="1100"/>
    <n v="2200"/>
    <n v="1540"/>
    <n v="52800"/>
    <n v="4450000"/>
  </r>
  <r>
    <s v="AFEEZ AJIBADE/Ebenezer"/>
    <s v="NBL-DSL-45T-JUMBO"/>
    <s v="Mega Manu-45T-JUMBO"/>
    <s v="JUMBO"/>
    <s v="NBL-DSL"/>
    <s v="45T"/>
    <s v="Mega Manu"/>
    <s v="Lagos"/>
    <s v="Abuja "/>
    <s v="45FT-45T"/>
    <s v="FCT"/>
    <n v="751"/>
    <n v="1502"/>
    <n v="1051"/>
    <n v="36048"/>
    <n v="3310000"/>
  </r>
  <r>
    <s v="AFEEZ AJIBADE/Ebenezer"/>
    <s v="NBL-DSL-45T-JUMBO"/>
    <s v="Mega Manu-45T-JUMBO"/>
    <s v="JUMBO"/>
    <s v="NBL-DSL"/>
    <s v="45T"/>
    <s v="Mega Manu"/>
    <s v="Lagos"/>
    <s v="Ibadan 45Tons "/>
    <s v="45FT-45T"/>
    <s v="OYO"/>
    <n v="124"/>
    <n v="248"/>
    <n v="173"/>
    <n v="5952"/>
    <n v="850000"/>
  </r>
  <r>
    <s v="AFEEZ AJIBADE/Ebenezer"/>
    <s v="NBL-DSL-45T-JUMBO"/>
    <s v="Mega Manu-45T-JUMBO"/>
    <s v="JUMBO"/>
    <s v="NBL-DSL"/>
    <s v="45T"/>
    <s v="Mega Manu"/>
    <s v="Lagos"/>
    <s v="Kaduna"/>
    <s v="45FT-45T"/>
    <s v="Kaduna"/>
    <n v="950"/>
    <n v="1900"/>
    <n v="1330"/>
    <n v="45600"/>
    <n v="4140000"/>
  </r>
  <r>
    <s v="AFEEZ AJIBADE/Ebenezer"/>
    <s v="NBL-DSL-30T-JUMBO"/>
    <s v="Mega Manu-Local-30T-JUMBO"/>
    <s v="JUMBO"/>
    <s v="NBL-DSL"/>
    <s v="30T"/>
    <s v="Mega Manu-Local"/>
    <s v="Lagos"/>
    <s v="AGBARA"/>
    <s v="AGBARA-30T"/>
    <s v="Agbara"/>
    <n v="38.1"/>
    <n v="86.59999999999999"/>
    <n v="60"/>
    <n v="2078.4"/>
    <n v="540000"/>
  </r>
  <r>
    <s v="AFEEZ AJIBADE/Ebenezer"/>
    <s v="NBL-DSL-30T-JUMBO"/>
    <s v="Mega Manu-Local-30T-JUMBO"/>
    <s v="JUMBO"/>
    <s v="NBL-DSL"/>
    <s v="30T"/>
    <s v="Mega Manu-Local"/>
    <s v="Lagos"/>
    <s v="AMUWO"/>
    <s v="AMUWO-30T"/>
    <s v="AMUWO"/>
    <n v="9.9"/>
    <n v="31.9"/>
    <n v="22"/>
    <n v="765.5999999999999"/>
    <n v="517000"/>
  </r>
  <r>
    <s v="AFEEZ AJIBADE/Ebenezer"/>
    <s v="NBL-DSL-30T-JUMBO"/>
    <s v="Mega Manu-Local-30T-JUMBO"/>
    <s v="JUMBO"/>
    <s v="NBL-DSL"/>
    <s v="30T"/>
    <s v="Mega Manu-Local"/>
    <s v="Lagos"/>
    <s v="ISOLO"/>
    <s v="ISOLO-30T"/>
    <s v="ISOLO"/>
    <n v="22.9"/>
    <n v="36.8"/>
    <n v="25"/>
    <n v="883.1999999999999"/>
    <n v="517000"/>
  </r>
  <r>
    <s v="AFEEZ AJIBADE/Ebenezer"/>
    <s v="NBL-DSL-30T-JUMBO"/>
    <s v="Mega Manu-Local-30T-JUMBO"/>
    <s v="JUMBO"/>
    <s v="NBL-DSL"/>
    <s v="30T"/>
    <s v="Mega Manu-Local"/>
    <s v="Lagos"/>
    <s v="Ibadan"/>
    <s v="IBADAN-30T"/>
    <s v="IBADAN"/>
    <n v="120"/>
    <n v="240"/>
    <n v="168"/>
    <n v="5760"/>
    <n v="672000"/>
  </r>
  <r>
    <s v="AFEEZ AJIBADE/Ebenezer"/>
    <s v="NBL-DSL-30T-JUMBO"/>
    <s v="Mega Manu-Local-30T-JUMBO"/>
    <s v="JUMBO"/>
    <s v="NBL-DSL"/>
    <s v="30T"/>
    <s v="Mega Manu-Local"/>
    <s v="Lagos"/>
    <s v="SANGO OTTA"/>
    <s v="SANGO OTTA-30T"/>
    <s v="SANGO OTTA"/>
    <n v="49.3"/>
    <n v="80.5"/>
    <n v="56"/>
    <n v="1932"/>
    <n v="540000"/>
  </r>
  <r>
    <s v="AFEEZ AJIBADE/Ebenezer"/>
    <s v="NBL-DSL-30T-JUMBO"/>
    <s v="Mega Manu-Local-30T-JUMBO"/>
    <s v="JUMBO"/>
    <s v="NBL-DSL"/>
    <s v="30T"/>
    <s v="Mega Manu-Local"/>
    <s v="Lagos"/>
    <s v="MATORI"/>
    <s v="MATORI-30T"/>
    <s v="MATORI"/>
    <n v="19.5"/>
    <n v="29.5"/>
    <n v="20"/>
    <n v="708"/>
    <n v="517000"/>
  </r>
  <r>
    <s v="AFEEZ AJIBADE/Ebenezer"/>
    <s v="NBL-DSL-30T-JUMBO"/>
    <s v="Mega Manu-Local-30T-JUMBO"/>
    <s v="JUMBO"/>
    <s v="NBL-DSL"/>
    <s v="30T"/>
    <s v="Mega Manu-Local"/>
    <s v="Lagos"/>
    <s v="FATAI ATERE "/>
    <s v="FATAI ATERE -30T"/>
    <s v="FATAI ATERE "/>
    <n v="22.6"/>
    <n v="31.9"/>
    <n v="22"/>
    <n v="765.5999999999999"/>
    <n v="517000"/>
  </r>
  <r>
    <s v="AFEEZ AJIBADE/Ebenezer"/>
    <s v="NBL-DSL-30T-JUMBO"/>
    <s v="Mega Manu-Local-30T-JUMBO"/>
    <s v="JUMBO"/>
    <s v="NBL-DSL"/>
    <s v="30T"/>
    <s v="Mega Manu-Local"/>
    <s v="Lagos"/>
    <s v="IGBESA"/>
    <s v="IGBESA-30T"/>
    <s v="IGBESA"/>
    <n v="54.5"/>
    <n v="91.90000000000001"/>
    <n v="64"/>
    <n v="2205.6"/>
    <n v="579000"/>
  </r>
  <r>
    <s v="AFEEZ AJIBADE/Ebenezer"/>
    <s v="NBL-DSL-30T-JUMBO"/>
    <s v="Mega Manu-Local-30T-JUMBO"/>
    <s v="JUMBO"/>
    <s v="NBL-DSL"/>
    <s v="30T"/>
    <s v="Mega Manu-Local"/>
    <s v="Lagos"/>
    <s v="IKEJA"/>
    <s v="IKEJA-30T"/>
    <s v="Ikeja"/>
    <n v="22.6"/>
    <n v="35.8"/>
    <n v="25"/>
    <n v="859.1999999999999"/>
    <n v="529000"/>
  </r>
  <r>
    <s v="AFEEZ AJIBADE/Ebenezer"/>
    <s v="NBL-DSL-30T-JUMBO"/>
    <s v="Mega Manu-Local-30T-JUMBO"/>
    <s v="JUMBO"/>
    <s v="NBL-DSL"/>
    <s v="30T"/>
    <s v="Mega Manu-Local"/>
    <s v="Lagos"/>
    <s v="DOPEMU"/>
    <s v="DOPEMU-30T"/>
    <s v="DOPEMU"/>
    <n v="32.2"/>
    <n v="49"/>
    <n v="34"/>
    <n v="1176"/>
    <n v="529000"/>
  </r>
  <r>
    <s v="AFEEZ AJIBADE/Ebenezer"/>
    <s v="NBL-DSL-30T-JUMBO"/>
    <s v="Mega Manu-Local-30T-JUMBO"/>
    <s v="JUMBO"/>
    <s v="NBL-DSL"/>
    <s v="30T"/>
    <s v="Mega Manu-Local"/>
    <s v="Lagos"/>
    <s v="Sagamu"/>
    <s v="SAGAMU-30T"/>
    <s v="Sagamu"/>
    <n v="76.3"/>
    <n v="140"/>
    <n v="98"/>
    <n v="3360"/>
    <n v="599000"/>
  </r>
  <r>
    <s v="AFEEZ AJIBADE/Ebenezer"/>
    <s v="NBL-DSL-30T-JUMBO"/>
    <s v="Mega Manu-Local-30T-JUMBO"/>
    <s v="JUMBO"/>
    <s v="NBL-DSL"/>
    <s v="30T"/>
    <s v="Mega Manu-Local"/>
    <s v="Lagos"/>
    <s v="MOWE"/>
    <s v="MOWE-30T"/>
    <s v="MOWE"/>
    <n v="59.7"/>
    <n v="86.5"/>
    <n v="60"/>
    <n v="2076"/>
    <n v="599000"/>
  </r>
  <r>
    <s v="AFEEZ AJIBADE/Ebenezer"/>
    <s v="NBL-DSL-30T-JUMBO"/>
    <s v="Mega Manu-Local-30T-JUMBO"/>
    <s v="JUMBO"/>
    <s v="NBL-DSL"/>
    <s v="30T"/>
    <s v="Mega Manu-Local"/>
    <s v="Lagos"/>
    <s v="IJEBU OSAS"/>
    <s v="IJEBU OSAS-30T"/>
    <s v="IJEBU OSAS"/>
    <n v="110"/>
    <n v="208"/>
    <n v="145"/>
    <n v="4992"/>
    <n v="599000"/>
  </r>
  <r>
    <s v="AFEEZ AJIBADE/Ebenezer"/>
    <s v="NBL-DSL-30T-JUMBO"/>
    <s v="Mega Manu-Local-30T-JUMBO"/>
    <s v="JUMBO"/>
    <s v="NBL-DSL"/>
    <s v="30T"/>
    <s v="Mega Manu-Local"/>
    <s v="Lagos"/>
    <s v="OJOTA"/>
    <s v="OJOTA-30T"/>
    <s v="OJOTA"/>
    <n v="19.6"/>
    <n v="27.8"/>
    <n v="19"/>
    <n v="667.2"/>
    <n v="585000"/>
  </r>
  <r>
    <s v="AFEEZ AJIBADE/Ebenezer"/>
    <s v="NBL-DSL-30T-JUMBO"/>
    <s v="Mega Manu-Local-30T-JUMBO"/>
    <s v="JUMBO"/>
    <s v="NBL-DSL"/>
    <s v="30T"/>
    <s v="Mega Manu-Local"/>
    <s v="Lagos"/>
    <s v="IJEBU ODE"/>
    <s v="IJEBU ODE-30T"/>
    <s v="IJEBU ODE"/>
    <n v="110"/>
    <n v="208"/>
    <n v="145"/>
    <n v="4992"/>
    <n v="670000"/>
  </r>
  <r>
    <s v="AFEEZ AJIBADE/Ebenezer"/>
    <s v="NBL-DSL-30T-JUMBO"/>
    <s v="Mega Manu-Local-30T-JUMBO"/>
    <s v="JUMBO"/>
    <s v="NBL-DSL"/>
    <s v="30T"/>
    <s v="Mega Manu-Local"/>
    <s v="Lagos"/>
    <s v="APAPA"/>
    <s v="APAPA-30T"/>
    <s v="APAPA"/>
    <n v="3.4"/>
    <n v="22.7"/>
    <n v="15"/>
    <n v="544.8"/>
    <n v="517000"/>
  </r>
  <r>
    <s v="AFEEZ AJIBADE/Ebenezer"/>
    <s v="NBL-DSL-30T-JUMBO"/>
    <s v="Mega Manu-Local-30T-JUMBO"/>
    <s v="JUMBO"/>
    <s v="NBL-DSL"/>
    <s v="30T"/>
    <s v="Mega Manu-Local"/>
    <s v="Lagos"/>
    <s v="ILUPEJU"/>
    <s v="ILUPEJU-30T"/>
    <s v="Ilupeju"/>
    <n v="22.9"/>
    <n v="29.5"/>
    <n v="20"/>
    <n v="708"/>
    <n v="529000"/>
  </r>
  <r>
    <s v="AFEEZ AJIBADE/Ebenezer"/>
    <s v="NBL-DSL-30T-JUMBO"/>
    <s v="Mega Manu-Local-30T-JUMBO"/>
    <s v="JUMBO"/>
    <s v="NBL-DSL"/>
    <s v="30T"/>
    <s v="Mega Manu-Local"/>
    <s v="Lagos"/>
    <s v="AJAO ESTATE"/>
    <s v="AJAO ESTATE-30T"/>
    <s v="AJAO ESTATE"/>
    <n v="24.8"/>
    <n v="34.7"/>
    <n v="24"/>
    <n v="832.8000000000001"/>
    <n v="529000"/>
  </r>
  <r>
    <s v="AFEEZ AJIBADE/Ebenezer"/>
    <s v="NBL-DSL-30T-JUMBO"/>
    <s v="Mega Manu-Local-30T-JUMBO"/>
    <s v="JUMBO"/>
    <s v="NBL-DSL"/>
    <s v="30T"/>
    <s v="Mega Manu-Local"/>
    <s v="Lagos"/>
    <s v="OKOTA"/>
    <s v="OKOTA-30T"/>
    <s v="OKOTA"/>
    <n v="17.5"/>
    <n v="33.9"/>
    <n v="23"/>
    <n v="813.5999999999999"/>
    <n v="517000"/>
  </r>
  <r>
    <s v="AFEEZ AJIBADE/Ebenezer"/>
    <s v="NBL-DSL-30T-JUMBO"/>
    <s v="Mega Manu-Local-30T-JUMBO"/>
    <s v="JUMBO"/>
    <s v="NBL-DSL"/>
    <s v="30T"/>
    <s v="Mega Manu-Local"/>
    <s v="Lagos"/>
    <s v="OSHODI"/>
    <s v="OSHODI-30T"/>
    <s v="OSHODI"/>
    <n v="22.9"/>
    <n v="36.8"/>
    <n v="25"/>
    <n v="883.1999999999999"/>
    <n v="517000"/>
  </r>
  <r>
    <s v="AFEEZ AJIBADE/Ebenezer"/>
    <s v="NBL-DSL-30T-JUMBO"/>
    <s v="Mega Manu-Local-30T-JUMBO"/>
    <s v="JUMBO"/>
    <s v="NBL-DSL"/>
    <s v="30T"/>
    <s v="Mega Manu-Local"/>
    <s v="Lagos"/>
    <s v="OGERE"/>
    <s v="OGERE-30T"/>
    <s v="OGERE"/>
    <n v="80.09999999999999"/>
    <n v="144"/>
    <n v="100"/>
    <n v="3456"/>
    <n v="630000"/>
  </r>
  <r>
    <s v="AFEEZ AJIBADE/Ebenezer"/>
    <s v="NBL-DSL-30T-JUMBO"/>
    <s v="Mega Manu-Local-30T-JUMBO"/>
    <s v="JUMBO"/>
    <s v="NBL-DSL"/>
    <s v="30T"/>
    <s v="Mega Manu-Local"/>
    <s v="Lagos"/>
    <s v="LEKKI"/>
    <s v="LEKKI-30T"/>
    <s v="LEKKI"/>
    <n v="21.1"/>
    <n v="48.7"/>
    <n v="34"/>
    <n v="1168.8"/>
    <n v="650000"/>
  </r>
  <r>
    <s v="AFEEZ AJIBADE/Ebenezer"/>
    <s v="NBL-DSL-30T-JUMBO"/>
    <s v="Mega Manu-Local-30T-JUMBO"/>
    <s v="JUMBO"/>
    <s v="NBL-DSL"/>
    <s v="30T"/>
    <s v="Mega Manu-Local"/>
    <s v="Lagos"/>
    <s v="OGBA"/>
    <s v="OGBA-30T"/>
    <s v="OGBA"/>
    <n v="26"/>
    <n v="39.4"/>
    <n v="27"/>
    <n v="945.5999999999999"/>
    <n v="529000"/>
  </r>
  <r>
    <s v="AFEEZ AJIBADE/Ebenezer"/>
    <s v="NBL-DSL-30T-JUMBO"/>
    <s v="Mega Manu-Local-30T-JUMBO"/>
    <s v="JUMBO"/>
    <s v="NBL-DSL"/>
    <s v="30T"/>
    <s v="Mega Manu-Local"/>
    <s v="Lagos"/>
    <s v="ILORIN"/>
    <s v="ILORIN-30T"/>
    <s v="ILORIN"/>
    <n v="312"/>
    <n v="607"/>
    <n v="424"/>
    <n v="14568"/>
    <n v="0"/>
  </r>
  <r>
    <s v="AFEEZ AJIBADE/Ebenezer"/>
    <s v="NBL-DSL-45T-JUMBO"/>
    <s v="Mega Manu-Local-45T-JUMBO"/>
    <s v="JUMBO"/>
    <s v="NBL-DSL"/>
    <s v="45T"/>
    <s v="Mega Manu-Local"/>
    <s v="Lagos"/>
    <s v="AGBARA"/>
    <s v="AGBARA-40T"/>
    <s v="Agbara"/>
    <n v="38.1"/>
    <n v="86.59999999999999"/>
    <n v="60"/>
    <n v="2078.4"/>
    <n v="666000"/>
  </r>
  <r>
    <s v="AFEEZ AJIBADE/Ebenezer"/>
    <s v="NBL-DSL-45T-JUMBO"/>
    <s v="Mega Manu-Local-45T-JUMBO"/>
    <s v="JUMBO"/>
    <s v="NBL-DSL"/>
    <s v="45T"/>
    <s v="Mega Manu-Local"/>
    <s v="Lagos"/>
    <s v="AMUWO"/>
    <s v="AMUWO-40T"/>
    <s v="AMUWO"/>
    <n v="9.9"/>
    <n v="31.9"/>
    <n v="22"/>
    <n v="765.5999999999999"/>
    <n v="637000"/>
  </r>
  <r>
    <s v="AFEEZ AJIBADE/Ebenezer"/>
    <s v="NBL-DSL-45T-JUMBO"/>
    <s v="Mega Manu-Local-45T-JUMBO"/>
    <s v="JUMBO"/>
    <s v="NBL-DSL"/>
    <s v="45T"/>
    <s v="Mega Manu-Local"/>
    <s v="Lagos"/>
    <s v="ISOLO"/>
    <s v="ISOLO-40T"/>
    <s v="ISOLO"/>
    <n v="22.9"/>
    <n v="36.8"/>
    <n v="25"/>
    <n v="883.1999999999999"/>
    <n v="637000"/>
  </r>
  <r>
    <s v="AFEEZ AJIBADE/Ebenezer"/>
    <s v="NBL-DSL-45T-JUMBO"/>
    <s v="Mega Manu-Local-45T-JUMBO"/>
    <s v="JUMBO"/>
    <s v="NBL-DSL"/>
    <s v="45T"/>
    <s v="Mega Manu-Local"/>
    <s v="Lagos"/>
    <s v="Ibadan"/>
    <s v="IBADAN-40T"/>
    <s v="IBADAN"/>
    <n v="144"/>
    <n v="271"/>
    <n v="189"/>
    <n v="6504"/>
    <n v="828000"/>
  </r>
  <r>
    <s v="AFEEZ AJIBADE/Ebenezer"/>
    <s v="NBL-DSL-45T-JUMBO"/>
    <s v="Mega Manu-Local-45T-JUMBO"/>
    <s v="JUMBO"/>
    <s v="NBL-DSL"/>
    <s v="45T"/>
    <s v="Mega Manu-Local"/>
    <s v="Lagos"/>
    <s v="SANGO OTTA"/>
    <s v="SANGO OTTA-40T"/>
    <s v="SANGO OTTA"/>
    <n v="49.3"/>
    <n v="80.5"/>
    <n v="56"/>
    <n v="1932"/>
    <n v="666000"/>
  </r>
  <r>
    <s v="AFEEZ AJIBADE/Ebenezer"/>
    <s v="NBL-DSL-45T-JUMBO"/>
    <s v="Mega Manu-Local-45T-JUMBO"/>
    <s v="JUMBO"/>
    <s v="NBL-DSL"/>
    <s v="45T"/>
    <s v="Mega Manu-Local"/>
    <s v="Lagos"/>
    <s v="MATORI"/>
    <s v="MATORI-40T"/>
    <s v="MATORI"/>
    <n v="19.5"/>
    <n v="29.5"/>
    <n v="20"/>
    <n v="708"/>
    <n v="637000"/>
  </r>
  <r>
    <s v="AFEEZ AJIBADE/Ebenezer"/>
    <s v="NBL-DSL-45T-JUMBO"/>
    <s v="Mega Manu-Local-45T-JUMBO"/>
    <s v="JUMBO"/>
    <s v="NBL-DSL"/>
    <s v="45T"/>
    <s v="Mega Manu-Local"/>
    <s v="Lagos"/>
    <s v="FATAI ATERE "/>
    <s v="FATAI ATERE -40T"/>
    <s v="FATAI ATERE "/>
    <n v="22.6"/>
    <n v="31.9"/>
    <n v="22"/>
    <n v="765.5999999999999"/>
    <n v="637000"/>
  </r>
  <r>
    <s v="AFEEZ AJIBADE/Ebenezer"/>
    <s v="NBL-DSL-45T-JUMBO"/>
    <s v="Mega Manu-Local-45T-JUMBO"/>
    <s v="JUMBO"/>
    <s v="NBL-DSL"/>
    <s v="45T"/>
    <s v="Mega Manu-Local"/>
    <s v="Lagos"/>
    <s v="IGBESA"/>
    <s v="IGBESA-40T"/>
    <s v="IGBESA"/>
    <n v="54.5"/>
    <n v="91.90000000000001"/>
    <n v="64"/>
    <n v="2205.6"/>
    <n v="714000"/>
  </r>
  <r>
    <s v="AFEEZ AJIBADE/Ebenezer"/>
    <s v="NBL-DSL-45T-JUMBO"/>
    <s v="Mega Manu-Local-45T-JUMBO"/>
    <s v="JUMBO"/>
    <s v="NBL-DSL"/>
    <s v="45T"/>
    <s v="Mega Manu-Local"/>
    <s v="Lagos"/>
    <s v="IKEJA"/>
    <s v="IKEJA-40T"/>
    <s v="Ikeja"/>
    <n v="22.6"/>
    <n v="35.8"/>
    <n v="25"/>
    <n v="859.1999999999999"/>
    <n v="652000"/>
  </r>
  <r>
    <s v="AFEEZ AJIBADE/Ebenezer"/>
    <s v="NBL-DSL-45T-JUMBO"/>
    <s v="Mega Manu-Local-45T-JUMBO"/>
    <s v="JUMBO"/>
    <s v="NBL-DSL"/>
    <s v="45T"/>
    <s v="Mega Manu-Local"/>
    <s v="Lagos"/>
    <s v="DOPEMU"/>
    <s v="DOPEMU-40T"/>
    <s v="DOPIMU"/>
    <n v="32.2"/>
    <n v="49"/>
    <n v="34"/>
    <n v="1176"/>
    <n v="652000"/>
  </r>
  <r>
    <s v="AFEEZ AJIBADE/Ebenezer"/>
    <s v="NBL-DSL-45T-JUMBO"/>
    <s v="Mega Manu-Local-45T-JUMBO"/>
    <s v="JUMBO"/>
    <s v="NBL-DSL"/>
    <s v="45T"/>
    <s v="Mega Manu-Local"/>
    <s v="Lagos"/>
    <s v="Sagamu"/>
    <s v="SAGAMU-40T"/>
    <s v="Sagamu"/>
    <n v="76.3"/>
    <n v="140"/>
    <n v="98"/>
    <n v="3360"/>
    <n v="738000"/>
  </r>
  <r>
    <s v="AFEEZ AJIBADE/Ebenezer"/>
    <s v="NBL-DSL-45T-JUMBO"/>
    <s v="Mega Manu-Local-45T-JUMBO"/>
    <s v="JUMBO"/>
    <s v="NBL-DSL"/>
    <s v="45T"/>
    <s v="Mega Manu-Local"/>
    <s v="Lagos"/>
    <s v="MOWE"/>
    <s v="MOWE-40T"/>
    <s v="MOWE"/>
    <n v="59.7"/>
    <n v="86.5"/>
    <n v="60"/>
    <n v="2076"/>
    <n v="738000"/>
  </r>
  <r>
    <s v="AFEEZ AJIBADE/Ebenezer"/>
    <s v="NBL-DSL-45T-JUMBO"/>
    <s v="Mega Manu-Local-45T-JUMBO"/>
    <s v="JUMBO"/>
    <s v="NBL-DSL"/>
    <s v="45T"/>
    <s v="Mega Manu-Local"/>
    <s v="Lagos"/>
    <s v="IJEBU OSAS"/>
    <s v="IJEBU OSAS-40T"/>
    <s v="IJEBU OSAS"/>
    <n v="110"/>
    <n v="208"/>
    <n v="145"/>
    <n v="4992"/>
    <n v="738000"/>
  </r>
  <r>
    <s v="AFEEZ AJIBADE/Ebenezer"/>
    <s v="NBL-DSL-45T-JUMBO"/>
    <s v="Mega Manu-Local-45T-JUMBO"/>
    <s v="JUMBO"/>
    <s v="NBL-DSL"/>
    <s v="45T"/>
    <s v="Mega Manu-Local"/>
    <s v="Lagos"/>
    <s v="OJOTA"/>
    <s v="OJOTA-40T"/>
    <s v="OJOTA"/>
    <n v="19.6"/>
    <n v="27.8"/>
    <n v="19"/>
    <n v="667.2"/>
    <n v="721000"/>
  </r>
  <r>
    <s v="AFEEZ AJIBADE/Ebenezer"/>
    <s v="NBL-DSL-45T-JUMBO"/>
    <s v="Mega Manu-Local-45T-JUMBO"/>
    <s v="JUMBO"/>
    <s v="NBL-DSL"/>
    <s v="45T"/>
    <s v="Mega Manu-Local"/>
    <s v="Lagos"/>
    <s v="IJEBU ODE"/>
    <s v="IJEBU ODE-40T"/>
    <s v="IJEBU ODE"/>
    <n v="110"/>
    <n v="208"/>
    <n v="145"/>
    <n v="4992"/>
    <n v="826000"/>
  </r>
  <r>
    <s v="AFEEZ AJIBADE/Ebenezer"/>
    <s v="NBL-DSL-45T-JUMBO"/>
    <s v="Mega Manu-Local-45T-JUMBO"/>
    <s v="JUMBO"/>
    <s v="NBL-DSL"/>
    <s v="45T"/>
    <s v="Mega Manu-Local"/>
    <s v="Lagos"/>
    <s v="APAPA"/>
    <s v="APAPA-40T"/>
    <s v="APAPA"/>
    <n v="3.4"/>
    <n v="22.7"/>
    <n v="15"/>
    <n v="544.8"/>
    <n v="637000"/>
  </r>
  <r>
    <s v="AFEEZ AJIBADE/Ebenezer"/>
    <s v="NBL-DSL-45T-JUMBO"/>
    <s v="Mega Manu-Local-45T-JUMBO"/>
    <s v="JUMBO"/>
    <s v="NBL-DSL"/>
    <s v="45T"/>
    <s v="Mega Manu-Local"/>
    <s v="Lagos"/>
    <s v="ILUPEJU"/>
    <s v="ILUPEJU-40T"/>
    <s v="Ilupeju"/>
    <n v="22.9"/>
    <n v="29.5"/>
    <n v="20"/>
    <n v="708"/>
    <n v="652000"/>
  </r>
  <r>
    <s v="AFEEZ AJIBADE/Ebenezer"/>
    <s v="NBL-DSL-45T-JUMBO"/>
    <s v="Mega Manu-Local-45T-JUMBO"/>
    <s v="JUMBO"/>
    <s v="NBL-DSL"/>
    <s v="45T"/>
    <s v="Mega Manu-Local"/>
    <s v="Lagos"/>
    <s v="AJAO ESTATE"/>
    <s v="AJAO ESTATE-40T"/>
    <s v="AJAO ESTATE"/>
    <n v="24.8"/>
    <n v="34.7"/>
    <n v="24"/>
    <n v="832.8000000000001"/>
    <n v="652000"/>
  </r>
  <r>
    <s v="AFEEZ AJIBADE/Ebenezer"/>
    <s v="NBL-DSL-45T-JUMBO"/>
    <s v="Mega Manu-Local-45T-JUMBO"/>
    <s v="JUMBO"/>
    <s v="NBL-DSL"/>
    <s v="45T"/>
    <s v="Mega Manu-Local"/>
    <s v="Lagos"/>
    <s v="OKOTA"/>
    <s v="OKOTA-40T"/>
    <s v="OKOTA"/>
    <n v="17.5"/>
    <n v="33.9"/>
    <n v="23"/>
    <n v="813.5999999999999"/>
    <n v="637000"/>
  </r>
  <r>
    <s v="AFEEZ AJIBADE/Ebenezer"/>
    <s v="NBL-DSL-45T-JUMBO"/>
    <s v="Mega Manu-Local-45T-JUMBO"/>
    <s v="JUMBO"/>
    <s v="NBL-DSL"/>
    <s v="45T"/>
    <s v="Mega Manu-Local"/>
    <s v="Lagos"/>
    <s v="OSHODI"/>
    <s v="OSHODI-40T"/>
    <s v="OSHODI"/>
    <n v="22.9"/>
    <n v="36.8"/>
    <n v="25"/>
    <n v="883.1999999999999"/>
    <n v="637000"/>
  </r>
  <r>
    <s v="AFEEZ AJIBADE/Ebenezer"/>
    <s v="NBL-DSL-45T-JUMBO"/>
    <s v="Mega Manu-Local-45T-JUMBO"/>
    <s v="JUMBO"/>
    <s v="NBL-DSL"/>
    <s v="45T"/>
    <s v="Mega Manu-Local"/>
    <s v="Lagos"/>
    <s v="OGBA"/>
    <s v="OGBA-40T"/>
    <s v="OGBA"/>
    <n v="26"/>
    <n v="39.4"/>
    <n v="27"/>
    <n v="945.5999999999999"/>
    <n v="652000"/>
  </r>
  <r>
    <s v="AFEEZ AJIBADE/Ebenezer"/>
    <s v="NBL-DSL-45T-JUMBO"/>
    <s v="VANDERA-45T-JUMBO"/>
    <s v="JUMBO"/>
    <s v="NBL-DSL"/>
    <s v="45T"/>
    <s v="VANDERA"/>
    <s v="Lagos"/>
    <s v="Onitsha"/>
    <s v="Anambra"/>
    <s v="East"/>
    <n v="450"/>
    <n v="900"/>
    <n v="630"/>
    <n v="21600"/>
    <n v="2020000"/>
  </r>
  <r>
    <s v="AFEEZ AJIBADE/Ebenezer"/>
    <s v="NBL-DSL-45T-JUMBO"/>
    <s v="VANDERA-45T-JUMBO"/>
    <s v="JUMBO"/>
    <s v="NBL-DSL"/>
    <s v="45T"/>
    <s v="VANDERA"/>
    <s v="Lagos"/>
    <s v="Kano"/>
    <s v="Kano"/>
    <s v="North"/>
    <n v="1100"/>
    <n v="2200"/>
    <n v="1540"/>
    <n v="52800"/>
    <n v="4450000"/>
  </r>
  <r>
    <s v="AFEEZ AJIBADE/Ebenezer"/>
    <s v="NBL-DSL-45T-JUMBO"/>
    <s v="VANDERA-45T-JUMBO"/>
    <s v="JUMBO"/>
    <s v="NBL-DSL"/>
    <s v="45T"/>
    <s v="VANDERA"/>
    <s v="Lagos"/>
    <s v="Calabar"/>
    <s v="Calabar"/>
    <s v="East"/>
    <n v="756.5"/>
    <n v="1513"/>
    <n v="1059"/>
    <n v="36312"/>
    <n v="3200000"/>
  </r>
  <r>
    <s v="AFEEZ AJIBADE/Ebenezer"/>
    <s v="NBL-DSL-45T-JUMBO"/>
    <s v="Lacasera-45T-JUMBO"/>
    <s v="JUMBO"/>
    <s v="NBL-DSL"/>
    <s v="45T"/>
    <s v="Lacasera"/>
    <s v="Lagos"/>
    <s v="Aba"/>
    <s v="Abia"/>
    <s v="East"/>
    <n v="622"/>
    <n v="1244"/>
    <n v="870"/>
    <n v="29856"/>
    <n v="2639315"/>
  </r>
  <r>
    <s v="AFEEZ AJIBADE/Ebenezer"/>
    <s v="NBL-DSL-45T-JUMBO"/>
    <s v="Lacasera-45T-JUMBO"/>
    <s v="JUMBO"/>
    <s v="NBL-DSL"/>
    <s v="45T"/>
    <s v="Lacasera"/>
    <s v="Lagos"/>
    <s v="Port Harcourt"/>
    <s v="Rivers"/>
    <s v="East"/>
    <n v="628"/>
    <n v="1256"/>
    <n v="879"/>
    <n v="30144"/>
    <n v="2741678"/>
  </r>
  <r>
    <s v="AFEEZ AJIBADE/Ebenezer"/>
    <s v="NBL-DSL-45T-JUMBO"/>
    <s v="Lacasera-45T-JUMBO"/>
    <s v="JUMBO"/>
    <s v="NBL-DSL"/>
    <s v="45T"/>
    <s v="Lacasera"/>
    <s v="Lagos"/>
    <s v="Abuja"/>
    <s v="FCT"/>
    <s v="North"/>
    <n v="755"/>
    <n v="1510"/>
    <n v="1057"/>
    <n v="36240"/>
    <n v="3282163"/>
  </r>
  <r>
    <s v="AFEEZ AJIBADE/Ebenezer"/>
    <s v="NBL-DSL-45T-JUMBO"/>
    <s v="Lacasera-45T-JUMBO"/>
    <s v="JUMBO"/>
    <s v="NBL-DSL"/>
    <s v="45T"/>
    <s v="Lacasera"/>
    <s v="Lagos"/>
    <s v="Kano"/>
    <s v="Kano"/>
    <s v="North"/>
    <n v="1142"/>
    <n v="2284"/>
    <n v="1598"/>
    <n v="54816"/>
    <n v="3710764"/>
  </r>
  <r>
    <s v="AFEEZ AJIBADE/Ebenezer"/>
    <s v="NBL-DSL-45T-JUMBO"/>
    <s v="Lacasera-45T-JUMBO"/>
    <s v="JUMBO"/>
    <s v="NBL-DSL"/>
    <s v="45T"/>
    <s v="Lacasera"/>
    <s v="Lagos"/>
    <s v="Ibadan"/>
    <s v="Oyo"/>
    <s v="West"/>
    <n v="148"/>
    <n v="296"/>
    <n v="207"/>
    <n v="7104"/>
    <n v="879460"/>
  </r>
  <r>
    <s v="AFEEZ AJIBADE/Ebenezer"/>
    <s v="NBL-DSL-45T-JUMBO"/>
    <s v="Lacasera-45T-JUMBO"/>
    <s v="JUMBO"/>
    <s v="NBL-DSL"/>
    <s v="45T"/>
    <s v="Lacasera"/>
    <s v="Lagos"/>
    <s v="Benin"/>
    <s v="Edo"/>
    <s v="East"/>
    <n v="325"/>
    <n v="650"/>
    <n v="455"/>
    <n v="15600"/>
    <n v="1634564"/>
  </r>
  <r>
    <s v="AFEEZ AJIBADE/Ebenezer"/>
    <s v="NBL-DSL-45T-JUMBO"/>
    <s v="Lacasera-45T-JUMBO"/>
    <s v="JUMBO"/>
    <s v="NBL-DSL"/>
    <s v="45T"/>
    <s v="Lacasera"/>
    <s v="Lagos"/>
    <s v="Onitsha"/>
    <s v="Anambra"/>
    <s v="Lagos"/>
    <n v="501"/>
    <n v="1002"/>
    <n v="701"/>
    <n v="24048"/>
    <n v="2248843"/>
  </r>
  <r>
    <s v="AFEEZ AJIBADE/Ebenezer"/>
    <s v="NBL-DSL-45T-JUMBO"/>
    <s v="NATURAL BEAUTY-45T-JUMBO"/>
    <s v="JUMBO"/>
    <s v="NBL-DSL"/>
    <s v="45T"/>
    <s v="NATURAL BEAUTY"/>
    <s v="Lagos"/>
    <s v="Kano"/>
    <s v="Kano"/>
    <s v="North"/>
    <n v="1100"/>
    <n v="2200"/>
    <n v="1540"/>
    <n v="52800"/>
    <n v="4450000"/>
  </r>
  <r>
    <s v="AFEEZ AJIBADE/Ebenezer"/>
    <s v="NBL-DSL-45T-JUMBO"/>
    <s v="NATURAL BEAUTY-45T-JUMBO"/>
    <s v="JUMBO"/>
    <s v="NBL-DSL"/>
    <s v="45T"/>
    <s v="NATURAL BEAUTY"/>
    <s v="Lagos"/>
    <s v="Maidugri"/>
    <s v="Maidugri"/>
    <s v="North"/>
    <n v="1500"/>
    <n v="3000"/>
    <n v="2100"/>
    <n v="72000"/>
    <n v="6280000"/>
  </r>
  <r>
    <s v="AFEEZ AJIBADE/Ebenezer"/>
    <s v="NBL-DSL-30T-JUMBO"/>
    <s v="NATURAL BEAUTY-30T-JUMBO"/>
    <s v="JUMBO"/>
    <s v="NBL-DSL"/>
    <s v="30T"/>
    <s v="NATURAL BEAUTY"/>
    <s v="Lagos"/>
    <s v="Maidugri"/>
    <s v="Maidugri"/>
    <s v="North"/>
    <n v="1500"/>
    <n v="3000"/>
    <n v="2100"/>
    <n v="72000"/>
    <n v="5820000"/>
  </r>
  <r>
    <s v="AFEEZ AJIBADE/Ebenezer"/>
    <s v="NBL-DSL-45T-JUMBO"/>
    <s v="SASO-45T-JUMBO"/>
    <s v="JUMBO"/>
    <s v="NBL-DSL"/>
    <s v="45T"/>
    <s v="SASO"/>
    <s v="Lagos"/>
    <s v="Abuja"/>
    <s v="FCT"/>
    <s v="North"/>
    <n v="755"/>
    <n v="1510"/>
    <n v="1057"/>
    <n v="36240"/>
    <n v="3440000"/>
  </r>
  <r>
    <s v="AFEEZ AJIBADE/Ebenezer"/>
    <s v="NBL-DSL-45T-JUMBO"/>
    <s v="SASO-45T-JUMBO"/>
    <s v="JUMBO"/>
    <s v="NBL-DSL"/>
    <s v="45T"/>
    <s v="SASO"/>
    <s v="Lagos"/>
    <s v="Kano"/>
    <s v="Kano"/>
    <s v="North"/>
    <n v="1100"/>
    <n v="2200"/>
    <n v="1540"/>
    <n v="52800"/>
    <n v="4450000"/>
  </r>
  <r>
    <s v="AFEEZ AJIBADE/Ebenezer"/>
    <s v="NBL-DSL-45T-JUMBO"/>
    <s v="SASO-45T-JUMBO"/>
    <s v="JUMBO"/>
    <s v="NBL-DSL"/>
    <s v="45T"/>
    <s v="SASO"/>
    <s v="Lagos"/>
    <s v="FUNTUA"/>
    <s v="FUNTUA"/>
    <s v="North"/>
    <n v="1050"/>
    <n v="2100"/>
    <n v="1470"/>
    <n v="50400"/>
    <n v="4380000"/>
  </r>
  <r>
    <s v="AFEEZ AJIBADE/Ebenezer"/>
    <s v="NBL-DSL-45T-JUMBO"/>
    <s v="SASO-45T-JUMBO"/>
    <s v="JUMBO"/>
    <s v="NBL-DSL"/>
    <s v="45T"/>
    <s v="SASO"/>
    <s v="Lagos"/>
    <s v="Kaduna"/>
    <s v="Kaduna"/>
    <s v="North"/>
    <n v="910"/>
    <n v="1820"/>
    <n v="1274"/>
    <n v="43680"/>
    <n v="4040000"/>
  </r>
  <r>
    <s v="AFEEZ AJIBADE/Ebenezer"/>
    <s v="NBL-DSL-45T-JUMBO"/>
    <s v="SASO-45T-JUMBO"/>
    <s v="JUMBO"/>
    <s v="NBL-DSL"/>
    <s v="45T"/>
    <s v="SASO"/>
    <s v="Lagos"/>
    <s v="Zaria"/>
    <s v="Zaria"/>
    <s v="North"/>
    <n v="989"/>
    <n v="1978"/>
    <n v="1384"/>
    <n v="47472"/>
    <n v="4230000"/>
  </r>
  <r>
    <s v="AFEEZ AJIBADE/Ebenezer"/>
    <s v="NBL-DSL-45T-JUMBO"/>
    <s v="SASO-45T-JUMBO"/>
    <s v="JUMBO"/>
    <s v="NBL-DSL"/>
    <s v="45T"/>
    <s v="SASO"/>
    <s v="Lagos"/>
    <s v="Gombe"/>
    <s v="Gombe"/>
    <s v="North"/>
    <n v="1275"/>
    <n v="2550"/>
    <n v="1785"/>
    <n v="61200"/>
    <n v="5380000"/>
  </r>
  <r>
    <s v="AFEEZ AJIBADE/Ebenezer"/>
    <s v="NBL-DSL-45T-JUMBO"/>
    <s v="SASO-45T-JUMBO"/>
    <s v="JUMBO"/>
    <s v="NBL-DSL"/>
    <s v="45T"/>
    <s v="SASO"/>
    <s v="Lagos"/>
    <s v="YOLA"/>
    <s v="Adamawa"/>
    <s v="North"/>
    <n v="1650"/>
    <n v="3300"/>
    <n v="2310"/>
    <n v="79200"/>
    <n v="6740000"/>
  </r>
  <r>
    <s v="AFEEZ AJIBADE/Ebenezer"/>
    <s v="NBL-DSL-45T-JUMBO"/>
    <s v="SASO-45T-JUMBO"/>
    <s v="JUMBO"/>
    <s v="NBL-DSL"/>
    <s v="45T"/>
    <s v="SASO"/>
    <s v="Lagos"/>
    <s v="Mubi"/>
    <s v="Adamawa"/>
    <s v="North"/>
    <n v="1650"/>
    <n v="3300"/>
    <n v="2310"/>
    <n v="79200"/>
    <n v="6740000"/>
  </r>
  <r>
    <s v="AFEEZ AJIBADE/Ebenezer"/>
    <s v="NBL-DSL-45T-JUMBO"/>
    <s v="SASO-45T-JUMBO"/>
    <s v="JUMBO"/>
    <s v="NBL-DSL"/>
    <s v="45T"/>
    <s v="SASO"/>
    <s v="Lagos"/>
    <s v="Jalingo"/>
    <s v="Jalingo"/>
    <s v="North"/>
    <n v="1275"/>
    <n v="2550"/>
    <n v="1785"/>
    <n v="61200"/>
    <n v="5380000"/>
  </r>
  <r>
    <s v="AFEEZ AJIBADE/Ebenezer"/>
    <s v="NBL-DSL-30T-JUMBO"/>
    <s v="SASO-30T-JUMBO"/>
    <s v="JUMBO"/>
    <s v="NBL-DSL"/>
    <s v="30T"/>
    <s v="SASO"/>
    <s v="Lagos"/>
    <s v="KATSINA"/>
    <s v="KATSINA"/>
    <s v="North"/>
    <n v="978"/>
    <n v="1956"/>
    <n v="1369"/>
    <n v="46944"/>
    <n v="2699999.999999995"/>
  </r>
  <r>
    <s v="AFEEZ AJIBADE/Ebenezer"/>
    <s v="NBL-DSL-30T-FLATBED"/>
    <s v="I'HS-30T-FLATBED"/>
    <s v="FLATBED"/>
    <s v="NBL-DSL"/>
    <s v="30T"/>
    <s v="I'HS"/>
    <s v="Lagos"/>
    <s v="Port Harcourt"/>
    <s v="Rivers"/>
    <s v="East"/>
    <n v="630"/>
    <n v="1260"/>
    <n v="882"/>
    <n v="30240"/>
    <n v="2790000"/>
  </r>
  <r>
    <s v="AFEEZ AJIBADE/Ebenezer"/>
    <s v="NBL-DSL-30T-FLATBED"/>
    <s v="I'HS-30T-FLATBED"/>
    <s v="FLATBED"/>
    <s v="NBL-DSL"/>
    <s v="30T"/>
    <s v="I'HS"/>
    <s v="Lagos"/>
    <s v="Abuja"/>
    <s v="FCT"/>
    <s v="North"/>
    <n v="755"/>
    <n v="1510"/>
    <n v="1057"/>
    <n v="36240"/>
    <n v="3300000"/>
  </r>
  <r>
    <s v="AFEEZ AJIBADE/Ebenezer"/>
    <s v="NBL-DSL-30T-FLATBED"/>
    <s v="I'HS-30T-FLATBED"/>
    <s v="FLATBED"/>
    <s v="NBL-DSL"/>
    <s v="30T"/>
    <s v="I'HS"/>
    <s v="Lagos"/>
    <s v="Kano"/>
    <s v="Kano"/>
    <s v="North"/>
    <n v="1100"/>
    <n v="2200"/>
    <n v="1540"/>
    <n v="52800"/>
    <n v="4420000"/>
  </r>
  <r>
    <s v="AFEEZ AJIBADE/Ebenezer"/>
    <s v="NBL-DSL-30T-FLATBED"/>
    <s v="I'HS-30T-FLATBED"/>
    <s v="FLATBED"/>
    <s v="NBL-DSL"/>
    <s v="30T"/>
    <s v="I'HS"/>
    <s v="Lagos"/>
    <s v="Ibadan "/>
    <s v="Oyo"/>
    <s v="West"/>
    <n v="120"/>
    <n v="240"/>
    <n v="168"/>
    <n v="5760"/>
    <n v="740000"/>
  </r>
  <r>
    <s v="AFEEZ AJIBADE/Ebenezer"/>
    <s v="NBL-DSL-30T-FLATBED"/>
    <s v="I'HS-30T-FLATBED"/>
    <s v="FLATBED"/>
    <s v="NBL-DSL"/>
    <s v="30T"/>
    <s v="I'HS"/>
    <s v="Lagos"/>
    <s v="IKM"/>
    <s v="Lagos"/>
    <s v="West"/>
    <n v="40"/>
    <n v="80"/>
    <n v="56"/>
    <n v="1920"/>
    <n v="330000"/>
  </r>
  <r>
    <s v="AFEEZ AJIBADE/Ebenezer"/>
    <s v="NBL-DSL-30T-FLATBED"/>
    <s v="I'HS-30T-FLATBED"/>
    <s v="FLATBED"/>
    <s v="NBL-DSL"/>
    <s v="30T"/>
    <s v="I'HS"/>
    <s v="Lagos"/>
    <s v="EPE"/>
    <s v="EPE"/>
    <s v="West"/>
    <n v="120"/>
    <n v="240"/>
    <n v="168"/>
    <n v="5760"/>
    <n v="970000"/>
  </r>
  <r>
    <s v="AFEEZ AJIBADE/Ebenezer"/>
    <s v="NBL-DSL-30T-FLATBED"/>
    <s v="I'HS-30T-FLATBED"/>
    <s v="FLATBED"/>
    <s v="NBL-DSL"/>
    <s v="30T"/>
    <s v="I'HS"/>
    <s v="Lagos"/>
    <s v="Kaduna"/>
    <s v="Kaduna"/>
    <s v="North"/>
    <n v="950"/>
    <n v="1900"/>
    <n v="1330"/>
    <n v="45600"/>
    <n v="3970000"/>
  </r>
  <r>
    <s v="AFEEZ AJIBADE/Ebenezer"/>
    <s v="NBL-DSL-30T-CONTAINARIZED"/>
    <s v="JAMARA-30T-CONTAINARIZED"/>
    <s v="CONTAINARIZED"/>
    <s v="NBL-DSL"/>
    <s v="30T"/>
    <s v="Jamara"/>
    <s v="Lagos"/>
    <s v="Ibadan"/>
    <s v="Ibadan"/>
    <m/>
    <n v="120.5"/>
    <n v="241"/>
    <n v="168"/>
    <n v="5784"/>
    <n v="660000"/>
  </r>
  <r>
    <s v="AFEEZ AJIBADE/Ebenezer"/>
    <s v="NBL-DSL-30T-CONTAINARIZED"/>
    <s v="JAMARA-30T-CONTAINARIZED"/>
    <s v="CONTAINARIZED"/>
    <s v="NBL-DSL"/>
    <s v="30T"/>
    <s v="Jamara"/>
    <s v="Lagos"/>
    <s v="EKITE"/>
    <s v="EKITE"/>
    <m/>
    <n v="353"/>
    <n v="706"/>
    <n v="494"/>
    <n v="16944"/>
    <n v="1590000"/>
  </r>
  <r>
    <s v="AFEEZ AJIBADE/Ebenezer"/>
    <s v="NBL-DSL-30T-CONTAINARIZED"/>
    <s v="JAMARA-30T-CONTAINARIZED"/>
    <s v="CONTAINARIZED"/>
    <s v="NBL-DSL"/>
    <s v="30T"/>
    <s v="Jamara"/>
    <s v="Lagos"/>
    <s v="ONDO"/>
    <s v="Ondo"/>
    <m/>
    <n v="304"/>
    <n v="608"/>
    <n v="425"/>
    <n v="14592"/>
    <n v="1470000"/>
  </r>
  <r>
    <s v="AFEEZ AJIBADE/Ebenezer"/>
    <s v="NBL-DSL-30T-CONTAINARIZED"/>
    <s v="JAMARA-30T-CONTAINARIZED"/>
    <s v="CONTAINARIZED"/>
    <s v="NBL-DSL"/>
    <s v="30T"/>
    <s v="Jamara"/>
    <s v="Lagos"/>
    <s v="OSUN"/>
    <s v="OSUN"/>
    <m/>
    <n v="220"/>
    <n v="440"/>
    <n v="308"/>
    <n v="10560"/>
    <n v="1090000"/>
  </r>
  <r>
    <s v="AFEEZ AJIBADE/Ebenezer"/>
    <s v="NBL-DSL-30T-CONTAINARIZED"/>
    <s v="JAMARA-30T-CONTAINARIZED"/>
    <s v="CONTAINARIZED"/>
    <s v="NBL-DSL"/>
    <s v="30T"/>
    <s v="Jamara"/>
    <s v="Lagos"/>
    <s v="KWARA"/>
    <s v="Kwara"/>
    <m/>
    <n v="297.5"/>
    <n v="595"/>
    <n v="416"/>
    <n v="14280"/>
    <n v="1280000"/>
  </r>
  <r>
    <s v="AFEEZ AJIBADE/Ebenezer"/>
    <s v="NBL-DSL-30T-CONTAINARIZED"/>
    <s v="JAMARA-30T-CONTAINARIZED"/>
    <s v="CONTAINARIZED"/>
    <s v="NBL-DSL"/>
    <s v="30T"/>
    <s v="Jamara"/>
    <s v="Lagos"/>
    <s v="OMU-ARAN"/>
    <s v="OMU-ARAN"/>
    <m/>
    <n v="317.5"/>
    <n v="635"/>
    <n v="444"/>
    <n v="15240"/>
    <n v="1500000"/>
  </r>
  <r>
    <s v="AFEEZ AJIBADE/Ebenezer"/>
    <s v="NBL-DSL-30T-CONTAINARIZED"/>
    <s v="JAMARA-30T-CONTAINARIZED"/>
    <s v="CONTAINARIZED"/>
    <s v="NBL-DSL"/>
    <s v="30T"/>
    <s v="Jamara"/>
    <s v="Lagos"/>
    <s v="ABEOKUTA"/>
    <s v="ABEOKUTA"/>
    <m/>
    <n v="100"/>
    <n v="200"/>
    <n v="140"/>
    <n v="4800"/>
    <n v="610000"/>
  </r>
  <r>
    <s v="AFEEZ AJIBADE/Ebenezer"/>
    <s v="NBL-DSL-30T-CONTAINARIZED"/>
    <s v="JAMARA-30T-CONTAINARIZED"/>
    <s v="CONTAINARIZED"/>
    <s v="NBL-DSL"/>
    <s v="30T"/>
    <s v="Jamara"/>
    <s v="Lagos"/>
    <s v="Benin"/>
    <s v="Benin"/>
    <m/>
    <n v="312"/>
    <n v="624"/>
    <n v="436"/>
    <n v="14976"/>
    <n v="1490000"/>
  </r>
  <r>
    <s v="AFEEZ AJIBADE/Ebenezer"/>
    <s v="NBL-DSL-30T-CONTAINARIZED"/>
    <s v="JAMARA-30T-CONTAINARIZED"/>
    <s v="CONTAINARIZED"/>
    <s v="NBL-DSL"/>
    <s v="30T"/>
    <s v="Jamara"/>
    <s v="Lagos"/>
    <s v="Abule-EGBA-Ijayi-Moshalasi-Kola-Sango"/>
    <s v="Abule-EGBA-Ijayi-Moshalasi-Kola-Sango"/>
    <m/>
    <n v="28.4"/>
    <n v="56.8"/>
    <n v="39"/>
    <n v="1363.2"/>
    <n v="440000"/>
  </r>
  <r>
    <s v="AFEEZ AJIBADE/Ebenezer"/>
    <s v="NBL-DSL-30T-CONTAINARIZED"/>
    <s v="JAMARA-30T-CONTAINARIZED"/>
    <s v="CONTAINARIZED"/>
    <s v="NBL-DSL"/>
    <s v="30T"/>
    <s v="Jamara"/>
    <s v="Lagos"/>
    <s v="Abule-EGBA-Ijayi-Moshalasi-Kola-Sango"/>
    <s v="Abule-EGBA-Ijayi-Moshalasi-Kola-Sango"/>
    <m/>
    <n v="28.4"/>
    <n v="56.8"/>
    <n v="39"/>
    <n v="1363.2"/>
    <n v="440000"/>
  </r>
  <r>
    <s v="AFEEZ AJIBADE/Ebenezer"/>
    <s v="NBL-DSL-30T-CONTAINARIZED"/>
    <s v="JAMARA-30T-CONTAINARIZED"/>
    <s v="CONTAINARIZED"/>
    <s v="NBL-DSL"/>
    <s v="30T"/>
    <s v="Jamara"/>
    <s v="Lagos"/>
    <s v="Abule-EGBA-Ijayi-Moshalasi-Kola-Sango"/>
    <s v="Abule-EGBA-Ijayi-Moshalasi-Kola-Sango"/>
    <m/>
    <n v="28.4"/>
    <n v="56.8"/>
    <n v="39"/>
    <n v="1363.2"/>
    <n v="440000"/>
  </r>
  <r>
    <s v="AFEEZ AJIBADE/Ebenezer"/>
    <s v="NBL-DSL-30T-CONTAINARIZED"/>
    <s v="JAMARA-30T-CONTAINARIZED"/>
    <s v="CONTAINARIZED"/>
    <s v="NBL-DSL"/>
    <s v="30T"/>
    <s v="Jamara"/>
    <s v="Lagos"/>
    <s v="Abule-EGBA-Ijayi-Moshalasi-Kola-Sango"/>
    <s v="Abule-EGBA-Ijayi-Moshalasi-Kola-Sango"/>
    <m/>
    <n v="28.4"/>
    <n v="56.8"/>
    <n v="39"/>
    <n v="1363.2"/>
    <n v="440000"/>
  </r>
  <r>
    <s v="AFEEZ AJIBADE/Ebenezer"/>
    <s v="NBL-DSL-30T-CONTAINARIZED"/>
    <s v="JAMARA-30T-CONTAINARIZED"/>
    <s v="CONTAINARIZED"/>
    <s v="NBL-DSL"/>
    <s v="30T"/>
    <s v="Jamara"/>
    <s v="Lagos"/>
    <s v="AGBARA-BADAGRI"/>
    <s v="AGBARA-BADAGRI"/>
    <m/>
    <n v="30"/>
    <n v="60"/>
    <n v="42"/>
    <n v="1440"/>
    <n v="440000"/>
  </r>
  <r>
    <s v="AFEEZ AJIBADE/Ebenezer"/>
    <s v="NBL-DSL-30T-CONTAINARIZED"/>
    <s v="JAMARA-30T-CONTAINARIZED"/>
    <s v="CONTAINARIZED"/>
    <s v="NBL-DSL"/>
    <s v="30T"/>
    <s v="Jamara"/>
    <s v="Lagos"/>
    <s v="FESTAC-MILE2 --AMOWO-OKOTA"/>
    <s v="FESTAC-MILE2 --AMOWO-OKOTA"/>
    <m/>
    <n v="47"/>
    <n v="94"/>
    <n v="65"/>
    <n v="2256"/>
    <n v="480000"/>
  </r>
  <r>
    <s v="AFEEZ AJIBADE/Ebenezer"/>
    <s v="NBL-DSL-30T-CONTAINARIZED"/>
    <s v="JAMARA-30T-CONTAINARIZED"/>
    <s v="CONTAINARIZED"/>
    <s v="NBL-DSL"/>
    <s v="30T"/>
    <s v="Jamara"/>
    <s v="Lagos"/>
    <s v="FESTAC-MILE2 --AMOWO-OKOTA"/>
    <s v="FESTAC-MILE2 --AMOWO-OKOTA"/>
    <m/>
    <n v="47"/>
    <n v="94"/>
    <n v="65"/>
    <n v="2256"/>
    <n v="480000"/>
  </r>
  <r>
    <s v="AFEEZ AJIBADE/Ebenezer"/>
    <s v="NBL-DSL-30T-CONTAINARIZED"/>
    <s v="JAMARA-30T-CONTAINARIZED"/>
    <s v="CONTAINARIZED"/>
    <s v="NBL-DSL"/>
    <s v="30T"/>
    <s v="Jamara"/>
    <s v="Lagos"/>
    <s v="ALABA"/>
    <s v="ALABA"/>
    <m/>
    <n v="25"/>
    <n v="50"/>
    <n v="35"/>
    <n v="1200"/>
    <n v="540000"/>
  </r>
  <r>
    <s v="AFEEZ AJIBADE/Ebenezer"/>
    <s v="NBL-DSL-30T-CONTAINARIZED"/>
    <s v="JAMARA-30T-CONTAINARIZED"/>
    <s v="CONTAINARIZED"/>
    <s v="NBL-DSL"/>
    <s v="30T"/>
    <s v="Jamara"/>
    <s v="Lagos"/>
    <s v="IKEJA-AGEGE-DOPEMU-MAGODO"/>
    <s v="IKEJA-AGEGE-DOPEMU-MAGODO"/>
    <m/>
    <n v="13.85"/>
    <n v="27.7"/>
    <n v="19"/>
    <n v="664.8"/>
    <n v="400000"/>
  </r>
  <r>
    <s v="AFEEZ AJIBADE/Ebenezer"/>
    <s v="NBL-DSL-30T-CONTAINARIZED"/>
    <s v="JAMARA-30T-CONTAINARIZED"/>
    <s v="CONTAINARIZED"/>
    <s v="NBL-DSL"/>
    <s v="30T"/>
    <s v="Jamara"/>
    <s v="Lagos"/>
    <s v="IKEJA-AGEGE-DOPEMU-MAGODO"/>
    <s v="IKEJA-AGEGE-DOPEMU-MAGODO"/>
    <m/>
    <n v="13.85"/>
    <n v="27.7"/>
    <n v="19"/>
    <n v="664.8"/>
    <n v="400000"/>
  </r>
  <r>
    <s v="AFEEZ AJIBADE/Ebenezer"/>
    <s v="NBL-DSL-30T-CONTAINARIZED"/>
    <s v="JAMARA-30T-CONTAINARIZED"/>
    <s v="CONTAINARIZED"/>
    <s v="NBL-DSL"/>
    <s v="30T"/>
    <s v="Jamara"/>
    <s v="Lagos"/>
    <s v="IKEJA-AGEGE-DOPEMU-MAGODO"/>
    <s v="IKEJA-AGEGE-DOPEMU-MAGODO"/>
    <m/>
    <n v="13.85"/>
    <n v="27.7"/>
    <n v="19"/>
    <n v="664.8"/>
    <n v="400000"/>
  </r>
  <r>
    <s v="AFEEZ AJIBADE/Ebenezer"/>
    <s v="NBL-DSL-30T-CONTAINARIZED"/>
    <s v="JAMARA-30T-CONTAINARIZED"/>
    <s v="CONTAINARIZED"/>
    <s v="NBL-DSL"/>
    <s v="30T"/>
    <s v="Jamara"/>
    <s v="Lagos"/>
    <s v="IKM-SHAGARI-EGIGBO-IPAJA-AYOBO-OKOKOMAIKO-OSHODI-ISOLO"/>
    <s v="IKM-SHAGARI-EGIGBO-IPAJA-AYOBO-OKOKOMAIKO-OSHODI-ISOLO"/>
    <m/>
    <n v="16.8"/>
    <n v="33.6"/>
    <n v="23"/>
    <n v="806.4000000000001"/>
    <n v="410000"/>
  </r>
  <r>
    <s v="AFEEZ AJIBADE/Ebenezer"/>
    <s v="NBL-DSL-30T-CONTAINARIZED"/>
    <s v="JAMARA-30T-CONTAINARIZED"/>
    <s v="CONTAINARIZED"/>
    <s v="NBL-DSL"/>
    <s v="30T"/>
    <s v="Jamara"/>
    <s v="Lagos"/>
    <s v="IKM-SHAGARI-EGIGBO-IPAJA-AYOBO-OKOKOMAIKO-OSHODI-ISOLO"/>
    <s v="IKM-SHAGARI-EGIGBO-IPAJA-AYOBO-OKOKOMAIKO-OSHODI-ISOLO"/>
    <m/>
    <n v="16.8"/>
    <n v="33.6"/>
    <n v="23"/>
    <n v="806.4000000000001"/>
    <n v="410000"/>
  </r>
  <r>
    <s v="AFEEZ AJIBADE/Ebenezer"/>
    <s v="NBL-DSL-30T-CONTAINARIZED"/>
    <s v="JAMARA-30T-CONTAINARIZED"/>
    <s v="CONTAINARIZED"/>
    <s v="NBL-DSL"/>
    <s v="30T"/>
    <s v="Jamara"/>
    <s v="Lagos"/>
    <s v="IKM-SHAGARI-EGIGBO-IPAJA-AYOBO-OKOKOMAIKO-OSHODI-ISOLO"/>
    <s v="IKM-SHAGARI-EGIGBO-IPAJA-AYOBO-OKOKOMAIKO-OSHODI-ISOLO"/>
    <m/>
    <n v="16.8"/>
    <n v="33.6"/>
    <n v="23"/>
    <n v="806.4000000000001"/>
    <n v="410000"/>
  </r>
  <r>
    <s v="AFEEZ AJIBADE/Ebenezer"/>
    <s v="NBL-DSL-30T-CONTAINARIZED"/>
    <s v="JAMARA-30T-CONTAINARIZED"/>
    <s v="CONTAINARIZED"/>
    <s v="NBL-DSL"/>
    <s v="30T"/>
    <s v="Jamara"/>
    <s v="Lagos"/>
    <s v="IKM-SHAGARI-EGIGBO-IPAJA-AYOBO-OKOKOMAIKO-OSHODI-ISOLO"/>
    <s v="IKM-SHAGARI-EGIGBO-IPAJA-AYOBO-OKOKOMAIKO-OSHODI-ISOLO"/>
    <m/>
    <n v="16.8"/>
    <n v="33.6"/>
    <n v="23"/>
    <n v="806.4000000000001"/>
    <n v="410000"/>
  </r>
  <r>
    <s v="AFEEZ AJIBADE/Ebenezer"/>
    <s v="NBL-DSL-30T-CONTAINARIZED"/>
    <s v="JAMARA-30T-CONTAINARIZED"/>
    <s v="CONTAINARIZED"/>
    <s v="NBL-DSL"/>
    <s v="30T"/>
    <s v="Jamara"/>
    <s v="Lagos"/>
    <s v="IKM-SHAGARI-EGIGBO-IPAJA-AYOBO-OKOKOMAIKO-OSHODI-ISOLO"/>
    <s v="IKM-SHAGARI-EGIGBO-IPAJA-AYOBO-OKOKOMAIKO-OSHODI-ISOLO"/>
    <m/>
    <n v="16.8"/>
    <n v="33.6"/>
    <n v="23"/>
    <n v="806.4000000000001"/>
    <n v="410000"/>
  </r>
  <r>
    <s v="AFEEZ AJIBADE/Ebenezer"/>
    <s v="NBL-DSL-30T-CONTAINARIZED"/>
    <s v="JAMARA-30T-CONTAINARIZED"/>
    <s v="CONTAINARIZED"/>
    <s v="NBL-DSL"/>
    <s v="30T"/>
    <s v="Jamara"/>
    <s v="Lagos"/>
    <s v="Ilupeju-GBD-APAPA-MUSHIN-OKOTA-FADEYI"/>
    <s v="Ilupeju-GBD-APAPA-MUSHIN-OKOTA-FADEYI"/>
    <m/>
    <n v="21.5"/>
    <n v="43"/>
    <n v="30"/>
    <n v="1032"/>
    <n v="420000"/>
  </r>
  <r>
    <s v="AFEEZ AJIBADE/Ebenezer"/>
    <s v="NBL-DSL-30T-CONTAINARIZED"/>
    <s v="JAMARA-30T-CONTAINARIZED"/>
    <s v="CONTAINARIZED"/>
    <s v="NBL-DSL"/>
    <s v="30T"/>
    <s v="Jamara"/>
    <s v="Lagos"/>
    <s v="Ilupeju-GBD-APAPA-MUSHIN-OKOTA-FADEYI"/>
    <s v="Ilupeju-GBD-APAPA-MUSHIN-OKOTA-FADEYI"/>
    <m/>
    <n v="21.5"/>
    <n v="43"/>
    <n v="30"/>
    <n v="1032"/>
    <n v="420000"/>
  </r>
  <r>
    <s v="AFEEZ AJIBADE/Ebenezer"/>
    <s v="NBL-DSL-30T-CONTAINARIZED"/>
    <s v="JAMARA-30T-CONTAINARIZED"/>
    <s v="CONTAINARIZED"/>
    <s v="NBL-DSL"/>
    <s v="30T"/>
    <s v="Jamara"/>
    <s v="Lagos"/>
    <s v="FESTAC-MILE2 --AMOWO-OKOTA"/>
    <s v="FESTAC-MILE2 --AMOWO-OKOTA"/>
    <m/>
    <n v="21.5"/>
    <n v="43"/>
    <n v="30"/>
    <n v="1032"/>
    <n v="420000"/>
  </r>
  <r>
    <s v="AFEEZ AJIBADE/Ebenezer"/>
    <s v="NBL-DSL-30T-CONTAINARIZED"/>
    <s v="JAMARA-30T-CONTAINARIZED"/>
    <s v="CONTAINARIZED"/>
    <s v="NBL-DSL"/>
    <s v="30T"/>
    <s v="Jamara"/>
    <s v="Lagos"/>
    <s v="Ilupeju-GBD-APAPA-MUSHIN-OKOTA-FADEYI"/>
    <s v="Ilupeju-GBD-APAPA-MUSHIN-OKOTA-FADEYI"/>
    <m/>
    <n v="21.5"/>
    <n v="43"/>
    <n v="30"/>
    <n v="1032"/>
    <n v="420000"/>
  </r>
  <r>
    <s v="AFEEZ AJIBADE/Ebenezer"/>
    <s v="NBL-DSL-30T-CONTAINARIZED"/>
    <s v="JAMARA-30T-CONTAINARIZED"/>
    <s v="CONTAINARIZED"/>
    <s v="NBL-DSL"/>
    <s v="30T"/>
    <s v="Jamara"/>
    <s v="Lagos"/>
    <s v="Ilupeju-GBD-APAPA-MUSHIN-OKOTA-FADEYI"/>
    <s v="Ilupeju-GBD-APAPA-MUSHIN-OKOTA-FADEYI"/>
    <m/>
    <n v="21.5"/>
    <n v="43"/>
    <n v="30"/>
    <n v="1032"/>
    <n v="420000"/>
  </r>
  <r>
    <s v="AFEEZ AJIBADE/Ebenezer"/>
    <s v="NBL-DSL-30T-CONTAINARIZED"/>
    <s v="JAMARA-30T-CONTAINARIZED"/>
    <s v="CONTAINARIZED"/>
    <s v="NBL-DSL"/>
    <s v="30T"/>
    <s v="Jamara"/>
    <s v="Lagos"/>
    <s v="Ilupeju-GBD-APAPA-MUSHIN-OKOTA-FADEYI"/>
    <s v="Ilupeju-GBD-APAPA-MUSHIN-OKOTA-FADEYI"/>
    <m/>
    <n v="21.5"/>
    <n v="43"/>
    <n v="30"/>
    <n v="1032"/>
    <n v="420000"/>
  </r>
  <r>
    <s v="AFEEZ AJIBADE/Ebenezer"/>
    <s v="NBL-DSL-30T-CONTAINARIZED"/>
    <s v="JAMARA-30T-CONTAINARIZED"/>
    <s v="CONTAINARIZED"/>
    <s v="NBL-DSL"/>
    <s v="30T"/>
    <s v="Jamara"/>
    <s v="Lagos"/>
    <s v="Ilupeju-GBD-APAPA-MUSHIN-OKOTA-FADEYI"/>
    <s v="Ilupeju-GBD-APAPA-MUSHIN-OKOTA-FADEYI"/>
    <m/>
    <n v="21.5"/>
    <n v="43"/>
    <n v="30"/>
    <n v="1032"/>
    <n v="420000"/>
  </r>
  <r>
    <s v="AFEEZ AJIBADE/Ebenezer"/>
    <s v="NBL-DSL-30T-CONTAINARIZED"/>
    <s v="JAMARA-30T-CONTAINARIZED"/>
    <s v="CONTAINARIZED"/>
    <s v="NBL-DSL"/>
    <s v="30T"/>
    <s v="Jamara"/>
    <s v="Lagos"/>
    <s v="KETU-IKORODU"/>
    <s v="KETU-IKORODU"/>
    <m/>
    <n v="37.5"/>
    <n v="75"/>
    <n v="52"/>
    <n v="1800"/>
    <n v="460000"/>
  </r>
  <r>
    <s v="AFEEZ AJIBADE/Ebenezer"/>
    <s v="NBL-DSL-30T-CONTAINARIZED"/>
    <s v="JAMARA-30T-CONTAINARIZED"/>
    <s v="CONTAINARIZED"/>
    <s v="NBL-DSL"/>
    <s v="30T"/>
    <s v="Jamara"/>
    <s v="Lagos"/>
    <s v="KETU-IKORODU"/>
    <s v="KETU-IKORODU"/>
    <m/>
    <n v="24.25"/>
    <n v="48.5"/>
    <n v="33"/>
    <n v="1164"/>
    <n v="430000"/>
  </r>
  <r>
    <s v="AFEEZ AJIBADE/Ebenezer"/>
    <s v="NBL-DSL-30T-CONTAINARIZED"/>
    <s v="JAMARA-30T-CONTAINARIZED"/>
    <s v="CONTAINARIZED"/>
    <s v="NBL-DSL"/>
    <s v="30T"/>
    <s v="Jamara"/>
    <s v="Lagos"/>
    <s v="LAGOS-ISLAND-MARINA"/>
    <s v="LAGOS-ISLAND-MARINA"/>
    <m/>
    <n v="23"/>
    <n v="46"/>
    <n v="32"/>
    <n v="1104"/>
    <n v="420000"/>
  </r>
  <r>
    <s v="AFEEZ AJIBADE/Ebenezer"/>
    <s v="NBL-DSL-30T-CONTAINARIZED"/>
    <s v="JAMARA-30T-CONTAINARIZED"/>
    <s v="CONTAINARIZED"/>
    <s v="NBL-DSL"/>
    <s v="30T"/>
    <s v="Jamara"/>
    <s v="Lagos"/>
    <s v="LAGOS-ISLAND-MARINA"/>
    <s v="LAGOS-ISLAND-MARINA"/>
    <m/>
    <n v="23"/>
    <n v="46"/>
    <n v="32"/>
    <n v="1104"/>
    <n v="420000"/>
  </r>
  <r>
    <s v="AFEEZ AJIBADE/Ebenezer"/>
    <s v="NBL-DSL-30T-CONTAINARIZED"/>
    <s v="JAMARA-30T-CONTAINARIZED"/>
    <s v="CONTAINARIZED"/>
    <s v="NBL-DSL"/>
    <s v="30T"/>
    <s v="Jamara"/>
    <s v="Lagos"/>
    <s v="Ojodu-Akute-Mowe"/>
    <s v="Ojodu-Akute-Mowe"/>
    <m/>
    <n v="37.6"/>
    <n v="75.2"/>
    <n v="52"/>
    <n v="1804.8"/>
    <n v="460000"/>
  </r>
  <r>
    <s v="AFEEZ AJIBADE/Ebenezer"/>
    <s v="NBL-DSL-30T-CONTAINARIZED"/>
    <s v="JAMARA-30T-CONTAINARIZED"/>
    <s v="CONTAINARIZED"/>
    <s v="NBL-DSL"/>
    <s v="30T"/>
    <s v="Jamara"/>
    <s v="Lagos"/>
    <s v="Ojodu-Akute-Mowe"/>
    <s v="Ojodu-Akute-Mowe"/>
    <m/>
    <n v="37.6"/>
    <n v="75.2"/>
    <n v="52"/>
    <n v="1804.8"/>
    <n v="460000"/>
  </r>
  <r>
    <s v="AFEEZ AJIBADE/Ebenezer"/>
    <s v="NBL-DSL-30T-CONTAINARIZED"/>
    <s v="JAMARA-30T-CONTAINARIZED"/>
    <s v="CONTAINARIZED"/>
    <s v="NBL-DSL"/>
    <s v="30T"/>
    <s v="Jamara"/>
    <s v="Lagos"/>
    <s v="Ojodu-Akute-Mowe"/>
    <s v="Ojodu-Akute-Mowe"/>
    <m/>
    <n v="37.6"/>
    <n v="75.2"/>
    <n v="52"/>
    <n v="1804.8"/>
    <n v="460000"/>
  </r>
  <r>
    <s v="AFEEZ AJIBADE/Ebenezer"/>
    <s v="NBL-DSL-30T-CONTAINARIZED"/>
    <s v="JAMARA-30T-CONTAINARIZED"/>
    <s v="CONTAINARIZED"/>
    <s v="NBL-DSL"/>
    <s v="30T"/>
    <s v="Jamara"/>
    <s v="Lagos"/>
    <s v="SURULELE-TEJESHU-YABA-EBUTE META-OYINGOBO"/>
    <s v="SURULELE-TEJESHU-YABA-EBUTE META-OYINGOBO"/>
    <m/>
    <n v="19"/>
    <n v="38"/>
    <n v="26"/>
    <n v="912"/>
    <n v="410000"/>
  </r>
  <r>
    <s v="AFEEZ AJIBADE/Ebenezer"/>
    <s v="NBL-DSL-30T-CONTAINARIZED"/>
    <s v="JAMARA-30T-CONTAINARIZED"/>
    <s v="CONTAINARIZED"/>
    <s v="NBL-DSL"/>
    <s v="30T"/>
    <s v="Jamara"/>
    <s v="Lagos"/>
    <s v="SURULELE-TEJESHU-YABA-EBUTE META-OYINGOBO"/>
    <s v="SURULELE-TEJESHU-YABA-EBUTE META-OYINGOBO"/>
    <m/>
    <n v="19"/>
    <n v="38"/>
    <n v="26"/>
    <n v="912"/>
    <n v="410000"/>
  </r>
  <r>
    <s v="AFEEZ AJIBADE/Ebenezer"/>
    <s v="NBL-DSL-30T-CONTAINARIZED"/>
    <s v="JAMARA-30T-CONTAINARIZED"/>
    <s v="CONTAINARIZED"/>
    <s v="NBL-DSL"/>
    <s v="30T"/>
    <s v="Jamara"/>
    <s v="Lagos"/>
    <s v="SURULELE-TEJESHU-YABA-EBUTE META-OYINGOBO"/>
    <s v="SURULELE-TEJESHU-YABA-EBUTE META-OYINGOBO"/>
    <m/>
    <n v="19"/>
    <n v="38"/>
    <n v="26"/>
    <n v="912"/>
    <n v="410000"/>
  </r>
  <r>
    <s v="AFEEZ AJIBADE/Ebenezer"/>
    <s v="NBL-DSL-30T-CONTAINARIZED"/>
    <s v="JAMARA-30T-CONTAINARIZED"/>
    <s v="CONTAINARIZED"/>
    <s v="NBL-DSL"/>
    <s v="30T"/>
    <s v="Jamara"/>
    <s v="Lagos"/>
    <s v="VI-Lekki-AJAH"/>
    <s v="VI-Lekki-AJAH"/>
    <m/>
    <n v="50"/>
    <n v="100"/>
    <n v="70"/>
    <n v="2400"/>
    <n v="490000"/>
  </r>
  <r>
    <s v="AFEEZ AJIBADE/Ebenezer"/>
    <s v="NBL-DSL-30T-CONTAINARIZED"/>
    <s v="JAMARA-30T-CONTAINARIZED"/>
    <s v="CONTAINARIZED"/>
    <s v="NBL-DSL"/>
    <s v="30T"/>
    <s v="Jamara"/>
    <s v="Lagos"/>
    <s v="VI-Lekki-AJAH"/>
    <s v="VI-Lekki-AJAH"/>
    <m/>
    <n v="39.65"/>
    <n v="79.3"/>
    <n v="55"/>
    <n v="1903.2"/>
    <n v="460000"/>
  </r>
  <r>
    <s v="AFEEZ AJIBADE/Ebenezer"/>
    <s v="NBL-DSL-30T-CONTAINARIZED"/>
    <s v="JAMARA-30T-CONTAINARIZED"/>
    <s v="CONTAINARIZED"/>
    <s v="NBL-DSL"/>
    <s v="30T"/>
    <s v="Jamara"/>
    <s v="Lagos"/>
    <s v="VI-Lekki-AJAH"/>
    <s v="VI-Lekki-AJAH"/>
    <m/>
    <n v="39.65"/>
    <n v="79.3"/>
    <n v="55"/>
    <n v="1903.2"/>
    <n v="460000"/>
  </r>
  <r>
    <s v="AFEEZ AJIBADE/Ebenezer"/>
    <s v="NBL-DSL-30T-CONTAINARIZED"/>
    <s v="JAMARA-30T-CONTAINARIZED"/>
    <s v="CONTAINARIZED"/>
    <s v="NBL-DSL"/>
    <s v="30T"/>
    <s v="Jamara"/>
    <s v="Lagos"/>
    <s v="VI-Lekki-AJAH"/>
    <s v="VI-Lekki-AJAH"/>
    <m/>
    <n v="39.65"/>
    <n v="79.3"/>
    <n v="55"/>
    <n v="1903.2"/>
    <n v="460000"/>
  </r>
  <r>
    <s v="AFEEZ AJIBADE/Ebenezer"/>
    <s v="NBL-DSL-30T-CONTAINARIZED"/>
    <s v="JAMARA-30T-CONTAINARIZED"/>
    <s v="CONTAINARIZED"/>
    <s v="NBL-DSL"/>
    <s v="30T"/>
    <s v="Jamara"/>
    <s v="Lagos"/>
    <s v="VI-Lekki-AJAH"/>
    <s v="VI-Lekki-AJAH"/>
    <m/>
    <n v="39.65"/>
    <n v="79.3"/>
    <n v="55"/>
    <n v="1903.2"/>
    <n v="460000"/>
  </r>
  <r>
    <s v="AFEEZ AJIBADE/Ebenezer"/>
    <s v="NBL-DSL-30T-FLATBED"/>
    <s v="I'HS-30T-FLATBED"/>
    <s v="FLATBED"/>
    <s v="NBL-DSL"/>
    <s v="30T"/>
    <s v="I'HS"/>
    <s v="Lagos"/>
    <s v="IKM"/>
    <s v="Lagos"/>
    <s v="West"/>
    <n v="40"/>
    <n v="80"/>
    <n v="56"/>
    <n v="1920"/>
    <n v="440000"/>
  </r>
  <r>
    <s v="AFEEZ AJIBADE/Ebenezer"/>
    <s v="NBL-DSL-30T-FLATBED"/>
    <s v="I'HS-30T-FLATBED"/>
    <s v="FLATBED"/>
    <s v="NBL-DSL"/>
    <s v="30T"/>
    <s v="I'HS"/>
    <s v="Lagos"/>
    <s v="EPE"/>
    <s v="EPE"/>
    <s v="West"/>
    <n v="120"/>
    <n v="240"/>
    <n v="168"/>
    <n v="5760"/>
    <n v="740000"/>
  </r>
  <r>
    <s v="AFEEZ AJIBADE/Ebenezer"/>
    <s v="NBL-DSL-30T-FLATBED"/>
    <s v="JMG-30T-FLATBED"/>
    <s v="FLATBED"/>
    <s v="NBL-DSL"/>
    <s v="30T"/>
    <s v="JMG"/>
    <s v="Lagos"/>
    <s v="IKM"/>
    <s v="Lagos"/>
    <s v="West"/>
    <n v="40"/>
    <n v="80"/>
    <n v="56"/>
    <n v="1920"/>
    <n v="440000"/>
  </r>
  <r>
    <s v="AFEEZ AJIBADE/Ebenezer"/>
    <s v="NBL-DSL-30T-FLATBED"/>
    <s v="JMG-30T-FLATBED"/>
    <s v="FLATBED"/>
    <s v="NBL-DSL"/>
    <s v="30T"/>
    <s v="JMG"/>
    <s v="Lagos"/>
    <s v="EPE"/>
    <s v="EPE"/>
    <s v="West"/>
    <n v="120"/>
    <n v="240"/>
    <n v="168"/>
    <n v="5760"/>
    <n v="740000"/>
  </r>
  <r>
    <s v="AFEEZ AJIBADE/Ebenezer"/>
    <s v="NBL-DSL-30T-JUMBO"/>
    <s v="JAT-30T-JUMBO"/>
    <s v="JUMBO"/>
    <s v="NBL-DSL"/>
    <s v="30T"/>
    <s v="JAT"/>
    <s v="IBADAN"/>
    <s v="Kano"/>
    <s v="Kano"/>
    <s v="North"/>
    <n v="945"/>
    <n v="1890"/>
    <n v="1323"/>
    <n v="45360"/>
    <n v="2200000"/>
  </r>
  <r>
    <s v="AFEEZ AJIBADE/Ebenezer"/>
    <s v="NBL-DSL-30T-JUMBO"/>
    <s v="JAT-30T-JUMBO"/>
    <s v="JUMBO"/>
    <s v="NBL-DSL"/>
    <s v="30T"/>
    <s v="JAT"/>
    <s v="IBADAN"/>
    <s v="Abuja"/>
    <s v="FCT"/>
    <s v="North"/>
    <n v="650"/>
    <n v="1300"/>
    <n v="910"/>
    <n v="31200"/>
    <n v="1800000"/>
  </r>
  <r>
    <s v="AFEEZ AJIBADE/Ebenezer"/>
    <s v="NBL-DSL-30T-JUMBO"/>
    <s v="JAT-30T-JUMBO"/>
    <s v="JUMBO"/>
    <s v="NBL-DSL"/>
    <s v="30T"/>
    <s v="JAT"/>
    <s v="IBADAN"/>
    <s v="Suleja"/>
    <s v="SULEJA"/>
    <s v="North"/>
    <n v="650"/>
    <n v="1300"/>
    <n v="910"/>
    <n v="31200"/>
    <n v="1750000"/>
  </r>
  <r>
    <s v="AFEEZ AJIBADE/Ebenezer"/>
    <s v="NBL-DSL-30T-JUMBO"/>
    <s v="JAT-30T-JUMBO"/>
    <s v="JUMBO"/>
    <s v="NBL-DSL"/>
    <s v="30T"/>
    <s v="JAT"/>
    <s v="IBADAN"/>
    <s v="Sokoto"/>
    <s v="Sokoto"/>
    <s v="North"/>
    <n v="863.5"/>
    <n v="1727"/>
    <n v="1208"/>
    <n v="41448"/>
    <n v="2600000"/>
  </r>
  <r>
    <s v="AFEEZ AJIBADE/Ebenezer"/>
    <s v="NBL-DSL-30T-JUMBO"/>
    <s v="JAT-30T-JUMBO"/>
    <s v="JUMBO"/>
    <s v="NBL-DSL"/>
    <s v="30T"/>
    <s v="JAT"/>
    <s v="IBADAN"/>
    <s v="Wukari"/>
    <s v="Taraba"/>
    <s v="North"/>
    <n v="910"/>
    <n v="1820"/>
    <n v="1274"/>
    <n v="43680"/>
    <n v="3000000"/>
  </r>
  <r>
    <s v="AFEEZ AJIBADE/Ebenezer"/>
    <s v="NBL-DSL-30T-JUMBO"/>
    <s v="JAT-30T-JUMBO"/>
    <s v="JUMBO"/>
    <s v="NBL-DSL"/>
    <s v="30T"/>
    <s v="JAT"/>
    <s v="IBADAN"/>
    <s v="Jalingo"/>
    <s v="Taraba"/>
    <s v="North"/>
    <n v="1350"/>
    <n v="2700"/>
    <n v="1890"/>
    <n v="64800"/>
    <n v="3000000"/>
  </r>
  <r>
    <s v="AFEEZ AJIBADE/Ebenezer"/>
    <s v="NBL-DSL-30T-JUMBO"/>
    <s v="JAT-30T-JUMBO"/>
    <s v="JUMBO"/>
    <s v="NBL-DSL"/>
    <s v="30T"/>
    <s v="JAT"/>
    <s v="IBADAN"/>
    <s v="KONTANGORA"/>
    <s v="niger"/>
    <s v="North"/>
    <n v="470"/>
    <n v="940"/>
    <n v="658"/>
    <n v="22560"/>
    <n v="1800000"/>
  </r>
  <r>
    <s v="AFEEZ AJIBADE/Ebenezer"/>
    <s v="NBL-DSL-30T-JUMBO"/>
    <s v="JAT-30T-JUMBO"/>
    <s v="JUMBO"/>
    <s v="NBL-DSL"/>
    <s v="30T"/>
    <s v="JAT"/>
    <s v="IBADAN"/>
    <s v="Gombe"/>
    <s v="Gombe"/>
    <s v="North"/>
    <n v="1110.5"/>
    <n v="2221"/>
    <n v="1554"/>
    <n v="53304"/>
    <n v="2600000"/>
  </r>
  <r>
    <s v="AFEEZ AJIBADE/Ebenezer"/>
    <s v="NBL-DSL-30T-JUMBO"/>
    <s v="JAT-30T-JUMBO"/>
    <s v="JUMBO"/>
    <s v="NBL-DSL"/>
    <s v="30T"/>
    <s v="JAT"/>
    <s v="IBADAN"/>
    <s v="Minna"/>
    <s v="niger"/>
    <s v="North"/>
    <n v="499"/>
    <n v="998"/>
    <n v="698"/>
    <n v="23952"/>
    <n v="1800000"/>
  </r>
  <r>
    <s v="AFEEZ AJIBADE/Ebenezer"/>
    <s v="NBL-DSL-30T-JUMBO"/>
    <s v="JAT-30T-JUMBO"/>
    <s v="JUMBO"/>
    <s v="NBL-DSL"/>
    <s v="30T"/>
    <s v="JAT"/>
    <s v="IBADAN"/>
    <s v="Zaria"/>
    <s v="Kaduna"/>
    <s v="North"/>
    <n v="797.5"/>
    <n v="1595"/>
    <n v="1116"/>
    <n v="38280"/>
    <n v="2100000"/>
  </r>
  <r>
    <s v="AFEEZ AJIBADE/Ebenezer"/>
    <s v="NBL-DSL-30T-JUMBO"/>
    <s v="JAT-30T-JUMBO"/>
    <s v="JUMBO"/>
    <s v="NBL-DSL"/>
    <s v="30T"/>
    <s v="JAT"/>
    <s v="IBADAN"/>
    <s v="FUNTUA"/>
    <s v="KASTINA"/>
    <s v="North"/>
    <n v="681.5"/>
    <n v="1363"/>
    <n v="954"/>
    <n v="32712"/>
    <n v="2150000"/>
  </r>
  <r>
    <s v="AFEEZ AJIBADE/Ebenezer"/>
    <s v="NBL-DSL-30T-JUMBO"/>
    <s v="JAT-30T-JUMBO"/>
    <s v="JUMBO"/>
    <s v="NBL-DSL"/>
    <s v="30T"/>
    <s v="JAT"/>
    <s v="IBADAN"/>
    <s v="Bauchi"/>
    <s v="Bauchi"/>
    <s v="North"/>
    <n v="1001"/>
    <n v="2002"/>
    <n v="1401"/>
    <n v="48048"/>
    <n v="2500000"/>
  </r>
  <r>
    <s v="AFEEZ AJIBADE/Ebenezer"/>
    <s v="NBL-DSL-30T-JUMBO"/>
    <s v="JAT-30T-JUMBO"/>
    <s v="JUMBO"/>
    <s v="NBL-DSL"/>
    <s v="30T"/>
    <s v="JAT"/>
    <s v="IBADAN"/>
    <s v="Yola"/>
    <s v="Adamawa"/>
    <s v="North"/>
    <n v="1250"/>
    <n v="2500"/>
    <n v="1750"/>
    <n v="60000"/>
    <n v="2900000"/>
  </r>
  <r>
    <s v="AFEEZ AJIBADE/Ebenezer"/>
    <s v="NBL-DSL-30T-JUMBO"/>
    <s v="JAT-30T-JUMBO"/>
    <s v="JUMBO"/>
    <s v="NBL-DSL"/>
    <s v="30T"/>
    <s v="JAT"/>
    <s v="IBADAN"/>
    <s v="Kaduna"/>
    <s v="Kaduna"/>
    <s v="North"/>
    <n v="719"/>
    <n v="1438"/>
    <n v="1006"/>
    <n v="34512"/>
    <n v="2100000"/>
  </r>
  <r>
    <s v="AFEEZ AJIBADE/Ebenezer"/>
    <s v="NBL-DSL-30T-JUMBO"/>
    <s v="JAT-30T-JUMBO"/>
    <s v="JUMBO"/>
    <s v="NBL-DSL"/>
    <s v="30T"/>
    <s v="JAT"/>
    <s v="IBADAN"/>
    <s v="Jos"/>
    <s v="Plateau"/>
    <s v="North"/>
    <n v="829"/>
    <n v="1658"/>
    <n v="1160"/>
    <n v="39792"/>
    <n v="2400000"/>
  </r>
  <r>
    <s v="AFEEZ AJIBADE/Ebenezer"/>
    <s v="NBL-DSL-30T-JUMBO"/>
    <s v="JAT-30T-JUMBO"/>
    <s v="JUMBO"/>
    <s v="NBL-DSL"/>
    <s v="30T"/>
    <s v="JAT"/>
    <s v="IBADAN"/>
    <s v="SAMINAKA"/>
    <s v="Kaduna"/>
    <s v="North"/>
    <n v="950"/>
    <n v="1900"/>
    <n v="1330"/>
    <n v="45600"/>
    <n v="2100000"/>
  </r>
  <r>
    <s v="AFEEZ AJIBADE/Ebenezer"/>
    <s v="NBL-DSL-30T-JUMBO"/>
    <s v="JAT-30T-JUMBO"/>
    <s v="JUMBO"/>
    <s v="NBL-DSL"/>
    <s v="30T"/>
    <s v="JAT"/>
    <s v="IBADAN"/>
    <s v="MAKURDI"/>
    <s v="Benue"/>
    <s v="East"/>
    <n v="624.5"/>
    <n v="1249"/>
    <n v="874"/>
    <n v="29976"/>
    <n v="2400000"/>
  </r>
  <r>
    <s v="AFEEZ AJIBADE/Ebenezer"/>
    <s v="NBL-DSL-30T-JUMBO"/>
    <s v="JAT-30T-JUMBO"/>
    <s v="JUMBO"/>
    <s v="NBL-DSL"/>
    <s v="30T"/>
    <s v="JAT"/>
    <s v="IBADAN"/>
    <s v="LAFIA"/>
    <s v="Nasarawa"/>
    <s v="North"/>
    <n v="850"/>
    <n v="1700"/>
    <n v="1190"/>
    <n v="40800"/>
    <n v="2200000"/>
  </r>
  <r>
    <s v="AFEEZ AJIBADE/Ebenezer"/>
    <s v="NBL-DSL-30T-JUMBO"/>
    <s v="JAT-30T-JUMBO"/>
    <s v="JUMBO"/>
    <s v="NBL-DSL"/>
    <s v="30T"/>
    <s v="JAT"/>
    <s v="IBADAN"/>
    <s v="Keffi"/>
    <s v="Nasarawa"/>
    <s v="North"/>
    <n v="736"/>
    <n v="1472"/>
    <n v="1030"/>
    <n v="35328"/>
    <n v="2200000"/>
  </r>
  <r>
    <s v="AFEEZ AJIBADE/Ebenezer"/>
    <s v="NBL-DSL-30T-JUMBO"/>
    <s v="JAT-30T-JUMBO"/>
    <s v="JUMBO"/>
    <s v="NBL-DSL"/>
    <s v="30T"/>
    <s v="JAT"/>
    <s v="IBADAN"/>
    <s v="Bida"/>
    <s v="niger"/>
    <s v="North"/>
    <n v="412.5"/>
    <n v="825"/>
    <n v="577"/>
    <n v="19800"/>
    <n v="1250000"/>
  </r>
  <r>
    <s v="AFEEZ AJIBADE/Ebenezer"/>
    <s v="NBL-DSL-30T-JUMBO"/>
    <s v="JAT-30T-JUMBO"/>
    <s v="JUMBO"/>
    <s v="NBL-DSL"/>
    <s v="30T"/>
    <s v="JAT"/>
    <s v="IBADAN"/>
    <s v="IDAH"/>
    <s v="Kogi"/>
    <s v="North"/>
    <n v="501"/>
    <n v="1002"/>
    <n v="701"/>
    <n v="24048"/>
    <n v="1500000"/>
  </r>
  <r>
    <s v="AFEEZ AJIBADE/Ebenezer"/>
    <s v="NBL-DSL-30T-JUMBO"/>
    <s v="JAT-30T-JUMBO"/>
    <s v="JUMBO"/>
    <s v="NBL-DSL"/>
    <s v="30T"/>
    <s v="JAT"/>
    <s v="IBADAN"/>
    <s v="Gusau"/>
    <s v="Zamfara"/>
    <s v="North"/>
    <n v="833"/>
    <n v="1666"/>
    <n v="1166"/>
    <n v="39984"/>
    <n v="2600000"/>
  </r>
  <r>
    <s v="AFEEZ AJIBADE/Ebenezer"/>
    <s v="NBL-DSL-30T-JUMBO"/>
    <s v="JAT-30T-JUMBO"/>
    <s v="JUMBO"/>
    <s v="NBL-DSL"/>
    <s v="30T"/>
    <s v="JAT"/>
    <s v="IBADAN"/>
    <s v="KABBA"/>
    <s v="Kogi"/>
    <s v="North"/>
    <n v="300"/>
    <n v="600"/>
    <n v="420"/>
    <n v="14400"/>
    <n v="1500000"/>
  </r>
  <r>
    <s v="AFEEZ AJIBADE/Ebenezer"/>
    <s v="NBL-DSL-30T-JUMBO"/>
    <s v="JAT-30T-JUMBO"/>
    <s v="JUMBO"/>
    <s v="NBL-DSL"/>
    <s v="30T"/>
    <s v="JAT"/>
    <s v="IBADAN"/>
    <s v="Takum"/>
    <s v="Taraba"/>
    <s v="Central"/>
    <n v="883"/>
    <n v="1766"/>
    <n v="1236"/>
    <n v="42384"/>
    <n v="3000000"/>
  </r>
  <r>
    <s v="AFEEZ AJIBADE/Ebenezer"/>
    <s v="NBL-DSL-30T-JUMBO"/>
    <s v="JAT-30T-JUMBO"/>
    <s v="JUMBO"/>
    <s v="NBL-DSL"/>
    <s v="30T"/>
    <s v="JAT"/>
    <s v="IBADAN"/>
    <s v="Lokoja"/>
    <s v="Kogi"/>
    <s v="North"/>
    <n v="500"/>
    <n v="1000"/>
    <n v="700"/>
    <n v="24000"/>
    <n v="1500000"/>
  </r>
  <r>
    <s v="AFEEZ AJIBADE/Ebenezer"/>
    <s v="NBL-DSL-30T-JUMBO"/>
    <s v="JAT-30T-JUMBO"/>
    <s v="JUMBO"/>
    <s v="NBL-DSL"/>
    <s v="30T"/>
    <s v="JAT"/>
    <s v="IBADAN"/>
    <s v="AYANGBA"/>
    <s v="Kogi"/>
    <s v="North"/>
    <n v="451.5"/>
    <n v="903"/>
    <n v="632"/>
    <n v="21672"/>
    <n v="1500000"/>
  </r>
  <r>
    <s v="AFEEZ AJIBADE/Ebenezer"/>
    <s v="NBL-DSL-30T-JUMBO"/>
    <s v="JAT-30T-JUMBO"/>
    <s v="JUMBO"/>
    <s v="NBL-DSL"/>
    <s v="30T"/>
    <s v="JAT"/>
    <s v="IBADAN"/>
    <s v="YAURI"/>
    <s v="kebbi"/>
    <s v="North"/>
    <n v="727.5"/>
    <n v="1455"/>
    <n v="1018"/>
    <n v="34920"/>
    <n v="1950000"/>
  </r>
  <r>
    <s v="AFEEZ AJIBADE/Ebenezer"/>
    <s v="NBL-DSL-30T-JUMBO"/>
    <s v="JAT-30T-JUMBO"/>
    <s v="JUMBO"/>
    <s v="NBL-DSL"/>
    <s v="30T"/>
    <s v="JAT"/>
    <s v="IBADAN"/>
    <s v="GANYE"/>
    <s v="Adamawa"/>
    <s v="North"/>
    <n v="1270"/>
    <n v="2540"/>
    <n v="1778"/>
    <n v="60960"/>
    <n v="2900000"/>
  </r>
  <r>
    <s v="AFEEZ AJIBADE/Ebenezer"/>
    <s v="NBL-DSL-30T-JUMBO"/>
    <s v="JAT-30T-JUMBO"/>
    <s v="JUMBO"/>
    <s v="NBL-DSL"/>
    <s v="30T"/>
    <s v="JAT"/>
    <s v="IBADAN"/>
    <s v="GBOKO"/>
    <s v="Benue"/>
    <s v="North"/>
    <n v="685"/>
    <n v="1370"/>
    <n v="959"/>
    <n v="32880"/>
    <n v="2400000"/>
  </r>
  <r>
    <s v="AFEEZ AJIBADE/Ebenezer"/>
    <s v="NBL-DSL-30T-JUMBO"/>
    <s v="JAT-30T-JUMBO"/>
    <s v="JUMBO"/>
    <s v="NBL-DSL"/>
    <s v="30T"/>
    <s v="JAT"/>
    <s v="IBADAN"/>
    <s v="POTISKUM"/>
    <s v="yobe"/>
    <s v="North"/>
    <n v="1174.5"/>
    <n v="2349"/>
    <n v="1644"/>
    <n v="56376"/>
    <n v="2700000"/>
  </r>
  <r>
    <s v="AFEEZ AJIBADE/Ebenezer"/>
    <s v="NBL-DSL-30T-JUMBO"/>
    <s v="JAT-30T-JUMBO"/>
    <s v="JUMBO"/>
    <s v="NBL-DSL"/>
    <s v="30T"/>
    <s v="JAT"/>
    <s v="IBADAN"/>
    <s v="Mubi"/>
    <s v="Adamawa"/>
    <s v="North"/>
    <n v="1443"/>
    <n v="2886"/>
    <n v="2020"/>
    <n v="69264"/>
    <n v="2900000"/>
  </r>
  <r>
    <s v="AFEEZ AJIBADE/Ebenezer"/>
    <s v="NBL-DSL-30T-JUMBO"/>
    <s v="JAT-30T-JUMBO"/>
    <s v="JUMBO"/>
    <s v="NBL-DSL"/>
    <s v="30T"/>
    <s v="JAT"/>
    <s v="IBADAN"/>
    <s v="ABAJI"/>
    <s v="niger"/>
    <s v="North"/>
    <n v="469.5"/>
    <n v="939"/>
    <n v="657"/>
    <n v="22536"/>
    <n v="1800000"/>
  </r>
  <r>
    <s v="AFEEZ AJIBADE/Ebenezer"/>
    <s v="NBL-DSL-30T-JUMBO"/>
    <s v="JAT-30T-JUMBO"/>
    <s v="JUMBO"/>
    <s v="NBL-DSL"/>
    <s v="30T"/>
    <s v="JAT"/>
    <s v="IBADAN"/>
    <s v="Tigina"/>
    <s v="niger"/>
    <s v="North"/>
    <n v="500"/>
    <n v="1000"/>
    <n v="700"/>
    <n v="24000"/>
    <n v="1800000"/>
  </r>
  <r>
    <s v="AFEEZ AJIBADE/Ebenezer"/>
    <s v="NBL-DSL-30T-JUMBO"/>
    <s v="JAT-30T-JUMBO"/>
    <s v="JUMBO"/>
    <s v="NBL-DSL"/>
    <s v="30T"/>
    <s v="JAT"/>
    <s v="IBADAN"/>
    <s v="Maiduguri"/>
    <s v="Borno"/>
    <s v="North"/>
    <n v="1404"/>
    <n v="2808"/>
    <n v="1965"/>
    <n v="67392"/>
    <n v="2900000"/>
  </r>
  <r>
    <s v="AFEEZ AJIBADE/Ebenezer"/>
    <s v="NBL-DSL-30T-JUMBO"/>
    <s v="JAT-30T-JUMBO"/>
    <s v="JUMBO"/>
    <s v="NBL-DSL"/>
    <s v="30T"/>
    <s v="JAT"/>
    <s v="IBADAN"/>
    <s v="SHANDAM"/>
    <s v="Plateau"/>
    <s v="North"/>
    <n v="899"/>
    <n v="1798"/>
    <n v="1258"/>
    <n v="43152"/>
    <n v="2400000"/>
  </r>
  <r>
    <s v="AFEEZ AJIBADE/Ebenezer"/>
    <s v="NBL-DSL-30T-JUMBO"/>
    <s v="JAT-30T-JUMBO"/>
    <s v="JUMBO"/>
    <s v="NBL-DSL"/>
    <s v="30T"/>
    <s v="JAT"/>
    <s v="IBADAN"/>
    <s v="KOKO"/>
    <s v="BIN YAURI"/>
    <s v="North"/>
    <n v="660"/>
    <n v="1320"/>
    <n v="924"/>
    <n v="31680"/>
    <n v="2000000"/>
  </r>
  <r>
    <s v="AFEEZ AJIBADE/Ebenezer"/>
    <s v="NBL-DSL-30T-JUMBO"/>
    <s v="JAT-30T-JUMBO"/>
    <s v="JUMBO"/>
    <s v="NBL-DSL"/>
    <s v="30T"/>
    <s v="JAT"/>
    <s v="IBADAN"/>
    <s v="Ibadan"/>
    <s v="Edo"/>
    <s v="South"/>
    <n v="285"/>
    <n v="570"/>
    <n v="399"/>
    <n v="13680"/>
    <n v="1100000"/>
  </r>
  <r>
    <s v="AFEEZ AJIBADE/Ebenezer"/>
    <s v="NBL-DSL-30T-JUMBO"/>
    <s v="JAT-30T-JUMBO"/>
    <s v="JUMBO"/>
    <s v="NBL-DSL"/>
    <s v="30T"/>
    <s v="JAT"/>
    <s v="IBADAN"/>
    <s v="EKPOMA"/>
    <s v="Delta"/>
    <s v="South"/>
    <n v="346"/>
    <n v="692"/>
    <n v="484"/>
    <n v="16608"/>
    <n v="1400000"/>
  </r>
  <r>
    <s v="AFEEZ AJIBADE/Ebenezer"/>
    <s v="NBL-DSL-30T-JUMBO"/>
    <s v="JAT-30T-JUMBO"/>
    <s v="JUMBO"/>
    <s v="NBL-DSL"/>
    <s v="30T"/>
    <s v="JAT"/>
    <s v="IBADAN"/>
    <s v="Aba"/>
    <s v="Abia"/>
    <s v="East"/>
    <n v="573"/>
    <n v="1146"/>
    <n v="802"/>
    <n v="27504"/>
    <n v="1850000"/>
  </r>
  <r>
    <s v="AFEEZ AJIBADE/Ebenezer"/>
    <s v="NBL-DSL-30T-JUMBO"/>
    <s v="JAT-30T-JUMBO"/>
    <s v="JUMBO"/>
    <s v="NBL-DSL"/>
    <s v="30T"/>
    <s v="JAT"/>
    <s v="IBADAN"/>
    <s v="Agbor"/>
    <s v="Delta"/>
    <s v="East"/>
    <n v="350"/>
    <n v="700"/>
    <n v="490"/>
    <n v="16800"/>
    <n v="1400000"/>
  </r>
  <r>
    <s v="AFEEZ AJIBADE/Ebenezer"/>
    <s v="NBL-DSL-30T-JUMBO"/>
    <s v="JAT-30T-JUMBO"/>
    <s v="JUMBO"/>
    <s v="NBL-DSL"/>
    <s v="30T"/>
    <s v="JAT"/>
    <s v="IBADAN"/>
    <s v="Onitsha"/>
    <s v="Anambra"/>
    <s v="East"/>
    <n v="471"/>
    <n v="942"/>
    <n v="659"/>
    <n v="22608"/>
    <n v="1500000"/>
  </r>
  <r>
    <s v="AFEEZ AJIBADE/Ebenezer"/>
    <s v="NBL-DSL-30T-JUMBO"/>
    <s v="JAT-30T-JUMBO"/>
    <s v="JUMBO"/>
    <s v="NBL-DSL"/>
    <s v="30T"/>
    <s v="JAT"/>
    <s v="IBADAN"/>
    <s v="Abakalike"/>
    <s v="Ebo"/>
    <s v="East"/>
    <n v="627"/>
    <n v="1254"/>
    <n v="877"/>
    <n v="30096"/>
    <n v="1850000"/>
  </r>
  <r>
    <s v="AFEEZ AJIBADE/Ebenezer"/>
    <s v="NBL-DSL-30T-JUMBO"/>
    <s v="JAT-30T-JUMBO"/>
    <s v="JUMBO"/>
    <s v="NBL-DSL"/>
    <s v="30T"/>
    <s v="JAT"/>
    <s v="IBADAN"/>
    <s v="OTUKPO"/>
    <s v="Benue"/>
    <s v="East"/>
    <n v="574"/>
    <n v="1148"/>
    <n v="803"/>
    <n v="27552"/>
    <n v="2400000"/>
  </r>
  <r>
    <s v="AFEEZ AJIBADE/Ebenezer"/>
    <s v="NBL-DSL-45T-JUMBO"/>
    <s v="Orca-45t-JUMBO"/>
    <s v="JUMBO"/>
    <s v="NBL-DSL"/>
    <s v="45T"/>
    <s v="Orca"/>
    <s v="Lagos"/>
    <s v="ASABA"/>
    <s v="ASABA"/>
    <s v="East"/>
    <n v="432.5"/>
    <n v="865"/>
    <n v="605"/>
    <n v="20760"/>
    <n v="2450000"/>
  </r>
  <r>
    <s v="AFEEZ AJIBADE/Ebenezer"/>
    <s v="NBL-DSL-45T-JUMBO"/>
    <s v="Lacasera-45T-JUMBO"/>
    <s v="JUMBO"/>
    <s v="NBL-DSL"/>
    <s v="45T"/>
    <s v="Lacasera"/>
    <s v="Lagos"/>
    <s v="Aba"/>
    <s v="Abia"/>
    <s v="East"/>
    <n v="608"/>
    <n v="1216"/>
    <n v="851"/>
    <n v="29184"/>
    <n v="2639315"/>
  </r>
  <r>
    <s v="AFEEZ AJIBADE/Ebenezer"/>
    <s v="NBL-DSL-45T-JUMBO"/>
    <s v="Lacasera-45T-JUMBO"/>
    <s v="JUMBO"/>
    <s v="NBL-DSL"/>
    <s v="45T"/>
    <s v="Lacasera"/>
    <s v="Lagos"/>
    <s v="Ikot Ekpene"/>
    <s v="Akwa Ibom"/>
    <s v="East"/>
    <n v="648"/>
    <n v="1296"/>
    <n v="907"/>
    <n v="31104"/>
    <n v="2746976"/>
  </r>
  <r>
    <s v="AFEEZ AJIBADE/Ebenezer"/>
    <s v="NBL-DSL-45T-JUMBO"/>
    <s v="Lacasera-45T-JUMBO"/>
    <s v="JUMBO"/>
    <s v="NBL-DSL"/>
    <s v="45T"/>
    <s v="Lacasera"/>
    <s v="Lagos"/>
    <s v="Oron"/>
    <s v="Akwa Ibom"/>
    <s v="East"/>
    <n v="740"/>
    <n v="1480"/>
    <n v="1036"/>
    <n v="35520"/>
    <n v="3244220"/>
  </r>
  <r>
    <s v="AFEEZ AJIBADE/Ebenezer"/>
    <s v="NBL-DSL-45T-JUMBO"/>
    <s v="Lacasera-45T-JUMBO"/>
    <s v="JUMBO"/>
    <s v="NBL-DSL"/>
    <s v="45T"/>
    <s v="Lacasera"/>
    <s v="Lagos"/>
    <s v="Onitsha"/>
    <s v="Anambra"/>
    <s v="East"/>
    <n v="459"/>
    <n v="918"/>
    <n v="642"/>
    <n v="22032"/>
    <n v="2248843"/>
  </r>
  <r>
    <s v="AFEEZ AJIBADE/Ebenezer"/>
    <s v="NBL-DSL-45T-JUMBO"/>
    <s v="Lacasera-45T-JUMBO"/>
    <s v="JUMBO"/>
    <s v="NBL-DSL"/>
    <s v="45T"/>
    <s v="Lacasera"/>
    <s v="Lagos"/>
    <s v="Yenagoa"/>
    <s v="Bayelsa"/>
    <s v="East"/>
    <n v="546"/>
    <n v="1092"/>
    <n v="764"/>
    <n v="26208"/>
    <n v="2690008"/>
  </r>
  <r>
    <s v="AFEEZ AJIBADE/Ebenezer"/>
    <s v="NBL-DSL-45T-JUMBO"/>
    <s v="Lacasera-45T-JUMBO"/>
    <s v="JUMBO"/>
    <s v="NBL-DSL"/>
    <s v="45T"/>
    <s v="Lacasera"/>
    <s v="Lagos"/>
    <s v="MAKURDI"/>
    <s v="Benue"/>
    <s v="East"/>
    <n v="808"/>
    <n v="1616"/>
    <n v="1131"/>
    <n v="38784"/>
    <n v="3808026"/>
  </r>
  <r>
    <s v="AFEEZ AJIBADE/Ebenezer"/>
    <s v="NBL-DSL-45T-JUMBO"/>
    <s v="Lacasera-45T-JUMBO"/>
    <s v="JUMBO"/>
    <s v="NBL-DSL"/>
    <s v="45T"/>
    <s v="Lacasera"/>
    <s v="Lagos"/>
    <s v="Calabar"/>
    <s v="C-River"/>
    <s v="East"/>
    <n v="754"/>
    <n v="1508"/>
    <n v="1055"/>
    <n v="36192"/>
    <n v="3164081"/>
  </r>
  <r>
    <s v="AFEEZ AJIBADE/Ebenezer"/>
    <s v="NBL-DSL-45T-JUMBO"/>
    <s v="Lacasera-45T-JUMBO"/>
    <s v="JUMBO"/>
    <s v="NBL-DSL"/>
    <s v="45T"/>
    <s v="Lacasera"/>
    <s v="Lagos"/>
    <s v="Abakalike"/>
    <s v="Ebo"/>
    <s v="East"/>
    <n v="633"/>
    <n v="1266"/>
    <n v="886"/>
    <n v="30384"/>
    <n v="2685524"/>
  </r>
  <r>
    <s v="AFEEZ AJIBADE/Ebenezer"/>
    <s v="NBL-DSL-45T-JUMBO"/>
    <s v="Lacasera-45T-JUMBO"/>
    <s v="JUMBO"/>
    <s v="NBL-DSL"/>
    <s v="45T"/>
    <s v="Lacasera"/>
    <s v="Lagos"/>
    <s v="Enugu"/>
    <s v="Enugu"/>
    <s v="East"/>
    <n v="560.5"/>
    <n v="1121"/>
    <n v="784"/>
    <n v="26904"/>
    <n v="2527817"/>
  </r>
  <r>
    <s v="AFEEZ AJIBADE/Ebenezer"/>
    <s v="NBL-DSL-45T-JUMBO"/>
    <s v="Lacasera-45T-JUMBO"/>
    <s v="JUMBO"/>
    <s v="NBL-DSL"/>
    <s v="45T"/>
    <s v="Lacasera"/>
    <s v="Lagos"/>
    <s v="Nsukka"/>
    <s v="Enu"/>
    <s v="East"/>
    <n v="563"/>
    <n v="1126"/>
    <n v="788"/>
    <n v="27024"/>
    <n v="2565819"/>
  </r>
  <r>
    <s v="AFEEZ AJIBADE/Ebenezer"/>
    <s v="NBL-DSL-45T-JUMBO"/>
    <s v="Lacasera-45T-JUMBO"/>
    <s v="JUMBO"/>
    <s v="NBL-DSL"/>
    <s v="45T"/>
    <s v="Lacasera"/>
    <s v="Lagos"/>
    <s v="Owerri"/>
    <s v="Imo"/>
    <s v="East"/>
    <n v="567"/>
    <n v="1134"/>
    <n v="793"/>
    <n v="27216"/>
    <n v="2264195"/>
  </r>
  <r>
    <s v="AFEEZ AJIBADE/Ebenezer"/>
    <s v="NBL-DSL-45T-JUMBO"/>
    <s v="Lacasera-45T-JUMBO"/>
    <s v="JUMBO"/>
    <s v="NBL-DSL"/>
    <s v="45T"/>
    <s v="Lacasera"/>
    <s v="Lagos"/>
    <s v="Port Harcourt"/>
    <s v="Rivers"/>
    <s v="East"/>
    <n v="601"/>
    <n v="1202"/>
    <n v="841"/>
    <n v="28848"/>
    <n v="2741678"/>
  </r>
  <r>
    <s v="AFEEZ AJIBADE/Ebenezer"/>
    <s v="NBL-DSL-45T-JUMBO"/>
    <s v="Lacasera-45T-JUMBO"/>
    <s v="JUMBO"/>
    <s v="NBL-DSL"/>
    <s v="45T"/>
    <s v="Lacasera"/>
    <s v="Lagos"/>
    <s v="Uyo"/>
    <s v="Uyo"/>
    <s v="East"/>
    <n v="678"/>
    <n v="1356"/>
    <n v="949"/>
    <n v="32544"/>
    <n v="2774125"/>
  </r>
  <r>
    <s v="AFEEZ AJIBADE/Ebenezer"/>
    <s v="NBL-DSL-45T-JUMBO"/>
    <s v="Lacasera-45T-JUMBO"/>
    <s v="JUMBO"/>
    <s v="NBL-DSL"/>
    <s v="45T"/>
    <s v="Lacasera"/>
    <s v="Lagos"/>
    <s v="Umunze"/>
    <s v="Anambra"/>
    <s v="East"/>
    <n v="529"/>
    <n v="1058"/>
    <n v="740"/>
    <n v="25392"/>
    <n v="2311067"/>
  </r>
  <r>
    <s v="AFEEZ AJIBADE/Ebenezer"/>
    <s v="NBL-DSL-45T-JUMBO"/>
    <s v="Lacasera-45T-JUMBO"/>
    <s v="JUMBO"/>
    <s v="NBL-DSL"/>
    <s v="45T"/>
    <s v="Lacasera"/>
    <s v="Lagos"/>
    <s v="Abak"/>
    <s v="Akwa Ibom"/>
    <s v="East"/>
    <n v="668.5"/>
    <n v="1337"/>
    <n v="935"/>
    <n v="32088"/>
    <n v="2854350"/>
  </r>
  <r>
    <s v="AFEEZ AJIBADE/Ebenezer"/>
    <s v="NBL-DSL-45T-JUMBO"/>
    <s v="Lacasera-45T-JUMBO"/>
    <s v="JUMBO"/>
    <s v="NBL-DSL"/>
    <s v="45T"/>
    <s v="Lacasera"/>
    <s v="Lagos"/>
    <s v="Awka"/>
    <s v="Anambra"/>
    <s v="East"/>
    <n v="498"/>
    <n v="996"/>
    <n v="697"/>
    <n v="23904"/>
    <n v="2347137"/>
  </r>
  <r>
    <s v="AFEEZ AJIBADE/Ebenezer"/>
    <s v="NBL-DSL-45T-JUMBO"/>
    <s v="Lacasera-45T-JUMBO"/>
    <s v="JUMBO"/>
    <s v="NBL-DSL"/>
    <s v="45T"/>
    <s v="Lacasera"/>
    <s v="Lagos"/>
    <s v="IKOM"/>
    <s v="C-River"/>
    <s v="East"/>
    <n v="776"/>
    <n v="1552"/>
    <n v="1086"/>
    <n v="37248"/>
    <n v="3185106"/>
  </r>
  <r>
    <s v="AFEEZ AJIBADE/Ebenezer"/>
    <s v="NBL-DSL-45T-JUMBO"/>
    <s v="Lacasera-45T-JUMBO"/>
    <s v="JUMBO"/>
    <s v="NBL-DSL"/>
    <s v="45T"/>
    <s v="Lacasera"/>
    <s v="Lagos"/>
    <s v="Obubra"/>
    <s v="G-River"/>
    <s v="East"/>
    <n v="717"/>
    <n v="1434"/>
    <n v="1003"/>
    <n v="34416"/>
    <n v="2952873"/>
  </r>
  <r>
    <s v="AFEEZ AJIBADE/Ebenezer"/>
    <s v="NBL-DSL-45T-JUMBO"/>
    <s v="Lacasera-45T-JUMBO"/>
    <s v="JUMBO"/>
    <s v="NBL-DSL"/>
    <s v="45T"/>
    <s v="Lacasera"/>
    <s v="Lagos"/>
    <s v="Bori"/>
    <s v="Rivers"/>
    <s v="East"/>
    <n v="654"/>
    <n v="1308"/>
    <n v="915"/>
    <n v="31392"/>
    <n v="2859457"/>
  </r>
  <r>
    <s v="AFEEZ AJIBADE/Ebenezer"/>
    <s v="NBL-DSL-45T-JUMBO"/>
    <s v="Lacasera-45T-JUMBO"/>
    <s v="JUMBO"/>
    <s v="NBL-DSL"/>
    <s v="45T"/>
    <s v="Lacasera"/>
    <s v="Lagos"/>
    <s v="Eket"/>
    <s v="Akwa Ibom"/>
    <s v="East"/>
    <n v="710.5"/>
    <n v="1421"/>
    <n v="994"/>
    <n v="34104"/>
    <n v="2921909"/>
  </r>
  <r>
    <s v="AFEEZ AJIBADE/Ebenezer"/>
    <s v="NBL-DSL-45T-JUMBO"/>
    <s v="Lacasera-45T-JUMBO"/>
    <s v="JUMBO"/>
    <s v="NBL-DSL"/>
    <s v="45T"/>
    <s v="Lacasera"/>
    <s v="Lagos"/>
    <s v="Bauchi"/>
    <s v="Bauchi"/>
    <s v="North"/>
    <n v="1185"/>
    <n v="2370"/>
    <n v="1659"/>
    <n v="56880"/>
    <n v="3671425"/>
  </r>
  <r>
    <s v="AFEEZ AJIBADE/Ebenezer"/>
    <s v="NBL-DSL-45T-JUMBO"/>
    <s v="Lacasera-45T-JUMBO"/>
    <s v="JUMBO"/>
    <s v="NBL-DSL"/>
    <s v="45T"/>
    <s v="Lacasera"/>
    <s v="Lagos"/>
    <s v="Maiduguri"/>
    <s v="Boro"/>
    <s v="North"/>
    <n v="1560"/>
    <n v="3120"/>
    <n v="2184"/>
    <n v="74880"/>
    <n v="4959375"/>
  </r>
  <r>
    <s v="AFEEZ AJIBADE/Ebenezer"/>
    <s v="NBL-DSL-45T-JUMBO"/>
    <s v="Lacasera-45T-JUMBO"/>
    <s v="JUMBO"/>
    <s v="NBL-DSL"/>
    <s v="45T"/>
    <s v="Lacasera"/>
    <s v="Lagos"/>
    <s v="Abuja"/>
    <s v="FCT"/>
    <s v="North"/>
    <n v="786.5"/>
    <n v="1573"/>
    <n v="1101"/>
    <n v="37752"/>
    <n v="3282163"/>
  </r>
  <r>
    <s v="AFEEZ AJIBADE/Ebenezer"/>
    <s v="NBL-DSL-45T-JUMBO"/>
    <s v="Lacasera-45T-JUMBO"/>
    <s v="JUMBO"/>
    <s v="NBL-DSL"/>
    <s v="45T"/>
    <s v="Lacasera"/>
    <s v="Lagos"/>
    <s v="Gombe"/>
    <s v="Gombe"/>
    <s v="North"/>
    <n v="1349"/>
    <n v="2698"/>
    <n v="1888"/>
    <n v="64752"/>
    <n v="4412705"/>
  </r>
  <r>
    <s v="AFEEZ AJIBADE/Ebenezer"/>
    <s v="NBL-DSL-45T-JUMBO"/>
    <s v="Lacasera-45T-JUMBO"/>
    <s v="JUMBO"/>
    <s v="NBL-DSL"/>
    <s v="45T"/>
    <s v="Lacasera"/>
    <s v="Lagos"/>
    <s v="Kaduna"/>
    <s v="Kaduna"/>
    <s v="North"/>
    <n v="794.5"/>
    <n v="1589"/>
    <n v="1112"/>
    <n v="38136"/>
    <n v="3403545"/>
  </r>
  <r>
    <s v="AFEEZ AJIBADE/Ebenezer"/>
    <s v="NBL-DSL-45T-JUMBO"/>
    <s v="Lacasera-45T-JUMBO"/>
    <s v="JUMBO"/>
    <s v="NBL-DSL"/>
    <s v="45T"/>
    <s v="Lacasera"/>
    <s v="Lagos"/>
    <s v="Zaria"/>
    <s v="Kaduna"/>
    <s v="North"/>
    <n v="878.5"/>
    <n v="1757"/>
    <n v="1229"/>
    <n v="42168"/>
    <n v="3512458"/>
  </r>
  <r>
    <s v="AFEEZ AJIBADE/Ebenezer"/>
    <s v="NBL-DSL-45T-JUMBO"/>
    <s v="Lacasera-45T-JUMBO"/>
    <s v="JUMBO"/>
    <s v="NBL-DSL"/>
    <s v="45T"/>
    <s v="Lacasera"/>
    <s v="Lagos"/>
    <s v="Kano"/>
    <s v="Kano"/>
    <s v="North"/>
    <n v="1013.5"/>
    <n v="2027"/>
    <n v="1418"/>
    <n v="48648"/>
    <n v="3710764"/>
  </r>
  <r>
    <s v="AFEEZ AJIBADE/Ebenezer"/>
    <s v="NBL-DSL-45T-JUMBO"/>
    <s v="Lacasera-45T-JUMBO"/>
    <s v="JUMBO"/>
    <s v="NBL-DSL"/>
    <s v="45T"/>
    <s v="Lacasera"/>
    <s v="Lagos"/>
    <s v="Ajaokuta"/>
    <s v="Kogi"/>
    <s v="North"/>
    <n v="539.5"/>
    <n v="1079"/>
    <n v="755"/>
    <n v="25896"/>
    <n v="2643863"/>
  </r>
  <r>
    <s v="AFEEZ AJIBADE/Ebenezer"/>
    <s v="NBL-DSL-45T-JUMBO"/>
    <s v="Lacasera-45T-JUMBO"/>
    <s v="JUMBO"/>
    <s v="NBL-DSL"/>
    <s v="45T"/>
    <s v="Lacasera"/>
    <s v="Lagos"/>
    <s v="Lokoja"/>
    <s v="Kogi"/>
    <s v="Central"/>
    <n v="548.5"/>
    <n v="1097"/>
    <n v="767"/>
    <n v="26328"/>
    <n v="2599205"/>
  </r>
  <r>
    <s v="AFEEZ AJIBADE/Ebenezer"/>
    <s v="NBL-DSL-45T-JUMBO"/>
    <s v="Lacasera-45T-JUMBO"/>
    <s v="JUMBO"/>
    <s v="NBL-DSL"/>
    <s v="45T"/>
    <s v="Lacasera"/>
    <s v="Lagos"/>
    <s v="Ayangba"/>
    <s v="Kogi"/>
    <s v="Central"/>
    <n v="587"/>
    <n v="1174"/>
    <n v="821"/>
    <n v="28176"/>
    <n v="2611351"/>
  </r>
  <r>
    <s v="AFEEZ AJIBADE/Ebenezer"/>
    <s v="NBL-DSL-45T-JUMBO"/>
    <s v="Lacasera-45T-JUMBO"/>
    <s v="JUMBO"/>
    <s v="NBL-DSL"/>
    <s v="45T"/>
    <s v="Lacasera"/>
    <s v="Lagos"/>
    <s v="Okene"/>
    <s v="Kogi"/>
    <s v="North"/>
    <n v="475.5"/>
    <n v="951"/>
    <n v="665"/>
    <n v="22824"/>
    <n v="2453579"/>
  </r>
  <r>
    <s v="AFEEZ AJIBADE/Ebenezer"/>
    <s v="NBL-DSL-45T-JUMBO"/>
    <s v="Lacasera-45T-JUMBO"/>
    <s v="JUMBO"/>
    <s v="NBL-DSL"/>
    <s v="45T"/>
    <s v="Lacasera"/>
    <s v="Lagos"/>
    <s v="Akwanga"/>
    <s v="Nasarawa"/>
    <s v="North"/>
    <n v="904"/>
    <n v="1808"/>
    <n v="1265"/>
    <n v="43392"/>
    <n v="3592478"/>
  </r>
  <r>
    <s v="AFEEZ AJIBADE/Ebenezer"/>
    <s v="NBL-DSL-45T-JUMBO"/>
    <s v="Lacasera-45T-JUMBO"/>
    <s v="JUMBO"/>
    <s v="NBL-DSL"/>
    <s v="45T"/>
    <s v="Lacasera"/>
    <s v="Lagos"/>
    <s v="Keffi"/>
    <s v="Nasarawa"/>
    <s v="North"/>
    <n v="840"/>
    <n v="1680"/>
    <n v="1176"/>
    <n v="40320"/>
    <n v="3333587"/>
  </r>
  <r>
    <s v="AFEEZ AJIBADE/Ebenezer"/>
    <s v="NBL-DSL-45T-JUMBO"/>
    <s v="Lacasera-45T-JUMBO"/>
    <s v="JUMBO"/>
    <s v="NBL-DSL"/>
    <s v="45T"/>
    <s v="Lacasera"/>
    <s v="Lagos"/>
    <s v="Lafia"/>
    <s v="Nasarawa"/>
    <s v="North"/>
    <n v="907.5"/>
    <n v="1815"/>
    <n v="1270"/>
    <n v="43560"/>
    <n v="3684781"/>
  </r>
  <r>
    <s v="AFEEZ AJIBADE/Ebenezer"/>
    <s v="NBL-DSL-45T-JUMBO"/>
    <s v="Lacasera-45T-JUMBO"/>
    <s v="JUMBO"/>
    <s v="NBL-DSL"/>
    <s v="45T"/>
    <s v="Lacasera"/>
    <s v="Lagos"/>
    <s v="Kotongora"/>
    <s v="niger"/>
    <s v="North"/>
    <n v="584.5"/>
    <n v="1169"/>
    <n v="818"/>
    <n v="28056"/>
    <n v="3128754"/>
  </r>
  <r>
    <s v="AFEEZ AJIBADE/Ebenezer"/>
    <s v="NBL-DSL-45T-JUMBO"/>
    <s v="Lacasera-45T-JUMBO"/>
    <s v="JUMBO"/>
    <s v="NBL-DSL"/>
    <s v="45T"/>
    <s v="Lacasera"/>
    <s v="Lagos"/>
    <s v="Minna"/>
    <s v="niger"/>
    <s v="North"/>
    <n v="626.5"/>
    <n v="1253"/>
    <n v="877"/>
    <n v="30072"/>
    <n v="3091244"/>
  </r>
  <r>
    <s v="AFEEZ AJIBADE/Ebenezer"/>
    <s v="NBL-DSL-45T-JUMBO"/>
    <s v="Lacasera-45T-JUMBO"/>
    <s v="JUMBO"/>
    <s v="NBL-DSL"/>
    <s v="45T"/>
    <s v="Lacasera"/>
    <s v="Lagos"/>
    <s v="Jos"/>
    <s v="Plateau"/>
    <s v="North"/>
    <n v="1025"/>
    <n v="2050"/>
    <n v="1435"/>
    <n v="49200"/>
    <n v="3498710"/>
  </r>
  <r>
    <s v="AFEEZ AJIBADE/Ebenezer"/>
    <s v="NBL-DSL-45T-JUMBO"/>
    <s v="Lacasera-45T-JUMBO"/>
    <s v="JUMBO"/>
    <s v="NBL-DSL"/>
    <s v="45T"/>
    <s v="Lacasera"/>
    <s v="Lagos"/>
    <s v="Shendam"/>
    <s v="Plateau"/>
    <s v="North"/>
    <n v="1033"/>
    <n v="2066"/>
    <n v="1446"/>
    <n v="49584"/>
    <n v="4052524"/>
  </r>
  <r>
    <s v="AFEEZ AJIBADE/Ebenezer"/>
    <s v="NBL-DSL-45T-JUMBO"/>
    <s v="Lacasera-45T-JUMBO"/>
    <s v="JUMBO"/>
    <s v="NBL-DSL"/>
    <s v="45T"/>
    <s v="Lacasera"/>
    <s v="Lagos"/>
    <s v="Sokoto"/>
    <s v="Sokoto"/>
    <s v="North"/>
    <n v="991.5"/>
    <n v="1983"/>
    <n v="1388"/>
    <n v="47592"/>
    <n v="4204707"/>
  </r>
  <r>
    <s v="AFEEZ AJIBADE/Ebenezer"/>
    <s v="NBL-DSL-45T-JUMBO"/>
    <s v="Lacasera-45T-JUMBO"/>
    <s v="JUMBO"/>
    <s v="NBL-DSL"/>
    <s v="45T"/>
    <s v="Lacasera"/>
    <s v="Lagos"/>
    <s v="Birnin Kebbi"/>
    <s v="kebbi"/>
    <s v="North"/>
    <n v="885"/>
    <n v="1770"/>
    <n v="1239"/>
    <n v="42480"/>
    <n v="3863703"/>
  </r>
  <r>
    <s v="AFEEZ AJIBADE/Ebenezer"/>
    <s v="NBL-DSL-45T-JUMBO"/>
    <s v="Lacasera-45T-JUMBO"/>
    <s v="JUMBO"/>
    <s v="NBL-DSL"/>
    <s v="45T"/>
    <s v="Lacasera"/>
    <s v="Lagos"/>
    <s v="lella"/>
    <s v="Sokoto"/>
    <s v="North"/>
    <n v="995"/>
    <n v="1990"/>
    <n v="1393"/>
    <n v="47760"/>
    <n v="4257120"/>
  </r>
  <r>
    <s v="AFEEZ AJIBADE/Ebenezer"/>
    <s v="NBL-DSL-45T-JUMBO"/>
    <s v="Lacasera-45T-JUMBO"/>
    <s v="JUMBO"/>
    <s v="NBL-DSL"/>
    <s v="45T"/>
    <s v="Lacasera"/>
    <s v="Lagos"/>
    <s v="Jalingo"/>
    <s v="Taraba"/>
    <s v="North"/>
    <n v="1169"/>
    <n v="2338"/>
    <n v="1636"/>
    <n v="56112"/>
    <n v="4691569"/>
  </r>
  <r>
    <s v="AFEEZ AJIBADE/Ebenezer"/>
    <s v="NBL-DSL-45T-JUMBO"/>
    <s v="Lacasera-45T-JUMBO"/>
    <s v="JUMBO"/>
    <s v="NBL-DSL"/>
    <s v="45T"/>
    <s v="Lacasera"/>
    <s v="Lagos"/>
    <s v="Wukari"/>
    <s v="Taraba"/>
    <s v="North"/>
    <n v="948.5"/>
    <n v="1897"/>
    <n v="1327"/>
    <n v="45528"/>
    <n v="4132533"/>
  </r>
  <r>
    <s v="AFEEZ AJIBADE/Ebenezer"/>
    <s v="NBL-DSL-45T-JUMBO"/>
    <s v="Lacasera-45T-JUMBO"/>
    <s v="JUMBO"/>
    <s v="NBL-DSL"/>
    <s v="45T"/>
    <s v="Lacasera"/>
    <s v="Lagos"/>
    <s v="Gusau"/>
    <s v="Zamfara"/>
    <s v="North"/>
    <n v="880.5"/>
    <n v="1761"/>
    <n v="1232"/>
    <n v="42264"/>
    <n v="4109146"/>
  </r>
  <r>
    <s v="AFEEZ AJIBADE/Ebenezer"/>
    <s v="NBL-DSL-45T-JUMBO"/>
    <s v="Lacasera-45T-JUMBO"/>
    <s v="JUMBO"/>
    <s v="NBL-DSL"/>
    <s v="45T"/>
    <s v="Lacasera"/>
    <s v="Lagos"/>
    <s v="Yola"/>
    <s v="Adamawa"/>
    <s v="North"/>
    <n v="1332.5"/>
    <n v="2665"/>
    <n v="1865"/>
    <n v="63960"/>
    <n v="4860188"/>
  </r>
  <r>
    <s v="AFEEZ AJIBADE/Ebenezer"/>
    <s v="NBL-DSL-45T-JUMBO"/>
    <s v="Lacasera-45T-JUMBO"/>
    <s v="JUMBO"/>
    <s v="NBL-DSL"/>
    <s v="45T"/>
    <s v="Lacasera"/>
    <s v="Lagos"/>
    <s v="Mubi"/>
    <s v="Adamawa"/>
    <s v="North"/>
    <n v="1508"/>
    <n v="3016"/>
    <n v="2111"/>
    <n v="72384"/>
    <n v="4959375"/>
  </r>
  <r>
    <s v="AFEEZ AJIBADE/Ebenezer"/>
    <s v="NBL-DSL-45T-JUMBO"/>
    <s v="Lacasera-45T-JUMBO"/>
    <s v="JUMBO"/>
    <s v="NBL-DSL"/>
    <s v="45T"/>
    <s v="Lacasera"/>
    <s v="Lagos"/>
    <s v="Madagali"/>
    <s v="Adamawa"/>
    <s v="North"/>
    <n v="1711.5"/>
    <n v="3423"/>
    <n v="2396"/>
    <n v="82152"/>
    <n v="4959375"/>
  </r>
  <r>
    <s v="AFEEZ AJIBADE/Ebenezer"/>
    <s v="NBL-DSL-45T-JUMBO"/>
    <s v="Lacasera-45T-JUMBO"/>
    <s v="JUMBO"/>
    <s v="NBL-DSL"/>
    <s v="45T"/>
    <s v="Lacasera"/>
    <s v="Lagos"/>
    <s v="Bida"/>
    <s v="niger"/>
    <s v="North"/>
    <n v="541.5"/>
    <n v="1083"/>
    <n v="758"/>
    <n v="25992"/>
    <n v="3001708"/>
  </r>
  <r>
    <s v="AFEEZ AJIBADE/Ebenezer"/>
    <s v="NBL-DSL-45T-JUMBO"/>
    <s v="Lacasera-45T-JUMBO"/>
    <s v="JUMBO"/>
    <s v="NBL-DSL"/>
    <s v="45T"/>
    <s v="Lacasera"/>
    <s v="Lagos"/>
    <s v="Kastina"/>
    <s v="KASTINA"/>
    <s v="North"/>
    <n v="956"/>
    <n v="1912"/>
    <n v="1338"/>
    <n v="45888"/>
    <n v="3858651"/>
  </r>
  <r>
    <s v="AFEEZ AJIBADE/Ebenezer"/>
    <s v="NBL-DSL-45T-JUMBO"/>
    <s v="Lacasera-45T-JUMBO"/>
    <s v="JUMBO"/>
    <s v="NBL-DSL"/>
    <s v="45T"/>
    <s v="Lacasera"/>
    <s v="Lagos"/>
    <s v="Jebba"/>
    <s v="Kwara"/>
    <s v="West"/>
    <n v="374"/>
    <n v="748"/>
    <n v="523"/>
    <n v="17952"/>
    <n v="1538365"/>
  </r>
  <r>
    <s v="AFEEZ AJIBADE/Ebenezer"/>
    <s v="NBL-DSL-45T-JUMBO"/>
    <s v="Lacasera-45T-JUMBO"/>
    <s v="JUMBO"/>
    <s v="NBL-DSL"/>
    <s v="45T"/>
    <s v="Lacasera"/>
    <s v="Lagos"/>
    <s v="lorin"/>
    <s v="Kwara"/>
    <s v="West"/>
    <n v="305"/>
    <n v="610"/>
    <n v="427"/>
    <n v="14640"/>
    <n v="1349764"/>
  </r>
  <r>
    <s v="AFEEZ AJIBADE/Ebenezer"/>
    <s v="NBL-DSL-45T-JUMBO"/>
    <s v="Lacasera-45T-JUMBO"/>
    <s v="JUMBO"/>
    <s v="NBL-DSL"/>
    <s v="45T"/>
    <s v="Lacasera"/>
    <s v="Lagos"/>
    <s v="Offa"/>
    <s v="Kwara"/>
    <s v="West"/>
    <n v="278.5"/>
    <n v="557"/>
    <n v="389"/>
    <n v="13368"/>
    <n v="1349764"/>
  </r>
  <r>
    <s v="AFEEZ AJIBADE/Ebenezer"/>
    <s v="NBL-DSL-45T-JUMBO"/>
    <s v="Lacasera-45T-JUMBO"/>
    <s v="JUMBO"/>
    <s v="NBL-DSL"/>
    <s v="45T"/>
    <s v="Lacasera"/>
    <s v="Lagos"/>
    <s v="Akure"/>
    <s v="Ondo"/>
    <s v="West"/>
    <n v="301.5"/>
    <n v="603"/>
    <n v="422"/>
    <n v="14472"/>
    <n v="1429990"/>
  </r>
  <r>
    <s v="AFEEZ AJIBADE/Ebenezer"/>
    <s v="NBL-DSL-45T-JUMBO"/>
    <s v="Lacasera-45T-JUMBO"/>
    <s v="JUMBO"/>
    <s v="NBL-DSL"/>
    <s v="45T"/>
    <s v="Lacasera"/>
    <s v="Lagos"/>
    <s v="Ibadan"/>
    <s v="Oyo"/>
    <s v="West"/>
    <n v="135"/>
    <n v="270"/>
    <n v="189"/>
    <n v="6480"/>
    <n v="879460"/>
  </r>
  <r>
    <s v="AFEEZ AJIBADE/Ebenezer"/>
    <s v="NBL-DSL-45T-JUMBO"/>
    <s v="Lacasera-45T-JUMBO"/>
    <s v="JUMBO"/>
    <s v="NBL-DSL"/>
    <s v="45T"/>
    <s v="Lacasera"/>
    <s v="Lagos"/>
    <s v="Iseyin"/>
    <s v="Oyo"/>
    <s v="West"/>
    <n v="222.5"/>
    <n v="445"/>
    <n v="311"/>
    <n v="10680"/>
    <n v="1179460"/>
  </r>
  <r>
    <s v="AFEEZ AJIBADE/Ebenezer"/>
    <s v="NBL-DSL-45T-JUMBO"/>
    <s v="Lacasera-45T-JUMBO"/>
    <s v="JUMBO"/>
    <s v="NBL-DSL"/>
    <s v="45T"/>
    <s v="Lacasera"/>
    <s v="Lagos"/>
    <s v="lara"/>
    <s v="Ogun"/>
    <s v="West"/>
    <n v="43"/>
    <n v="86"/>
    <n v="60"/>
    <n v="2064"/>
    <n v="1083752"/>
  </r>
  <r>
    <s v="AFEEZ AJIBADE/Ebenezer"/>
    <s v="NBL-DSL-45T-JUMBO"/>
    <s v="Lacasera-45T-JUMBO"/>
    <s v="JUMBO"/>
    <s v="NBL-DSL"/>
    <s v="45T"/>
    <s v="Lacasera"/>
    <s v="Lagos"/>
    <s v="Oshogbo"/>
    <s v="Oshun"/>
    <s v="West"/>
    <n v="229.5"/>
    <n v="459"/>
    <n v="321"/>
    <n v="11016"/>
    <n v="1210425"/>
  </r>
  <r>
    <s v="AFEEZ AJIBADE/Ebenezer"/>
    <s v="NBL-DSL-45T-JUMBO"/>
    <s v="Lacasera-45T-JUMBO"/>
    <s v="JUMBO"/>
    <s v="NBL-DSL"/>
    <s v="45T"/>
    <s v="Lacasera"/>
    <s v="Lagos"/>
    <s v="Ado ekiti"/>
    <s v="Ekitl"/>
    <s v="West"/>
    <n v="325.5"/>
    <n v="651"/>
    <n v="455"/>
    <n v="15624"/>
    <n v="1673483"/>
  </r>
  <r>
    <s v="AFEEZ AJIBADE/Ebenezer"/>
    <s v="NBL-DSL-45T-JUMBO"/>
    <s v="Lacasera-45T-JUMBO"/>
    <s v="JUMBO"/>
    <s v="NBL-DSL"/>
    <s v="45T"/>
    <s v="Lacasera"/>
    <s v="Lagos"/>
    <s v="AUCHI"/>
    <s v="Edo"/>
    <s v="West"/>
    <n v="433"/>
    <n v="866"/>
    <n v="606"/>
    <n v="20784"/>
    <n v="2101354"/>
  </r>
  <r>
    <s v="AFEEZ AJIBADE/Ebenezer"/>
    <s v="NBL-DSL-45T-JUMBO"/>
    <s v="Lacasera-45T-JUMBO"/>
    <s v="JUMBO"/>
    <s v="NBL-DSL"/>
    <s v="45T"/>
    <s v="Lacasera"/>
    <s v="Lagos"/>
    <s v="Oja odan"/>
    <s v="Ogun"/>
    <s v="West"/>
    <n v="98.5"/>
    <n v="197"/>
    <n v="137"/>
    <n v="4728"/>
    <n v="907328"/>
  </r>
  <r>
    <s v="AFEEZ AJIBADE/Ebenezer"/>
    <s v="NBL-DSL-45T-JUMBO"/>
    <s v="Lacasera-45T-JUMBO"/>
    <s v="JUMBO"/>
    <s v="NBL-DSL"/>
    <s v="45T"/>
    <s v="Lacasera"/>
    <s v="Lagos"/>
    <s v="Kayama"/>
    <s v="Kwara"/>
    <s v="West"/>
    <n v="435"/>
    <n v="870"/>
    <n v="609"/>
    <n v="20880"/>
    <n v="1953504"/>
  </r>
  <r>
    <s v="AFEEZ AJIBADE/Ebenezer"/>
    <s v="NBL-DSL-45T-JUMBO"/>
    <s v="Lacasera-45T-JUMBO"/>
    <s v="JUMBO"/>
    <s v="NBL-DSL"/>
    <s v="45T"/>
    <s v="Lacasera"/>
    <s v="Lagos"/>
    <s v="Imeko"/>
    <s v="Ogun"/>
    <s v="West"/>
    <n v="179.5"/>
    <n v="359"/>
    <n v="251"/>
    <n v="8616"/>
    <n v="967816"/>
  </r>
  <r>
    <s v="AFEEZ AJIBADE/Ebenezer"/>
    <s v="NBL-DSL-45T-JUMBO"/>
    <s v="Lacasera-45T-JUMBO"/>
    <s v="JUMBO"/>
    <s v="NBL-DSL"/>
    <s v="45T"/>
    <s v="Lacasera"/>
    <s v="Lagos"/>
    <s v="Benin"/>
    <s v="Edo"/>
    <s v="West"/>
    <n v="320"/>
    <n v="640"/>
    <n v="448"/>
    <n v="15360"/>
    <n v="1634564"/>
  </r>
  <r>
    <s v="AFEEZ AJIBADE/Ebenezer"/>
    <s v="NBL-DSL-45T-JUMBO"/>
    <s v="Lacasera-45T-JUMBO"/>
    <s v="JUMBO"/>
    <s v="NBL-DSL"/>
    <s v="45T"/>
    <s v="Lacasera"/>
    <s v="Lagos"/>
    <s v="Uromi"/>
    <s v="Edo"/>
    <s v="west"/>
    <n v="413"/>
    <n v="826"/>
    <n v="578"/>
    <n v="19824"/>
    <n v="1831152"/>
  </r>
  <r>
    <s v="AFEEZ AJIBADE/Ebenezer"/>
    <s v="NBL-DSL-45T-JUMBO"/>
    <s v="Lacasera-45T-JUMBO"/>
    <s v="JUMBO"/>
    <s v="NBL-DSL"/>
    <s v="45T"/>
    <s v="Lacasera"/>
    <s v="Lagos"/>
    <s v="Warri"/>
    <s v="Delta"/>
    <s v="Central"/>
    <n v="426.5"/>
    <n v="853"/>
    <n v="597"/>
    <n v="20472"/>
    <n v="2052485"/>
  </r>
  <r>
    <s v="AFEEZ AJIBADE/Ebenezer"/>
    <s v="NBL-DSL-45T-JUMBO"/>
    <s v="Lacasera-45T-JUMBO"/>
    <s v="JUMBO"/>
    <s v="NBL-DSL"/>
    <s v="45T"/>
    <s v="Lacasera"/>
    <s v="Lagos"/>
    <s v="Zakiblarn"/>
    <s v="Benue"/>
    <s v="Central"/>
    <n v="900"/>
    <n v="1800"/>
    <n v="1260"/>
    <n v="43200"/>
    <n v="3808026"/>
  </r>
  <r>
    <s v="AFEEZ AJIBADE/Ebenezer"/>
    <s v="NBL-DSL-45T-JUMBO"/>
    <s v="Lacasera-45T-JUMBO"/>
    <s v="JUMBO"/>
    <s v="NBL-DSL"/>
    <s v="45T"/>
    <s v="Lacasera"/>
    <s v="Lagos"/>
    <s v="Kastina ala"/>
    <s v="Oenue"/>
    <s v="Central"/>
    <n v="849"/>
    <n v="1698"/>
    <n v="1188"/>
    <n v="40752"/>
    <n v="3381857"/>
  </r>
  <r>
    <s v="AFEEZ AJIBADE/Ebenezer"/>
    <s v="NBL-DSL-45T-JUMBO"/>
    <s v="Lacasera-45T-JUMBO"/>
    <s v="JUMBO"/>
    <s v="NBL-DSL"/>
    <s v="45T"/>
    <s v="Lacasera"/>
    <s v="Lagos"/>
    <s v="Adikpo"/>
    <s v="Benue"/>
    <s v="Central"/>
    <n v="817.5"/>
    <n v="1635"/>
    <n v="1144"/>
    <n v="39240"/>
    <n v="3317245"/>
  </r>
  <r>
    <s v="AFEEZ AJIBADE/Ebenezer"/>
    <s v="NBL-DSL-45T-JUMBO"/>
    <s v="Lacasera-45T-JUMBO"/>
    <s v="JUMBO"/>
    <s v="NBL-DSL"/>
    <s v="45T"/>
    <s v="Lacasera"/>
    <s v="Lagos"/>
    <s v="Takum"/>
    <s v="Taraba"/>
    <s v="Central"/>
    <n v="926.5"/>
    <n v="1853"/>
    <n v="1297"/>
    <n v="44472"/>
    <n v="3883637"/>
  </r>
  <r>
    <s v="AFEEZ AJIBADE/Ebenezer"/>
    <s v="NBL-DSL-45T-JUMBO"/>
    <s v="Lacasera-45T-JUMBO"/>
    <s v="JUMBO"/>
    <s v="NBL-DSL"/>
    <s v="45T"/>
    <s v="Lacasera"/>
    <s v="Lagos"/>
    <s v="Mutu biyu"/>
    <s v="Taraba"/>
    <s v="Central"/>
    <n v="1091.5"/>
    <n v="2183"/>
    <n v="1528"/>
    <n v="52392"/>
    <n v="3550950"/>
  </r>
  <r>
    <s v="AFEEZ AJIBADE/Ebenezer"/>
    <s v="NBL-DSL-45T-JUMBO"/>
    <s v="Lacasera-45T-JUMBO"/>
    <s v="JUMBO"/>
    <s v="NBL-DSL"/>
    <s v="45T"/>
    <s v="Lacasera"/>
    <s v="Lagos"/>
    <s v="Chikanda"/>
    <s v="Kwara"/>
    <s v="West"/>
    <n v="458"/>
    <n v="916"/>
    <n v="641"/>
    <n v="21984"/>
    <n v="2268319"/>
  </r>
  <r>
    <s v="AFEEZ AJIBADE/Ebenezer"/>
    <s v="NBL-DSL-45T-JUMBO"/>
    <s v="Lacasera-45T-JUMBO"/>
    <s v="JUMBO"/>
    <s v="NBL-DSL"/>
    <s v="45T"/>
    <s v="Lacasera"/>
    <s v="Lagos"/>
    <s v="Ifon"/>
    <s v="Ondo"/>
    <s v="West"/>
    <n v="372.5"/>
    <n v="745"/>
    <n v="521"/>
    <n v="17880"/>
    <n v="2052485"/>
  </r>
  <r>
    <s v="AFEEZ AJIBADE/Ebenezer"/>
    <s v="NBL-DSL-30T-JUMBO"/>
    <s v="BAJAJ-30T-JUMBO"/>
    <s v="JUMBO"/>
    <s v="NBL-DSL"/>
    <s v="30T"/>
    <s v="BAJAJ"/>
    <s v="Lagos"/>
    <s v="Abeokuta"/>
    <s v="Abeokuta"/>
    <s v="ABEOKUTA"/>
    <n v="100"/>
    <n v="200"/>
    <n v="140"/>
    <n v="4800"/>
    <n v="750000"/>
  </r>
  <r>
    <s v="AFEEZ AJIBADE/Ebenezer"/>
    <s v="NBL-DSL-30T-JUMBO"/>
    <s v="BAJAJ-30T-JUMBO"/>
    <s v="JUMBO"/>
    <s v="NBL-DSL"/>
    <s v="30T"/>
    <s v="BAJAJ"/>
    <s v="Lagos"/>
    <s v="Abuja"/>
    <s v="Abuja"/>
    <s v="Abuja"/>
    <n v="760"/>
    <n v="1520"/>
    <n v="1064"/>
    <n v="36480"/>
    <n v="3230000"/>
  </r>
  <r>
    <s v="AFEEZ AJIBADE/Ebenezer"/>
    <s v="NBL-DSL-30T-JUMBO"/>
    <s v="BAJAJ-30T-JUMBO"/>
    <s v="JUMBO"/>
    <s v="NBL-DSL"/>
    <s v="30T"/>
    <s v="BAJAJ"/>
    <s v="Lagos"/>
    <s v="Akure"/>
    <s v="Akure"/>
    <s v="Akure"/>
    <n v="310"/>
    <n v="620"/>
    <n v="434"/>
    <n v="14880"/>
    <n v="1470000"/>
  </r>
  <r>
    <s v="AFEEZ AJIBADE/Ebenezer"/>
    <s v="NBL-DSL-30T-JUMBO"/>
    <s v="BAJAJ-30T-JUMBO"/>
    <s v="JUMBO"/>
    <s v="NBL-DSL"/>
    <s v="30T"/>
    <s v="BAJAJ"/>
    <s v="Lagos"/>
    <s v="Ore"/>
    <s v="Ore"/>
    <s v="Ore"/>
    <n v="200"/>
    <n v="400"/>
    <n v="280"/>
    <n v="9600"/>
    <n v="1230000"/>
  </r>
  <r>
    <s v="AFEEZ AJIBADE/Ebenezer"/>
    <s v="NBL-DSL-30T-JUMBO"/>
    <s v="BAJAJ-30T-JUMBO"/>
    <s v="JUMBO"/>
    <s v="NBL-DSL"/>
    <s v="30T"/>
    <s v="BAJAJ"/>
    <s v="Lagos"/>
    <s v="Bauchi"/>
    <s v="Bauchi"/>
    <s v="Bauchi"/>
    <n v="1040"/>
    <n v="2080"/>
    <n v="1456"/>
    <n v="49920"/>
    <n v="4110000"/>
  </r>
  <r>
    <s v="AFEEZ AJIBADE/Ebenezer"/>
    <s v="NBL-DSL-30T-JUMBO"/>
    <s v="BAJAJ-30T-JUMBO"/>
    <s v="JUMBO"/>
    <s v="NBL-DSL"/>
    <s v="30T"/>
    <s v="BAJAJ"/>
    <s v="Lagos"/>
    <s v="Ibadan"/>
    <s v="Ibadan"/>
    <s v="Ibadan"/>
    <n v="120"/>
    <n v="240"/>
    <n v="168"/>
    <n v="5760"/>
    <n v="650000"/>
  </r>
  <r>
    <s v="AFEEZ AJIBADE/Ebenezer"/>
    <s v="NBL-DSL-30T-JUMBO"/>
    <s v="BAJAJ-30T-JUMBO"/>
    <s v="JUMBO"/>
    <s v="NBL-DSL"/>
    <s v="30T"/>
    <s v="BAJAJ"/>
    <s v="Lagos"/>
    <s v="Ijebu-Ode"/>
    <s v="Ijebu-Ode"/>
    <s v="Ijebu-Ode"/>
    <n v="110"/>
    <n v="220"/>
    <n v="154"/>
    <n v="5280"/>
    <n v="770000"/>
  </r>
  <r>
    <s v="AFEEZ AJIBADE/Ebenezer"/>
    <s v="NBL-DSL-30T-JUMBO"/>
    <s v="BAJAJ-30T-JUMBO"/>
    <s v="JUMBO"/>
    <s v="NBL-DSL"/>
    <s v="30T"/>
    <s v="BAJAJ"/>
    <s v="Lagos"/>
    <s v="Ilorin"/>
    <s v="Ilorin"/>
    <s v="Ilorin"/>
    <n v="310"/>
    <n v="620"/>
    <n v="434"/>
    <n v="14880"/>
    <n v="1470000"/>
  </r>
  <r>
    <s v="AFEEZ AJIBADE/Ebenezer"/>
    <s v="NBL-DSL-30T-JUMBO"/>
    <s v="BAJAJ-30T-JUMBO"/>
    <s v="JUMBO"/>
    <s v="NBL-DSL"/>
    <s v="30T"/>
    <s v="BAJAJ"/>
    <s v="Lagos"/>
    <s v="Kaduna"/>
    <s v="Kaduna"/>
    <s v="Kaduna"/>
    <n v="890"/>
    <n v="1780"/>
    <n v="1246"/>
    <n v="42720"/>
    <n v="3780000"/>
  </r>
  <r>
    <s v="AFEEZ AJIBADE/Ebenezer"/>
    <s v="NBL-DSL-30T-JUMBO"/>
    <s v="BAJAJ-30T-JUMBO"/>
    <s v="JUMBO"/>
    <s v="NBL-DSL"/>
    <s v="30T"/>
    <s v="BAJAJ"/>
    <s v="Lagos"/>
    <s v="Kano"/>
    <s v="Kano"/>
    <s v="Kano"/>
    <n v="1030"/>
    <n v="2060"/>
    <n v="1442"/>
    <n v="49440"/>
    <n v="4080000"/>
  </r>
  <r>
    <s v="AFEEZ AJIBADE/Ebenezer"/>
    <s v="NBL-DSL-30T-JUMBO"/>
    <s v="BAJAJ-30T-JUMBO"/>
    <s v="JUMBO"/>
    <s v="NBL-DSL"/>
    <s v="30T"/>
    <s v="BAJAJ"/>
    <s v="Lagos"/>
    <s v="Kontagora"/>
    <s v="Kontagora"/>
    <s v="Kontagora"/>
    <n v="640"/>
    <n v="1280"/>
    <n v="896"/>
    <n v="30720"/>
    <n v="2710000"/>
  </r>
  <r>
    <s v="AFEEZ AJIBADE/Ebenezer"/>
    <s v="NBL-DSL-30T-JUMBO"/>
    <s v="BAJAJ-30T-JUMBO"/>
    <s v="JUMBO"/>
    <s v="NBL-DSL"/>
    <s v="30T"/>
    <s v="BAJAJ"/>
    <s v="Lagos"/>
    <s v="Lafia"/>
    <s v="Lafia"/>
    <s v="Lafia"/>
    <n v="850"/>
    <n v="1700"/>
    <n v="1190"/>
    <n v="40800"/>
    <n v="3430000"/>
  </r>
  <r>
    <s v="AFEEZ AJIBADE/Ebenezer"/>
    <s v="NBL-DSL-30T-JUMBO"/>
    <s v="BAJAJ-30T-JUMBO"/>
    <s v="JUMBO"/>
    <s v="NBL-DSL"/>
    <s v="30T"/>
    <s v="BAJAJ"/>
    <s v="Lagos"/>
    <s v="Lokoja"/>
    <s v="Lokoja"/>
    <s v="Lokoja"/>
    <n v="470"/>
    <n v="940"/>
    <n v="658"/>
    <n v="22560"/>
    <n v="2080000"/>
  </r>
  <r>
    <s v="AFEEZ AJIBADE/Ebenezer"/>
    <s v="NBL-DSL-30T-JUMBO"/>
    <s v="BAJAJ-30T-JUMBO"/>
    <s v="JUMBO"/>
    <s v="NBL-DSL"/>
    <s v="30T"/>
    <s v="BAJAJ"/>
    <s v="Lagos"/>
    <s v="Maraba"/>
    <s v="Maraba"/>
    <s v="Maraba"/>
    <n v="790"/>
    <n v="1580"/>
    <n v="1106"/>
    <n v="37920"/>
    <n v="3300000"/>
  </r>
  <r>
    <s v="AFEEZ AJIBADE/Ebenezer"/>
    <s v="NBL-DSL-30T-JUMBO"/>
    <s v="BAJAJ-30T-JUMBO"/>
    <s v="JUMBO"/>
    <s v="NBL-DSL"/>
    <s v="30T"/>
    <s v="BAJAJ"/>
    <s v="Lagos"/>
    <s v="Ogbomosho"/>
    <s v="Ogbomosho"/>
    <s v="Ogbomosho"/>
    <n v="240"/>
    <n v="480"/>
    <n v="336"/>
    <n v="11520"/>
    <n v="1320000"/>
  </r>
  <r>
    <s v="AFEEZ AJIBADE/Ebenezer"/>
    <s v="NBL-DSL-30T-JUMBO"/>
    <s v="BAJAJ-30T-JUMBO"/>
    <s v="JUMBO"/>
    <s v="NBL-DSL"/>
    <s v="30T"/>
    <s v="BAJAJ"/>
    <s v="Lagos"/>
    <s v="Ogun "/>
    <s v="Ogun "/>
    <s v="Ogun "/>
    <n v="100"/>
    <n v="200"/>
    <n v="140"/>
    <n v="4800"/>
    <n v="750000"/>
  </r>
  <r>
    <s v="AFEEZ AJIBADE/Ebenezer"/>
    <s v="NBL-DSL-30T-JUMBO"/>
    <s v="BAJAJ-30T-JUMBO"/>
    <s v="JUMBO"/>
    <s v="NBL-DSL"/>
    <s v="30T"/>
    <s v="BAJAJ"/>
    <s v="Lagos"/>
    <s v="Onitsha"/>
    <s v="Onitsha"/>
    <s v="Onitsha"/>
    <n v="480"/>
    <n v="960"/>
    <n v="672"/>
    <n v="23040"/>
    <n v="1900000"/>
  </r>
  <r>
    <s v="AFEEZ AJIBADE/Ebenezer"/>
    <s v="NBL-DSL-30T-JUMBO"/>
    <s v="BAJAJ-30T-JUMBO"/>
    <s v="JUMBO"/>
    <s v="NBL-DSL"/>
    <s v="30T"/>
    <s v="BAJAJ"/>
    <s v="Lagos"/>
    <s v="Oyo"/>
    <s v="Oyo"/>
    <s v="Oyo"/>
    <n v="190"/>
    <n v="380"/>
    <n v="266"/>
    <n v="9120"/>
    <n v="1210000"/>
  </r>
  <r>
    <s v="AFEEZ AJIBADE/Ebenezer"/>
    <s v="NBL-DSL-30T-JUMBO"/>
    <s v="BAJAJ-30T-JUMBO"/>
    <s v="JUMBO"/>
    <s v="NBL-DSL"/>
    <s v="30T"/>
    <s v="BAJAJ"/>
    <s v="Lagos"/>
    <s v="Iseyin"/>
    <s v="Iseyin"/>
    <s v="Iseyin"/>
    <n v="220"/>
    <n v="440"/>
    <n v="308"/>
    <n v="10560"/>
    <n v="1270000"/>
  </r>
  <r>
    <s v="AFEEZ AJIBADE/Ebenezer"/>
    <s v="NBL-DSL-30T-JUMBO"/>
    <s v="BAJAJ-30T-JUMBO"/>
    <s v="JUMBO"/>
    <s v="NBL-DSL"/>
    <s v="30T"/>
    <s v="BAJAJ"/>
    <s v="Lagos"/>
    <s v="Shagamu"/>
    <s v="Shagamu"/>
    <s v="Shagamu"/>
    <n v="65"/>
    <n v="130"/>
    <n v="91"/>
    <n v="3120"/>
    <n v="670000"/>
  </r>
  <r>
    <s v="AFEEZ AJIBADE/Ebenezer"/>
    <s v="NBL-DSL-30T-JUMBO"/>
    <s v="BAJAJ-30T-JUMBO"/>
    <s v="JUMBO"/>
    <s v="NBL-DSL"/>
    <s v="30T"/>
    <s v="BAJAJ"/>
    <s v="Lagos"/>
    <s v="Sokoto"/>
    <s v="Sokoto"/>
    <s v="Sokoto"/>
    <n v="1080"/>
    <n v="2160"/>
    <n v="1512"/>
    <n v="51840"/>
    <n v="4450000"/>
  </r>
  <r>
    <s v="AFEEZ AJIBADE/Ebenezer"/>
    <s v="NBL-DSL-30T-JUMBO"/>
    <s v="BAJAJ-30T-JUMBO"/>
    <s v="JUMBO"/>
    <s v="NBL-DSL"/>
    <s v="30T"/>
    <s v="BAJAJ"/>
    <s v="Lagos"/>
    <s v="Zamfara (Gusau)"/>
    <s v="Zamfara (Gusau)"/>
    <s v="Zamfara (Gusau)"/>
    <n v="930"/>
    <n v="1860"/>
    <n v="1302"/>
    <n v="44640"/>
    <n v="3870000"/>
  </r>
  <r>
    <s v="AFEEZ AJIBADE/Ebenezer"/>
    <s v="NBL-DSL-30T-JUMBO"/>
    <s v="BAJAJ-30T-JUMBO"/>
    <s v="JUMBO"/>
    <s v="NBL-DSL"/>
    <s v="30T"/>
    <s v="BAJAJ"/>
    <s v="Lagos"/>
    <s v="Katsina"/>
    <s v="Katsina"/>
    <s v="Katsina"/>
    <n v="1150"/>
    <n v="2300"/>
    <n v="1610"/>
    <n v="55200"/>
    <n v="4610000"/>
  </r>
  <r>
    <s v="AFEEZ AJIBADE/Ebenezer"/>
    <s v="NBL-DSL-30T-JUMBO"/>
    <s v="BAJAJ-30T-JUMBO"/>
    <s v="JUMBO"/>
    <s v="NBL-DSL"/>
    <s v="30T"/>
    <s v="BAJAJ"/>
    <s v="Lagos"/>
    <s v="Yola"/>
    <s v="Yola"/>
    <s v="Yola"/>
    <n v="1250"/>
    <n v="2500"/>
    <n v="1750"/>
    <n v="60000"/>
    <n v="5090000"/>
  </r>
  <r>
    <s v="AFEEZ AJIBADE/Ebenezer"/>
    <s v="NBL-DSL-30T-JUMBO"/>
    <s v="BAJAJ-30T-JUMBO"/>
    <s v="JUMBO"/>
    <s v="NBL-DSL"/>
    <s v="30T"/>
    <s v="BAJAJ"/>
    <s v="Lagos"/>
    <s v="Saki"/>
    <s v="Saki"/>
    <s v="Saki"/>
    <n v="280"/>
    <n v="560"/>
    <n v="392"/>
    <n v="13440"/>
    <n v="1400000"/>
  </r>
  <r>
    <s v="AFEEZ AJIBADE/Ebenezer"/>
    <s v="NBL-DSL-30T-JUMBO"/>
    <s v="BAJAJ-30T-JUMBO"/>
    <s v="JUMBO"/>
    <s v="NBL-DSL"/>
    <s v="30T"/>
    <s v="BAJAJ"/>
    <s v="Lagos"/>
    <s v="Minna"/>
    <s v="Minna"/>
    <s v="Minna"/>
    <n v="590"/>
    <n v="1180"/>
    <n v="826"/>
    <n v="28320"/>
    <n v="2600000"/>
  </r>
  <r>
    <s v="AFEEZ AJIBADE/Ebenezer"/>
    <s v="NBL-DSL-30T-JUMBO"/>
    <s v="BAJAJ-30T-JUMBO"/>
    <s v="JUMBO"/>
    <s v="NBL-DSL"/>
    <s v="30T"/>
    <s v="BAJAJ"/>
    <s v="Lagos"/>
    <s v="Mokwa"/>
    <s v="Mokwa"/>
    <s v="Mokwa"/>
    <n v="460"/>
    <n v="920"/>
    <n v="644"/>
    <n v="22080"/>
    <n v="2060000"/>
  </r>
  <r>
    <s v="AFEEZ AJIBADE/Ebenezer"/>
    <s v="NBL-DSL-30T-JUMBO"/>
    <s v="BAJAJ-30T-JUMBO"/>
    <s v="JUMBO"/>
    <s v="NBL-DSL"/>
    <s v="30T"/>
    <s v="BAJAJ"/>
    <s v="Lagos"/>
    <s v="Aba"/>
    <s v="Aba"/>
    <s v="Aba"/>
    <n v="610"/>
    <n v="1220"/>
    <n v="854"/>
    <n v="29280"/>
    <n v="2650000"/>
  </r>
  <r>
    <s v="AFEEZ AJIBADE/Ebenezer"/>
    <s v="NBL-DSL-30T-JUMBO"/>
    <s v="BAJAJ-30T-JUMBO"/>
    <s v="JUMBO"/>
    <s v="NBL-DSL"/>
    <s v="30T"/>
    <s v="BAJAJ"/>
    <s v="Lagos"/>
    <s v="Enugu"/>
    <s v="Enugu"/>
    <s v="Enugu"/>
    <n v="580"/>
    <n v="1160"/>
    <n v="812"/>
    <n v="27840"/>
    <n v="2580000"/>
  </r>
  <r>
    <s v="AFEEZ AJIBADE/Ebenezer"/>
    <s v="NBL-DSL-30T-JUMBO"/>
    <s v="BAJAJ-30T-JUMBO"/>
    <s v="JUMBO"/>
    <s v="NBL-DSL"/>
    <s v="30T"/>
    <s v="BAJAJ"/>
    <s v="Lagos"/>
    <s v="Owerri"/>
    <s v="Owerri"/>
    <s v="Owerri"/>
    <n v="560"/>
    <n v="1120"/>
    <n v="784"/>
    <n v="26880"/>
    <n v="2540000"/>
  </r>
  <r>
    <s v="AFEEZ AJIBADE/Ebenezer"/>
    <s v="NBL-DSL-30T-JUMBO"/>
    <s v="BAJAJ-30T-JUMBO"/>
    <s v="JUMBO"/>
    <s v="NBL-DSL"/>
    <s v="30T"/>
    <s v="BAJAJ"/>
    <s v="Lagos"/>
    <s v="Port Harcourt"/>
    <s v="Port Harcourt"/>
    <s v="Port Harcourt"/>
    <n v="620"/>
    <n v="1240"/>
    <n v="868"/>
    <n v="29760"/>
    <n v="2670000"/>
  </r>
  <r>
    <s v="AFEEZ AJIBADE/Ebenezer"/>
    <s v="NBL-DSL-30T-JUMBO"/>
    <s v="BAJAJ-30T-JUMBO"/>
    <s v="JUMBO"/>
    <s v="NBL-DSL"/>
    <s v="30T"/>
    <s v="BAJAJ"/>
    <s v="Lagos"/>
    <s v="Warri"/>
    <s v="Warri"/>
    <s v="Warri"/>
    <n v="420"/>
    <n v="840"/>
    <n v="588"/>
    <n v="20160"/>
    <n v="1970000"/>
  </r>
  <r>
    <s v="AFEEZ AJIBADE/Ebenezer"/>
    <s v="NBL-DSL-30T-JUMBO"/>
    <s v="BAJAJ-30T-JUMBO"/>
    <s v="JUMBO"/>
    <s v="NBL-DSL"/>
    <s v="30T"/>
    <s v="BAJAJ"/>
    <s v="Lagos"/>
    <s v="Abakaliki"/>
    <s v="Abakaliki"/>
    <s v="Abakaliki"/>
    <n v="650"/>
    <n v="1300"/>
    <n v="910"/>
    <n v="31200"/>
    <n v="2730000"/>
  </r>
  <r>
    <s v="AFEEZ AJIBADE/Ebenezer"/>
    <s v="NBL-DSL-30T-JUMBO"/>
    <s v="BAJAJ-30T-JUMBO"/>
    <s v="JUMBO"/>
    <s v="NBL-DSL"/>
    <s v="30T"/>
    <s v="BAJAJ"/>
    <s v="Lagos"/>
    <s v="Benin City"/>
    <s v="Benin City"/>
    <s v="Benin City"/>
    <n v="320"/>
    <n v="640"/>
    <n v="448"/>
    <n v="15360"/>
    <n v="1490000"/>
  </r>
  <r>
    <s v="AFEEZ AJIBADE/Ebenezer"/>
    <s v="NBL-DSL-30T-JUMBO"/>
    <s v="BAJAJ-30T-JUMBO"/>
    <s v="JUMBO"/>
    <s v="NBL-DSL"/>
    <s v="30T"/>
    <s v="BAJAJ"/>
    <s v="Lagos"/>
    <s v="Sangotta (Sango-Otta)"/>
    <s v="Sangotta (Sango-Otta)"/>
    <s v="Sangotta (Sango-Otta)"/>
    <n v="30"/>
    <n v="60"/>
    <n v="42"/>
    <n v="1440"/>
    <n v="600000"/>
  </r>
  <r>
    <s v="AFEEZ AJIBADE/Ebenezer"/>
    <s v="NBL-DSL-30T-JUMBO"/>
    <s v="BAJAJ-30T-JUMBO"/>
    <s v="JUMBO"/>
    <s v="NBL-DSL"/>
    <s v="30T"/>
    <s v="BAJAJ"/>
    <s v="Lagos"/>
    <s v="Osogbo"/>
    <s v="Osogbo"/>
    <s v="Osogbo"/>
    <n v="240"/>
    <n v="480"/>
    <n v="336"/>
    <n v="11520"/>
    <n v="1320000"/>
  </r>
  <r>
    <s v="AFEEZ AJIBADE/Ebenezer"/>
    <s v="NBL-DSL-30T-JUMBO"/>
    <s v="BAJAJ-30T-JUMBO"/>
    <s v="JUMBO"/>
    <s v="NBL-DSL"/>
    <s v="30T"/>
    <s v="BAJAJ"/>
    <s v="Lagos"/>
    <s v="Ado-Ekiti"/>
    <s v="Ado-Ekiti"/>
    <s v="Ado-Ekiti"/>
    <n v="350"/>
    <n v="700"/>
    <n v="490"/>
    <n v="16800"/>
    <n v="1550000"/>
  </r>
  <r>
    <s v="AFEEZ AJIBADE/Ebenezer"/>
    <s v="NBL-DSL-30T-JUMBO"/>
    <s v="BAJAJ-30T-JUMBO"/>
    <s v="JUMBO"/>
    <s v="NBL-DSL"/>
    <s v="30T"/>
    <s v="BAJAJ"/>
    <s v="Lagos"/>
    <s v="MAKURDI"/>
    <s v="Makurdi"/>
    <s v="Makurdi"/>
    <n v="760"/>
    <n v="1520"/>
    <n v="1064"/>
    <n v="36480"/>
    <n v="3230000"/>
  </r>
  <r>
    <s v="AFEEZ AJIBADE/Ebenezer"/>
    <s v="NBL-DSL-30T-JUMBO"/>
    <s v="BAJAJ-30T-JUMBO"/>
    <s v="JUMBO"/>
    <s v="NBL-DSL"/>
    <s v="30T"/>
    <s v="BAJAJ"/>
    <s v="Lagos"/>
    <s v="Gboko"/>
    <s v="Gboko"/>
    <s v="Gboko"/>
    <n v="820"/>
    <n v="1640"/>
    <n v="1148"/>
    <n v="39360"/>
    <n v="3360000"/>
  </r>
  <r>
    <s v="AFEEZ AJIBADE/Ebenezer"/>
    <s v="NBL-DSL-30T-JUMBO"/>
    <s v="BAJAJ-30T-JUMBO"/>
    <s v="JUMBO"/>
    <s v="NBL-DSL"/>
    <s v="30T"/>
    <s v="BAJAJ"/>
    <s v="Lagos"/>
    <s v="Talata Mafara"/>
    <s v="Talata Mafara"/>
    <s v="Talata Mafara"/>
    <n v="970"/>
    <n v="1940"/>
    <n v="1358"/>
    <n v="46560"/>
    <n v="3950000"/>
  </r>
  <r>
    <s v="AFEEZ AJIBADE/Ebenezer"/>
    <s v="NBL-DSL-30T-JUMBO"/>
    <s v="BAJAJ-30T-JUMBO"/>
    <s v="JUMBO"/>
    <s v="NBL-DSL"/>
    <s v="30T"/>
    <s v="BAJAJ"/>
    <s v="Lagos"/>
    <s v="Saminaka"/>
    <s v="Saminaka"/>
    <s v="Saminaka"/>
    <n v="920"/>
    <n v="1840"/>
    <n v="1288"/>
    <n v="44160"/>
    <n v="3840000"/>
  </r>
  <r>
    <s v="AFEEZ AJIBADE/Ebenezer"/>
    <s v="NBL-DSL-30T-JUMBO"/>
    <s v="BAJAJ-30T-JUMBO"/>
    <s v="JUMBO"/>
    <s v="NBL-DSL"/>
    <s v="30T"/>
    <s v="BAJAJ"/>
    <s v="Lagos"/>
    <s v="Jebba"/>
    <s v="Jebba"/>
    <s v="Jebba"/>
    <n v="380"/>
    <n v="760"/>
    <n v="532"/>
    <n v="18240"/>
    <n v="1880000"/>
  </r>
  <r>
    <s v="AFEEZ AJIBADE/Ebenezer"/>
    <s v="NBL-DSL-30T-JUMBO"/>
    <s v="BAJAJ-30T-JUMBO"/>
    <s v="JUMBO"/>
    <s v="NBL-DSL"/>
    <s v="30T"/>
    <s v="BAJAJ"/>
    <s v="Lagos"/>
    <s v="Jalingo"/>
    <s v="Jalingo"/>
    <s v="Jalingo"/>
    <n v="1120"/>
    <n v="2240"/>
    <n v="1568"/>
    <n v="53760"/>
    <n v="4540000"/>
  </r>
  <r>
    <s v="AFEEZ AJIBADE/Ebenezer"/>
    <s v="NBL-DSL-30T-JUMBO"/>
    <s v="BAJAJ-30T-JUMBO"/>
    <s v="JUMBO"/>
    <s v="NBL-DSL"/>
    <s v="30T"/>
    <s v="BAJAJ"/>
    <s v="Lagos"/>
    <s v="Jos"/>
    <s v="Jos"/>
    <s v="Jos"/>
    <n v="980"/>
    <n v="1960"/>
    <n v="1372"/>
    <n v="47040"/>
    <n v="3980000"/>
  </r>
  <r>
    <s v="AFEEZ AJIBADE/Ebenezer"/>
    <s v="NBL-DSL-30T-JUMBO"/>
    <s v="BAJAJ-30T-JUMBO"/>
    <s v="JUMBO"/>
    <s v="NBL-DSL"/>
    <s v="30T"/>
    <s v="BAJAJ"/>
    <s v="Lagos"/>
    <s v="Ile-Ife"/>
    <s v="Ile-Ife"/>
    <s v="Ile-Ife"/>
    <n v="220"/>
    <n v="440"/>
    <n v="308"/>
    <n v="10560"/>
    <n v="1270000"/>
  </r>
  <r>
    <s v="AFEEZ AJIBADE/Ebenezer"/>
    <s v="NBL-DSL-30T-JUMBO"/>
    <s v="BAJAJ-30T-JUMBO"/>
    <s v="JUMBO"/>
    <s v="NBL-DSL"/>
    <s v="30T"/>
    <s v="BAJAJ"/>
    <s v="Lagos"/>
    <s v="Idanre"/>
    <s v="Idanre"/>
    <s v="Idanre"/>
    <n v="330"/>
    <n v="660"/>
    <n v="462"/>
    <n v="15840"/>
    <n v="1510000"/>
  </r>
  <r>
    <s v="AFEEZ AJIBADE/Ebenezer"/>
    <s v="NBL-DSL-30T-JUMBO"/>
    <s v="BAJAJ-30T-JUMBO"/>
    <s v="JUMBO"/>
    <s v="NBL-DSL"/>
    <s v="30T"/>
    <s v="BAJAJ"/>
    <s v="Lagos"/>
    <s v="Gombe"/>
    <s v="Gombe"/>
    <s v="Gombe"/>
    <n v="1120"/>
    <n v="2240"/>
    <n v="1568"/>
    <n v="53760"/>
    <n v="4540000"/>
  </r>
  <r>
    <s v="AFEEZ AJIBADE/Ebenezer"/>
    <s v="NBL-DSL-30T-JUMBO"/>
    <s v="BAJAJ-30T-JUMBO"/>
    <s v="JUMBO"/>
    <s v="NBL-DSL"/>
    <s v="30T"/>
    <s v="BAJAJ"/>
    <s v="Lagos"/>
    <s v="Umuahia"/>
    <s v="Umuahia"/>
    <s v="Umuahia"/>
    <n v="590"/>
    <n v="1180"/>
    <n v="826"/>
    <n v="28320"/>
    <n v="2600000"/>
  </r>
  <r>
    <s v="AFEEZ AJIBADE/Ebenezer"/>
    <s v="NBL-DSL-30T-JUMBO"/>
    <s v="BAJAJ-30T-JUMBO"/>
    <s v="JUMBO"/>
    <s v="NBL-DSL"/>
    <s v="30T"/>
    <s v="BAJAJ"/>
    <s v="Lagos"/>
    <s v="Ilesa"/>
    <s v="Ilesa"/>
    <s v="Ilesa"/>
    <n v="250"/>
    <n v="500"/>
    <n v="350"/>
    <n v="12000"/>
    <n v="1340000"/>
  </r>
  <r>
    <s v="AFEEZ AJIBADE/Ebenezer"/>
    <s v="NBL-DSL-30T-JUMBO"/>
    <s v="BAJAJ-30T-JUMBO"/>
    <s v="JUMBO"/>
    <s v="NBL-DSL"/>
    <s v="30T"/>
    <s v="BAJAJ"/>
    <s v="Lagos"/>
    <s v="Ikare"/>
    <s v="Ikare"/>
    <s v="Ikare"/>
    <n v="290"/>
    <n v="580"/>
    <n v="406"/>
    <n v="13920"/>
    <n v="1420000"/>
  </r>
  <r>
    <s v="AFEEZ AJIBADE/Ebenezer"/>
    <s v="NBL-DSL-30T-JUMBO"/>
    <s v="BAJAJ-30T-JUMBO"/>
    <s v="JUMBO"/>
    <s v="NBL-DSL"/>
    <s v="30T"/>
    <s v="BAJAJ"/>
    <s v="Lagos"/>
    <s v="Offa"/>
    <s v="Offa"/>
    <s v="Offa"/>
    <n v="280"/>
    <n v="560"/>
    <n v="392"/>
    <n v="13440"/>
    <n v="1400000"/>
  </r>
  <r>
    <s v="AFEEZ AJIBADE/Ebenezer"/>
    <s v="NBL-DSL-30T-JUMBO"/>
    <s v="BAJAJ-30T-JUMBO"/>
    <s v="JUMBO"/>
    <s v="NBL-DSL"/>
    <s v="30T"/>
    <s v="BAJAJ"/>
    <s v="Lagos"/>
    <s v="Jigawa (Dutse)"/>
    <s v="Jigawa (Dutse)"/>
    <s v="Jigawa (Dutse)"/>
    <n v="1120"/>
    <n v="2240"/>
    <n v="1568"/>
    <n v="53760"/>
    <n v="4540000"/>
  </r>
  <r>
    <s v="AFEEZ AJIBADE/Ebenezer"/>
    <s v="NBL-DSL-30T-JUMBO"/>
    <s v="BAJAJ-30T-JUMBO"/>
    <s v="JUMBO"/>
    <s v="NBL-DSL"/>
    <s v="30T"/>
    <s v="BAJAJ"/>
    <s v="Lagos"/>
    <s v="Maiduguri"/>
    <s v="Maiduguri"/>
    <s v="Maiduguri"/>
    <n v="1500"/>
    <n v="3000"/>
    <n v="2100"/>
    <n v="72000"/>
    <n v="5890000"/>
  </r>
  <r>
    <s v="AFEEZ AJIBADE/Ebenezer"/>
    <s v="NBL-DSL-30T-JUMBO"/>
    <s v="BAJAJ-30T-JUMBO"/>
    <s v="JUMBO"/>
    <s v="NBL-DSL"/>
    <s v="30T"/>
    <s v="BAJAJ"/>
    <s v="Lagos"/>
    <s v="Ejigbo (Osun)"/>
    <s v="Ejigbo (Osun)"/>
    <s v="Ejigbo (Osun)"/>
    <n v="220"/>
    <n v="440"/>
    <n v="308"/>
    <n v="10560"/>
    <n v="1270000"/>
  </r>
  <r>
    <s v="AFEEZ AJIBADE/Ebenezer"/>
    <s v="NBL-DSL-30T-JUMBO"/>
    <s v="BAJAJ-30T-JUMBO"/>
    <s v="JUMBO"/>
    <s v="NBL-DSL"/>
    <s v="30T"/>
    <s v="BAJAJ"/>
    <s v="Lagos"/>
    <s v="Yauri"/>
    <s v="Yauri"/>
    <s v="Yauri"/>
    <n v="760"/>
    <n v="1520"/>
    <n v="1064"/>
    <n v="36480"/>
    <n v="3230000"/>
  </r>
  <r>
    <s v="AFEEZ AJIBADE/Ebenezer"/>
    <s v="NBL-DSL-30T-JUMBO"/>
    <s v="BAJAJ-30T-JUMBO"/>
    <s v="JUMBO"/>
    <s v="NBL-DSL"/>
    <s v="30T"/>
    <s v="BAJAJ"/>
    <s v="Lagos"/>
    <s v="Zaria"/>
    <s v="Zaria"/>
    <s v="Zaria"/>
    <n v="940"/>
    <n v="1880"/>
    <n v="1316"/>
    <n v="45120"/>
    <n v="3890000"/>
  </r>
  <r>
    <s v="AFEEZ AJIBADE/Ebenezer"/>
    <s v="NBL-DSL-30T-JUMBO"/>
    <s v="BAJAJ-30T-JUMBO"/>
    <s v="JUMBO"/>
    <s v="NBL-DSL"/>
    <s v="30T"/>
    <s v="BAJAJ"/>
    <s v="Lagos"/>
    <s v="Birnin Kebbi"/>
    <s v="Birnin Kebbi"/>
    <s v="Birnin Kebbi"/>
    <n v="980"/>
    <n v="1960"/>
    <n v="1372"/>
    <n v="47040"/>
    <n v="3980000"/>
  </r>
  <r>
    <s v="AFEEZ AJIBADE/Ebenezer"/>
    <s v="NBL-DSL-45T-JUMBO"/>
    <s v="ATLANTIC PVC-45T-JUMBO"/>
    <s v="JUMBO"/>
    <s v="NBL-DSL"/>
    <s v="45T"/>
    <s v="ATLANTIC PVC"/>
    <s v="Lagos"/>
    <s v="Aba"/>
    <s v="Abia"/>
    <s v="East"/>
    <n v="608"/>
    <n v="1216"/>
    <n v="851"/>
    <n v="29184"/>
    <n v="2750000"/>
  </r>
  <r>
    <s v="AFEEZ AJIBADE/Ebenezer"/>
    <s v="NBL-DSL-45T-JUMBO"/>
    <s v="ATLANTIC PVC-45T-JUMBO"/>
    <s v="JUMBO"/>
    <s v="NBL-DSL"/>
    <s v="45T"/>
    <s v="ATLANTIC PVC"/>
    <s v="Lagos"/>
    <s v="Ikot Ekpene"/>
    <s v="Akwa Ibom"/>
    <s v="East"/>
    <n v="648"/>
    <n v="1296"/>
    <n v="907"/>
    <n v="31104"/>
    <n v="3100000"/>
  </r>
  <r>
    <s v="AFEEZ AJIBADE/Ebenezer"/>
    <s v="NBL-DSL-45T-JUMBO"/>
    <s v="ATLANTIC PVC-45T-JUMBO"/>
    <s v="JUMBO"/>
    <s v="NBL-DSL"/>
    <s v="45T"/>
    <s v="ATLANTIC PVC"/>
    <s v="Lagos"/>
    <s v="Oron"/>
    <s v="Akwa Ibom"/>
    <s v="East"/>
    <n v="740"/>
    <n v="1480"/>
    <n v="1036"/>
    <n v="35520"/>
    <n v="3320000"/>
  </r>
  <r>
    <s v="AFEEZ AJIBADE/Ebenezer"/>
    <s v="NBL-DSL-45T-JUMBO"/>
    <s v="ATLANTIC PVC-45T-JUMBO"/>
    <s v="JUMBO"/>
    <s v="NBL-DSL"/>
    <s v="45T"/>
    <s v="ATLANTIC PVC"/>
    <s v="Lagos"/>
    <s v="Onitsha"/>
    <s v="Anambra"/>
    <s v="East"/>
    <n v="459"/>
    <n v="918"/>
    <n v="642"/>
    <n v="22032"/>
    <n v="2130000"/>
  </r>
  <r>
    <s v="AFEEZ AJIBADE/Ebenezer"/>
    <s v="NBL-DSL-45T-JUMBO"/>
    <s v="ATLANTIC PVC-45T-JUMBO"/>
    <s v="JUMBO"/>
    <s v="NBL-DSL"/>
    <s v="45T"/>
    <s v="ATLANTIC PVC"/>
    <s v="Lagos"/>
    <s v="Yenagoa"/>
    <s v="Bayelsa"/>
    <s v="East"/>
    <n v="546"/>
    <n v="1092"/>
    <n v="764"/>
    <n v="26208"/>
    <n v="2600000"/>
  </r>
  <r>
    <s v="AFEEZ AJIBADE/Ebenezer"/>
    <s v="NBL-DSL-45T-JUMBO"/>
    <s v="ATLANTIC PVC-45T-JUMBO"/>
    <s v="JUMBO"/>
    <s v="NBL-DSL"/>
    <s v="45T"/>
    <s v="ATLANTIC PVC"/>
    <s v="Lagos"/>
    <s v="MAKURDI"/>
    <s v="Benue"/>
    <s v="East"/>
    <n v="808"/>
    <n v="1616"/>
    <n v="1131"/>
    <n v="38784"/>
    <n v="3740000"/>
  </r>
  <r>
    <s v="AFEEZ AJIBADE/Ebenezer"/>
    <s v="NBL-DSL-45T-JUMBO"/>
    <s v="ATLANTIC PVC-45T-JUMBO"/>
    <s v="JUMBO"/>
    <s v="NBL-DSL"/>
    <s v="45T"/>
    <s v="ATLANTIC PVC"/>
    <s v="Lagos"/>
    <s v="Calabar"/>
    <s v="C-River"/>
    <s v="East"/>
    <n v="754"/>
    <n v="1508"/>
    <n v="1055"/>
    <n v="36192"/>
    <n v="3350000"/>
  </r>
  <r>
    <s v="AFEEZ AJIBADE/Ebenezer"/>
    <s v="NBL-DSL-45T-JUMBO"/>
    <s v="ATLANTIC PVC-45T-JUMBO"/>
    <s v="JUMBO"/>
    <s v="NBL-DSL"/>
    <s v="45T"/>
    <s v="ATLANTIC PVC"/>
    <s v="Lagos"/>
    <s v="Abakalike"/>
    <s v="Ebo"/>
    <s v="East"/>
    <n v="633"/>
    <n v="1266"/>
    <n v="886"/>
    <n v="30384"/>
    <n v="2800000"/>
  </r>
  <r>
    <s v="AFEEZ AJIBADE/Ebenezer"/>
    <s v="NBL-DSL-45T-JUMBO"/>
    <s v="ATLANTIC PVC-45T-JUMBO"/>
    <s v="JUMBO"/>
    <s v="NBL-DSL"/>
    <s v="45T"/>
    <s v="ATLANTIC PVC"/>
    <s v="Lagos"/>
    <s v="Enugu"/>
    <s v="Enugu"/>
    <s v="East"/>
    <n v="560.5"/>
    <n v="1121"/>
    <n v="784"/>
    <n v="26904"/>
    <n v="2630000"/>
  </r>
  <r>
    <s v="AFEEZ AJIBADE/Ebenezer"/>
    <s v="NBL-DSL-45T-JUMBO"/>
    <s v="ATLANTIC PVC-45T-JUMBO"/>
    <s v="JUMBO"/>
    <s v="NBL-DSL"/>
    <s v="45T"/>
    <s v="ATLANTIC PVC"/>
    <s v="Lagos"/>
    <s v="Nsukka"/>
    <s v="Enu"/>
    <s v="East"/>
    <n v="563"/>
    <n v="1126"/>
    <n v="788"/>
    <n v="27024"/>
    <n v="2640000"/>
  </r>
  <r>
    <s v="AFEEZ AJIBADE/Ebenezer"/>
    <s v="NBL-DSL-45T-JUMBO"/>
    <s v="ATLANTIC PVC-45T-JUMBO"/>
    <s v="JUMBO"/>
    <s v="NBL-DSL"/>
    <s v="45T"/>
    <s v="ATLANTIC PVC"/>
    <s v="Lagos"/>
    <s v="Owerri"/>
    <s v="Imo"/>
    <s v="East"/>
    <n v="567"/>
    <n v="1134"/>
    <n v="793"/>
    <n v="27216"/>
    <n v="2650000"/>
  </r>
  <r>
    <s v="AFEEZ AJIBADE/Ebenezer"/>
    <s v="NBL-DSL-45T-JUMBO"/>
    <s v="ATLANTIC PVC-45T-JUMBO"/>
    <s v="JUMBO"/>
    <s v="NBL-DSL"/>
    <s v="45T"/>
    <s v="ATLANTIC PVC"/>
    <s v="Lagos"/>
    <s v="Port Harcourt"/>
    <s v="Rivers"/>
    <s v="East"/>
    <n v="601"/>
    <n v="1202"/>
    <n v="841"/>
    <n v="28848"/>
    <n v="2730000"/>
  </r>
  <r>
    <s v="AFEEZ AJIBADE/Ebenezer"/>
    <s v="NBL-DSL-45T-JUMBO"/>
    <s v="ATLANTIC PVC-45T-JUMBO"/>
    <s v="JUMBO"/>
    <s v="NBL-DSL"/>
    <s v="45T"/>
    <s v="ATLANTIC PVC"/>
    <s v="Lagos"/>
    <s v="Uyo"/>
    <s v="Uyo"/>
    <s v="East"/>
    <n v="678"/>
    <n v="1356"/>
    <n v="949"/>
    <n v="32544"/>
    <n v="3170000"/>
  </r>
  <r>
    <s v="AFEEZ AJIBADE/Ebenezer"/>
    <s v="NBL-DSL-45T-JUMBO"/>
    <s v="ATLANTIC PVC-45T-JUMBO"/>
    <s v="JUMBO"/>
    <s v="NBL-DSL"/>
    <s v="45T"/>
    <s v="ATLANTIC PVC"/>
    <s v="Lagos"/>
    <s v="Umunze"/>
    <s v="Anambra"/>
    <s v="East"/>
    <n v="529"/>
    <n v="1058"/>
    <n v="740"/>
    <n v="25392"/>
    <n v="2560000"/>
  </r>
  <r>
    <s v="AFEEZ AJIBADE/Ebenezer"/>
    <s v="NBL-DSL-45T-JUMBO"/>
    <s v="ATLANTIC PVC-45T-JUMBO"/>
    <s v="JUMBO"/>
    <s v="NBL-DSL"/>
    <s v="45T"/>
    <s v="ATLANTIC PVC"/>
    <s v="Lagos"/>
    <s v="Abak"/>
    <s v="Akwa Ibom"/>
    <s v="East"/>
    <n v="668.5"/>
    <n v="1337"/>
    <n v="935"/>
    <n v="32088"/>
    <n v="3150000"/>
  </r>
  <r>
    <s v="AFEEZ AJIBADE/Ebenezer"/>
    <s v="NBL-DSL-45T-JUMBO"/>
    <s v="ATLANTIC PVC-45T-JUMBO"/>
    <s v="JUMBO"/>
    <s v="NBL-DSL"/>
    <s v="45T"/>
    <s v="ATLANTIC PVC"/>
    <s v="Lagos"/>
    <s v="Awka"/>
    <s v="Anambra"/>
    <s v="East"/>
    <n v="498"/>
    <n v="996"/>
    <n v="697"/>
    <n v="23904"/>
    <n v="2490000"/>
  </r>
  <r>
    <s v="AFEEZ AJIBADE/Ebenezer"/>
    <s v="NBL-DSL-45T-JUMBO"/>
    <s v="ATLANTIC PVC-45T-JUMBO"/>
    <s v="JUMBO"/>
    <s v="NBL-DSL"/>
    <s v="45T"/>
    <s v="ATLANTIC PVC"/>
    <s v="Lagos"/>
    <s v="IKOM"/>
    <s v="C-River"/>
    <s v="East"/>
    <n v="776"/>
    <n v="1552"/>
    <n v="1086"/>
    <n v="37248"/>
    <n v="3400000"/>
  </r>
  <r>
    <s v="AFEEZ AJIBADE/Ebenezer"/>
    <s v="NBL-DSL-45T-JUMBO"/>
    <s v="ATLANTIC PVC-45T-JUMBO"/>
    <s v="JUMBO"/>
    <s v="NBL-DSL"/>
    <s v="45T"/>
    <s v="ATLANTIC PVC"/>
    <s v="Lagos"/>
    <s v="Obubra"/>
    <s v="G-River"/>
    <s v="East"/>
    <n v="717"/>
    <n v="1434"/>
    <n v="1003"/>
    <n v="34416"/>
    <n v="3260000"/>
  </r>
  <r>
    <s v="AFEEZ AJIBADE/Ebenezer"/>
    <s v="NBL-DSL-45T-JUMBO"/>
    <s v="ATLANTIC PVC-45T-JUMBO"/>
    <s v="JUMBO"/>
    <s v="NBL-DSL"/>
    <s v="45T"/>
    <s v="ATLANTIC PVC"/>
    <s v="Lagos"/>
    <s v="Bori"/>
    <s v="Rivers"/>
    <s v="East"/>
    <n v="654"/>
    <n v="1308"/>
    <n v="915"/>
    <n v="31392"/>
    <n v="3120000"/>
  </r>
  <r>
    <s v="AFEEZ AJIBADE/Ebenezer"/>
    <s v="NBL-DSL-45T-JUMBO"/>
    <s v="ATLANTIC PVC-45T-JUMBO"/>
    <s v="JUMBO"/>
    <s v="NBL-DSL"/>
    <s v="45T"/>
    <s v="ATLANTIC PVC"/>
    <s v="Lagos"/>
    <s v="Eket"/>
    <s v="Akwa Ibom"/>
    <s v="East"/>
    <n v="710.5"/>
    <n v="1421"/>
    <n v="994"/>
    <n v="34104"/>
    <n v="3250000"/>
  </r>
  <r>
    <s v="AFEEZ AJIBADE/Ebenezer"/>
    <s v="NBL-DSL-45T-JUMBO"/>
    <s v="ATLANTIC PVC-45T-JUMBO"/>
    <s v="JUMBO"/>
    <s v="NBL-DSL"/>
    <s v="45T"/>
    <s v="ATLANTIC PVC"/>
    <s v="Lagos"/>
    <s v="Bauchi"/>
    <s v="Bauchi"/>
    <s v="North"/>
    <n v="1185"/>
    <n v="2370"/>
    <n v="1659"/>
    <n v="56880"/>
    <n v="5150000"/>
  </r>
  <r>
    <s v="AFEEZ AJIBADE/Ebenezer"/>
    <s v="NBL-DSL-45T-JUMBO"/>
    <s v="ATLANTIC PVC-45T-JUMBO"/>
    <s v="JUMBO"/>
    <s v="NBL-DSL"/>
    <s v="45T"/>
    <s v="ATLANTIC PVC"/>
    <s v="Lagos"/>
    <s v="Maiduguri"/>
    <s v="Boro"/>
    <s v="North"/>
    <n v="1560"/>
    <n v="3120"/>
    <n v="2184"/>
    <n v="74880"/>
    <n v="6560000"/>
  </r>
  <r>
    <s v="AFEEZ AJIBADE/Ebenezer"/>
    <s v="NBL-DSL-45T-JUMBO"/>
    <s v="ATLANTIC PVC-45T-JUMBO"/>
    <s v="JUMBO"/>
    <s v="NBL-DSL"/>
    <s v="45T"/>
    <s v="ATLANTIC PVC"/>
    <s v="Lagos"/>
    <s v="Abuja"/>
    <s v="FCT"/>
    <s v="North"/>
    <n v="786.5"/>
    <n v="1573"/>
    <n v="1101"/>
    <n v="37752"/>
    <n v="3430000"/>
  </r>
  <r>
    <s v="AFEEZ AJIBADE/Ebenezer"/>
    <s v="NBL-DSL-45T-JUMBO"/>
    <s v="ATLANTIC PVC-45T-JUMBO"/>
    <s v="JUMBO"/>
    <s v="NBL-DSL"/>
    <s v="45T"/>
    <s v="ATLANTIC PVC"/>
    <s v="Lagos"/>
    <s v="Gombe"/>
    <s v="Gombe"/>
    <s v="North"/>
    <n v="1349"/>
    <n v="2698"/>
    <n v="1888"/>
    <n v="64752"/>
    <n v="5800000"/>
  </r>
  <r>
    <s v="AFEEZ AJIBADE/Ebenezer"/>
    <s v="NBL-DSL-45T-JUMBO"/>
    <s v="ATLANTIC PVC-45T-JUMBO"/>
    <s v="JUMBO"/>
    <s v="NBL-DSL"/>
    <s v="45T"/>
    <s v="ATLANTIC PVC"/>
    <s v="Lagos"/>
    <s v="Kaduna"/>
    <s v="Kaduna"/>
    <s v="North"/>
    <n v="794.5"/>
    <n v="1589"/>
    <n v="1112"/>
    <n v="38136"/>
    <n v="3450000"/>
  </r>
  <r>
    <s v="AFEEZ AJIBADE/Ebenezer"/>
    <s v="NBL-DSL-45T-JUMBO"/>
    <s v="ATLANTIC PVC-45T-JUMBO"/>
    <s v="JUMBO"/>
    <s v="NBL-DSL"/>
    <s v="45T"/>
    <s v="ATLANTIC PVC"/>
    <s v="Lagos"/>
    <s v="Zaria"/>
    <s v="Kaduna"/>
    <s v="North"/>
    <n v="878.5"/>
    <n v="1757"/>
    <n v="1229"/>
    <n v="42168"/>
    <n v="3910000"/>
  </r>
  <r>
    <s v="AFEEZ AJIBADE/Ebenezer"/>
    <s v="NBL-DSL-45T-JUMBO"/>
    <s v="ATLANTIC PVC-45T-JUMBO"/>
    <s v="JUMBO"/>
    <s v="NBL-DSL"/>
    <s v="45T"/>
    <s v="ATLANTIC PVC"/>
    <s v="Lagos"/>
    <s v="Kano"/>
    <s v="Kano"/>
    <s v="North"/>
    <n v="1013.5"/>
    <n v="2027"/>
    <n v="1418"/>
    <n v="48648"/>
    <n v="4480000"/>
  </r>
  <r>
    <s v="AFEEZ AJIBADE/Ebenezer"/>
    <s v="NBL-DSL-45T-JUMBO"/>
    <s v="ATLANTIC PVC-45T-JUMBO"/>
    <s v="JUMBO"/>
    <s v="NBL-DSL"/>
    <s v="45T"/>
    <s v="ATLANTIC PVC"/>
    <s v="Lagos"/>
    <s v="Ajaokuta"/>
    <s v="Kogi"/>
    <s v="North"/>
    <n v="539.5"/>
    <n v="1079"/>
    <n v="755"/>
    <n v="25896"/>
    <n v="2580000"/>
  </r>
  <r>
    <s v="AFEEZ AJIBADE/Ebenezer"/>
    <s v="NBL-DSL-45T-JUMBO"/>
    <s v="ATLANTIC PVC-45T-JUMBO"/>
    <s v="JUMBO"/>
    <s v="NBL-DSL"/>
    <s v="45T"/>
    <s v="ATLANTIC PVC"/>
    <s v="Lagos"/>
    <s v="Lokoja"/>
    <s v="Kogi"/>
    <s v="Central"/>
    <n v="548.5"/>
    <n v="1097"/>
    <n v="767"/>
    <n v="26328"/>
    <n v="2610000"/>
  </r>
  <r>
    <s v="AFEEZ AJIBADE/Ebenezer"/>
    <s v="NBL-DSL-45T-JUMBO"/>
    <s v="ATLANTIC PVC-45T-JUMBO"/>
    <s v="JUMBO"/>
    <s v="NBL-DSL"/>
    <s v="45T"/>
    <s v="ATLANTIC PVC"/>
    <s v="Lagos"/>
    <s v="Ayangba"/>
    <s v="Kogi"/>
    <s v="Central"/>
    <n v="587"/>
    <n v="1174"/>
    <n v="821"/>
    <n v="28176"/>
    <n v="2700000"/>
  </r>
  <r>
    <s v="AFEEZ AJIBADE/Ebenezer"/>
    <s v="NBL-DSL-45T-JUMBO"/>
    <s v="ATLANTIC PVC-45T-JUMBO"/>
    <s v="JUMBO"/>
    <s v="NBL-DSL"/>
    <s v="45T"/>
    <s v="ATLANTIC PVC"/>
    <s v="Lagos"/>
    <s v="Okene"/>
    <s v="Kogi"/>
    <s v="North"/>
    <n v="475.5"/>
    <n v="951"/>
    <n v="665"/>
    <n v="22824"/>
    <n v="2170000"/>
  </r>
  <r>
    <s v="AFEEZ AJIBADE/Ebenezer"/>
    <s v="NBL-DSL-45T-JUMBO"/>
    <s v="ATLANTIC PVC-45T-JUMBO"/>
    <s v="JUMBO"/>
    <s v="NBL-DSL"/>
    <s v="45T"/>
    <s v="ATLANTIC PVC"/>
    <s v="Lagos"/>
    <s v="Akwanga"/>
    <s v="Nasarawa"/>
    <s v="North"/>
    <n v="904"/>
    <n v="1808"/>
    <n v="1265"/>
    <n v="43392"/>
    <n v="3970000"/>
  </r>
  <r>
    <s v="AFEEZ AJIBADE/Ebenezer"/>
    <s v="NBL-DSL-45T-JUMBO"/>
    <s v="ATLANTIC PVC-45T-JUMBO"/>
    <s v="JUMBO"/>
    <s v="NBL-DSL"/>
    <s v="45T"/>
    <s v="ATLANTIC PVC"/>
    <s v="Lagos"/>
    <s v="Keffi"/>
    <s v="Nasarawa"/>
    <s v="North"/>
    <n v="840"/>
    <n v="1680"/>
    <n v="1176"/>
    <n v="40320"/>
    <n v="3820000"/>
  </r>
  <r>
    <s v="AFEEZ AJIBADE/Ebenezer"/>
    <s v="NBL-DSL-45T-JUMBO"/>
    <s v="ATLANTIC PVC-45T-JUMBO"/>
    <s v="JUMBO"/>
    <s v="NBL-DSL"/>
    <s v="45T"/>
    <s v="ATLANTIC PVC"/>
    <s v="Lagos"/>
    <s v="Lafia"/>
    <s v="Nasarawa"/>
    <s v="North"/>
    <n v="907.5"/>
    <n v="1815"/>
    <n v="1270"/>
    <n v="43560"/>
    <n v="3970000"/>
  </r>
  <r>
    <s v="AFEEZ AJIBADE/Ebenezer"/>
    <s v="NBL-DSL-45T-JUMBO"/>
    <s v="ATLANTIC PVC-45T-JUMBO"/>
    <s v="JUMBO"/>
    <s v="NBL-DSL"/>
    <s v="45T"/>
    <s v="ATLANTIC PVC"/>
    <s v="Lagos"/>
    <s v="Kotongora"/>
    <s v="niger"/>
    <s v="North"/>
    <n v="584.5"/>
    <n v="1169"/>
    <n v="818"/>
    <n v="28056"/>
    <n v="2690000"/>
  </r>
  <r>
    <s v="AFEEZ AJIBADE/Ebenezer"/>
    <s v="NBL-DSL-45T-JUMBO"/>
    <s v="ATLANTIC PVC-45T-JUMBO"/>
    <s v="JUMBO"/>
    <s v="NBL-DSL"/>
    <s v="45T"/>
    <s v="ATLANTIC PVC"/>
    <s v="Lagos"/>
    <s v="Minna"/>
    <s v="niger"/>
    <s v="North"/>
    <n v="626.5"/>
    <n v="1253"/>
    <n v="877"/>
    <n v="30072"/>
    <n v="2790000"/>
  </r>
  <r>
    <s v="AFEEZ AJIBADE/Ebenezer"/>
    <s v="NBL-DSL-45T-JUMBO"/>
    <s v="ATLANTIC PVC-45T-JUMBO"/>
    <s v="JUMBO"/>
    <s v="NBL-DSL"/>
    <s v="45T"/>
    <s v="ATLANTIC PVC"/>
    <s v="Lagos"/>
    <s v="Jos"/>
    <s v="Plateau"/>
    <s v="North"/>
    <n v="1025"/>
    <n v="2050"/>
    <n v="1435"/>
    <n v="49200"/>
    <n v="4510000"/>
  </r>
  <r>
    <s v="AFEEZ AJIBADE/Ebenezer"/>
    <s v="NBL-DSL-45T-JUMBO"/>
    <s v="ATLANTIC PVC-45T-JUMBO"/>
    <s v="JUMBO"/>
    <s v="NBL-DSL"/>
    <s v="45T"/>
    <s v="ATLANTIC PVC"/>
    <s v="Lagos"/>
    <s v="Shendam"/>
    <s v="Plateau"/>
    <s v="North"/>
    <n v="1033"/>
    <n v="2066"/>
    <n v="1446"/>
    <n v="49584"/>
    <n v="4530000"/>
  </r>
  <r>
    <s v="AFEEZ AJIBADE/Ebenezer"/>
    <s v="NBL-DSL-45T-JUMBO"/>
    <s v="ATLANTIC PVC-45T-JUMBO"/>
    <s v="JUMBO"/>
    <s v="NBL-DSL"/>
    <s v="45T"/>
    <s v="ATLANTIC PVC"/>
    <s v="Lagos"/>
    <s v="Sokoto"/>
    <s v="Sokoto"/>
    <s v="North"/>
    <n v="991.5"/>
    <n v="1983"/>
    <n v="1388"/>
    <n v="47592"/>
    <n v="4430000"/>
  </r>
  <r>
    <s v="AFEEZ AJIBADE/Ebenezer"/>
    <s v="NBL-DSL-45T-JUMBO"/>
    <s v="ATLANTIC PVC-45T-JUMBO"/>
    <s v="JUMBO"/>
    <s v="NBL-DSL"/>
    <s v="45T"/>
    <s v="ATLANTIC PVC"/>
    <s v="Lagos"/>
    <s v="Birnin Kebbi"/>
    <s v="kebbi"/>
    <s v="North"/>
    <n v="885"/>
    <n v="1770"/>
    <n v="1239"/>
    <n v="42480"/>
    <n v="3920000"/>
  </r>
  <r>
    <s v="AFEEZ AJIBADE/Ebenezer"/>
    <s v="NBL-DSL-45T-JUMBO"/>
    <s v="ATLANTIC PVC-45T-JUMBO"/>
    <s v="JUMBO"/>
    <s v="NBL-DSL"/>
    <s v="45T"/>
    <s v="ATLANTIC PVC"/>
    <s v="Lagos"/>
    <s v="lella"/>
    <s v="Sokoto"/>
    <s v="North"/>
    <n v="995"/>
    <n v="1990"/>
    <n v="1393"/>
    <n v="47760"/>
    <n v="4440000"/>
  </r>
  <r>
    <s v="AFEEZ AJIBADE/Ebenezer"/>
    <s v="NBL-DSL-45T-JUMBO"/>
    <s v="ATLANTIC PVC-45T-JUMBO"/>
    <s v="JUMBO"/>
    <s v="NBL-DSL"/>
    <s v="45T"/>
    <s v="ATLANTIC PVC"/>
    <s v="Lagos"/>
    <s v="Jalingo"/>
    <s v="Taraba"/>
    <s v="North"/>
    <n v="1169"/>
    <n v="2338"/>
    <n v="1636"/>
    <n v="56112"/>
    <n v="5110000"/>
  </r>
  <r>
    <s v="AFEEZ AJIBADE/Ebenezer"/>
    <s v="NBL-DSL-45T-JUMBO"/>
    <s v="ATLANTIC PVC-45T-JUMBO"/>
    <s v="JUMBO"/>
    <s v="NBL-DSL"/>
    <s v="45T"/>
    <s v="ATLANTIC PVC"/>
    <s v="Lagos"/>
    <s v="Wukari"/>
    <s v="Taraba"/>
    <s v="North"/>
    <n v="948.5"/>
    <n v="1897"/>
    <n v="1327"/>
    <n v="45528"/>
    <n v="4070000"/>
  </r>
  <r>
    <s v="AFEEZ AJIBADE/Ebenezer"/>
    <s v="NBL-DSL-45T-JUMBO"/>
    <s v="ATLANTIC PVC-45T-JUMBO"/>
    <s v="JUMBO"/>
    <s v="NBL-DSL"/>
    <s v="45T"/>
    <s v="ATLANTIC PVC"/>
    <s v="Lagos"/>
    <s v="Gusau"/>
    <s v="Zamfara"/>
    <s v="North"/>
    <n v="880.5"/>
    <n v="1761"/>
    <n v="1232"/>
    <n v="42264"/>
    <n v="3910000"/>
  </r>
  <r>
    <s v="AFEEZ AJIBADE/Ebenezer"/>
    <s v="NBL-DSL-45T-JUMBO"/>
    <s v="ATLANTIC PVC-45T-JUMBO"/>
    <s v="JUMBO"/>
    <s v="NBL-DSL"/>
    <s v="45T"/>
    <s v="ATLANTIC PVC"/>
    <s v="Lagos"/>
    <s v="Yola"/>
    <s v="Adamawa"/>
    <s v="North"/>
    <n v="1332.5"/>
    <n v="2665"/>
    <n v="1865"/>
    <n v="63960"/>
    <n v="5760000"/>
  </r>
  <r>
    <s v="AFEEZ AJIBADE/Ebenezer"/>
    <s v="NBL-DSL-45T-JUMBO"/>
    <s v="ATLANTIC PVC-45T-JUMBO"/>
    <s v="JUMBO"/>
    <s v="NBL-DSL"/>
    <s v="45T"/>
    <s v="ATLANTIC PVC"/>
    <s v="Lagos"/>
    <s v="Mubi"/>
    <s v="Adamawa"/>
    <s v="North"/>
    <n v="1508"/>
    <n v="3016"/>
    <n v="2111"/>
    <n v="72384"/>
    <n v="6430000"/>
  </r>
  <r>
    <s v="AFEEZ AJIBADE/Ebenezer"/>
    <s v="NBL-DSL-45T-JUMBO"/>
    <s v="ATLANTIC PVC-45T-JUMBO"/>
    <s v="JUMBO"/>
    <s v="NBL-DSL"/>
    <s v="45T"/>
    <s v="ATLANTIC PVC"/>
    <s v="Lagos"/>
    <s v="Madagali"/>
    <s v="Adamawa"/>
    <s v="North"/>
    <n v="1711.5"/>
    <n v="3423"/>
    <n v="2396"/>
    <n v="82152"/>
    <n v="7170000"/>
  </r>
  <r>
    <s v="AFEEZ AJIBADE/Ebenezer"/>
    <s v="NBL-DSL-45T-JUMBO"/>
    <s v="ATLANTIC PVC-45T-JUMBO"/>
    <s v="JUMBO"/>
    <s v="NBL-DSL"/>
    <s v="45T"/>
    <s v="ATLANTIC PVC"/>
    <s v="Lagos"/>
    <s v="Bida"/>
    <s v="niger"/>
    <s v="North"/>
    <n v="541.5"/>
    <n v="1083"/>
    <n v="758"/>
    <n v="25992"/>
    <n v="2590000"/>
  </r>
  <r>
    <s v="AFEEZ AJIBADE/Ebenezer"/>
    <s v="NBL-DSL-45T-JUMBO"/>
    <s v="ATLANTIC PVC-45T-JUMBO"/>
    <s v="JUMBO"/>
    <s v="NBL-DSL"/>
    <s v="45T"/>
    <s v="ATLANTIC PVC"/>
    <s v="Lagos"/>
    <s v="Kastina"/>
    <s v="KASTINA"/>
    <s v="North"/>
    <n v="956"/>
    <n v="1912"/>
    <n v="1338"/>
    <n v="45888"/>
    <n v="4090000"/>
  </r>
  <r>
    <s v="AFEEZ AJIBADE/Ebenezer"/>
    <s v="NBL-DSL-45T-JUMBO"/>
    <s v="ATLANTIC PVC-45T-JUMBO"/>
    <s v="JUMBO"/>
    <s v="NBL-DSL"/>
    <s v="45T"/>
    <s v="ATLANTIC PVC"/>
    <s v="Lagos"/>
    <s v="Jebba"/>
    <s v="Kwara"/>
    <s v="West"/>
    <n v="374"/>
    <n v="748"/>
    <n v="523"/>
    <n v="17952"/>
    <n v="1930000"/>
  </r>
  <r>
    <s v="AFEEZ AJIBADE/Ebenezer"/>
    <s v="NBL-DSL-45T-JUMBO"/>
    <s v="ATLANTIC PVC-45T-JUMBO"/>
    <s v="JUMBO"/>
    <s v="NBL-DSL"/>
    <s v="45T"/>
    <s v="ATLANTIC PVC"/>
    <s v="Lagos"/>
    <s v="lorin"/>
    <s v="Kwara"/>
    <s v="West"/>
    <n v="305"/>
    <n v="610"/>
    <n v="427"/>
    <n v="14640"/>
    <n v="1510000"/>
  </r>
  <r>
    <s v="AFEEZ AJIBADE/Ebenezer"/>
    <s v="NBL-DSL-45T-JUMBO"/>
    <s v="ATLANTIC PVC-45T-JUMBO"/>
    <s v="JUMBO"/>
    <s v="NBL-DSL"/>
    <s v="45T"/>
    <s v="ATLANTIC PVC"/>
    <s v="Lagos"/>
    <s v="Offa"/>
    <s v="Kwara"/>
    <s v="West"/>
    <n v="278.5"/>
    <n v="557"/>
    <n v="389"/>
    <n v="13368"/>
    <n v="1450000"/>
  </r>
  <r>
    <s v="AFEEZ AJIBADE/Ebenezer"/>
    <s v="NBL-DSL-45T-JUMBO"/>
    <s v="ATLANTIC PVC-45T-JUMBO"/>
    <s v="JUMBO"/>
    <s v="NBL-DSL"/>
    <s v="45T"/>
    <s v="ATLANTIC PVC"/>
    <s v="Lagos"/>
    <s v="Akure"/>
    <s v="Ondo"/>
    <s v="West"/>
    <n v="301.5"/>
    <n v="603"/>
    <n v="422"/>
    <n v="14472"/>
    <n v="1500000"/>
  </r>
  <r>
    <s v="AFEEZ AJIBADE/Ebenezer"/>
    <s v="NBL-DSL-45T-JUMBO"/>
    <s v="ATLANTIC PVC-45T-JUMBO"/>
    <s v="JUMBO"/>
    <s v="NBL-DSL"/>
    <s v="45T"/>
    <s v="ATLANTIC PVC"/>
    <s v="Lagos"/>
    <s v="Ibadan"/>
    <s v="Oyo"/>
    <s v="West"/>
    <n v="135"/>
    <n v="270"/>
    <n v="189"/>
    <n v="6480"/>
    <n v="850000"/>
  </r>
  <r>
    <s v="AFEEZ AJIBADE/Ebenezer"/>
    <s v="NBL-DSL-45T-JUMBO"/>
    <s v="ATLANTIC PVC-45T-JUMBO"/>
    <s v="JUMBO"/>
    <s v="NBL-DSL"/>
    <s v="45T"/>
    <s v="ATLANTIC PVC"/>
    <s v="Lagos"/>
    <s v="Iseyin"/>
    <s v="Oyo"/>
    <s v="West"/>
    <n v="222.5"/>
    <n v="445"/>
    <n v="311"/>
    <n v="10680"/>
    <n v="1320000"/>
  </r>
  <r>
    <s v="AFEEZ AJIBADE/Ebenezer"/>
    <s v="NBL-DSL-45T-JUMBO"/>
    <s v="ATLANTIC PVC-45T-JUMBO"/>
    <s v="JUMBO"/>
    <s v="NBL-DSL"/>
    <s v="45T"/>
    <s v="ATLANTIC PVC"/>
    <s v="Lagos"/>
    <s v="lara"/>
    <s v="Ogun"/>
    <s v="West"/>
    <n v="43"/>
    <n v="86"/>
    <n v="60"/>
    <n v="2064"/>
    <n v="630000"/>
  </r>
  <r>
    <s v="AFEEZ AJIBADE/Ebenezer"/>
    <s v="NBL-DSL-45T-JUMBO"/>
    <s v="ATLANTIC PVC-45T-JUMBO"/>
    <s v="JUMBO"/>
    <s v="NBL-DSL"/>
    <s v="45T"/>
    <s v="ATLANTIC PVC"/>
    <s v="Lagos"/>
    <s v="Oshogbo"/>
    <s v="Oshun"/>
    <s v="West"/>
    <n v="229.5"/>
    <n v="459"/>
    <n v="321"/>
    <n v="11016"/>
    <n v="1330000"/>
  </r>
  <r>
    <s v="AFEEZ AJIBADE/Ebenezer"/>
    <s v="NBL-DSL-45T-JUMBO"/>
    <s v="ATLANTIC PVC-45T-JUMBO"/>
    <s v="JUMBO"/>
    <s v="NBL-DSL"/>
    <s v="45T"/>
    <s v="ATLANTIC PVC"/>
    <s v="Lagos"/>
    <s v="Ado ekiti"/>
    <s v="Ekitl"/>
    <s v="West"/>
    <n v="325.5"/>
    <n v="651"/>
    <n v="455"/>
    <n v="15624"/>
    <n v="1820000"/>
  </r>
  <r>
    <s v="AFEEZ AJIBADE/Ebenezer"/>
    <s v="NBL-DSL-45T-JUMBO"/>
    <s v="ATLANTIC PVC-45T-JUMBO"/>
    <s v="JUMBO"/>
    <s v="NBL-DSL"/>
    <s v="45T"/>
    <s v="ATLANTIC PVC"/>
    <s v="Lagos"/>
    <s v="AUCHI"/>
    <s v="Edo"/>
    <s v="West"/>
    <n v="433"/>
    <n v="866"/>
    <n v="606"/>
    <n v="20784"/>
    <n v="2070000"/>
  </r>
  <r>
    <s v="AFEEZ AJIBADE/Ebenezer"/>
    <s v="NBL-DSL-45T-JUMBO"/>
    <s v="ATLANTIC PVC-45T-JUMBO"/>
    <s v="JUMBO"/>
    <s v="NBL-DSL"/>
    <s v="45T"/>
    <s v="ATLANTIC PVC"/>
    <s v="Lagos"/>
    <s v="Oja odan"/>
    <s v="Ogun"/>
    <s v="West"/>
    <n v="98.5"/>
    <n v="197"/>
    <n v="137"/>
    <n v="4728"/>
    <n v="760000"/>
  </r>
  <r>
    <s v="AFEEZ AJIBADE/Ebenezer"/>
    <s v="NBL-DSL-45T-JUMBO"/>
    <s v="ATLANTIC PVC-45T-JUMBO"/>
    <s v="JUMBO"/>
    <s v="NBL-DSL"/>
    <s v="45T"/>
    <s v="ATLANTIC PVC"/>
    <s v="Lagos"/>
    <s v="Kayama"/>
    <s v="Kwara"/>
    <s v="West"/>
    <n v="435"/>
    <n v="870"/>
    <n v="609"/>
    <n v="20880"/>
    <n v="2080000"/>
  </r>
  <r>
    <s v="AFEEZ AJIBADE/Ebenezer"/>
    <s v="NBL-DSL-45T-JUMBO"/>
    <s v="ATLANTIC PVC-45T-JUMBO"/>
    <s v="JUMBO"/>
    <s v="NBL-DSL"/>
    <s v="45T"/>
    <s v="ATLANTIC PVC"/>
    <s v="Lagos"/>
    <s v="Imeko"/>
    <s v="Ogun"/>
    <s v="West"/>
    <n v="179.5"/>
    <n v="359"/>
    <n v="251"/>
    <n v="8616"/>
    <n v="1210000"/>
  </r>
  <r>
    <s v="AFEEZ AJIBADE/Ebenezer"/>
    <s v="NBL-DSL-45T-JUMBO"/>
    <s v="ATLANTIC PVC-45T-JUMBO"/>
    <s v="JUMBO"/>
    <s v="NBL-DSL"/>
    <s v="45T"/>
    <s v="ATLANTIC PVC"/>
    <s v="Lagos"/>
    <s v="Benin"/>
    <s v="Edo"/>
    <s v="West"/>
    <n v="320"/>
    <n v="640"/>
    <n v="448"/>
    <n v="15360"/>
    <n v="1540000"/>
  </r>
  <r>
    <s v="AFEEZ AJIBADE/Ebenezer"/>
    <s v="NBL-DSL-45T-JUMBO"/>
    <s v="ATLANTIC PVC-45T-JUMBO"/>
    <s v="JUMBO"/>
    <s v="NBL-DSL"/>
    <s v="45T"/>
    <s v="ATLANTIC PVC"/>
    <s v="Lagos"/>
    <s v="Uromi"/>
    <s v="Edo"/>
    <s v="west"/>
    <n v="413"/>
    <n v="826"/>
    <n v="578"/>
    <n v="19824"/>
    <n v="2030000"/>
  </r>
  <r>
    <s v="AFEEZ AJIBADE/Ebenezer"/>
    <s v="NBL-DSL-45T-JUMBO"/>
    <s v="ATLANTIC PVC-45T-JUMBO"/>
    <s v="JUMBO"/>
    <s v="NBL-DSL"/>
    <s v="45T"/>
    <s v="ATLANTIC PVC"/>
    <s v="Lagos"/>
    <s v="Warri"/>
    <s v="Delta"/>
    <s v="Central"/>
    <n v="426.5"/>
    <n v="853"/>
    <n v="597"/>
    <n v="20472"/>
    <n v="2060000"/>
  </r>
  <r>
    <s v="AFEEZ AJIBADE/Ebenezer"/>
    <s v="NBL-DSL-45T-JUMBO"/>
    <s v="ATLANTIC PVC-45T-JUMBO"/>
    <s v="JUMBO"/>
    <s v="NBL-DSL"/>
    <s v="45T"/>
    <s v="ATLANTIC PVC"/>
    <s v="Lagos"/>
    <s v="Zakiblarn"/>
    <s v="Benue"/>
    <s v="Central"/>
    <n v="900"/>
    <n v="1800"/>
    <n v="1260"/>
    <n v="43200"/>
    <n v="3960000"/>
  </r>
  <r>
    <s v="AFEEZ AJIBADE/Ebenezer"/>
    <s v="NBL-DSL-45T-JUMBO"/>
    <s v="ATLANTIC PVC-45T-JUMBO"/>
    <s v="JUMBO"/>
    <s v="NBL-DSL"/>
    <s v="45T"/>
    <s v="ATLANTIC PVC"/>
    <s v="Lagos"/>
    <s v="Kastina ala"/>
    <s v="Oenue"/>
    <s v="Central"/>
    <n v="849"/>
    <n v="1698"/>
    <n v="1188"/>
    <n v="40752"/>
    <n v="3840000"/>
  </r>
  <r>
    <s v="AFEEZ AJIBADE/Ebenezer"/>
    <s v="NBL-DSL-45T-JUMBO"/>
    <s v="ATLANTIC PVC-45T-JUMBO"/>
    <s v="JUMBO"/>
    <s v="NBL-DSL"/>
    <s v="45T"/>
    <s v="ATLANTIC PVC"/>
    <s v="Lagos"/>
    <s v="Adikpo"/>
    <s v="Benue"/>
    <s v="Central"/>
    <n v="817.5"/>
    <n v="1635"/>
    <n v="1144"/>
    <n v="39240"/>
    <n v="3760000"/>
  </r>
  <r>
    <s v="AFEEZ AJIBADE/Ebenezer"/>
    <s v="NBL-DSL-45T-JUMBO"/>
    <s v="ATLANTIC PVC-45T-JUMBO"/>
    <s v="JUMBO"/>
    <s v="NBL-DSL"/>
    <s v="45T"/>
    <s v="ATLANTIC PVC"/>
    <s v="Lagos"/>
    <s v="Takum"/>
    <s v="Taraba"/>
    <s v="Central"/>
    <n v="926.5"/>
    <n v="1853"/>
    <n v="1297"/>
    <n v="44472"/>
    <n v="4020000"/>
  </r>
  <r>
    <s v="AFEEZ AJIBADE/Ebenezer"/>
    <s v="NBL-DSL-45T-JUMBO"/>
    <s v="ATLANTIC PVC-45T-JUMBO"/>
    <s v="JUMBO"/>
    <s v="NBL-DSL"/>
    <s v="45T"/>
    <s v="ATLANTIC PVC"/>
    <s v="Lagos"/>
    <s v="Mutu biyu"/>
    <s v="Taraba"/>
    <s v="Central"/>
    <n v="1091.5"/>
    <n v="2183"/>
    <n v="1528"/>
    <n v="52392"/>
    <n v="4670000"/>
  </r>
  <r>
    <s v="AFEEZ AJIBADE/Ebenezer"/>
    <s v="NBL-DSL-45T-JUMBO"/>
    <s v="ATLANTIC PVC-45T-JUMBO"/>
    <s v="JUMBO"/>
    <s v="NBL-DSL"/>
    <s v="45T"/>
    <s v="ATLANTIC PVC"/>
    <s v="Lagos"/>
    <s v="Chikanda"/>
    <s v="Kwara"/>
    <s v="West"/>
    <n v="458"/>
    <n v="916"/>
    <n v="641"/>
    <n v="21984"/>
    <n v="2130000"/>
  </r>
  <r>
    <s v="AFEEZ AJIBADE/Ebenezer"/>
    <s v="NBL-DSL-45T-JUMBO"/>
    <s v="ATLANTIC PVC-45T-JUMBO"/>
    <s v="JUMBO"/>
    <s v="NBL-DSL"/>
    <s v="45T"/>
    <s v="ATLANTIC PVC"/>
    <s v="Lagos"/>
    <s v="Ifon"/>
    <s v="Ondo"/>
    <s v="West"/>
    <n v="372.5"/>
    <n v="745"/>
    <n v="521"/>
    <n v="17880"/>
    <n v="1930000"/>
  </r>
  <r>
    <s v="AFEEZ AJIBADE/Ebenezer"/>
    <s v="NBL-DSL-30T-JUMBO"/>
    <s v="NIGER BISCUIT-30T-JUMBO"/>
    <s v="JUMBO"/>
    <s v="NBL-DSL"/>
    <s v="30T"/>
    <s v="NIGER BISCUIT"/>
    <s v="Lagos"/>
    <s v="Port Harcourt"/>
    <s v="Rivers"/>
    <s v="East"/>
    <n v="630"/>
    <n v="1260"/>
    <n v="882"/>
    <n v="30240"/>
    <n v="2500000"/>
  </r>
  <r>
    <s v="AFEEZ AJIBADE/Ebenezer"/>
    <s v="NBL-DSL-30T-JUMBO"/>
    <s v="NIGER BISCUIT-30T-JUMBO"/>
    <s v="JUMBO"/>
    <s v="NBL-DSL"/>
    <s v="30T"/>
    <s v="NIGER BISCUIT"/>
    <s v="Lagos"/>
    <s v="Aba"/>
    <s v="Abia"/>
    <s v="East"/>
    <n v="622"/>
    <n v="1244"/>
    <n v="870"/>
    <n v="29856"/>
    <n v="2900000"/>
  </r>
  <r>
    <s v="AFEEZ AJIBADE/Ebenezer"/>
    <s v="NBL-DSL-30T-JUMBO"/>
    <s v="NIGER BISCUIT-30T-JUMBO"/>
    <s v="JUMBO"/>
    <s v="NBL-DSL"/>
    <s v="30T"/>
    <s v="NIGER BISCUIT"/>
    <s v="Lagos"/>
    <s v="Ikot Ekpene"/>
    <s v="Akwa Ibom"/>
    <s v="East"/>
    <n v="648"/>
    <n v="1296"/>
    <n v="907"/>
    <n v="31104"/>
    <n v="2950000"/>
  </r>
  <r>
    <s v="AFEEZ AJIBADE/Ebenezer"/>
    <s v="NBL-DSL-30T-JUMBO"/>
    <s v="NIGER BISCUIT-30T-JUMBO"/>
    <s v="JUMBO"/>
    <s v="NBL-DSL"/>
    <s v="30T"/>
    <s v="NIGER BISCUIT"/>
    <s v="Lagos"/>
    <s v="Abuja"/>
    <s v="FCT"/>
    <s v="North"/>
    <n v="755"/>
    <n v="1510"/>
    <n v="1057"/>
    <n v="36240"/>
    <n v="2750000"/>
  </r>
  <r>
    <s v="AFEEZ AJIBADE/Ebenezer"/>
    <s v="NBL-DSL-30T-JUMBO"/>
    <s v="NIGER BISCUIT-30T-JUMBO"/>
    <s v="JUMBO"/>
    <s v="NBL-DSL"/>
    <s v="30T"/>
    <s v="NIGER BISCUIT"/>
    <s v="Lagos"/>
    <s v="LAFIA"/>
    <s v="Nasarawa"/>
    <s v="North"/>
    <n v="904"/>
    <n v="1808"/>
    <n v="1265"/>
    <n v="43392"/>
    <n v="3900000"/>
  </r>
  <r>
    <s v="AFEEZ AJIBADE/Ebenezer"/>
    <s v="NBL-DSL-30T-JUMBO"/>
    <s v="NIGER BISCUIT-30T-JUMBO"/>
    <s v="JUMBO"/>
    <s v="NBL-DSL"/>
    <s v="30T"/>
    <s v="NIGER BISCUIT"/>
    <s v="Lagos"/>
    <s v="Enugu"/>
    <s v="Enugu"/>
    <s v="East"/>
    <n v="560.5"/>
    <n v="1121"/>
    <n v="784"/>
    <n v="26904"/>
    <n v="2380000"/>
  </r>
  <r>
    <s v="AFEEZ AJIBADE/Ebenezer"/>
    <s v="NBL-DSL-30T-JUMBO"/>
    <s v="NIGER BISCUIT-30T-JUMBO"/>
    <s v="JUMBO"/>
    <s v="NBL-DSL"/>
    <s v="30T"/>
    <s v="NIGER BISCUIT"/>
    <s v="Lagos"/>
    <s v="Onitsha"/>
    <s v="Anambra"/>
    <s v="East"/>
    <n v="450"/>
    <n v="900"/>
    <n v="630"/>
    <n v="21600"/>
    <n v="2100000"/>
  </r>
  <r>
    <s v="AFEEZ AJIBADE/Ebenezer"/>
    <s v="NBL-DSL-30T-JUMBO"/>
    <s v="NIGER BISCUIT-30T-JUMBO"/>
    <s v="JUMBO"/>
    <s v="NBL-DSL"/>
    <s v="30T"/>
    <s v="NIGER BISCUIT"/>
    <s v="Lagos"/>
    <s v="Owerri"/>
    <s v="Imo"/>
    <s v="East"/>
    <n v="567"/>
    <n v="1134"/>
    <n v="793"/>
    <n v="27216"/>
    <n v="2390000"/>
  </r>
  <r>
    <s v="AFEEZ AJIBADE/Ebenezer"/>
    <s v="NBL-DSL-30T-JUMBO"/>
    <s v="NIGER BISCUIT-30T-JUMBO"/>
    <s v="JUMBO"/>
    <s v="NBL-DSL"/>
    <s v="30T"/>
    <s v="NIGER BISCUIT"/>
    <s v="Lagos"/>
    <s v="Warri"/>
    <s v="WARRI"/>
    <s v="East"/>
    <n v="435"/>
    <n v="870"/>
    <n v="609"/>
    <n v="20880"/>
    <n v="1950000"/>
  </r>
  <r>
    <s v="AFEEZ AJIBADE/Ebenezer"/>
    <s v="NBL-DSL-30T-JUMBO"/>
    <s v="NIGER BISCUIT-30T-JUMBO"/>
    <s v="JUMBO"/>
    <s v="NBL-DSL"/>
    <s v="30T"/>
    <s v="NIGER BISCUIT"/>
    <s v="Lagos"/>
    <s v="KWALE"/>
    <s v="KWALE"/>
    <s v="East"/>
    <n v="435"/>
    <n v="870"/>
    <n v="609"/>
    <n v="20880"/>
    <n v="1950000"/>
  </r>
  <r>
    <s v="AFEEZ AJIBADE/Ebenezer"/>
    <s v="NBL-DSL-30T-JUMBO"/>
    <s v="NIGER BISCUIT-30T-JUMBO"/>
    <s v="JUMBO"/>
    <s v="NBL-DSL"/>
    <s v="30T"/>
    <s v="NIGER BISCUIT"/>
    <s v="Lagos"/>
    <s v="Abakaliki"/>
    <s v="Abakaliki"/>
    <s v="Abakaliki"/>
    <n v="650"/>
    <n v="1300"/>
    <n v="910"/>
    <n v="31200"/>
    <n v="2850000"/>
  </r>
  <r>
    <s v="AFEEZ AJIBADE/Ebenezer"/>
    <s v="NBL-DSL-30T-JUMBO"/>
    <s v="NIGER BISCUIT-30T-JUMBO"/>
    <s v="JUMBO"/>
    <s v="NBL-DSL"/>
    <s v="30T"/>
    <s v="NIGER BISCUIT"/>
    <s v="Lagos"/>
    <s v="Uyo"/>
    <s v="Uyo"/>
    <s v="East"/>
    <n v="678"/>
    <n v="1356"/>
    <n v="949"/>
    <n v="32544"/>
    <n v="2950000"/>
  </r>
  <r>
    <s v="AFEEZ AJIBADE/Ebenezer"/>
    <s v="NBL-DSL-30T-JUMBO"/>
    <s v="NIGER BISCUIT-30T-JUMBO"/>
    <s v="JUMBO"/>
    <s v="NBL-DSL"/>
    <s v="30T"/>
    <s v="NIGER BISCUIT"/>
    <s v="Lagos"/>
    <s v="Maidugri"/>
    <s v="Maidugri"/>
    <s v="North"/>
    <n v="1500"/>
    <n v="3000"/>
    <n v="2100"/>
    <n v="72000"/>
    <n v="5950000"/>
  </r>
  <r>
    <s v="AFEEZ AJIBADE/Ebenezer"/>
    <s v="NBL-DSL-45T-JUMBO"/>
    <s v="ABBA SALEH-45T-JUMBO"/>
    <s v="JUMBO"/>
    <s v="NBL-DSL"/>
    <s v="45T"/>
    <s v="ABBA SALEH"/>
    <s v="Ogere"/>
    <s v="Lafia"/>
    <s v="OGERE"/>
    <s v="West"/>
    <n v="745"/>
    <n v="1490"/>
    <n v="1043"/>
    <n v="35760"/>
    <e v="#REF!"/>
  </r>
  <r>
    <s v="AFEEZ AJIBADE/Ebenezer"/>
    <s v="NBL-DSL-30T-JUMBO"/>
    <s v="WALTER &amp; Hiffy-30T-JUMBO"/>
    <s v="JUMBO"/>
    <s v="NBL-DSL"/>
    <s v="30T"/>
    <s v="WALTER &amp; Hiffy"/>
    <s v="PHC"/>
    <s v="BENIN"/>
    <s v="BENIN"/>
    <s v="BENIN"/>
    <n v="200"/>
    <n v="400"/>
    <n v="280"/>
    <n v="9600"/>
    <e v="#REF!"/>
  </r>
  <r>
    <s v="AFEEZ AJIBADE/Ebenezer"/>
    <s v="NBL-DSL-30T-JUMBO"/>
    <s v="Lebruni-30T-JUMBO"/>
    <s v="JUMBO"/>
    <s v="NBL-DSL"/>
    <s v="30T"/>
    <s v="Lebruni"/>
    <s v="IBADAN"/>
    <s v="KANO"/>
    <s v="Kano"/>
    <s v="North"/>
    <n v="933.5"/>
    <n v="1867"/>
    <n v="1306"/>
    <n v="44808"/>
    <n v="3432000"/>
  </r>
  <r>
    <s v="AFEEZ AJIBADE/Ebenezer"/>
    <s v="NBL-DSL-30T-JUMBO"/>
    <s v="Lebruni-30T-JUMBO"/>
    <s v="JUMBO"/>
    <s v="NBL-DSL"/>
    <s v="30T"/>
    <s v="Lebruni"/>
    <s v="IBADAN"/>
    <s v="Abuja"/>
    <s v="Abuja"/>
    <s v="North"/>
    <n v="622.5"/>
    <n v="1245"/>
    <n v="871"/>
    <n v="29880"/>
    <n v="2772000"/>
  </r>
  <r>
    <s v="AFEEZ AJIBADE/Ebenezer"/>
    <s v="NBL-DSL-30T-JUMBO"/>
    <s v="Lebruni-30T-JUMBO"/>
    <s v="JUMBO"/>
    <s v="NBL-DSL"/>
    <s v="30T"/>
    <s v="Lebruni"/>
    <s v="IBADAN"/>
    <s v="BENIN"/>
    <s v="BENIN"/>
    <s v="West"/>
    <n v="286.5"/>
    <n v="573"/>
    <n v="401"/>
    <n v="13752"/>
    <n v="1518000"/>
  </r>
  <r>
    <s v="AFEEZ AJIBADE/Ebenezer"/>
    <s v="NBL-DSL-30T-JUMBO"/>
    <s v="Lebruni-30T-JUMBO"/>
    <s v="JUMBO"/>
    <s v="NBL-DSL"/>
    <s v="30T"/>
    <s v="Lebruni"/>
    <s v="IBADAN"/>
    <s v="PHC"/>
    <s v="PHC"/>
    <s v="East"/>
    <n v="605"/>
    <n v="1210"/>
    <n v="847"/>
    <n v="29040"/>
    <n v="2508000"/>
  </r>
  <r>
    <s v="AFEEZ AJIBADE/Ebenezer"/>
    <s v="NBL-DSL-30T-JUMBO"/>
    <s v="Lebruni-30T-JUMBO"/>
    <s v="JUMBO"/>
    <s v="NBL-DSL"/>
    <s v="30T"/>
    <s v="Lebruni"/>
    <s v="IBADAN"/>
    <s v="WARRI"/>
    <s v="WARRI"/>
    <s v="East"/>
    <n v="393"/>
    <n v="786"/>
    <n v="550"/>
    <n v="18864"/>
    <n v="1848000"/>
  </r>
  <r>
    <s v="AFEEZ AJIBADE/Ebenezer"/>
    <s v="NBL-DSL-30T-JUMBO"/>
    <s v="Lebruni-30T-JUMBO"/>
    <s v="JUMBO"/>
    <s v="NBL-DSL"/>
    <s v="30T"/>
    <s v="Lebruni"/>
    <s v="IBADAN"/>
    <s v="Imo"/>
    <s v="Imo"/>
    <s v="East"/>
    <n v="505.5"/>
    <n v="1011"/>
    <n v="707"/>
    <n v="24264"/>
    <n v="2079000"/>
  </r>
  <r>
    <s v="AFEEZ AJIBADE/Ebenezer"/>
    <s v="NBL-DSL-30T-JUMBO"/>
    <s v="Lebruni-30T-JUMBO"/>
    <s v="JUMBO"/>
    <s v="NBL-DSL"/>
    <s v="30T"/>
    <s v="Lebruni"/>
    <s v="IBADAN"/>
    <s v="ABA"/>
    <s v="ABA"/>
    <s v="East"/>
    <n v="575"/>
    <n v="1150"/>
    <n v="805"/>
    <n v="27600"/>
    <n v="2428800"/>
  </r>
  <r>
    <s v="AFEEZ AJIBADE/Ebenezer"/>
    <s v="NBL-DSL-30T-JUMBO"/>
    <s v="Lebruni-30T-JUMBO"/>
    <s v="JUMBO"/>
    <s v="NBL-DSL"/>
    <s v="30T"/>
    <s v="Lebruni"/>
    <s v="IBADAN"/>
    <s v="ONDO-AKURE"/>
    <s v="ONDO-AKURE"/>
    <s v="West"/>
    <n v="240"/>
    <n v="480"/>
    <n v="336"/>
    <n v="11520"/>
    <n v="1452000"/>
  </r>
  <r>
    <s v="AFEEZ AJIBADE/Ebenezer"/>
    <s v="NBL-DSL-30T-JUMBO"/>
    <s v="Lebruni-30T-JUMBO"/>
    <s v="JUMBO"/>
    <s v="NBL-DSL"/>
    <s v="30T"/>
    <s v="Lebruni"/>
    <s v="IBADAN"/>
    <s v="IKOM"/>
    <s v="IKOM"/>
    <s v="East"/>
    <n v="750"/>
    <n v="1500"/>
    <n v="1050"/>
    <n v="36000"/>
    <n v="3036000"/>
  </r>
  <r>
    <s v="AFEEZ AJIBADE/Ebenezer"/>
    <s v="NBL-DSL-30T-JUMBO"/>
    <s v="Lebruni-30T-JUMBO"/>
    <s v="JUMBO"/>
    <s v="NBL-DSL"/>
    <s v="30T"/>
    <s v="Lebruni"/>
    <s v="IBADAN"/>
    <s v="OGUN-ABEOKUTA"/>
    <s v="OGUN-ABEOKUTA"/>
    <s v="West"/>
    <n v="104.5"/>
    <n v="209"/>
    <n v="146"/>
    <n v="5016"/>
    <n v="792000"/>
  </r>
  <r>
    <s v="AFEEZ AJIBADE/Ebenezer"/>
    <s v="NBL-DSL-30T-JUMBO"/>
    <s v="Lebruni-30T-JUMBO"/>
    <s v="JUMBO"/>
    <s v="NBL-DSL"/>
    <s v="30T"/>
    <s v="Lebruni"/>
    <s v="IBADAN"/>
    <s v="OGUN-IDIROKO"/>
    <s v="OGUN-IDIROKO"/>
    <s v="West"/>
    <n v="170"/>
    <n v="340"/>
    <n v="238"/>
    <n v="8160"/>
    <n v="1200000"/>
  </r>
  <r>
    <s v="AFEEZ AJIBADE/Ebenezer"/>
    <s v="NBL-DSL-30T-JUMBO"/>
    <s v="Lebruni-30T-JUMBO"/>
    <s v="JUMBO"/>
    <s v="NBL-DSL"/>
    <s v="30T"/>
    <s v="Lebruni"/>
    <s v="IBADAN"/>
    <s v="OGUN-IBAFO"/>
    <s v="OGUN-IBAFO"/>
    <s v="West"/>
    <n v="0"/>
    <n v="95"/>
    <n v="66"/>
    <n v="2280"/>
    <n v="528000"/>
  </r>
  <r>
    <s v="AFEEZ AJIBADE/Ebenezer"/>
    <s v="NBL-DSL-30T-JUMBO"/>
    <s v="Lebruni-30T-JUMBO"/>
    <s v="JUMBO"/>
    <s v="NBL-DSL"/>
    <s v="30T"/>
    <s v="Lebruni"/>
    <s v="IBADAN"/>
    <s v="OGUN-SANGO OTA"/>
    <s v="OGUN-SANGO OTA"/>
    <s v="West"/>
    <n v="127.5"/>
    <n v="255"/>
    <n v="178"/>
    <n v="6120"/>
    <n v="858000"/>
  </r>
  <r>
    <s v="AFEEZ AJIBADE/Ebenezer"/>
    <s v="NBL-DSL-30T-JUMBO"/>
    <s v="Lebruni-30T-JUMBO"/>
    <s v="JUMBO"/>
    <s v="NBL-DSL"/>
    <s v="30T"/>
    <s v="Lebruni"/>
    <s v="IBADAN"/>
    <s v="OGUN-SAGAMU"/>
    <s v="OGUN-SAGAMU"/>
    <s v="West"/>
    <n v="75"/>
    <n v="150"/>
    <n v="105"/>
    <n v="3600"/>
    <n v="528000"/>
  </r>
  <r>
    <s v="AFEEZ AJIBADE/Ebenezer"/>
    <s v="NBL-DSL-30T-JUMBO"/>
    <s v="Lebruni-30T-JUMBO"/>
    <s v="JUMBO"/>
    <s v="NBL-DSL"/>
    <s v="30T"/>
    <s v="Lebruni"/>
    <s v="IBADAN"/>
    <s v="ILORIN"/>
    <s v="ILORIN"/>
    <s v="West"/>
    <n v="210"/>
    <n v="420"/>
    <n v="294"/>
    <n v="10080"/>
    <n v="1056000"/>
  </r>
  <r>
    <s v="AFEEZ AJIBADE/Ebenezer"/>
    <s v="NBL-DSL-30T-JUMBO"/>
    <s v="Lebruni-30T-JUMBO"/>
    <s v="JUMBO"/>
    <s v="NBL-DSL"/>
    <s v="30T"/>
    <s v="Lebruni"/>
    <s v="IBADAN"/>
    <s v="AGBOR"/>
    <s v="AGBOR"/>
    <s v="East"/>
    <n v="350"/>
    <n v="700"/>
    <n v="490"/>
    <n v="16800"/>
    <n v="1897500"/>
  </r>
  <r>
    <s v="AFEEZ AJIBADE/Ebenezer"/>
    <s v="NBL-DSL-30T-JUMBO"/>
    <s v="Lebruni-30T-JUMBO"/>
    <s v="JUMBO"/>
    <s v="NBL-DSL"/>
    <s v="30T"/>
    <s v="Lebruni"/>
    <s v="IBADAN"/>
    <s v="AWKA"/>
    <s v="AWKA"/>
    <s v="East"/>
    <n v="465"/>
    <n v="930"/>
    <n v="651"/>
    <n v="22320"/>
    <n v="2079000"/>
  </r>
  <r>
    <s v="AFEEZ AJIBADE/Ebenezer"/>
    <s v="NBL-DSL-30T-JUMBO"/>
    <s v="Lebruni-30T-JUMBO"/>
    <s v="JUMBO"/>
    <s v="NBL-DSL"/>
    <s v="30T"/>
    <s v="Lebruni"/>
    <s v="IBADAN"/>
    <s v="CALABAR"/>
    <s v="CALABAR"/>
    <s v="East"/>
    <n v="717.5"/>
    <n v="1435"/>
    <n v="1004"/>
    <n v="34440"/>
    <n v="3036000"/>
  </r>
  <r>
    <s v="AFEEZ AJIBADE/Ebenezer"/>
    <s v="NBL-DSL-30T-JUMBO"/>
    <s v="Lebruni-30T-JUMBO"/>
    <s v="JUMBO"/>
    <s v="NBL-DSL"/>
    <s v="30T"/>
    <s v="Lebruni"/>
    <s v="IBADAN"/>
    <s v="ENUGU"/>
    <s v="ENUGU"/>
    <s v="East"/>
    <n v="527.5"/>
    <n v="1055"/>
    <n v="738"/>
    <n v="25320"/>
    <n v="2376000"/>
  </r>
  <r>
    <s v="AFEEZ AJIBADE/Ebenezer"/>
    <s v="NBL-DSL-30T-JUMBO"/>
    <s v="Lebruni-30T-JUMBO"/>
    <s v="JUMBO"/>
    <s v="NBL-DSL"/>
    <s v="30T"/>
    <s v="Lebruni"/>
    <s v="IBADAN"/>
    <s v="GBOKO"/>
    <s v="GBOKO"/>
    <s v="East"/>
    <n v="700"/>
    <n v="1400"/>
    <n v="980"/>
    <n v="33600"/>
    <n v="2772000"/>
  </r>
  <r>
    <s v="AFEEZ AJIBADE/Ebenezer"/>
    <s v="NBL-DSL-30T-JUMBO"/>
    <s v="Lebruni-30T-JUMBO"/>
    <s v="JUMBO"/>
    <s v="NBL-DSL"/>
    <s v="30T"/>
    <s v="Lebruni"/>
    <s v="IBADAN"/>
    <s v="OYO-IBADAN (TOLL GATE)"/>
    <s v="OYO-IBADAN (TOLL GATE)"/>
    <s v="West"/>
    <n v="42.5"/>
    <n v="85"/>
    <n v="59"/>
    <n v="2040"/>
    <n v="528000"/>
  </r>
  <r>
    <s v="AFEEZ AJIBADE/Ebenezer"/>
    <s v="NBL-DSL-30T-JUMBO"/>
    <s v="Lebruni-30T-JUMBO"/>
    <s v="JUMBO"/>
    <s v="NBL-DSL"/>
    <s v="30T"/>
    <s v="Lebruni"/>
    <s v="IBADAN"/>
    <s v="OYO-IBADAN TOWN"/>
    <s v="OYO-IBADAN TOWN"/>
    <s v="West"/>
    <n v="42.5"/>
    <n v="85"/>
    <n v="59"/>
    <n v="2040"/>
    <n v="528000"/>
  </r>
  <r>
    <s v="AFEEZ AJIBADE/Ebenezer"/>
    <s v="NBL-DSL-30T-JUMBO"/>
    <s v="Lebruni-30T-JUMBO"/>
    <s v="JUMBO"/>
    <s v="NBL-DSL"/>
    <s v="30T"/>
    <s v="Lebruni"/>
    <s v="IBADAN"/>
    <s v="OYO-OGBOMOSHO"/>
    <s v="OYO-OGBOMOSHO"/>
    <s v="West"/>
    <n v="145"/>
    <n v="290"/>
    <n v="203"/>
    <n v="6960"/>
    <n v="660000"/>
  </r>
  <r>
    <s v="AFEEZ AJIBADE/Ebenezer"/>
    <s v="NBL-DSL-30T-JUMBO"/>
    <s v="Lebruni-30T-JUMBO"/>
    <s v="JUMBO"/>
    <s v="NBL-DSL"/>
    <s v="30T"/>
    <s v="Lebruni"/>
    <s v="IBADAN"/>
    <s v="JOS"/>
    <s v="JOS"/>
    <s v="North"/>
    <n v="945"/>
    <n v="1890"/>
    <n v="1323"/>
    <n v="45360"/>
    <n v="3702600"/>
  </r>
  <r>
    <s v="AFEEZ AJIBADE/Ebenezer"/>
    <s v="NBL-DSL-30T-JUMBO"/>
    <s v="Lebruni-30T-JUMBO"/>
    <s v="JUMBO"/>
    <s v="NBL-DSL"/>
    <s v="30T"/>
    <s v="Lebruni"/>
    <s v="IBADAN"/>
    <s v="KADUNA"/>
    <s v="Kaduna"/>
    <s v="North"/>
    <n v="710"/>
    <n v="1420"/>
    <n v="994"/>
    <n v="34080"/>
    <n v="3366000"/>
  </r>
  <r>
    <s v="AFEEZ AJIBADE/Ebenezer"/>
    <s v="NBL-DSL-30T-JUMBO"/>
    <s v="Lebruni-30T-JUMBO"/>
    <s v="JUMBO"/>
    <s v="NBL-DSL"/>
    <s v="30T"/>
    <s v="Lebruni"/>
    <s v="IBADAN"/>
    <s v="LAGOS -IKEJA"/>
    <s v="LAGOS -IKEJA"/>
    <s v="West"/>
    <n v="110"/>
    <n v="220"/>
    <n v="154"/>
    <n v="5280"/>
    <n v="660000"/>
  </r>
  <r>
    <s v="AFEEZ AJIBADE/Ebenezer"/>
    <s v="NBL-DSL-30T-JUMBO"/>
    <s v="Lebruni-30T-JUMBO"/>
    <s v="JUMBO"/>
    <s v="NBL-DSL"/>
    <s v="30T"/>
    <s v="Lebruni"/>
    <s v="IBADAN"/>
    <s v="LAGOS-LAGOS ISLAND"/>
    <s v="LAGOS-LAGOS ISLAND"/>
    <s v="West"/>
    <n v="130"/>
    <n v="260"/>
    <n v="182"/>
    <n v="6240"/>
    <n v="693000"/>
  </r>
  <r>
    <s v="AFEEZ AJIBADE/Ebenezer"/>
    <s v="NBL-DSL-30T-JUMBO"/>
    <s v="Lebruni-30T-JUMBO"/>
    <s v="JUMBO"/>
    <s v="NBL-DSL"/>
    <s v="30T"/>
    <s v="Lebruni"/>
    <s v="IBADAN"/>
    <s v="LAGOS-LEKKI"/>
    <s v="LAGOS-LEKKI"/>
    <s v="West"/>
    <n v="140"/>
    <n v="280"/>
    <n v="196"/>
    <n v="6720"/>
    <n v="957000"/>
  </r>
  <r>
    <s v="AFEEZ AJIBADE/Ebenezer"/>
    <s v="NBL-DSL-30T-JUMBO"/>
    <s v="Lebruni-30T-JUMBO"/>
    <s v="JUMBO"/>
    <s v="NBL-DSL"/>
    <s v="30T"/>
    <s v="Lebruni"/>
    <s v="IBADAN"/>
    <s v="MINNA"/>
    <s v="MINNA"/>
    <s v="North"/>
    <n v="532.5"/>
    <n v="1065"/>
    <n v="745"/>
    <n v="25560"/>
    <n v="2838000"/>
  </r>
  <r>
    <s v="AFEEZ AJIBADE/Ebenezer"/>
    <s v="NBL-DSL-30T-JUMBO"/>
    <s v="Lebruni-30T-JUMBO"/>
    <s v="JUMBO"/>
    <s v="NBL-DSL"/>
    <s v="30T"/>
    <s v="Lebruni"/>
    <s v="IBADAN"/>
    <s v="ONITSHA"/>
    <s v="ONITSHA"/>
    <s v="East"/>
    <n v="430"/>
    <n v="860"/>
    <n v="602"/>
    <n v="20640"/>
    <n v="2049300"/>
  </r>
  <r>
    <s v="AFEEZ AJIBADE/Ebenezer"/>
    <s v="NBL-DSL-30T-JUMBO"/>
    <s v="Lebruni-30T-JUMBO"/>
    <s v="JUMBO"/>
    <s v="NBL-DSL"/>
    <s v="30T"/>
    <s v="Lebruni"/>
    <s v="IBADAN"/>
    <s v="ASABA"/>
    <s v="ASABA"/>
    <s v="East"/>
    <n v="410"/>
    <n v="820"/>
    <n v="574"/>
    <n v="19680"/>
    <n v="2003760"/>
  </r>
  <r>
    <s v="AFEEZ AJIBADE/Ebenezer"/>
    <s v="NBL-DSL-30T-JUMBO"/>
    <s v="Lebruni-30T-JUMBO"/>
    <s v="JUMBO"/>
    <s v="NBL-DSL"/>
    <s v="30T"/>
    <s v="Lebruni"/>
    <s v="IBADAN"/>
    <s v="ONDO-ONDO"/>
    <s v="ONDO-ONDO"/>
    <s v="West"/>
    <n v="175.5"/>
    <n v="351"/>
    <n v="245"/>
    <n v="8424"/>
    <n v="1452000"/>
  </r>
  <r>
    <s v="AFEEZ AJIBADE/Ebenezer"/>
    <s v="NBL-DSL-30T-JUMBO"/>
    <s v="Lebruni-30T-JUMBO"/>
    <s v="JUMBO"/>
    <s v="NBL-DSL"/>
    <s v="30T"/>
    <s v="Lebruni"/>
    <s v="IBADAN"/>
    <s v="UMUAHIA"/>
    <s v="UMUAHIA"/>
    <s v="East"/>
    <n v="565"/>
    <n v="1130"/>
    <n v="791"/>
    <n v="27120"/>
    <n v="2310000"/>
  </r>
  <r>
    <s v="AFEEZ AJIBADE/Ebenezer"/>
    <s v="NBL-DSL-30T-JUMBO"/>
    <s v="Lebruni-30T-JUMBO"/>
    <s v="JUMBO"/>
    <s v="NBL-DSL"/>
    <s v="30T"/>
    <s v="Lebruni"/>
    <s v="IBADAN"/>
    <s v="OSUN-OSHOGBO"/>
    <s v="OSUN-OSHOGBO"/>
    <s v="West"/>
    <n v="135"/>
    <n v="270"/>
    <n v="189"/>
    <n v="6480"/>
    <n v="1254000"/>
  </r>
  <r>
    <s v="AFEEZ AJIBADE/Ebenezer"/>
    <s v="NBL-DSL-40T-JUMBO"/>
    <s v="Lebruni-40T-JUMBO"/>
    <s v="JUMBO"/>
    <s v="NBL-DSL"/>
    <s v="40T"/>
    <s v="Lebruni"/>
    <s v="IBADAN"/>
    <s v="KANO"/>
    <s v="Kano"/>
    <s v="North"/>
    <n v="933.5"/>
    <n v="1867"/>
    <n v="1306"/>
    <n v="44808"/>
    <n v="4290000"/>
  </r>
  <r>
    <s v="AFEEZ AJIBADE/Ebenezer"/>
    <s v="NBL-DSL-40T-JUMBO"/>
    <s v="Lebruni-40T-JUMBO"/>
    <s v="JUMBO"/>
    <s v="NBL-DSL"/>
    <s v="40T"/>
    <s v="Lebruni"/>
    <s v="IBADAN"/>
    <s v="Abuja"/>
    <s v="Abuja"/>
    <s v="North"/>
    <n v="622.5"/>
    <n v="1245"/>
    <n v="871"/>
    <n v="29880"/>
    <n v="3500000"/>
  </r>
  <r>
    <s v="AFEEZ AJIBADE/Ebenezer"/>
    <s v="NBL-DSL-40T-JUMBO"/>
    <s v="Lebruni-40T-JUMBO"/>
    <s v="JUMBO"/>
    <s v="NBL-DSL"/>
    <s v="40T"/>
    <s v="Lebruni"/>
    <s v="IBADAN"/>
    <s v="BENIN"/>
    <s v="BENIN"/>
    <s v="West"/>
    <n v="286.5"/>
    <n v="573"/>
    <n v="401"/>
    <n v="13752"/>
    <n v="1900000"/>
  </r>
  <r>
    <s v="AFEEZ AJIBADE/Ebenezer"/>
    <s v="NBL-DSL-40T-JUMBO"/>
    <s v="Lebruni-40T-JUMBO"/>
    <s v="JUMBO"/>
    <s v="NBL-DSL"/>
    <s v="40T"/>
    <s v="Lebruni"/>
    <s v="IBADAN"/>
    <s v="PHC"/>
    <s v="PHC"/>
    <s v="East"/>
    <n v="605"/>
    <n v="1210"/>
    <n v="847"/>
    <n v="29040"/>
    <n v="3140000"/>
  </r>
  <r>
    <s v="AFEEZ AJIBADE/Ebenezer"/>
    <s v="NBL-DSL-40T-JUMBO"/>
    <s v="Lebruni-40T-JUMBO"/>
    <s v="JUMBO"/>
    <s v="NBL-DSL"/>
    <s v="40T"/>
    <s v="Lebruni"/>
    <s v="IBADAN"/>
    <s v="WARRI"/>
    <s v="WARRI"/>
    <s v="East"/>
    <n v="393"/>
    <n v="786"/>
    <n v="550"/>
    <n v="18864"/>
    <n v="2310000"/>
  </r>
  <r>
    <s v="AFEEZ AJIBADE/Ebenezer"/>
    <s v="NBL-DSL-40T-JUMBO"/>
    <s v="Lebruni-40T-JUMBO"/>
    <s v="JUMBO"/>
    <s v="NBL-DSL"/>
    <s v="40T"/>
    <s v="Lebruni"/>
    <s v="IBADAN"/>
    <s v="Imo"/>
    <s v="Imo"/>
    <s v="East"/>
    <n v="505.5"/>
    <n v="1011"/>
    <n v="707"/>
    <n v="24264"/>
    <n v="2600000"/>
  </r>
  <r>
    <s v="AFEEZ AJIBADE/Ebenezer"/>
    <s v="NBL-DSL-40T-JUMBO"/>
    <s v="Lebruni-40T-JUMBO"/>
    <s v="JUMBO"/>
    <s v="NBL-DSL"/>
    <s v="40T"/>
    <s v="Lebruni"/>
    <s v="IBADAN"/>
    <s v="ABA"/>
    <s v="ABA"/>
    <s v="East"/>
    <n v="575"/>
    <n v="1150"/>
    <n v="805"/>
    <n v="27600"/>
    <n v="3040000"/>
  </r>
  <r>
    <s v="AFEEZ AJIBADE/Ebenezer"/>
    <s v="NBL-DSL-40T-JUMBO"/>
    <s v="Lebruni-40T-JUMBO"/>
    <s v="JUMBO"/>
    <s v="NBL-DSL"/>
    <s v="40T"/>
    <s v="Lebruni"/>
    <s v="IBADAN"/>
    <s v="ONDO-AKURE"/>
    <s v="ONDO-AKURE"/>
    <s v="West"/>
    <n v="240"/>
    <n v="480"/>
    <n v="336"/>
    <n v="11520"/>
    <n v="1820000"/>
  </r>
  <r>
    <s v="AFEEZ AJIBADE/Ebenezer"/>
    <s v="NBL-DSL-40T-JUMBO"/>
    <s v="Lebruni-40T-JUMBO"/>
    <s v="JUMBO"/>
    <s v="NBL-DSL"/>
    <s v="40T"/>
    <s v="Lebruni"/>
    <s v="IBADAN"/>
    <s v="IKOM"/>
    <s v="IKOM"/>
    <s v="East"/>
    <n v="750"/>
    <n v="1500"/>
    <n v="1050"/>
    <n v="36000"/>
    <n v="3800000"/>
  </r>
  <r>
    <s v="AFEEZ AJIBADE/Ebenezer"/>
    <s v="NBL-DSL-40T-JUMBO"/>
    <s v="Lebruni-40T-JUMBO"/>
    <s v="JUMBO"/>
    <s v="NBL-DSL"/>
    <s v="40T"/>
    <s v="Lebruni"/>
    <s v="IBADAN"/>
    <s v="OGUN-ABEOKUTA"/>
    <s v="OGUN-ABEOKUTA"/>
    <s v="West"/>
    <n v="104.5"/>
    <n v="209"/>
    <n v="146"/>
    <n v="5016"/>
    <n v="990000"/>
  </r>
  <r>
    <s v="AFEEZ AJIBADE/Ebenezer"/>
    <s v="NBL-DSL-40T-JUMBO"/>
    <s v="Lebruni-40T-JUMBO"/>
    <s v="JUMBO"/>
    <s v="NBL-DSL"/>
    <s v="40T"/>
    <s v="Lebruni"/>
    <s v="IBADAN"/>
    <s v="OGUN-IDIROKO"/>
    <s v="OGUN-IDIROKO"/>
    <s v="West"/>
    <n v="170"/>
    <n v="340"/>
    <n v="238"/>
    <n v="8160"/>
    <n v="1250000"/>
  </r>
  <r>
    <s v="AFEEZ AJIBADE/Ebenezer"/>
    <s v="NBL-DSL-40T-JUMBO"/>
    <s v="Lebruni-40T-JUMBO"/>
    <s v="JUMBO"/>
    <s v="NBL-DSL"/>
    <s v="40T"/>
    <s v="Lebruni"/>
    <s v="IBADAN"/>
    <s v="OGUN-IBAFO"/>
    <s v="OGUN-IBAFO"/>
    <s v="West"/>
    <n v="0"/>
    <n v="95"/>
    <n v="66"/>
    <n v="2280"/>
    <n v="660000"/>
  </r>
  <r>
    <s v="AFEEZ AJIBADE/Ebenezer"/>
    <s v="NBL-DSL-40T-JUMBO"/>
    <s v="Lebruni-40T-JUMBO"/>
    <s v="JUMBO"/>
    <s v="NBL-DSL"/>
    <s v="40T"/>
    <s v="Lebruni"/>
    <s v="IBADAN"/>
    <s v="OGUN-SANGO OTA"/>
    <s v="OGUN-SANGO OTA"/>
    <s v="West"/>
    <n v="127.5"/>
    <n v="255"/>
    <n v="178"/>
    <n v="6120"/>
    <n v="1080000"/>
  </r>
  <r>
    <s v="AFEEZ AJIBADE/Ebenezer"/>
    <s v="NBL-DSL-40T-JUMBO"/>
    <s v="Lebruni-40T-JUMBO"/>
    <s v="JUMBO"/>
    <s v="NBL-DSL"/>
    <s v="40T"/>
    <s v="Lebruni"/>
    <s v="IBADAN"/>
    <s v="OGUN-SAGAMU"/>
    <s v="OGUN-SAGAMU"/>
    <s v="West"/>
    <n v="75"/>
    <n v="150"/>
    <n v="105"/>
    <n v="3600"/>
    <n v="660000"/>
  </r>
  <r>
    <s v="AFEEZ AJIBADE/Ebenezer"/>
    <s v="NBL-DSL-40T-JUMBO"/>
    <s v="Lebruni-40T-JUMBO"/>
    <s v="JUMBO"/>
    <s v="NBL-DSL"/>
    <s v="40T"/>
    <s v="Lebruni"/>
    <s v="IBADAN"/>
    <s v="ILORIN"/>
    <s v="ILORIN"/>
    <s v="West"/>
    <n v="210"/>
    <n v="420"/>
    <n v="294"/>
    <n v="10080"/>
    <n v="1320000"/>
  </r>
  <r>
    <s v="AFEEZ AJIBADE/Ebenezer"/>
    <s v="NBL-DSL-40T-JUMBO"/>
    <s v="Lebruni-40T-JUMBO"/>
    <s v="JUMBO"/>
    <s v="NBL-DSL"/>
    <s v="40T"/>
    <s v="Lebruni"/>
    <s v="IBADAN"/>
    <s v="AGBOR"/>
    <s v="AGBOR"/>
    <s v="East"/>
    <n v="350"/>
    <n v="700"/>
    <n v="490"/>
    <n v="16800"/>
    <n v="2380000"/>
  </r>
  <r>
    <s v="AFEEZ AJIBADE/Ebenezer"/>
    <s v="NBL-DSL-40T-JUMBO"/>
    <s v="Lebruni-40T-JUMBO"/>
    <s v="JUMBO"/>
    <s v="NBL-DSL"/>
    <s v="40T"/>
    <s v="Lebruni"/>
    <s v="IBADAN"/>
    <s v="AWKA"/>
    <s v="AWKA"/>
    <s v="East"/>
    <n v="465"/>
    <n v="930"/>
    <n v="651"/>
    <n v="22320"/>
    <n v="2600000"/>
  </r>
  <r>
    <s v="AFEEZ AJIBADE/Ebenezer"/>
    <s v="NBL-DSL-40T-JUMBO"/>
    <s v="Lebruni-40T-JUMBO"/>
    <s v="JUMBO"/>
    <s v="NBL-DSL"/>
    <s v="40T"/>
    <s v="Lebruni"/>
    <s v="IBADAN"/>
    <s v="CALABAR"/>
    <s v="CALABAR"/>
    <s v="East"/>
    <n v="717.5"/>
    <n v="1435"/>
    <n v="1004"/>
    <n v="34440"/>
    <n v="3800000"/>
  </r>
  <r>
    <s v="AFEEZ AJIBADE/Ebenezer"/>
    <s v="NBL-DSL-40T-JUMBO"/>
    <s v="Lebruni-40T-JUMBO"/>
    <s v="JUMBO"/>
    <s v="NBL-DSL"/>
    <s v="40T"/>
    <s v="Lebruni"/>
    <s v="IBADAN"/>
    <s v="ENUGU"/>
    <s v="ENUGU"/>
    <s v="East"/>
    <n v="527.5"/>
    <n v="1055"/>
    <n v="738"/>
    <n v="25320"/>
    <n v="2970000"/>
  </r>
  <r>
    <s v="AFEEZ AJIBADE/Ebenezer"/>
    <s v="NBL-DSL-40T-JUMBO"/>
    <s v="Lebruni-40T-JUMBO"/>
    <s v="JUMBO"/>
    <s v="NBL-DSL"/>
    <s v="40T"/>
    <s v="Lebruni"/>
    <s v="IBADAN"/>
    <s v="GBOKO"/>
    <s v="GBOKO"/>
    <s v="East"/>
    <n v="700"/>
    <n v="1400"/>
    <n v="980"/>
    <n v="33600"/>
    <n v="3470000"/>
  </r>
  <r>
    <s v="AFEEZ AJIBADE/Ebenezer"/>
    <s v="NBL-DSL-40T-JUMBO"/>
    <s v="Lebruni-40T-JUMBO"/>
    <s v="JUMBO"/>
    <s v="NBL-DSL"/>
    <s v="40T"/>
    <s v="Lebruni"/>
    <s v="IBADAN"/>
    <s v="OYO-IBADAN (TOLL GATE)"/>
    <s v="OYO-IBADAN (TOLL GATE)"/>
    <s v="West"/>
    <n v="42.5"/>
    <n v="85"/>
    <n v="59"/>
    <n v="2040"/>
    <n v="660000"/>
  </r>
  <r>
    <s v="AFEEZ AJIBADE/Ebenezer"/>
    <s v="NBL-DSL-40T-JUMBO"/>
    <s v="Lebruni-40T-JUMBO"/>
    <s v="JUMBO"/>
    <s v="NBL-DSL"/>
    <s v="40T"/>
    <s v="Lebruni"/>
    <s v="IBADAN"/>
    <s v="OYO-IBADAN TOWN"/>
    <s v="OYO-IBADAN TOWN"/>
    <s v="West"/>
    <n v="42.5"/>
    <n v="85"/>
    <n v="59"/>
    <n v="2040"/>
    <n v="660000"/>
  </r>
  <r>
    <s v="AFEEZ AJIBADE/Ebenezer"/>
    <s v="NBL-DSL-40T-JUMBO"/>
    <s v="Lebruni-40T-JUMBO"/>
    <s v="JUMBO"/>
    <s v="NBL-DSL"/>
    <s v="40T"/>
    <s v="Lebruni"/>
    <s v="IBADAN"/>
    <s v="OYO-OGBOMOSHO"/>
    <s v="OYO-OGBOMOSHO"/>
    <s v="West"/>
    <n v="145"/>
    <n v="290"/>
    <n v="203"/>
    <n v="6960"/>
    <n v="830000"/>
  </r>
  <r>
    <s v="AFEEZ AJIBADE/Ebenezer"/>
    <s v="NBL-DSL-40T-JUMBO"/>
    <s v="Lebruni-40T-JUMBO"/>
    <s v="JUMBO"/>
    <s v="NBL-DSL"/>
    <s v="40T"/>
    <s v="Lebruni"/>
    <s v="IBADAN"/>
    <s v="JOS"/>
    <s v="JOS"/>
    <s v="North"/>
    <n v="945"/>
    <n v="1890"/>
    <n v="1323"/>
    <n v="45360"/>
    <n v="4630000"/>
  </r>
  <r>
    <s v="AFEEZ AJIBADE/Ebenezer"/>
    <s v="NBL-DSL-40T-JUMBO"/>
    <s v="Lebruni-40T-JUMBO"/>
    <s v="JUMBO"/>
    <s v="NBL-DSL"/>
    <s v="40T"/>
    <s v="Lebruni"/>
    <s v="IBADAN"/>
    <s v="KADUNA"/>
    <s v="Kaduna"/>
    <s v="North"/>
    <n v="710"/>
    <n v="1420"/>
    <n v="994"/>
    <n v="34080"/>
    <n v="4210000"/>
  </r>
  <r>
    <s v="AFEEZ AJIBADE/Ebenezer"/>
    <s v="NBL-DSL-40T-JUMBO"/>
    <s v="Lebruni-40T-JUMBO"/>
    <s v="JUMBO"/>
    <s v="NBL-DSL"/>
    <s v="40T"/>
    <s v="Lebruni"/>
    <s v="IBADAN"/>
    <s v="LAGOS -IKEJA"/>
    <s v="LAGOS -IKEJA"/>
    <s v="West"/>
    <n v="110"/>
    <n v="220"/>
    <n v="154"/>
    <n v="5280"/>
    <n v="830000"/>
  </r>
  <r>
    <s v="AFEEZ AJIBADE/Ebenezer"/>
    <s v="NBL-DSL-40T-JUMBO"/>
    <s v="Lebruni-40T-JUMBO"/>
    <s v="JUMBO"/>
    <s v="NBL-DSL"/>
    <s v="40T"/>
    <s v="Lebruni"/>
    <s v="IBADAN"/>
    <s v="LAGOS-LAGOS ISLAND"/>
    <s v="LAGOS-LAGOS ISLAND"/>
    <s v="West"/>
    <n v="130"/>
    <n v="260"/>
    <n v="182"/>
    <n v="6240"/>
    <n v="870000"/>
  </r>
  <r>
    <s v="AFEEZ AJIBADE/Ebenezer"/>
    <s v="NBL-DSL-40T-JUMBO"/>
    <s v="Lebruni-40T-JUMBO"/>
    <s v="JUMBO"/>
    <s v="NBL-DSL"/>
    <s v="40T"/>
    <s v="Lebruni"/>
    <s v="IBADAN"/>
    <s v="LAGOS-LEKKI"/>
    <s v="LAGOS-LEKKI"/>
    <s v="West"/>
    <n v="140"/>
    <n v="280"/>
    <n v="196"/>
    <n v="6720"/>
    <n v="1200000"/>
  </r>
  <r>
    <s v="AFEEZ AJIBADE/Ebenezer"/>
    <s v="NBL-DSL-40T-JUMBO"/>
    <s v="Lebruni-40T-JUMBO"/>
    <s v="JUMBO"/>
    <s v="NBL-DSL"/>
    <s v="40T"/>
    <s v="Lebruni"/>
    <s v="IBADAN"/>
    <s v="MINNA"/>
    <s v="MINNA"/>
    <s v="North"/>
    <n v="532.5"/>
    <n v="1065"/>
    <n v="745"/>
    <n v="25560"/>
    <n v="3550000"/>
  </r>
  <r>
    <s v="AFEEZ AJIBADE/Ebenezer"/>
    <s v="NBL-DSL-40T-JUMBO"/>
    <s v="Lebruni-40T-JUMBO"/>
    <s v="JUMBO"/>
    <s v="NBL-DSL"/>
    <s v="40T"/>
    <s v="Lebruni"/>
    <s v="IBADAN"/>
    <s v="ONITSHA"/>
    <s v="ONITSHA"/>
    <s v="East"/>
    <n v="430"/>
    <n v="860"/>
    <n v="602"/>
    <n v="20640"/>
    <n v="2570000"/>
  </r>
  <r>
    <s v="AFEEZ AJIBADE/Ebenezer"/>
    <s v="NBL-DSL-40T-JUMBO"/>
    <s v="Lebruni-40T-JUMBO"/>
    <s v="JUMBO"/>
    <s v="NBL-DSL"/>
    <s v="40T"/>
    <s v="Lebruni"/>
    <s v="IBADAN"/>
    <s v="ASABA"/>
    <s v="ASABA"/>
    <s v="East"/>
    <n v="410"/>
    <n v="820"/>
    <n v="574"/>
    <n v="19680"/>
    <n v="2510000"/>
  </r>
  <r>
    <s v="AFEEZ AJIBADE/Ebenezer"/>
    <s v="NBL-DSL-40T-JUMBO"/>
    <s v="Lebruni-40T-JUMBO"/>
    <s v="JUMBO"/>
    <s v="NBL-DSL"/>
    <s v="40T"/>
    <s v="Lebruni"/>
    <s v="IBADAN"/>
    <s v="ONDO-ONDO"/>
    <s v="ONDO-ONDO"/>
    <s v="West"/>
    <n v="175.5"/>
    <n v="351"/>
    <n v="245"/>
    <n v="8424"/>
    <n v="1820000"/>
  </r>
  <r>
    <s v="AFEEZ AJIBADE/Ebenezer"/>
    <s v="NBL-DSL-40T-JUMBO"/>
    <s v="Lebruni-40T-JUMBO"/>
    <s v="JUMBO"/>
    <s v="NBL-DSL"/>
    <s v="40T"/>
    <s v="Lebruni"/>
    <s v="IBADAN"/>
    <s v="UMUAHIA"/>
    <s v="UMUAHIA"/>
    <s v="East"/>
    <n v="565"/>
    <n v="1130"/>
    <n v="791"/>
    <n v="27120"/>
    <n v="2890000"/>
  </r>
  <r>
    <s v="AFEEZ AJIBADE/Ebenezer"/>
    <s v="NBL-DSL-40T-JUMBO"/>
    <s v="Lebruni-40T-JUMBO"/>
    <s v="JUMBO"/>
    <s v="NBL-DSL"/>
    <s v="40T"/>
    <s v="Lebruni"/>
    <s v="IBADAN"/>
    <s v="OSUN-OSHOGBO"/>
    <s v="OSUN-OSHOGBO"/>
    <s v="West"/>
    <n v="135"/>
    <n v="270"/>
    <n v="189"/>
    <n v="6480"/>
    <n v="1570000"/>
  </r>
  <r>
    <s v="AFEEZ AJIBADE/Ebenezer"/>
    <s v="NBL-DSL-45T-JUMBO"/>
    <s v="Lebruni-45T-JUMBO"/>
    <s v="JUMBO"/>
    <s v="NBL-DSL"/>
    <s v="45T"/>
    <s v="Lebruni"/>
    <s v="IBADAN"/>
    <s v="KANO"/>
    <s v="Kano"/>
    <s v="North"/>
    <n v="933.5"/>
    <n v="1867"/>
    <n v="1306"/>
    <n v="44808"/>
    <n v="4690400"/>
  </r>
  <r>
    <s v="AFEEZ AJIBADE/Ebenezer"/>
    <s v="NBL-DSL-45T-JUMBO"/>
    <s v="Lebruni-45T-JUMBO"/>
    <s v="JUMBO"/>
    <s v="NBL-DSL"/>
    <s v="45T"/>
    <s v="Lebruni"/>
    <s v="IBADAN"/>
    <s v="Abuja"/>
    <s v="Abuja"/>
    <s v="North"/>
    <n v="622.5"/>
    <n v="1245"/>
    <n v="871"/>
    <n v="29880"/>
    <n v="3788400"/>
  </r>
  <r>
    <s v="AFEEZ AJIBADE/Ebenezer"/>
    <s v="NBL-DSL-45T-JUMBO"/>
    <s v="Lebruni-45T-JUMBO"/>
    <s v="JUMBO"/>
    <s v="NBL-DSL"/>
    <s v="45T"/>
    <s v="Lebruni"/>
    <s v="IBADAN"/>
    <s v="BENIN"/>
    <s v="BENIN"/>
    <s v="West"/>
    <n v="286.5"/>
    <n v="573"/>
    <n v="401"/>
    <n v="13752"/>
    <n v="2074600"/>
  </r>
  <r>
    <s v="AFEEZ AJIBADE/Ebenezer"/>
    <s v="NBL-DSL-45T-JUMBO"/>
    <s v="Lebruni-45T-JUMBO"/>
    <s v="JUMBO"/>
    <s v="NBL-DSL"/>
    <s v="45T"/>
    <s v="Lebruni"/>
    <s v="IBADAN"/>
    <s v="PHC"/>
    <s v="PHC"/>
    <s v="East"/>
    <n v="605"/>
    <n v="1210"/>
    <n v="847"/>
    <n v="29040"/>
    <n v="3427600"/>
  </r>
  <r>
    <s v="AFEEZ AJIBADE/Ebenezer"/>
    <s v="NBL-DSL-45T-JUMBO"/>
    <s v="Lebruni-45T-JUMBO"/>
    <s v="JUMBO"/>
    <s v="NBL-DSL"/>
    <s v="45T"/>
    <s v="Lebruni"/>
    <s v="IBADAN"/>
    <s v="WARRI"/>
    <s v="WARRI"/>
    <s v="East"/>
    <n v="393"/>
    <n v="786"/>
    <n v="550"/>
    <n v="18864"/>
    <n v="2525600"/>
  </r>
  <r>
    <s v="AFEEZ AJIBADE/Ebenezer"/>
    <s v="NBL-DSL-45T-JUMBO"/>
    <s v="Lebruni-45T-JUMBO"/>
    <s v="JUMBO"/>
    <s v="NBL-DSL"/>
    <s v="45T"/>
    <s v="Lebruni"/>
    <s v="IBADAN"/>
    <s v="Imo"/>
    <s v="Imo"/>
    <s v="East"/>
    <n v="505.5"/>
    <n v="1011"/>
    <n v="707"/>
    <n v="24264"/>
    <n v="2841300"/>
  </r>
  <r>
    <s v="AFEEZ AJIBADE/Ebenezer"/>
    <s v="NBL-DSL-45T-JUMBO"/>
    <s v="Lebruni-45T-JUMBO"/>
    <s v="JUMBO"/>
    <s v="NBL-DSL"/>
    <s v="45T"/>
    <s v="Lebruni"/>
    <s v="IBADAN"/>
    <s v="ABA"/>
    <s v="ABA"/>
    <s v="East"/>
    <n v="575"/>
    <n v="1150"/>
    <n v="805"/>
    <n v="27600"/>
    <n v="3319360"/>
  </r>
  <r>
    <s v="AFEEZ AJIBADE/Ebenezer"/>
    <s v="NBL-DSL-45T-JUMBO"/>
    <s v="Lebruni-45T-JUMBO"/>
    <s v="JUMBO"/>
    <s v="NBL-DSL"/>
    <s v="45T"/>
    <s v="Lebruni"/>
    <s v="IBADAN"/>
    <s v="ONDO-AKURE"/>
    <s v="ONDO-AKURE"/>
    <s v="West"/>
    <n v="240"/>
    <n v="480"/>
    <n v="336"/>
    <n v="11520"/>
    <n v="1984400"/>
  </r>
  <r>
    <s v="AFEEZ AJIBADE/Ebenezer"/>
    <s v="NBL-DSL-45T-JUMBO"/>
    <s v="Lebruni-45T-JUMBO"/>
    <s v="JUMBO"/>
    <s v="NBL-DSL"/>
    <s v="45T"/>
    <s v="Lebruni"/>
    <s v="IBADAN"/>
    <s v="IKOM"/>
    <s v="IKOM"/>
    <s v="East"/>
    <n v="750"/>
    <n v="1500"/>
    <n v="1050"/>
    <n v="36000"/>
    <n v="4149200"/>
  </r>
  <r>
    <s v="AFEEZ AJIBADE/Ebenezer"/>
    <s v="NBL-DSL-45T-JUMBO"/>
    <s v="Lebruni-45T-JUMBO"/>
    <s v="JUMBO"/>
    <s v="NBL-DSL"/>
    <s v="45T"/>
    <s v="Lebruni"/>
    <s v="IBADAN"/>
    <s v="OGUN-ABEOKUTA"/>
    <s v="OGUN-ABEOKUTA"/>
    <s v="West"/>
    <n v="104.5"/>
    <n v="209"/>
    <n v="146"/>
    <n v="5016"/>
    <n v="1082400"/>
  </r>
  <r>
    <s v="AFEEZ AJIBADE/Ebenezer"/>
    <s v="NBL-DSL-45T-JUMBO"/>
    <s v="Lebruni-45T-JUMBO"/>
    <s v="JUMBO"/>
    <s v="NBL-DSL"/>
    <s v="45T"/>
    <s v="Lebruni"/>
    <s v="IBADAN"/>
    <s v="OGUN-IDIROKO"/>
    <s v="OGUN-IDIROKO"/>
    <s v="West"/>
    <n v="170"/>
    <n v="340"/>
    <n v="238"/>
    <n v="8160"/>
    <n v="1350000"/>
  </r>
  <r>
    <s v="AFEEZ AJIBADE/Ebenezer"/>
    <s v="NBL-DSL-45T-JUMBO"/>
    <s v="Lebruni-45T-JUMBO"/>
    <s v="JUMBO"/>
    <s v="NBL-DSL"/>
    <s v="45T"/>
    <s v="Lebruni"/>
    <s v="IBADAN"/>
    <s v="OGUN-IBAFO"/>
    <s v="OGUN-IBAFO"/>
    <s v="West"/>
    <n v="0"/>
    <n v="95"/>
    <n v="66"/>
    <n v="2280"/>
    <n v="721600"/>
  </r>
  <r>
    <s v="AFEEZ AJIBADE/Ebenezer"/>
    <s v="NBL-DSL-45T-JUMBO"/>
    <s v="Lebruni-45T-JUMBO"/>
    <s v="JUMBO"/>
    <s v="NBL-DSL"/>
    <s v="45T"/>
    <s v="Lebruni"/>
    <s v="IBADAN"/>
    <s v="OGUN-SANGO OTA"/>
    <s v="OGUN-SANGO OTA"/>
    <s v="West"/>
    <n v="127.5"/>
    <n v="255"/>
    <n v="178"/>
    <n v="6120"/>
    <n v="1172600"/>
  </r>
  <r>
    <s v="AFEEZ AJIBADE/Ebenezer"/>
    <s v="NBL-DSL-45T-JUMBO"/>
    <s v="Lebruni-45T-JUMBO"/>
    <s v="JUMBO"/>
    <s v="NBL-DSL"/>
    <s v="45T"/>
    <s v="Lebruni"/>
    <s v="IBADAN"/>
    <s v="OGUN-SAGAMU"/>
    <s v="OGUN-SAGAMU"/>
    <s v="West"/>
    <n v="75"/>
    <n v="150"/>
    <n v="105"/>
    <n v="3600"/>
    <n v="721600"/>
  </r>
  <r>
    <s v="AFEEZ AJIBADE/Ebenezer"/>
    <s v="NBL-DSL-45T-JUMBO"/>
    <s v="Lebruni-45T-JUMBO"/>
    <s v="JUMBO"/>
    <s v="NBL-DSL"/>
    <s v="45T"/>
    <s v="Lebruni"/>
    <s v="IBADAN"/>
    <s v="ILORIN"/>
    <s v="ILORIN"/>
    <s v="West"/>
    <n v="210"/>
    <n v="420"/>
    <n v="294"/>
    <n v="10080"/>
    <n v="1443200"/>
  </r>
  <r>
    <s v="AFEEZ AJIBADE/Ebenezer"/>
    <s v="NBL-DSL-45T-JUMBO"/>
    <s v="Lebruni-45T-JUMBO"/>
    <s v="JUMBO"/>
    <s v="NBL-DSL"/>
    <s v="45T"/>
    <s v="Lebruni"/>
    <s v="IBADAN"/>
    <s v="AGBOR"/>
    <s v="AGBOR"/>
    <s v="East"/>
    <n v="350"/>
    <n v="700"/>
    <n v="490"/>
    <n v="16800"/>
    <n v="2593250"/>
  </r>
  <r>
    <s v="AFEEZ AJIBADE/Ebenezer"/>
    <s v="NBL-DSL-45T-JUMBO"/>
    <s v="Lebruni-45T-JUMBO"/>
    <s v="JUMBO"/>
    <s v="NBL-DSL"/>
    <s v="45T"/>
    <s v="Lebruni"/>
    <s v="IBADAN"/>
    <s v="AWKA"/>
    <s v="AWKA"/>
    <s v="East"/>
    <n v="465"/>
    <n v="930"/>
    <n v="651"/>
    <n v="22320"/>
    <n v="2841300"/>
  </r>
  <r>
    <s v="AFEEZ AJIBADE/Ebenezer"/>
    <s v="NBL-DSL-45T-JUMBO"/>
    <s v="Lebruni-45T-JUMBO"/>
    <s v="JUMBO"/>
    <s v="NBL-DSL"/>
    <s v="45T"/>
    <s v="Lebruni"/>
    <s v="IBADAN"/>
    <s v="CALABAR"/>
    <s v="CALABAR"/>
    <s v="East"/>
    <n v="717.5"/>
    <n v="1435"/>
    <n v="1004"/>
    <n v="34440"/>
    <n v="4149200"/>
  </r>
  <r>
    <s v="AFEEZ AJIBADE/Ebenezer"/>
    <s v="NBL-DSL-45T-JUMBO"/>
    <s v="Lebruni-45T-JUMBO"/>
    <s v="JUMBO"/>
    <s v="NBL-DSL"/>
    <s v="45T"/>
    <s v="Lebruni"/>
    <s v="IBADAN"/>
    <s v="ENUGU"/>
    <s v="ENUGU"/>
    <s v="East"/>
    <n v="527.5"/>
    <n v="1055"/>
    <n v="738"/>
    <n v="25320"/>
    <n v="3247200"/>
  </r>
  <r>
    <s v="AFEEZ AJIBADE/Ebenezer"/>
    <s v="NBL-DSL-45T-JUMBO"/>
    <s v="Lebruni-45T-JUMBO"/>
    <s v="JUMBO"/>
    <s v="NBL-DSL"/>
    <s v="45T"/>
    <s v="Lebruni"/>
    <s v="IBADAN"/>
    <s v="GBOKO"/>
    <s v="GBOKO"/>
    <s v="East"/>
    <n v="700"/>
    <n v="1400"/>
    <n v="980"/>
    <n v="33600"/>
    <n v="3788400"/>
  </r>
  <r>
    <s v="AFEEZ AJIBADE/Ebenezer"/>
    <s v="NBL-DSL-45T-JUMBO"/>
    <s v="Lebruni-45T-JUMBO"/>
    <s v="JUMBO"/>
    <s v="NBL-DSL"/>
    <s v="45T"/>
    <s v="Lebruni"/>
    <s v="IBADAN"/>
    <s v="OYO-IBADAN (TOLL GATE)"/>
    <s v="OYO-IBADAN (TOLL GATE)"/>
    <s v="West"/>
    <n v="42.5"/>
    <n v="85"/>
    <n v="59"/>
    <n v="2040"/>
    <n v="721600"/>
  </r>
  <r>
    <s v="AFEEZ AJIBADE/Ebenezer"/>
    <s v="NBL-DSL-45T-JUMBO"/>
    <s v="Lebruni-45T-JUMBO"/>
    <s v="JUMBO"/>
    <s v="NBL-DSL"/>
    <s v="45T"/>
    <s v="Lebruni"/>
    <s v="IBADAN"/>
    <s v="OYO-IBADAN TOWN"/>
    <s v="OYO-IBADAN TOWN"/>
    <s v="West"/>
    <n v="42.5"/>
    <n v="85"/>
    <n v="59"/>
    <n v="2040"/>
    <n v="721600"/>
  </r>
  <r>
    <s v="AFEEZ AJIBADE/Ebenezer"/>
    <s v="NBL-DSL-45T-JUMBO"/>
    <s v="Lebruni-45T-JUMBO"/>
    <s v="JUMBO"/>
    <s v="NBL-DSL"/>
    <s v="45T"/>
    <s v="Lebruni"/>
    <s v="IBADAN"/>
    <s v="OYO-OGBOMOSHO"/>
    <s v="OYO-OGBOMOSHO"/>
    <s v="West"/>
    <n v="145"/>
    <n v="290"/>
    <n v="203"/>
    <n v="6960"/>
    <n v="902000"/>
  </r>
  <r>
    <s v="AFEEZ AJIBADE/Ebenezer"/>
    <s v="NBL-DSL-45T-JUMBO"/>
    <s v="Lebruni-45T-JUMBO"/>
    <s v="JUMBO"/>
    <s v="NBL-DSL"/>
    <s v="45T"/>
    <s v="Lebruni"/>
    <s v="IBADAN"/>
    <s v="JOS"/>
    <s v="JOS"/>
    <s v="North"/>
    <n v="945"/>
    <n v="1890"/>
    <n v="1323"/>
    <n v="45360"/>
    <n v="5060220"/>
  </r>
  <r>
    <s v="AFEEZ AJIBADE/Ebenezer"/>
    <s v="NBL-DSL-45T-JUMBO"/>
    <s v="Lebruni-45T-JUMBO"/>
    <s v="JUMBO"/>
    <s v="NBL-DSL"/>
    <s v="45T"/>
    <s v="Lebruni"/>
    <s v="IBADAN"/>
    <s v="KADUNA"/>
    <s v="Kaduna"/>
    <s v="North"/>
    <n v="710"/>
    <n v="1420"/>
    <n v="994"/>
    <n v="34080"/>
    <n v="4600200"/>
  </r>
  <r>
    <s v="AFEEZ AJIBADE/Ebenezer"/>
    <s v="NBL-DSL-45T-JUMBO"/>
    <s v="Lebruni-45T-JUMBO"/>
    <s v="JUMBO"/>
    <s v="NBL-DSL"/>
    <s v="45T"/>
    <s v="Lebruni"/>
    <s v="IBADAN"/>
    <s v="LAGOS -IKEJA"/>
    <s v="LAGOS -IKEJA"/>
    <s v="West"/>
    <n v="110"/>
    <n v="220"/>
    <n v="154"/>
    <n v="5280"/>
    <n v="902000"/>
  </r>
  <r>
    <s v="AFEEZ AJIBADE/Ebenezer"/>
    <s v="NBL-DSL-45T-JUMBO"/>
    <s v="Lebruni-45T-JUMBO"/>
    <s v="JUMBO"/>
    <s v="NBL-DSL"/>
    <s v="45T"/>
    <s v="Lebruni"/>
    <s v="IBADAN"/>
    <s v="LAGOS-LAGOS ISLAND"/>
    <s v="LAGOS-LAGOS ISLAND"/>
    <s v="West"/>
    <n v="130"/>
    <n v="260"/>
    <n v="182"/>
    <n v="6240"/>
    <n v="947100"/>
  </r>
  <r>
    <s v="AFEEZ AJIBADE/Ebenezer"/>
    <s v="NBL-DSL-45T-JUMBO"/>
    <s v="Lebruni-45T-JUMBO"/>
    <s v="JUMBO"/>
    <s v="NBL-DSL"/>
    <s v="45T"/>
    <s v="Lebruni"/>
    <s v="IBADAN"/>
    <s v="LAGOS-LEKKI"/>
    <s v="LAGOS-LEKKI"/>
    <s v="West"/>
    <n v="140"/>
    <n v="280"/>
    <n v="196"/>
    <n v="6720"/>
    <n v="1307900"/>
  </r>
  <r>
    <s v="AFEEZ AJIBADE/Ebenezer"/>
    <s v="NBL-DSL-45T-JUMBO"/>
    <s v="Lebruni-45T-JUMBO"/>
    <s v="JUMBO"/>
    <s v="NBL-DSL"/>
    <s v="45T"/>
    <s v="Lebruni"/>
    <s v="IBADAN"/>
    <s v="MINNA"/>
    <s v="MINNA"/>
    <s v="North"/>
    <n v="532.5"/>
    <n v="1065"/>
    <n v="745"/>
    <n v="25560"/>
    <n v="3878600"/>
  </r>
  <r>
    <s v="AFEEZ AJIBADE/Ebenezer"/>
    <s v="NBL-DSL-45T-JUMBO"/>
    <s v="Lebruni-45T-JUMBO"/>
    <s v="JUMBO"/>
    <s v="NBL-DSL"/>
    <s v="45T"/>
    <s v="Lebruni"/>
    <s v="IBADAN"/>
    <s v="ONITSHA"/>
    <s v="ONITSHA"/>
    <s v="East"/>
    <n v="430"/>
    <n v="860"/>
    <n v="602"/>
    <n v="20640"/>
    <n v="2800710"/>
  </r>
  <r>
    <s v="AFEEZ AJIBADE/Ebenezer"/>
    <s v="NBL-DSL-45T-JUMBO"/>
    <s v="Lebruni-45T-JUMBO"/>
    <s v="JUMBO"/>
    <s v="NBL-DSL"/>
    <s v="45T"/>
    <s v="Lebruni"/>
    <s v="IBADAN"/>
    <s v="ASABA"/>
    <s v="ASABA"/>
    <s v="East"/>
    <n v="410"/>
    <n v="820"/>
    <n v="574"/>
    <n v="19680"/>
    <n v="2738472"/>
  </r>
  <r>
    <s v="AFEEZ AJIBADE/Ebenezer"/>
    <s v="NBL-DSL-45T-JUMBO"/>
    <s v="Lebruni-45T-JUMBO"/>
    <s v="JUMBO"/>
    <s v="NBL-DSL"/>
    <s v="45T"/>
    <s v="Lebruni"/>
    <s v="IBADAN"/>
    <s v="ONDO-ONDO"/>
    <s v="ONDO-ONDO"/>
    <s v="West"/>
    <n v="175.5"/>
    <n v="351"/>
    <n v="245"/>
    <n v="8424"/>
    <n v="1984400"/>
  </r>
  <r>
    <s v="AFEEZ AJIBADE/Ebenezer"/>
    <s v="NBL-DSL-45T-JUMBO"/>
    <s v="Lebruni-45T-JUMBO"/>
    <s v="JUMBO"/>
    <s v="NBL-DSL"/>
    <s v="45T"/>
    <s v="Lebruni"/>
    <s v="IBADAN"/>
    <s v="UMUAHIA"/>
    <s v="UMUAHIA"/>
    <s v="East"/>
    <n v="565"/>
    <n v="1130"/>
    <n v="791"/>
    <n v="27120"/>
    <n v="3157000"/>
  </r>
  <r>
    <s v="AFEEZ AJIBADE/Ebenezer"/>
    <s v="NBL-DSL-45T-JUMBO"/>
    <s v="Lebruni-45T-JUMBO"/>
    <s v="JUMBO"/>
    <s v="NBL-DSL"/>
    <s v="45T"/>
    <s v="Lebruni"/>
    <s v="IBADAN"/>
    <s v="OSUN-OSHOGBO"/>
    <s v="OSUN-OSHOGBO"/>
    <s v="West"/>
    <n v="135"/>
    <n v="270"/>
    <n v="189"/>
    <n v="6480"/>
    <n v="171380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3" cacheId="14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C20" firstHeaderRow="1" firstDataRow="1" firstDataCol="0"/>
  <pivotFields count="16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C20"/>
  <sheetViews>
    <sheetView workbookViewId="0">
      <selection activeCell="A3" sqref="A3"/>
    </sheetView>
  </sheetViews>
  <sheetFormatPr baseColWidth="8" defaultRowHeight="14.4"/>
  <sheetData>
    <row r="3">
      <c r="A3" s="179" t="n"/>
      <c r="B3" s="180" t="n"/>
      <c r="C3" s="181" t="n"/>
    </row>
    <row r="4">
      <c r="A4" s="182" t="n"/>
      <c r="B4" s="183" t="n"/>
      <c r="C4" s="184" t="n"/>
    </row>
    <row r="5">
      <c r="A5" s="182" t="n"/>
      <c r="B5" s="183" t="n"/>
      <c r="C5" s="184" t="n"/>
    </row>
    <row r="6">
      <c r="A6" s="182" t="n"/>
      <c r="B6" s="183" t="n"/>
      <c r="C6" s="184" t="n"/>
    </row>
    <row r="7">
      <c r="A7" s="182" t="n"/>
      <c r="B7" s="183" t="n"/>
      <c r="C7" s="184" t="n"/>
    </row>
    <row r="8">
      <c r="A8" s="182" t="n"/>
      <c r="B8" s="183" t="n"/>
      <c r="C8" s="184" t="n"/>
    </row>
    <row r="9">
      <c r="A9" s="182" t="n"/>
      <c r="B9" s="183" t="n"/>
      <c r="C9" s="184" t="n"/>
    </row>
    <row r="10">
      <c r="A10" s="182" t="n"/>
      <c r="B10" s="183" t="n"/>
      <c r="C10" s="184" t="n"/>
    </row>
    <row r="11">
      <c r="A11" s="182" t="n"/>
      <c r="B11" s="183" t="n"/>
      <c r="C11" s="184" t="n"/>
    </row>
    <row r="12">
      <c r="A12" s="182" t="n"/>
      <c r="B12" s="183" t="n"/>
      <c r="C12" s="184" t="n"/>
    </row>
    <row r="13">
      <c r="A13" s="182" t="n"/>
      <c r="B13" s="183" t="n"/>
      <c r="C13" s="184" t="n"/>
    </row>
    <row r="14">
      <c r="A14" s="182" t="n"/>
      <c r="B14" s="183" t="n"/>
      <c r="C14" s="184" t="n"/>
    </row>
    <row r="15">
      <c r="A15" s="182" t="n"/>
      <c r="B15" s="183" t="n"/>
      <c r="C15" s="184" t="n"/>
    </row>
    <row r="16">
      <c r="A16" s="182" t="n"/>
      <c r="B16" s="183" t="n"/>
      <c r="C16" s="184" t="n"/>
    </row>
    <row r="17">
      <c r="A17" s="182" t="n"/>
      <c r="B17" s="183" t="n"/>
      <c r="C17" s="184" t="n"/>
    </row>
    <row r="18">
      <c r="A18" s="182" t="n"/>
      <c r="B18" s="183" t="n"/>
      <c r="C18" s="184" t="n"/>
    </row>
    <row r="19">
      <c r="A19" s="182" t="n"/>
      <c r="B19" s="183" t="n"/>
      <c r="C19" s="184" t="n"/>
    </row>
    <row r="20">
      <c r="A20" s="185" t="n"/>
      <c r="B20" s="186" t="n"/>
      <c r="C20" s="18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4:O934"/>
  <sheetViews>
    <sheetView tabSelected="1" topLeftCell="D1" workbookViewId="0">
      <selection activeCell="I12" sqref="I12"/>
    </sheetView>
  </sheetViews>
  <sheetFormatPr baseColWidth="8" defaultRowHeight="14.4"/>
  <cols>
    <col width="21.6640625" bestFit="1" customWidth="1" min="1" max="1"/>
    <col width="33.77734375" bestFit="1" customWidth="1" min="2" max="2"/>
    <col width="42" bestFit="1" customWidth="1" min="3" max="3"/>
    <col width="16.109375" customWidth="1" min="4" max="4"/>
    <col width="18.5546875" bestFit="1" customWidth="1" min="5" max="5"/>
    <col width="14" customWidth="1" min="6" max="6"/>
    <col width="23.5546875" bestFit="1" customWidth="1" min="7" max="7"/>
    <col width="17" customWidth="1" min="8" max="8"/>
    <col width="24.77734375" customWidth="1" min="9" max="9"/>
    <col width="14" customWidth="1" style="188" min="10" max="10"/>
    <col width="12.6640625" customWidth="1" style="189" min="11" max="11"/>
    <col width="13.44140625" customWidth="1" min="12" max="12"/>
    <col width="12.6640625" customWidth="1" min="13" max="14"/>
    <col width="13.88671875" customWidth="1" min="14" max="14"/>
  </cols>
  <sheetData>
    <row r="4">
      <c r="M4" s="189" t="n"/>
    </row>
    <row r="5">
      <c r="F5" s="189" t="n"/>
      <c r="G5" s="190" t="n"/>
      <c r="M5" s="189" t="n"/>
      <c r="O5" s="190" t="n"/>
    </row>
    <row r="6" ht="15" customHeight="1" thickBot="1">
      <c r="M6" s="189" t="n"/>
    </row>
    <row r="7" ht="28.8" customHeight="1">
      <c r="A7" s="7" t="inlineStr">
        <is>
          <t>Supervisor</t>
        </is>
      </c>
      <c r="B7" s="8" t="inlineStr">
        <is>
          <t>Fleet Group</t>
        </is>
      </c>
      <c r="C7" s="9" t="inlineStr">
        <is>
          <t xml:space="preserve">Contract Name </t>
        </is>
      </c>
      <c r="D7" s="9" t="inlineStr">
        <is>
          <t xml:space="preserve">Truck Size </t>
        </is>
      </c>
      <c r="E7" s="10" t="inlineStr">
        <is>
          <t>Divison</t>
        </is>
      </c>
      <c r="F7" s="9" t="inlineStr">
        <is>
          <t xml:space="preserve">Truck Tonnage </t>
        </is>
      </c>
      <c r="G7" s="11" t="inlineStr">
        <is>
          <t>Client</t>
        </is>
      </c>
      <c r="H7" s="11" t="inlineStr">
        <is>
          <t xml:space="preserve">Loading Point </t>
        </is>
      </c>
      <c r="I7" s="11" t="inlineStr">
        <is>
          <t>Destination</t>
        </is>
      </c>
      <c r="J7" s="11" t="inlineStr">
        <is>
          <t>State</t>
        </is>
      </c>
      <c r="K7" s="191" t="inlineStr">
        <is>
          <t>KM</t>
        </is>
      </c>
      <c r="L7" s="192" t="inlineStr">
        <is>
          <t xml:space="preserve">Total KM </t>
        </is>
      </c>
      <c r="M7" s="11" t="inlineStr">
        <is>
          <t xml:space="preserve">Diesel Issuance </t>
        </is>
      </c>
      <c r="N7" s="11" t="inlineStr">
        <is>
          <t>Road Expenses</t>
        </is>
      </c>
      <c r="O7" s="11" t="inlineStr">
        <is>
          <t xml:space="preserve">Price </t>
        </is>
      </c>
    </row>
    <row r="8">
      <c r="A8" s="96" t="inlineStr">
        <is>
          <t>YEKENE</t>
        </is>
      </c>
      <c r="B8">
        <f>CONCATENATE(E8,"-",F8,"-",D8)</f>
        <v/>
      </c>
      <c r="C8" s="25">
        <f>CONCATENATE(G8,"-",F8,"-",D8)</f>
        <v/>
      </c>
      <c r="D8" s="94" t="inlineStr">
        <is>
          <t>25CBM</t>
        </is>
      </c>
      <c r="E8" s="50" t="inlineStr">
        <is>
          <t>CANTER</t>
        </is>
      </c>
      <c r="F8" s="176" t="inlineStr">
        <is>
          <t>8T</t>
        </is>
      </c>
      <c r="G8" s="98" t="inlineStr">
        <is>
          <t>Jamara</t>
        </is>
      </c>
      <c r="H8" s="99" t="inlineStr">
        <is>
          <t>Lagos</t>
        </is>
      </c>
      <c r="I8" s="52" t="inlineStr">
        <is>
          <t>Sango-Ota</t>
        </is>
      </c>
      <c r="J8" s="52" t="inlineStr">
        <is>
          <t>Ogun</t>
        </is>
      </c>
      <c r="K8" s="193" t="n">
        <v>30</v>
      </c>
      <c r="L8" s="194" t="n">
        <v>60</v>
      </c>
      <c r="M8" s="194" t="n">
        <v>90</v>
      </c>
      <c r="N8" s="194" t="n">
        <v>1440</v>
      </c>
      <c r="O8" s="195" t="n">
        <v>141581.78011258</v>
      </c>
    </row>
    <row r="9">
      <c r="A9" s="96" t="inlineStr">
        <is>
          <t>YEKENE</t>
        </is>
      </c>
      <c r="B9" s="49">
        <f>CONCATENATE(E9,"-",F9,"-",D9)</f>
        <v/>
      </c>
      <c r="C9" s="25">
        <f>CONCATENATE(G9,"-",F9,"-",D9)</f>
        <v/>
      </c>
      <c r="D9" s="24" t="inlineStr">
        <is>
          <t>25CBM</t>
        </is>
      </c>
      <c r="E9" s="50" t="inlineStr">
        <is>
          <t>CANTER</t>
        </is>
      </c>
      <c r="F9" s="177" t="inlineStr">
        <is>
          <t>8T</t>
        </is>
      </c>
      <c r="G9" s="102" t="inlineStr">
        <is>
          <t>Jamara</t>
        </is>
      </c>
      <c r="H9" s="103" t="inlineStr">
        <is>
          <t>Lagos</t>
        </is>
      </c>
      <c r="I9" s="58" t="inlineStr">
        <is>
          <t>Abule Egba</t>
        </is>
      </c>
      <c r="J9" s="58" t="inlineStr">
        <is>
          <t>Lagos</t>
        </is>
      </c>
      <c r="K9" s="196" t="n">
        <v>19</v>
      </c>
      <c r="L9" s="194" t="n">
        <v>38</v>
      </c>
      <c r="M9" s="197" t="n">
        <v>79</v>
      </c>
      <c r="N9" s="194" t="n">
        <v>912</v>
      </c>
      <c r="O9" s="195" t="n">
        <v>141581.78011258</v>
      </c>
    </row>
    <row r="10">
      <c r="A10" s="96" t="inlineStr">
        <is>
          <t>YEKENE</t>
        </is>
      </c>
      <c r="B10" s="49">
        <f>CONCATENATE(E10,"-",F10,"-",D10)</f>
        <v/>
      </c>
      <c r="C10" s="25">
        <f>CONCATENATE(G10,"-",F10,"-",D10)</f>
        <v/>
      </c>
      <c r="D10" s="24" t="inlineStr">
        <is>
          <t>25CBM</t>
        </is>
      </c>
      <c r="E10" s="50" t="inlineStr">
        <is>
          <t>CANTER</t>
        </is>
      </c>
      <c r="F10" s="177" t="inlineStr">
        <is>
          <t>8T</t>
        </is>
      </c>
      <c r="G10" s="102" t="inlineStr">
        <is>
          <t>Jamara</t>
        </is>
      </c>
      <c r="H10" s="103" t="inlineStr">
        <is>
          <t>Lagos</t>
        </is>
      </c>
      <c r="I10" s="58" t="inlineStr">
        <is>
          <t>Agbado</t>
        </is>
      </c>
      <c r="J10" s="58" t="inlineStr">
        <is>
          <t>Lagos</t>
        </is>
      </c>
      <c r="K10" s="196" t="n">
        <v>22.5</v>
      </c>
      <c r="L10" s="194" t="n">
        <v>45</v>
      </c>
      <c r="M10" s="197" t="n">
        <v>82</v>
      </c>
      <c r="N10" s="194" t="n">
        <v>1080</v>
      </c>
      <c r="O10" s="195" t="n">
        <v>141581.78011258</v>
      </c>
    </row>
    <row r="11">
      <c r="A11" s="96" t="inlineStr">
        <is>
          <t>YEKENE</t>
        </is>
      </c>
      <c r="B11" s="49">
        <f>CONCATENATE(E11,"-",F11,"-",D11)</f>
        <v/>
      </c>
      <c r="C11" s="25">
        <f>CONCATENATE(G11,"-",F11,"-",D11)</f>
        <v/>
      </c>
      <c r="D11" s="24" t="inlineStr">
        <is>
          <t>25CBM</t>
        </is>
      </c>
      <c r="E11" s="50" t="inlineStr">
        <is>
          <t>CANTER</t>
        </is>
      </c>
      <c r="F11" s="177" t="inlineStr">
        <is>
          <t>8T</t>
        </is>
      </c>
      <c r="G11" s="102" t="inlineStr">
        <is>
          <t>Jamara</t>
        </is>
      </c>
      <c r="H11" s="103" t="inlineStr">
        <is>
          <t>Lagos</t>
        </is>
      </c>
      <c r="I11" s="58" t="inlineStr">
        <is>
          <t>Ijaiye</t>
        </is>
      </c>
      <c r="J11" s="58" t="inlineStr">
        <is>
          <t>Lagos</t>
        </is>
      </c>
      <c r="K11" s="196" t="n">
        <v>14</v>
      </c>
      <c r="L11" s="194" t="n">
        <v>28</v>
      </c>
      <c r="M11" s="197" t="n">
        <v>74</v>
      </c>
      <c r="N11" s="194" t="n">
        <v>672</v>
      </c>
      <c r="O11" s="195" t="n">
        <v>141581.78011258</v>
      </c>
    </row>
    <row r="12">
      <c r="A12" s="96" t="inlineStr">
        <is>
          <t>YEKENE</t>
        </is>
      </c>
      <c r="B12" s="49">
        <f>CONCATENATE(E12,"-",F12,"-",D12)</f>
        <v/>
      </c>
      <c r="C12" s="25">
        <f>CONCATENATE(G12,"-",F12,"-",D12)</f>
        <v/>
      </c>
      <c r="D12" s="24" t="inlineStr">
        <is>
          <t>25CBM</t>
        </is>
      </c>
      <c r="E12" s="50" t="inlineStr">
        <is>
          <t>CANTER</t>
        </is>
      </c>
      <c r="F12" s="177" t="inlineStr">
        <is>
          <t>8T</t>
        </is>
      </c>
      <c r="G12" s="102" t="inlineStr">
        <is>
          <t>Jamara</t>
        </is>
      </c>
      <c r="H12" s="103" t="inlineStr">
        <is>
          <t>Lagos</t>
        </is>
      </c>
      <c r="I12" s="58" t="inlineStr">
        <is>
          <t>Agbara</t>
        </is>
      </c>
      <c r="J12" s="58" t="inlineStr">
        <is>
          <t>Ogun</t>
        </is>
      </c>
      <c r="K12" s="196" t="n">
        <v>47</v>
      </c>
      <c r="L12" s="194" t="n">
        <v>94</v>
      </c>
      <c r="M12" s="197" t="n">
        <v>107</v>
      </c>
      <c r="N12" s="194" t="n">
        <v>2256</v>
      </c>
      <c r="O12" s="195" t="n">
        <v>141581.78011258</v>
      </c>
    </row>
    <row r="13">
      <c r="A13" s="96" t="inlineStr">
        <is>
          <t>YEKENE</t>
        </is>
      </c>
      <c r="B13" s="49">
        <f>CONCATENATE(E13,"-",F13,"-",D13)</f>
        <v/>
      </c>
      <c r="C13" s="25">
        <f>CONCATENATE(G13,"-",F13,"-",D13)</f>
        <v/>
      </c>
      <c r="D13" s="24" t="inlineStr">
        <is>
          <t>25CBM</t>
        </is>
      </c>
      <c r="E13" s="50" t="inlineStr">
        <is>
          <t>CANTER</t>
        </is>
      </c>
      <c r="F13" s="177" t="inlineStr">
        <is>
          <t>8T</t>
        </is>
      </c>
      <c r="G13" s="102" t="inlineStr">
        <is>
          <t>Jamara</t>
        </is>
      </c>
      <c r="H13" s="103" t="inlineStr">
        <is>
          <t>Lagos</t>
        </is>
      </c>
      <c r="I13" s="58" t="inlineStr">
        <is>
          <t>Festac</t>
        </is>
      </c>
      <c r="J13" s="58" t="inlineStr">
        <is>
          <t>Lagos</t>
        </is>
      </c>
      <c r="K13" s="196" t="n">
        <v>23.5</v>
      </c>
      <c r="L13" s="194" t="n">
        <v>47</v>
      </c>
      <c r="M13" s="197" t="n">
        <v>83</v>
      </c>
      <c r="N13" s="194" t="n">
        <v>1128</v>
      </c>
      <c r="O13" s="195" t="n">
        <v>141581.78011258</v>
      </c>
    </row>
    <row r="14">
      <c r="A14" s="96" t="inlineStr">
        <is>
          <t>YEKENE</t>
        </is>
      </c>
      <c r="B14" s="49">
        <f>CONCATENATE(E14,"-",F14,"-",D14)</f>
        <v/>
      </c>
      <c r="C14" s="25">
        <f>CONCATENATE(G14,"-",F14,"-",D14)</f>
        <v/>
      </c>
      <c r="D14" s="24" t="inlineStr">
        <is>
          <t>25CBM</t>
        </is>
      </c>
      <c r="E14" s="50" t="inlineStr">
        <is>
          <t>CANTER</t>
        </is>
      </c>
      <c r="F14" s="177" t="inlineStr">
        <is>
          <t>8T</t>
        </is>
      </c>
      <c r="G14" s="102" t="inlineStr">
        <is>
          <t>Jamara</t>
        </is>
      </c>
      <c r="H14" s="103" t="inlineStr">
        <is>
          <t>Lagos</t>
        </is>
      </c>
      <c r="I14" s="58" t="inlineStr">
        <is>
          <t>Mile 2</t>
        </is>
      </c>
      <c r="J14" s="58" t="inlineStr">
        <is>
          <t>Lagos</t>
        </is>
      </c>
      <c r="K14" s="196" t="n">
        <v>18</v>
      </c>
      <c r="L14" s="194" t="n">
        <v>36</v>
      </c>
      <c r="M14" s="197" t="n">
        <v>78</v>
      </c>
      <c r="N14" s="194" t="n">
        <v>864</v>
      </c>
      <c r="O14" s="195" t="n">
        <v>141581.78011258</v>
      </c>
    </row>
    <row r="15">
      <c r="A15" s="96" t="inlineStr">
        <is>
          <t>YEKENE</t>
        </is>
      </c>
      <c r="B15" s="49">
        <f>CONCATENATE(E15,"-",F15,"-",D15)</f>
        <v/>
      </c>
      <c r="C15" s="25">
        <f>CONCATENATE(G15,"-",F15,"-",D15)</f>
        <v/>
      </c>
      <c r="D15" s="24" t="inlineStr">
        <is>
          <t>25CBM</t>
        </is>
      </c>
      <c r="E15" s="50" t="inlineStr">
        <is>
          <t>CANTER</t>
        </is>
      </c>
      <c r="F15" s="177" t="inlineStr">
        <is>
          <t>8T</t>
        </is>
      </c>
      <c r="G15" s="102" t="inlineStr">
        <is>
          <t>Jamara</t>
        </is>
      </c>
      <c r="H15" s="103" t="inlineStr">
        <is>
          <t>Lagos</t>
        </is>
      </c>
      <c r="I15" s="58" t="inlineStr">
        <is>
          <t>Ojo</t>
        </is>
      </c>
      <c r="J15" s="58" t="inlineStr">
        <is>
          <t>Lagos</t>
        </is>
      </c>
      <c r="K15" s="196" t="n">
        <v>18</v>
      </c>
      <c r="L15" s="194" t="n">
        <v>36</v>
      </c>
      <c r="M15" s="197" t="n">
        <v>78</v>
      </c>
      <c r="N15" s="194" t="n">
        <v>864</v>
      </c>
      <c r="O15" s="195" t="n">
        <v>141581.78011258</v>
      </c>
    </row>
    <row r="16">
      <c r="A16" s="96" t="inlineStr">
        <is>
          <t>YEKENE</t>
        </is>
      </c>
      <c r="B16" s="49">
        <f>CONCATENATE(E16,"-",F16,"-",D16)</f>
        <v/>
      </c>
      <c r="C16" s="25">
        <f>CONCATENATE(G16,"-",F16,"-",D16)</f>
        <v/>
      </c>
      <c r="D16" s="24" t="inlineStr">
        <is>
          <t>25CBM</t>
        </is>
      </c>
      <c r="E16" s="50" t="inlineStr">
        <is>
          <t>CANTER</t>
        </is>
      </c>
      <c r="F16" s="177" t="inlineStr">
        <is>
          <t>8T</t>
        </is>
      </c>
      <c r="G16" s="102" t="inlineStr">
        <is>
          <t>Jamara</t>
        </is>
      </c>
      <c r="H16" s="103" t="inlineStr">
        <is>
          <t>Lagos</t>
        </is>
      </c>
      <c r="I16" s="59" t="inlineStr">
        <is>
          <t>Magodo</t>
        </is>
      </c>
      <c r="J16" s="59" t="inlineStr">
        <is>
          <t>Lagos</t>
        </is>
      </c>
      <c r="K16" s="196" t="n">
        <v>12</v>
      </c>
      <c r="L16" s="194" t="n">
        <v>24</v>
      </c>
      <c r="M16" s="197" t="n">
        <v>72</v>
      </c>
      <c r="N16" s="194" t="n">
        <v>576</v>
      </c>
      <c r="O16" s="195" t="n">
        <v>141581.78011258</v>
      </c>
    </row>
    <row r="17">
      <c r="A17" s="96" t="inlineStr">
        <is>
          <t>YEKENE</t>
        </is>
      </c>
      <c r="B17" s="49">
        <f>CONCATENATE(E17,"-",F17,"-",D17)</f>
        <v/>
      </c>
      <c r="C17" s="25">
        <f>CONCATENATE(G17,"-",F17,"-",D17)</f>
        <v/>
      </c>
      <c r="D17" s="24" t="inlineStr">
        <is>
          <t>25CBM</t>
        </is>
      </c>
      <c r="E17" s="50" t="inlineStr">
        <is>
          <t>CANTER</t>
        </is>
      </c>
      <c r="F17" s="177" t="inlineStr">
        <is>
          <t>8T</t>
        </is>
      </c>
      <c r="G17" s="102" t="inlineStr">
        <is>
          <t>Jamara</t>
        </is>
      </c>
      <c r="H17" s="103" t="inlineStr">
        <is>
          <t>Lagos</t>
        </is>
      </c>
      <c r="I17" s="58" t="inlineStr">
        <is>
          <t>Agege</t>
        </is>
      </c>
      <c r="J17" s="58" t="inlineStr">
        <is>
          <t>Lagos</t>
        </is>
      </c>
      <c r="K17" s="196" t="n">
        <v>14</v>
      </c>
      <c r="L17" s="194" t="n">
        <v>28</v>
      </c>
      <c r="M17" s="197" t="n">
        <v>74</v>
      </c>
      <c r="N17" s="194" t="n">
        <v>672</v>
      </c>
      <c r="O17" s="195" t="n">
        <v>141581.78011258</v>
      </c>
    </row>
    <row r="18">
      <c r="A18" s="96" t="inlineStr">
        <is>
          <t>YEKENE</t>
        </is>
      </c>
      <c r="B18" s="49">
        <f>CONCATENATE(E18,"-",F18,"-",D18)</f>
        <v/>
      </c>
      <c r="C18" s="25">
        <f>CONCATENATE(G18,"-",F18,"-",D18)</f>
        <v/>
      </c>
      <c r="D18" s="24" t="inlineStr">
        <is>
          <t>25CBM</t>
        </is>
      </c>
      <c r="E18" s="50" t="inlineStr">
        <is>
          <t>CANTER</t>
        </is>
      </c>
      <c r="F18" s="177" t="inlineStr">
        <is>
          <t>8T</t>
        </is>
      </c>
      <c r="G18" s="102" t="inlineStr">
        <is>
          <t>Jamara</t>
        </is>
      </c>
      <c r="H18" s="103" t="inlineStr">
        <is>
          <t>Lagos</t>
        </is>
      </c>
      <c r="I18" s="58" t="inlineStr">
        <is>
          <t>Ikeja</t>
        </is>
      </c>
      <c r="J18" s="58" t="inlineStr">
        <is>
          <t>Lagos</t>
        </is>
      </c>
      <c r="K18" s="196" t="n">
        <v>11</v>
      </c>
      <c r="L18" s="194" t="n">
        <v>22</v>
      </c>
      <c r="M18" s="197" t="n">
        <v>71</v>
      </c>
      <c r="N18" s="194" t="n">
        <v>528</v>
      </c>
      <c r="O18" s="195" t="n">
        <v>141581.78011258</v>
      </c>
    </row>
    <row r="19">
      <c r="A19" s="96" t="inlineStr">
        <is>
          <t>YEKENE</t>
        </is>
      </c>
      <c r="B19" s="49">
        <f>CONCATENATE(E19,"-",F19,"-",D19)</f>
        <v/>
      </c>
      <c r="C19" s="25">
        <f>CONCATENATE(G19,"-",F19,"-",D19)</f>
        <v/>
      </c>
      <c r="D19" s="24" t="inlineStr">
        <is>
          <t>25CBM</t>
        </is>
      </c>
      <c r="E19" s="50" t="inlineStr">
        <is>
          <t>CANTER</t>
        </is>
      </c>
      <c r="F19" s="177" t="inlineStr">
        <is>
          <t>8T</t>
        </is>
      </c>
      <c r="G19" s="102" t="inlineStr">
        <is>
          <t>Jamara</t>
        </is>
      </c>
      <c r="H19" s="103" t="inlineStr">
        <is>
          <t>Lagos</t>
        </is>
      </c>
      <c r="I19" s="58" t="inlineStr">
        <is>
          <t>Ikotun</t>
        </is>
      </c>
      <c r="J19" s="58" t="inlineStr">
        <is>
          <t>Lagos</t>
        </is>
      </c>
      <c r="K19" s="196" t="n">
        <v>24.5</v>
      </c>
      <c r="L19" s="194" t="n">
        <v>49</v>
      </c>
      <c r="M19" s="197" t="n">
        <v>84</v>
      </c>
      <c r="N19" s="194" t="n">
        <v>1176</v>
      </c>
      <c r="O19" s="195" t="n">
        <v>141581.78011258</v>
      </c>
    </row>
    <row r="20">
      <c r="A20" s="96" t="inlineStr">
        <is>
          <t>YEKENE</t>
        </is>
      </c>
      <c r="B20" s="49">
        <f>CONCATENATE(E20,"-",F20,"-",D20)</f>
        <v/>
      </c>
      <c r="C20" s="25">
        <f>CONCATENATE(G20,"-",F20,"-",D20)</f>
        <v/>
      </c>
      <c r="D20" s="24" t="inlineStr">
        <is>
          <t>25CBM</t>
        </is>
      </c>
      <c r="E20" s="50" t="inlineStr">
        <is>
          <t>CANTER</t>
        </is>
      </c>
      <c r="F20" s="177" t="inlineStr">
        <is>
          <t>8T</t>
        </is>
      </c>
      <c r="G20" s="102" t="inlineStr">
        <is>
          <t>Jamara</t>
        </is>
      </c>
      <c r="H20" s="103" t="inlineStr">
        <is>
          <t>Lagos</t>
        </is>
      </c>
      <c r="I20" s="58" t="inlineStr">
        <is>
          <t>Ipaja</t>
        </is>
      </c>
      <c r="J20" s="58" t="inlineStr">
        <is>
          <t>Lagos</t>
        </is>
      </c>
      <c r="K20" s="196" t="n">
        <v>22</v>
      </c>
      <c r="L20" s="194" t="n">
        <v>44</v>
      </c>
      <c r="M20" s="197" t="n">
        <v>82</v>
      </c>
      <c r="N20" s="194" t="n">
        <v>1056</v>
      </c>
      <c r="O20" s="195" t="n">
        <v>141581.78011258</v>
      </c>
    </row>
    <row r="21">
      <c r="A21" s="96" t="inlineStr">
        <is>
          <t>YEKENE</t>
        </is>
      </c>
      <c r="B21" s="49">
        <f>CONCATENATE(E21,"-",F21,"-",D21)</f>
        <v/>
      </c>
      <c r="C21" s="25">
        <f>CONCATENATE(G21,"-",F21,"-",D21)</f>
        <v/>
      </c>
      <c r="D21" s="24" t="inlineStr">
        <is>
          <t>25CBM</t>
        </is>
      </c>
      <c r="E21" s="50" t="inlineStr">
        <is>
          <t>CANTER</t>
        </is>
      </c>
      <c r="F21" s="177" t="inlineStr">
        <is>
          <t>8T</t>
        </is>
      </c>
      <c r="G21" s="102" t="inlineStr">
        <is>
          <t>Jamara</t>
        </is>
      </c>
      <c r="H21" s="103" t="inlineStr">
        <is>
          <t>Lagos</t>
        </is>
      </c>
      <c r="I21" s="58" t="inlineStr">
        <is>
          <t>Ejigbo</t>
        </is>
      </c>
      <c r="J21" s="58" t="inlineStr">
        <is>
          <t>Lagos</t>
        </is>
      </c>
      <c r="K21" s="196" t="n">
        <v>15</v>
      </c>
      <c r="L21" s="194" t="n">
        <v>30</v>
      </c>
      <c r="M21" s="197" t="n">
        <v>75</v>
      </c>
      <c r="N21" s="194" t="n">
        <v>720</v>
      </c>
      <c r="O21" s="195" t="n">
        <v>141581.78011258</v>
      </c>
    </row>
    <row r="22">
      <c r="A22" s="96" t="inlineStr">
        <is>
          <t>YEKENE</t>
        </is>
      </c>
      <c r="B22" s="49">
        <f>CONCATENATE(E22,"-",F22,"-",D22)</f>
        <v/>
      </c>
      <c r="C22" s="25">
        <f>CONCATENATE(G22,"-",F22,"-",D22)</f>
        <v/>
      </c>
      <c r="D22" s="24" t="inlineStr">
        <is>
          <t>25CBM</t>
        </is>
      </c>
      <c r="E22" s="50" t="inlineStr">
        <is>
          <t>CANTER</t>
        </is>
      </c>
      <c r="F22" s="177" t="inlineStr">
        <is>
          <t>8T</t>
        </is>
      </c>
      <c r="G22" s="102" t="inlineStr">
        <is>
          <t>Jamara</t>
        </is>
      </c>
      <c r="H22" s="103" t="inlineStr">
        <is>
          <t>Lagos</t>
        </is>
      </c>
      <c r="I22" s="58" t="inlineStr">
        <is>
          <t>Isolo</t>
        </is>
      </c>
      <c r="J22" s="58" t="inlineStr">
        <is>
          <t>Lagos</t>
        </is>
      </c>
      <c r="K22" s="196" t="n">
        <v>11</v>
      </c>
      <c r="L22" s="194" t="n">
        <v>22</v>
      </c>
      <c r="M22" s="197" t="n">
        <v>71</v>
      </c>
      <c r="N22" s="194" t="n">
        <v>528</v>
      </c>
      <c r="O22" s="195" t="n">
        <v>141581.78011258</v>
      </c>
    </row>
    <row r="23">
      <c r="A23" s="96" t="inlineStr">
        <is>
          <t>YEKENE</t>
        </is>
      </c>
      <c r="B23" s="49">
        <f>CONCATENATE(E23,"-",F23,"-",D23)</f>
        <v/>
      </c>
      <c r="C23" s="25">
        <f>CONCATENATE(G23,"-",F23,"-",D23)</f>
        <v/>
      </c>
      <c r="D23" s="24" t="inlineStr">
        <is>
          <t>25CBM</t>
        </is>
      </c>
      <c r="E23" s="50" t="inlineStr">
        <is>
          <t>CANTER</t>
        </is>
      </c>
      <c r="F23" s="177" t="inlineStr">
        <is>
          <t>8T</t>
        </is>
      </c>
      <c r="G23" s="102" t="inlineStr">
        <is>
          <t>Jamara</t>
        </is>
      </c>
      <c r="H23" s="103" t="inlineStr">
        <is>
          <t>Lagos</t>
        </is>
      </c>
      <c r="I23" s="58" t="inlineStr">
        <is>
          <t>Oshodi</t>
        </is>
      </c>
      <c r="J23" s="58" t="inlineStr">
        <is>
          <t>Lagos</t>
        </is>
      </c>
      <c r="K23" s="196" t="n">
        <v>8</v>
      </c>
      <c r="L23" s="194" t="n">
        <v>16</v>
      </c>
      <c r="M23" s="197" t="n">
        <v>68</v>
      </c>
      <c r="N23" s="194" t="n">
        <v>384</v>
      </c>
      <c r="O23" s="195" t="n">
        <v>141581.78011258</v>
      </c>
    </row>
    <row r="24">
      <c r="A24" s="96" t="inlineStr">
        <is>
          <t>YEKENE</t>
        </is>
      </c>
      <c r="B24" s="49">
        <f>CONCATENATE(E24,"-",F24,"-",D24)</f>
        <v/>
      </c>
      <c r="C24" s="25">
        <f>CONCATENATE(G24,"-",F24,"-",D24)</f>
        <v/>
      </c>
      <c r="D24" s="24" t="inlineStr">
        <is>
          <t>25CBM</t>
        </is>
      </c>
      <c r="E24" s="50" t="inlineStr">
        <is>
          <t>CANTER</t>
        </is>
      </c>
      <c r="F24" s="177" t="inlineStr">
        <is>
          <t>8T</t>
        </is>
      </c>
      <c r="G24" s="102" t="inlineStr">
        <is>
          <t>Jamara</t>
        </is>
      </c>
      <c r="H24" s="103" t="inlineStr">
        <is>
          <t>Lagos</t>
        </is>
      </c>
      <c r="I24" s="58" t="inlineStr">
        <is>
          <t>Mushin</t>
        </is>
      </c>
      <c r="J24" s="58" t="inlineStr">
        <is>
          <t>Lagos</t>
        </is>
      </c>
      <c r="K24" s="196" t="n">
        <v>8</v>
      </c>
      <c r="L24" s="194" t="n">
        <v>16</v>
      </c>
      <c r="M24" s="197" t="n">
        <v>68</v>
      </c>
      <c r="N24" s="194" t="n">
        <v>384</v>
      </c>
      <c r="O24" s="195" t="n">
        <v>141581.78011258</v>
      </c>
    </row>
    <row r="25">
      <c r="A25" s="96" t="inlineStr">
        <is>
          <t>YEKENE</t>
        </is>
      </c>
      <c r="B25" s="49">
        <f>CONCATENATE(E25,"-",F25,"-",D25)</f>
        <v/>
      </c>
      <c r="C25" s="25">
        <f>CONCATENATE(G25,"-",F25,"-",D25)</f>
        <v/>
      </c>
      <c r="D25" s="24" t="inlineStr">
        <is>
          <t>25CBM</t>
        </is>
      </c>
      <c r="E25" s="50" t="inlineStr">
        <is>
          <t>CANTER</t>
        </is>
      </c>
      <c r="F25" s="177" t="inlineStr">
        <is>
          <t>8T</t>
        </is>
      </c>
      <c r="G25" s="102" t="inlineStr">
        <is>
          <t>Jamara</t>
        </is>
      </c>
      <c r="H25" s="103" t="inlineStr">
        <is>
          <t>Lagos</t>
        </is>
      </c>
      <c r="I25" s="60" t="inlineStr">
        <is>
          <t>Fadeyi</t>
        </is>
      </c>
      <c r="J25" s="60" t="inlineStr">
        <is>
          <t>Lagos</t>
        </is>
      </c>
      <c r="K25" s="196" t="n">
        <v>8</v>
      </c>
      <c r="L25" s="194" t="n">
        <v>16</v>
      </c>
      <c r="M25" s="197" t="n">
        <v>68</v>
      </c>
      <c r="N25" s="194" t="n">
        <v>384</v>
      </c>
      <c r="O25" s="195" t="n">
        <v>141581.78011258</v>
      </c>
    </row>
    <row r="26">
      <c r="A26" s="96" t="inlineStr">
        <is>
          <t>YEKENE</t>
        </is>
      </c>
      <c r="B26" s="49">
        <f>CONCATENATE(E26,"-",F26,"-",D26)</f>
        <v/>
      </c>
      <c r="C26" s="25">
        <f>CONCATENATE(G26,"-",F26,"-",D26)</f>
        <v/>
      </c>
      <c r="D26" s="24" t="inlineStr">
        <is>
          <t>25CBM</t>
        </is>
      </c>
      <c r="E26" s="50" t="inlineStr">
        <is>
          <t>CANTER</t>
        </is>
      </c>
      <c r="F26" s="177" t="inlineStr">
        <is>
          <t>8T</t>
        </is>
      </c>
      <c r="G26" s="102" t="inlineStr">
        <is>
          <t>Jamara</t>
        </is>
      </c>
      <c r="H26" s="103" t="inlineStr">
        <is>
          <t>Lagos</t>
        </is>
      </c>
      <c r="I26" s="58" t="inlineStr">
        <is>
          <t>Okota</t>
        </is>
      </c>
      <c r="J26" s="58" t="inlineStr">
        <is>
          <t>Lagos</t>
        </is>
      </c>
      <c r="K26" s="196" t="n">
        <v>16</v>
      </c>
      <c r="L26" s="194" t="n">
        <v>32</v>
      </c>
      <c r="M26" s="197" t="n">
        <v>76</v>
      </c>
      <c r="N26" s="194" t="n">
        <v>768</v>
      </c>
      <c r="O26" s="195" t="n">
        <v>141581.78011258</v>
      </c>
    </row>
    <row r="27">
      <c r="A27" s="96" t="inlineStr">
        <is>
          <t>YEKENE</t>
        </is>
      </c>
      <c r="B27" s="49">
        <f>CONCATENATE(E27,"-",F27,"-",D27)</f>
        <v/>
      </c>
      <c r="C27" s="25">
        <f>CONCATENATE(G27,"-",F27,"-",D27)</f>
        <v/>
      </c>
      <c r="D27" s="24" t="inlineStr">
        <is>
          <t>25CBM</t>
        </is>
      </c>
      <c r="E27" s="50" t="inlineStr">
        <is>
          <t>CANTER</t>
        </is>
      </c>
      <c r="F27" s="177" t="inlineStr">
        <is>
          <t>8T</t>
        </is>
      </c>
      <c r="G27" s="102" t="inlineStr">
        <is>
          <t>Jamara</t>
        </is>
      </c>
      <c r="H27" s="103" t="inlineStr">
        <is>
          <t>Lagos</t>
        </is>
      </c>
      <c r="I27" s="58" t="inlineStr">
        <is>
          <t>Apapa</t>
        </is>
      </c>
      <c r="J27" s="58" t="inlineStr">
        <is>
          <t>Lagos</t>
        </is>
      </c>
      <c r="K27" s="196" t="n">
        <v>27</v>
      </c>
      <c r="L27" s="194" t="n">
        <v>54</v>
      </c>
      <c r="M27" s="197" t="n">
        <v>87</v>
      </c>
      <c r="N27" s="194" t="n">
        <v>1296</v>
      </c>
      <c r="O27" s="195" t="n">
        <v>141581.78011258</v>
      </c>
    </row>
    <row r="28">
      <c r="A28" s="96" t="inlineStr">
        <is>
          <t>YEKENE</t>
        </is>
      </c>
      <c r="B28" s="49">
        <f>CONCATENATE(E28,"-",F28,"-",D28)</f>
        <v/>
      </c>
      <c r="C28" s="25">
        <f>CONCATENATE(G28,"-",F28,"-",D28)</f>
        <v/>
      </c>
      <c r="D28" s="24" t="inlineStr">
        <is>
          <t>25CBM</t>
        </is>
      </c>
      <c r="E28" s="50" t="inlineStr">
        <is>
          <t>CANTER</t>
        </is>
      </c>
      <c r="F28" s="177" t="inlineStr">
        <is>
          <t>8T</t>
        </is>
      </c>
      <c r="G28" s="102" t="inlineStr">
        <is>
          <t>Jamara</t>
        </is>
      </c>
      <c r="H28" s="103" t="inlineStr">
        <is>
          <t>Lagos</t>
        </is>
      </c>
      <c r="I28" s="58" t="inlineStr">
        <is>
          <t>Matori</t>
        </is>
      </c>
      <c r="J28" s="58" t="inlineStr">
        <is>
          <t>Lagos</t>
        </is>
      </c>
      <c r="K28" s="196" t="n">
        <v>8</v>
      </c>
      <c r="L28" s="194" t="n">
        <v>16</v>
      </c>
      <c r="M28" s="197" t="n">
        <v>68</v>
      </c>
      <c r="N28" s="194" t="n">
        <v>384</v>
      </c>
      <c r="O28" s="195" t="n">
        <v>141581.78011258</v>
      </c>
    </row>
    <row r="29">
      <c r="A29" s="96" t="inlineStr">
        <is>
          <t>YEKENE</t>
        </is>
      </c>
      <c r="B29" s="49">
        <f>CONCATENATE(E29,"-",F29,"-",D29)</f>
        <v/>
      </c>
      <c r="C29" s="25">
        <f>CONCATENATE(G29,"-",F29,"-",D29)</f>
        <v/>
      </c>
      <c r="D29" s="24" t="inlineStr">
        <is>
          <t>25CBM</t>
        </is>
      </c>
      <c r="E29" s="50" t="inlineStr">
        <is>
          <t>CANTER</t>
        </is>
      </c>
      <c r="F29" s="177" t="inlineStr">
        <is>
          <t>8T</t>
        </is>
      </c>
      <c r="G29" s="102" t="inlineStr">
        <is>
          <t>Jamara</t>
        </is>
      </c>
      <c r="H29" s="103" t="inlineStr">
        <is>
          <t>Lagos</t>
        </is>
      </c>
      <c r="I29" s="58" t="inlineStr">
        <is>
          <t>Gbagada</t>
        </is>
      </c>
      <c r="J29" s="58" t="inlineStr">
        <is>
          <t>Lagos</t>
        </is>
      </c>
      <c r="K29" s="196" t="n">
        <v>8</v>
      </c>
      <c r="L29" s="194" t="n">
        <v>16</v>
      </c>
      <c r="M29" s="197" t="n">
        <v>68</v>
      </c>
      <c r="N29" s="194" t="n">
        <v>384</v>
      </c>
      <c r="O29" s="195" t="n">
        <v>141581.78011258</v>
      </c>
    </row>
    <row r="30">
      <c r="A30" s="96" t="inlineStr">
        <is>
          <t>YEKENE</t>
        </is>
      </c>
      <c r="B30" s="49">
        <f>CONCATENATE(E30,"-",F30,"-",D30)</f>
        <v/>
      </c>
      <c r="C30" s="25">
        <f>CONCATENATE(G30,"-",F30,"-",D30)</f>
        <v/>
      </c>
      <c r="D30" s="24" t="inlineStr">
        <is>
          <t>25CBM</t>
        </is>
      </c>
      <c r="E30" s="50" t="inlineStr">
        <is>
          <t>CANTER</t>
        </is>
      </c>
      <c r="F30" s="177" t="inlineStr">
        <is>
          <t>8T</t>
        </is>
      </c>
      <c r="G30" s="102" t="inlineStr">
        <is>
          <t>Jamara</t>
        </is>
      </c>
      <c r="H30" s="103" t="inlineStr">
        <is>
          <t>Lagos</t>
        </is>
      </c>
      <c r="I30" s="58" t="inlineStr">
        <is>
          <t>Ilupeju</t>
        </is>
      </c>
      <c r="J30" s="58" t="inlineStr">
        <is>
          <t>Lagos</t>
        </is>
      </c>
      <c r="K30" s="196" t="n">
        <v>8</v>
      </c>
      <c r="L30" s="194" t="n">
        <v>16</v>
      </c>
      <c r="M30" s="197" t="n">
        <v>68</v>
      </c>
      <c r="N30" s="194" t="n">
        <v>384</v>
      </c>
      <c r="O30" s="195" t="n">
        <v>141581.78011258</v>
      </c>
    </row>
    <row r="31">
      <c r="A31" s="96" t="inlineStr">
        <is>
          <t>YEKENE</t>
        </is>
      </c>
      <c r="B31" s="49">
        <f>CONCATENATE(E31,"-",F31,"-",D31)</f>
        <v/>
      </c>
      <c r="C31" s="25">
        <f>CONCATENATE(G31,"-",F31,"-",D31)</f>
        <v/>
      </c>
      <c r="D31" s="24" t="inlineStr">
        <is>
          <t>25CBM</t>
        </is>
      </c>
      <c r="E31" s="50" t="inlineStr">
        <is>
          <t>CANTER</t>
        </is>
      </c>
      <c r="F31" s="177" t="inlineStr">
        <is>
          <t>8T</t>
        </is>
      </c>
      <c r="G31" s="102" t="inlineStr">
        <is>
          <t>Jamara</t>
        </is>
      </c>
      <c r="H31" s="103" t="inlineStr">
        <is>
          <t>Lagos</t>
        </is>
      </c>
      <c r="I31" s="58" t="inlineStr">
        <is>
          <t>Ikorodu</t>
        </is>
      </c>
      <c r="J31" s="58" t="inlineStr">
        <is>
          <t>Lagos</t>
        </is>
      </c>
      <c r="K31" s="196" t="n">
        <v>35</v>
      </c>
      <c r="L31" s="194" t="n">
        <v>70</v>
      </c>
      <c r="M31" s="197" t="n">
        <v>95</v>
      </c>
      <c r="N31" s="194" t="n">
        <v>1680</v>
      </c>
      <c r="O31" s="195" t="n">
        <v>127423.602101322</v>
      </c>
    </row>
    <row r="32">
      <c r="A32" s="96" t="inlineStr">
        <is>
          <t>YEKENE</t>
        </is>
      </c>
      <c r="B32" s="49">
        <f>CONCATENATE(E32,"-",F32,"-",D32)</f>
        <v/>
      </c>
      <c r="C32" s="25">
        <f>CONCATENATE(G32,"-",F32,"-",D32)</f>
        <v/>
      </c>
      <c r="D32" s="24" t="inlineStr">
        <is>
          <t>25CBM</t>
        </is>
      </c>
      <c r="E32" s="50" t="inlineStr">
        <is>
          <t>CANTER</t>
        </is>
      </c>
      <c r="F32" s="177" t="inlineStr">
        <is>
          <t>8T</t>
        </is>
      </c>
      <c r="G32" s="102" t="inlineStr">
        <is>
          <t>Jamara</t>
        </is>
      </c>
      <c r="H32" s="103" t="inlineStr">
        <is>
          <t>Lagos</t>
        </is>
      </c>
      <c r="I32" s="58" t="inlineStr">
        <is>
          <t>Ketu</t>
        </is>
      </c>
      <c r="J32" s="58" t="inlineStr">
        <is>
          <t>Lagos</t>
        </is>
      </c>
      <c r="K32" s="196" t="n">
        <v>10</v>
      </c>
      <c r="L32" s="194" t="n">
        <v>20</v>
      </c>
      <c r="M32" s="197" t="n">
        <v>70</v>
      </c>
      <c r="N32" s="194" t="n">
        <v>480</v>
      </c>
      <c r="O32" s="195" t="n">
        <v>141581.78011258</v>
      </c>
    </row>
    <row r="33">
      <c r="A33" s="96" t="inlineStr">
        <is>
          <t>YEKENE</t>
        </is>
      </c>
      <c r="B33" s="49">
        <f>CONCATENATE(E33,"-",F33,"-",D33)</f>
        <v/>
      </c>
      <c r="C33" s="25">
        <f>CONCATENATE(G33,"-",F33,"-",D33)</f>
        <v/>
      </c>
      <c r="D33" s="24" t="inlineStr">
        <is>
          <t>25CBM</t>
        </is>
      </c>
      <c r="E33" s="50" t="inlineStr">
        <is>
          <t>CANTER</t>
        </is>
      </c>
      <c r="F33" s="177" t="inlineStr">
        <is>
          <t>8T</t>
        </is>
      </c>
      <c r="G33" s="102" t="inlineStr">
        <is>
          <t>Jamara</t>
        </is>
      </c>
      <c r="H33" s="103" t="inlineStr">
        <is>
          <t>Lagos</t>
        </is>
      </c>
      <c r="I33" s="25" t="inlineStr">
        <is>
          <t>Lagos Island</t>
        </is>
      </c>
      <c r="J33" s="25" t="inlineStr">
        <is>
          <t>Lagos</t>
        </is>
      </c>
      <c r="K33" s="196" t="n">
        <v>18</v>
      </c>
      <c r="L33" s="194" t="n">
        <v>36</v>
      </c>
      <c r="M33" s="197" t="n">
        <v>78</v>
      </c>
      <c r="N33" s="194" t="n">
        <v>864</v>
      </c>
      <c r="O33" s="195" t="n">
        <v>141581.78011258</v>
      </c>
    </row>
    <row r="34">
      <c r="A34" s="96" t="inlineStr">
        <is>
          <t>YEKENE</t>
        </is>
      </c>
      <c r="B34" s="49">
        <f>CONCATENATE(E34,"-",F34,"-",D34)</f>
        <v/>
      </c>
      <c r="C34" s="25">
        <f>CONCATENATE(G34,"-",F34,"-",D34)</f>
        <v/>
      </c>
      <c r="D34" s="24" t="inlineStr">
        <is>
          <t>25CBM</t>
        </is>
      </c>
      <c r="E34" s="50" t="inlineStr">
        <is>
          <t>CANTER</t>
        </is>
      </c>
      <c r="F34" s="177" t="inlineStr">
        <is>
          <t>8T</t>
        </is>
      </c>
      <c r="G34" s="102" t="inlineStr">
        <is>
          <t>Jamara</t>
        </is>
      </c>
      <c r="H34" s="103" t="inlineStr">
        <is>
          <t>Lagos</t>
        </is>
      </c>
      <c r="I34" s="58" t="inlineStr">
        <is>
          <t>Marina</t>
        </is>
      </c>
      <c r="J34" s="58" t="inlineStr">
        <is>
          <t>Lagos</t>
        </is>
      </c>
      <c r="K34" s="196" t="n">
        <v>23</v>
      </c>
      <c r="L34" s="194" t="n">
        <v>46</v>
      </c>
      <c r="M34" s="197" t="n">
        <v>83</v>
      </c>
      <c r="N34" s="194" t="n">
        <v>1104</v>
      </c>
      <c r="O34" s="195" t="n">
        <v>141581.78011258</v>
      </c>
    </row>
    <row r="35">
      <c r="A35" s="96" t="inlineStr">
        <is>
          <t>YEKENE</t>
        </is>
      </c>
      <c r="B35" s="49">
        <f>CONCATENATE(E35,"-",F35,"-",D35)</f>
        <v/>
      </c>
      <c r="C35" s="25">
        <f>CONCATENATE(G35,"-",F35,"-",D35)</f>
        <v/>
      </c>
      <c r="D35" s="24" t="inlineStr">
        <is>
          <t>25CBM</t>
        </is>
      </c>
      <c r="E35" s="50" t="inlineStr">
        <is>
          <t>CANTER</t>
        </is>
      </c>
      <c r="F35" s="177" t="inlineStr">
        <is>
          <t>8T</t>
        </is>
      </c>
      <c r="G35" s="102" t="inlineStr">
        <is>
          <t>Jamara</t>
        </is>
      </c>
      <c r="H35" s="103" t="inlineStr">
        <is>
          <t>Lagos</t>
        </is>
      </c>
      <c r="I35" s="58" t="inlineStr">
        <is>
          <t>Abeokuta</t>
        </is>
      </c>
      <c r="J35" s="58" t="inlineStr">
        <is>
          <t>Ogun</t>
        </is>
      </c>
      <c r="K35" s="196" t="n">
        <v>99.5</v>
      </c>
      <c r="L35" s="194" t="n">
        <v>199</v>
      </c>
      <c r="M35" s="197" t="n">
        <v>161</v>
      </c>
      <c r="N35" s="194" t="n">
        <v>4776</v>
      </c>
      <c r="O35" s="195" t="n">
        <v>141581.78011258</v>
      </c>
    </row>
    <row r="36">
      <c r="A36" s="96" t="inlineStr">
        <is>
          <t>YEKENE</t>
        </is>
      </c>
      <c r="B36" s="49">
        <f>CONCATENATE(E36,"-",F36,"-",D36)</f>
        <v/>
      </c>
      <c r="C36" s="25">
        <f>CONCATENATE(G36,"-",F36,"-",D36)</f>
        <v/>
      </c>
      <c r="D36" s="24" t="inlineStr">
        <is>
          <t>25CBM</t>
        </is>
      </c>
      <c r="E36" s="50" t="inlineStr">
        <is>
          <t>CANTER</t>
        </is>
      </c>
      <c r="F36" s="177" t="inlineStr">
        <is>
          <t>8T</t>
        </is>
      </c>
      <c r="G36" s="102" t="inlineStr">
        <is>
          <t>Jamara</t>
        </is>
      </c>
      <c r="H36" s="103" t="inlineStr">
        <is>
          <t>Lagos</t>
        </is>
      </c>
      <c r="I36" s="58" t="inlineStr">
        <is>
          <t>Ijebu-Ode</t>
        </is>
      </c>
      <c r="J36" s="58" t="inlineStr">
        <is>
          <t>Ogun</t>
        </is>
      </c>
      <c r="K36" s="196" t="n">
        <v>100</v>
      </c>
      <c r="L36" s="194" t="n">
        <v>200</v>
      </c>
      <c r="M36" s="197" t="n">
        <v>162</v>
      </c>
      <c r="N36" s="194" t="n">
        <v>4800</v>
      </c>
      <c r="O36" s="195" t="n">
        <v>141581.78011258</v>
      </c>
    </row>
    <row r="37">
      <c r="A37" s="96" t="inlineStr">
        <is>
          <t>YEKENE</t>
        </is>
      </c>
      <c r="B37" s="49">
        <f>CONCATENATE(E37,"-",F37,"-",D37)</f>
        <v/>
      </c>
      <c r="C37" s="25">
        <f>CONCATENATE(G37,"-",F37,"-",D37)</f>
        <v/>
      </c>
      <c r="D37" s="24" t="inlineStr">
        <is>
          <t>25CBM</t>
        </is>
      </c>
      <c r="E37" s="50" t="inlineStr">
        <is>
          <t>CANTER</t>
        </is>
      </c>
      <c r="F37" s="177" t="inlineStr">
        <is>
          <t>8T</t>
        </is>
      </c>
      <c r="G37" s="102" t="inlineStr">
        <is>
          <t>Jamara</t>
        </is>
      </c>
      <c r="H37" s="103" t="inlineStr">
        <is>
          <t>Lagos</t>
        </is>
      </c>
      <c r="I37" s="58" t="inlineStr">
        <is>
          <t>Sagamu</t>
        </is>
      </c>
      <c r="J37" s="58" t="inlineStr">
        <is>
          <t>Ogun</t>
        </is>
      </c>
      <c r="K37" s="196" t="n">
        <v>70</v>
      </c>
      <c r="L37" s="194" t="n">
        <v>140</v>
      </c>
      <c r="M37" s="197" t="n">
        <v>131</v>
      </c>
      <c r="N37" s="194" t="n">
        <v>3360</v>
      </c>
      <c r="O37" s="195" t="n">
        <v>141581.78011258</v>
      </c>
    </row>
    <row r="38">
      <c r="A38" s="96" t="inlineStr">
        <is>
          <t>YEKENE</t>
        </is>
      </c>
      <c r="B38" s="49">
        <f>CONCATENATE(E38,"-",F38,"-",D38)</f>
        <v/>
      </c>
      <c r="C38" s="25">
        <f>CONCATENATE(G38,"-",F38,"-",D38)</f>
        <v/>
      </c>
      <c r="D38" s="24" t="inlineStr">
        <is>
          <t>25CBM</t>
        </is>
      </c>
      <c r="E38" s="50" t="inlineStr">
        <is>
          <t>CANTER</t>
        </is>
      </c>
      <c r="F38" s="177" t="inlineStr">
        <is>
          <t>8T</t>
        </is>
      </c>
      <c r="G38" s="102" t="inlineStr">
        <is>
          <t>Jamara</t>
        </is>
      </c>
      <c r="H38" s="103" t="inlineStr">
        <is>
          <t>Lagos</t>
        </is>
      </c>
      <c r="I38" s="58" t="inlineStr">
        <is>
          <t>Magboro</t>
        </is>
      </c>
      <c r="J38" s="58" t="inlineStr">
        <is>
          <t>Ogun</t>
        </is>
      </c>
      <c r="K38" s="196" t="n">
        <v>37.6</v>
      </c>
      <c r="L38" s="194" t="n">
        <v>75.2</v>
      </c>
      <c r="M38" s="197" t="n">
        <v>98</v>
      </c>
      <c r="N38" s="194" t="n">
        <v>1804.8</v>
      </c>
      <c r="O38" s="195" t="n">
        <v>141581.78011258</v>
      </c>
    </row>
    <row r="39">
      <c r="A39" s="96" t="inlineStr">
        <is>
          <t>YEKENE</t>
        </is>
      </c>
      <c r="B39" s="49">
        <f>CONCATENATE(E39,"-",F39,"-",D39)</f>
        <v/>
      </c>
      <c r="C39" s="25">
        <f>CONCATENATE(G39,"-",F39,"-",D39)</f>
        <v/>
      </c>
      <c r="D39" s="24" t="inlineStr">
        <is>
          <t>25CBM</t>
        </is>
      </c>
      <c r="E39" s="50" t="inlineStr">
        <is>
          <t>CANTER</t>
        </is>
      </c>
      <c r="F39" s="177" t="inlineStr">
        <is>
          <t>8T</t>
        </is>
      </c>
      <c r="G39" s="102" t="inlineStr">
        <is>
          <t>Jamara</t>
        </is>
      </c>
      <c r="H39" s="103" t="inlineStr">
        <is>
          <t>Lagos</t>
        </is>
      </c>
      <c r="I39" s="58" t="inlineStr">
        <is>
          <t>Akute</t>
        </is>
      </c>
      <c r="J39" s="58" t="inlineStr">
        <is>
          <t>Ogun</t>
        </is>
      </c>
      <c r="K39" s="196" t="n">
        <v>25</v>
      </c>
      <c r="L39" s="194" t="n">
        <v>50</v>
      </c>
      <c r="M39" s="197" t="n">
        <v>85</v>
      </c>
      <c r="N39" s="194" t="n">
        <v>1200</v>
      </c>
      <c r="O39" s="195" t="n">
        <v>141581.78011258</v>
      </c>
    </row>
    <row r="40">
      <c r="A40" s="96" t="inlineStr">
        <is>
          <t>YEKENE</t>
        </is>
      </c>
      <c r="B40" s="49">
        <f>CONCATENATE(E40,"-",F40,"-",D40)</f>
        <v/>
      </c>
      <c r="C40" s="25">
        <f>CONCATENATE(G40,"-",F40,"-",D40)</f>
        <v/>
      </c>
      <c r="D40" s="24" t="inlineStr">
        <is>
          <t>25CBM</t>
        </is>
      </c>
      <c r="E40" s="50" t="inlineStr">
        <is>
          <t>CANTER</t>
        </is>
      </c>
      <c r="F40" s="177" t="inlineStr">
        <is>
          <t>8T</t>
        </is>
      </c>
      <c r="G40" s="102" t="inlineStr">
        <is>
          <t>Jamara</t>
        </is>
      </c>
      <c r="H40" s="103" t="inlineStr">
        <is>
          <t>Lagos</t>
        </is>
      </c>
      <c r="I40" s="58" t="inlineStr">
        <is>
          <t>Ojodu</t>
        </is>
      </c>
      <c r="J40" s="58" t="inlineStr">
        <is>
          <t>Lagos</t>
        </is>
      </c>
      <c r="K40" s="196" t="n">
        <v>25</v>
      </c>
      <c r="L40" s="194" t="n">
        <v>50</v>
      </c>
      <c r="M40" s="197" t="n">
        <v>85</v>
      </c>
      <c r="N40" s="194" t="n">
        <v>1200</v>
      </c>
      <c r="O40" s="195" t="n">
        <v>141581.78011258</v>
      </c>
    </row>
    <row r="41">
      <c r="A41" s="96" t="inlineStr">
        <is>
          <t>YEKENE</t>
        </is>
      </c>
      <c r="B41" s="49">
        <f>CONCATENATE(E41,"-",F41,"-",D41)</f>
        <v/>
      </c>
      <c r="C41" s="25">
        <f>CONCATENATE(G41,"-",F41,"-",D41)</f>
        <v/>
      </c>
      <c r="D41" s="24" t="inlineStr">
        <is>
          <t>25CBM</t>
        </is>
      </c>
      <c r="E41" s="50" t="inlineStr">
        <is>
          <t>CANTER</t>
        </is>
      </c>
      <c r="F41" s="177" t="inlineStr">
        <is>
          <t>8T</t>
        </is>
      </c>
      <c r="G41" s="102" t="inlineStr">
        <is>
          <t>Jamara</t>
        </is>
      </c>
      <c r="H41" s="103" t="inlineStr">
        <is>
          <t>Lagos</t>
        </is>
      </c>
      <c r="I41" s="58" t="inlineStr">
        <is>
          <t>Yaba</t>
        </is>
      </c>
      <c r="J41" s="58" t="inlineStr">
        <is>
          <t>Lagos</t>
        </is>
      </c>
      <c r="K41" s="196" t="n">
        <v>15</v>
      </c>
      <c r="L41" s="194" t="n">
        <v>30</v>
      </c>
      <c r="M41" s="197" t="n">
        <v>75</v>
      </c>
      <c r="N41" s="194" t="n">
        <v>720</v>
      </c>
      <c r="O41" s="195" t="n">
        <v>141581.78011258</v>
      </c>
    </row>
    <row r="42">
      <c r="A42" s="96" t="inlineStr">
        <is>
          <t>YEKENE</t>
        </is>
      </c>
      <c r="B42" s="49">
        <f>CONCATENATE(E42,"-",F42,"-",D42)</f>
        <v/>
      </c>
      <c r="C42" s="25">
        <f>CONCATENATE(G42,"-",F42,"-",D42)</f>
        <v/>
      </c>
      <c r="D42" s="24" t="inlineStr">
        <is>
          <t>25CBM</t>
        </is>
      </c>
      <c r="E42" s="50" t="inlineStr">
        <is>
          <t>CANTER</t>
        </is>
      </c>
      <c r="F42" s="177" t="inlineStr">
        <is>
          <t>8T</t>
        </is>
      </c>
      <c r="G42" s="102" t="inlineStr">
        <is>
          <t>Jamara</t>
        </is>
      </c>
      <c r="H42" s="103" t="inlineStr">
        <is>
          <t>Lagos</t>
        </is>
      </c>
      <c r="I42" s="58" t="inlineStr">
        <is>
          <t>Surulere</t>
        </is>
      </c>
      <c r="J42" s="58" t="inlineStr">
        <is>
          <t>Lagos</t>
        </is>
      </c>
      <c r="K42" s="196" t="n">
        <v>14</v>
      </c>
      <c r="L42" s="194" t="n">
        <v>28</v>
      </c>
      <c r="M42" s="197" t="n">
        <v>74</v>
      </c>
      <c r="N42" s="194" t="n">
        <v>672</v>
      </c>
      <c r="O42" s="195" t="n">
        <v>141581.78011258</v>
      </c>
    </row>
    <row r="43">
      <c r="A43" s="96" t="inlineStr">
        <is>
          <t>YEKENE</t>
        </is>
      </c>
      <c r="B43" s="49">
        <f>CONCATENATE(E43,"-",F43,"-",D43)</f>
        <v/>
      </c>
      <c r="C43" s="25">
        <f>CONCATENATE(G43,"-",F43,"-",D43)</f>
        <v/>
      </c>
      <c r="D43" s="24" t="inlineStr">
        <is>
          <t>25CBM</t>
        </is>
      </c>
      <c r="E43" s="50" t="inlineStr">
        <is>
          <t>CANTER</t>
        </is>
      </c>
      <c r="F43" s="177" t="inlineStr">
        <is>
          <t>8T</t>
        </is>
      </c>
      <c r="G43" s="102" t="inlineStr">
        <is>
          <t>Jamara</t>
        </is>
      </c>
      <c r="H43" s="103" t="inlineStr">
        <is>
          <t>Lagos</t>
        </is>
      </c>
      <c r="I43" s="58" t="inlineStr">
        <is>
          <t>Tejuosho</t>
        </is>
      </c>
      <c r="J43" s="58" t="inlineStr">
        <is>
          <t>Lagos</t>
        </is>
      </c>
      <c r="K43" s="196" t="n">
        <v>19</v>
      </c>
      <c r="L43" s="194" t="n">
        <v>38</v>
      </c>
      <c r="M43" s="197" t="n">
        <v>79</v>
      </c>
      <c r="N43" s="194" t="n">
        <v>912</v>
      </c>
      <c r="O43" s="195" t="n">
        <v>141581.78011258</v>
      </c>
    </row>
    <row r="44">
      <c r="A44" s="96" t="inlineStr">
        <is>
          <t>YEKENE</t>
        </is>
      </c>
      <c r="B44" s="49">
        <f>CONCATENATE(E44,"-",F44,"-",D44)</f>
        <v/>
      </c>
      <c r="C44" s="25">
        <f>CONCATENATE(G44,"-",F44,"-",D44)</f>
        <v/>
      </c>
      <c r="D44" s="24" t="inlineStr">
        <is>
          <t>25CBM</t>
        </is>
      </c>
      <c r="E44" s="50" t="inlineStr">
        <is>
          <t>CANTER</t>
        </is>
      </c>
      <c r="F44" s="177" t="inlineStr">
        <is>
          <t>8T</t>
        </is>
      </c>
      <c r="G44" s="102" t="inlineStr">
        <is>
          <t>Jamara</t>
        </is>
      </c>
      <c r="H44" s="103" t="inlineStr">
        <is>
          <t>Lagos</t>
        </is>
      </c>
      <c r="I44" s="58" t="inlineStr">
        <is>
          <t>Ibeju-Lekki</t>
        </is>
      </c>
      <c r="J44" s="58" t="inlineStr">
        <is>
          <t>Lagos</t>
        </is>
      </c>
      <c r="K44" s="196" t="n">
        <v>75</v>
      </c>
      <c r="L44" s="194" t="n">
        <v>150</v>
      </c>
      <c r="M44" s="197" t="n">
        <v>136</v>
      </c>
      <c r="N44" s="194" t="n">
        <v>3600</v>
      </c>
      <c r="O44" s="198" t="n">
        <v>141581.78011258</v>
      </c>
    </row>
    <row r="45">
      <c r="A45" s="96" t="inlineStr">
        <is>
          <t>YEKENE</t>
        </is>
      </c>
      <c r="B45" s="49">
        <f>CONCATENATE(E45,"-",F45,"-",D45)</f>
        <v/>
      </c>
      <c r="C45" s="25">
        <f>CONCATENATE(G45,"-",F45,"-",D45)</f>
        <v/>
      </c>
      <c r="D45" s="24" t="inlineStr">
        <is>
          <t>25CBM</t>
        </is>
      </c>
      <c r="E45" s="50" t="inlineStr">
        <is>
          <t>CANTER</t>
        </is>
      </c>
      <c r="F45" s="177" t="inlineStr">
        <is>
          <t>8T</t>
        </is>
      </c>
      <c r="G45" s="102" t="inlineStr">
        <is>
          <t>Jamara</t>
        </is>
      </c>
      <c r="H45" s="103" t="inlineStr">
        <is>
          <t>Lagos</t>
        </is>
      </c>
      <c r="I45" s="58" t="inlineStr">
        <is>
          <t>Ajah</t>
        </is>
      </c>
      <c r="J45" s="58" t="inlineStr">
        <is>
          <t>Lagos</t>
        </is>
      </c>
      <c r="K45" s="196" t="n">
        <v>40</v>
      </c>
      <c r="L45" s="194" t="n">
        <v>80</v>
      </c>
      <c r="M45" s="197" t="n">
        <v>100</v>
      </c>
      <c r="N45" s="194" t="n">
        <v>1920</v>
      </c>
      <c r="O45" s="198" t="n">
        <v>141581.78011258</v>
      </c>
    </row>
    <row r="46">
      <c r="A46" s="96" t="inlineStr">
        <is>
          <t>YEKENE</t>
        </is>
      </c>
      <c r="B46" s="49">
        <f>CONCATENATE(E46,"-",F46,"-",D46)</f>
        <v/>
      </c>
      <c r="C46" s="25">
        <f>CONCATENATE(G46,"-",F46,"-",D46)</f>
        <v/>
      </c>
      <c r="D46" s="24" t="inlineStr">
        <is>
          <t>25CBM</t>
        </is>
      </c>
      <c r="E46" s="50" t="inlineStr">
        <is>
          <t>CANTER</t>
        </is>
      </c>
      <c r="F46" s="177" t="inlineStr">
        <is>
          <t>8T</t>
        </is>
      </c>
      <c r="G46" s="102" t="inlineStr">
        <is>
          <t>Jamara</t>
        </is>
      </c>
      <c r="H46" s="103" t="inlineStr">
        <is>
          <t>Lagos</t>
        </is>
      </c>
      <c r="I46" s="58" t="inlineStr">
        <is>
          <t>Lekki</t>
        </is>
      </c>
      <c r="J46" s="58" t="inlineStr">
        <is>
          <t>Lagos</t>
        </is>
      </c>
      <c r="K46" s="196" t="n">
        <v>35</v>
      </c>
      <c r="L46" s="194" t="n">
        <v>70</v>
      </c>
      <c r="M46" s="197" t="n">
        <v>95</v>
      </c>
      <c r="N46" s="194" t="n">
        <v>1680</v>
      </c>
      <c r="O46" s="198" t="n">
        <v>141581.78011258</v>
      </c>
    </row>
    <row r="47">
      <c r="A47" s="96" t="inlineStr">
        <is>
          <t>YEKENE</t>
        </is>
      </c>
      <c r="B47" s="49">
        <f>CONCATENATE(E47,"-",F47,"-",D47)</f>
        <v/>
      </c>
      <c r="C47" s="25">
        <f>CONCATENATE(G47,"-",F47,"-",D47)</f>
        <v/>
      </c>
      <c r="D47" s="24" t="inlineStr">
        <is>
          <t>25CBM</t>
        </is>
      </c>
      <c r="E47" s="50" t="inlineStr">
        <is>
          <t>CANTER</t>
        </is>
      </c>
      <c r="F47" s="177" t="inlineStr">
        <is>
          <t>8T</t>
        </is>
      </c>
      <c r="G47" s="102" t="inlineStr">
        <is>
          <t>Jamara</t>
        </is>
      </c>
      <c r="H47" s="103" t="inlineStr">
        <is>
          <t>Lagos</t>
        </is>
      </c>
      <c r="I47" s="58" t="inlineStr">
        <is>
          <t>Victoria Island</t>
        </is>
      </c>
      <c r="J47" s="58" t="inlineStr">
        <is>
          <t>Lagos</t>
        </is>
      </c>
      <c r="K47" s="196" t="n">
        <v>25</v>
      </c>
      <c r="L47" s="194" t="n">
        <v>50</v>
      </c>
      <c r="M47" s="197" t="n">
        <v>85</v>
      </c>
      <c r="N47" s="194" t="n">
        <v>1200</v>
      </c>
      <c r="O47" s="198" t="n">
        <v>141581.78011258</v>
      </c>
    </row>
    <row r="48">
      <c r="A48" s="96" t="inlineStr">
        <is>
          <t>YEKENE</t>
        </is>
      </c>
      <c r="B48" s="49">
        <f>CONCATENATE(E48,"-",F48,"-",D48)</f>
        <v/>
      </c>
      <c r="C48" s="25">
        <f>CONCATENATE(G48,"-",F48,"-",D48)</f>
        <v/>
      </c>
      <c r="D48" s="24" t="inlineStr">
        <is>
          <t>25CBM</t>
        </is>
      </c>
      <c r="E48" s="50" t="inlineStr">
        <is>
          <t>CANTER</t>
        </is>
      </c>
      <c r="F48" s="177" t="inlineStr">
        <is>
          <t>8T</t>
        </is>
      </c>
      <c r="G48" s="102" t="inlineStr">
        <is>
          <t>Jamara</t>
        </is>
      </c>
      <c r="H48" s="103" t="inlineStr">
        <is>
          <t>Lagos</t>
        </is>
      </c>
      <c r="I48" s="58" t="inlineStr">
        <is>
          <t>Oniru</t>
        </is>
      </c>
      <c r="J48" s="58" t="inlineStr">
        <is>
          <t>Lagos</t>
        </is>
      </c>
      <c r="K48" s="196" t="n">
        <v>28</v>
      </c>
      <c r="L48" s="194" t="n">
        <v>56</v>
      </c>
      <c r="M48" s="197" t="n">
        <v>88</v>
      </c>
      <c r="N48" s="194" t="n">
        <v>1344</v>
      </c>
      <c r="O48" s="198" t="n">
        <v>127423.602101322</v>
      </c>
    </row>
    <row r="49">
      <c r="A49" s="96" t="inlineStr">
        <is>
          <t>YEKENE</t>
        </is>
      </c>
      <c r="B49" s="49">
        <f>CONCATENATE(E49,"-",F49,"-",D49)</f>
        <v/>
      </c>
      <c r="C49" s="25">
        <f>CONCATENATE(G49,"-",F49,"-",D49)</f>
        <v/>
      </c>
      <c r="D49" s="24" t="inlineStr">
        <is>
          <t>25CBM</t>
        </is>
      </c>
      <c r="E49" s="50" t="inlineStr">
        <is>
          <t>CANTER</t>
        </is>
      </c>
      <c r="F49" s="177" t="inlineStr">
        <is>
          <t>8T</t>
        </is>
      </c>
      <c r="G49" s="102" t="inlineStr">
        <is>
          <t>Jamara</t>
        </is>
      </c>
      <c r="H49" s="103" t="inlineStr">
        <is>
          <t>Lagos</t>
        </is>
      </c>
      <c r="I49" s="61" t="inlineStr">
        <is>
          <t>Ibadan</t>
        </is>
      </c>
      <c r="J49" s="61" t="inlineStr">
        <is>
          <t>Oyo</t>
        </is>
      </c>
      <c r="K49" s="196" t="n">
        <v>120.5</v>
      </c>
      <c r="L49" s="194" t="n">
        <v>241</v>
      </c>
      <c r="M49" s="197" t="n">
        <v>182</v>
      </c>
      <c r="N49" s="194" t="n">
        <v>5784</v>
      </c>
      <c r="O49" s="198" t="n">
        <v>235969.6335209667</v>
      </c>
    </row>
    <row r="50">
      <c r="A50" s="96" t="inlineStr">
        <is>
          <t>YEKENE</t>
        </is>
      </c>
      <c r="B50" s="49">
        <f>CONCATENATE(E50,"-",F50,"-",D50)</f>
        <v/>
      </c>
      <c r="C50" s="25">
        <f>CONCATENATE(G50,"-",F50,"-",D50)</f>
        <v/>
      </c>
      <c r="D50" s="24" t="inlineStr">
        <is>
          <t>25CBM</t>
        </is>
      </c>
      <c r="E50" s="50" t="inlineStr">
        <is>
          <t>CANTER</t>
        </is>
      </c>
      <c r="F50" s="177" t="inlineStr">
        <is>
          <t>8T</t>
        </is>
      </c>
      <c r="G50" s="102" t="inlineStr">
        <is>
          <t>Jamara</t>
        </is>
      </c>
      <c r="H50" s="103" t="inlineStr">
        <is>
          <t>Lagos</t>
        </is>
      </c>
      <c r="I50" s="61" t="inlineStr">
        <is>
          <t>Benin City (Direct)</t>
        </is>
      </c>
      <c r="J50" s="61" t="inlineStr">
        <is>
          <t>Edo</t>
        </is>
      </c>
      <c r="K50" s="196" t="n">
        <v>312</v>
      </c>
      <c r="L50" s="194" t="n">
        <v>624</v>
      </c>
      <c r="M50" s="197" t="n">
        <v>378</v>
      </c>
      <c r="N50" s="194" t="n">
        <v>14976</v>
      </c>
      <c r="O50" s="198" t="n">
        <v>353954.4502814501</v>
      </c>
    </row>
    <row r="51">
      <c r="A51" s="96" t="inlineStr">
        <is>
          <t>YEKENE</t>
        </is>
      </c>
      <c r="B51" s="49">
        <f>CONCATENATE(E51,"-",F51,"-",D51)</f>
        <v/>
      </c>
      <c r="C51" s="25">
        <f>CONCATENATE(G51,"-",F51,"-",D51)</f>
        <v/>
      </c>
      <c r="D51" s="24" t="inlineStr">
        <is>
          <t>25CBM</t>
        </is>
      </c>
      <c r="E51" s="50" t="inlineStr">
        <is>
          <t>CANTER</t>
        </is>
      </c>
      <c r="F51" s="177" t="inlineStr">
        <is>
          <t>8T</t>
        </is>
      </c>
      <c r="G51" s="102" t="inlineStr">
        <is>
          <t>Jamara</t>
        </is>
      </c>
      <c r="H51" s="103" t="inlineStr">
        <is>
          <t>Lagos</t>
        </is>
      </c>
      <c r="I51" s="61" t="inlineStr">
        <is>
          <t>Asaba (Direct)</t>
        </is>
      </c>
      <c r="J51" s="61" t="inlineStr">
        <is>
          <t>Delta</t>
        </is>
      </c>
      <c r="K51" s="196" t="n">
        <v>410</v>
      </c>
      <c r="L51" s="194" t="n">
        <v>820</v>
      </c>
      <c r="M51" s="197" t="n">
        <v>478</v>
      </c>
      <c r="N51" s="194" t="n">
        <v>19680</v>
      </c>
      <c r="O51" s="198" t="n">
        <v>377551.4136335467</v>
      </c>
    </row>
    <row r="52">
      <c r="A52" s="96" t="inlineStr">
        <is>
          <t>YEKENE</t>
        </is>
      </c>
      <c r="B52" s="49">
        <f>CONCATENATE(E52,"-",F52,"-",D52)</f>
        <v/>
      </c>
      <c r="C52" s="25">
        <f>CONCATENATE(G52,"-",F52,"-",D52)</f>
        <v/>
      </c>
      <c r="D52" s="24" t="inlineStr">
        <is>
          <t>25CBM</t>
        </is>
      </c>
      <c r="E52" s="50" t="inlineStr">
        <is>
          <t>CANTER</t>
        </is>
      </c>
      <c r="F52" s="177" t="inlineStr">
        <is>
          <t>8T</t>
        </is>
      </c>
      <c r="G52" s="102" t="inlineStr">
        <is>
          <t>Jamara</t>
        </is>
      </c>
      <c r="H52" s="103" t="inlineStr">
        <is>
          <t>Lagos</t>
        </is>
      </c>
      <c r="I52" s="58" t="inlineStr">
        <is>
          <t>Sango-Ota</t>
        </is>
      </c>
      <c r="J52" s="58" t="inlineStr">
        <is>
          <t>Ogun</t>
        </is>
      </c>
      <c r="K52" s="196" t="n">
        <v>28.4</v>
      </c>
      <c r="L52" s="194" t="n">
        <v>56.8</v>
      </c>
      <c r="M52" s="194" t="n">
        <v>88</v>
      </c>
      <c r="N52" s="194" t="n">
        <v>1363.2</v>
      </c>
      <c r="O52" s="198" t="n">
        <v>141581.78011258</v>
      </c>
    </row>
    <row r="53">
      <c r="A53" s="96" t="inlineStr">
        <is>
          <t>YEKENE</t>
        </is>
      </c>
      <c r="B53" s="49">
        <f>CONCATENATE(E53,"-",F53,"-",D53)</f>
        <v/>
      </c>
      <c r="C53" s="25">
        <f>CONCATENATE(G53,"-",F53,"-",D53)</f>
        <v/>
      </c>
      <c r="D53" s="24" t="inlineStr">
        <is>
          <t>25CBM</t>
        </is>
      </c>
      <c r="E53" s="50" t="inlineStr">
        <is>
          <t>CANTER</t>
        </is>
      </c>
      <c r="F53" s="177" t="inlineStr">
        <is>
          <t>8T</t>
        </is>
      </c>
      <c r="G53" s="102" t="inlineStr">
        <is>
          <t>Jamara</t>
        </is>
      </c>
      <c r="H53" s="103" t="inlineStr">
        <is>
          <t>Lagos</t>
        </is>
      </c>
      <c r="I53" s="58" t="inlineStr">
        <is>
          <t>Abeokuta</t>
        </is>
      </c>
      <c r="J53" s="58" t="inlineStr">
        <is>
          <t>Ogun</t>
        </is>
      </c>
      <c r="K53" s="196" t="n">
        <v>99.5</v>
      </c>
      <c r="L53" s="194" t="n">
        <v>199</v>
      </c>
      <c r="M53" s="197" t="n">
        <v>161</v>
      </c>
      <c r="N53" s="194" t="n">
        <v>4776</v>
      </c>
      <c r="O53" s="198" t="n">
        <v>141581.78011258</v>
      </c>
    </row>
    <row r="54">
      <c r="A54" s="96" t="inlineStr">
        <is>
          <t>YEKENE</t>
        </is>
      </c>
      <c r="B54" s="49">
        <f>CONCATENATE(E54,"-",F54,"-",D54)</f>
        <v/>
      </c>
      <c r="C54" s="25">
        <f>CONCATENATE(G54,"-",F54,"-",D54)</f>
        <v/>
      </c>
      <c r="D54" s="24" t="inlineStr">
        <is>
          <t>25CBM</t>
        </is>
      </c>
      <c r="E54" s="50" t="inlineStr">
        <is>
          <t>CANTER</t>
        </is>
      </c>
      <c r="F54" s="177" t="inlineStr">
        <is>
          <t>8T</t>
        </is>
      </c>
      <c r="G54" s="102" t="inlineStr">
        <is>
          <t>Jamara</t>
        </is>
      </c>
      <c r="H54" s="103" t="inlineStr">
        <is>
          <t>Lagos</t>
        </is>
      </c>
      <c r="I54" s="58" t="inlineStr">
        <is>
          <t>Ijebu-Ode</t>
        </is>
      </c>
      <c r="J54" s="58" t="inlineStr">
        <is>
          <t>Ogun</t>
        </is>
      </c>
      <c r="K54" s="196" t="n">
        <v>100</v>
      </c>
      <c r="L54" s="194" t="n">
        <v>200</v>
      </c>
      <c r="M54" s="197" t="n">
        <v>162</v>
      </c>
      <c r="N54" s="194" t="n">
        <v>4800</v>
      </c>
      <c r="O54" s="198" t="n">
        <v>141581.78011258</v>
      </c>
    </row>
    <row r="55">
      <c r="A55" s="96" t="inlineStr">
        <is>
          <t>YEKENE</t>
        </is>
      </c>
      <c r="B55" s="49">
        <f>CONCATENATE(E55,"-",F55,"-",D55)</f>
        <v/>
      </c>
      <c r="C55" s="25">
        <f>CONCATENATE(G55,"-",F55,"-",D55)</f>
        <v/>
      </c>
      <c r="D55" s="24" t="inlineStr">
        <is>
          <t>25CBM</t>
        </is>
      </c>
      <c r="E55" s="50" t="inlineStr">
        <is>
          <t>CANTER</t>
        </is>
      </c>
      <c r="F55" s="177" t="inlineStr">
        <is>
          <t>8T</t>
        </is>
      </c>
      <c r="G55" s="102" t="inlineStr">
        <is>
          <t>Jamara</t>
        </is>
      </c>
      <c r="H55" s="103" t="inlineStr">
        <is>
          <t>Lagos</t>
        </is>
      </c>
      <c r="I55" s="58" t="inlineStr">
        <is>
          <t>Sagamu</t>
        </is>
      </c>
      <c r="J55" s="58" t="inlineStr">
        <is>
          <t>Ogun</t>
        </is>
      </c>
      <c r="K55" s="196" t="n">
        <v>100</v>
      </c>
      <c r="L55" s="194" t="n">
        <v>200</v>
      </c>
      <c r="M55" s="197" t="n">
        <v>162</v>
      </c>
      <c r="N55" s="194" t="n">
        <v>4800</v>
      </c>
      <c r="O55" s="198" t="n">
        <v>141581.78011258</v>
      </c>
    </row>
    <row r="56">
      <c r="A56" s="96" t="inlineStr">
        <is>
          <t>YEKENE</t>
        </is>
      </c>
      <c r="B56" s="49">
        <f>CONCATENATE(E56,"-",F56,"-",D56)</f>
        <v/>
      </c>
      <c r="C56" s="25">
        <f>CONCATENATE(G56,"-",F56,"-",D56)</f>
        <v/>
      </c>
      <c r="D56" s="24" t="inlineStr">
        <is>
          <t>25CBM</t>
        </is>
      </c>
      <c r="E56" s="50" t="inlineStr">
        <is>
          <t>CANTER</t>
        </is>
      </c>
      <c r="F56" s="177" t="inlineStr">
        <is>
          <t>8T</t>
        </is>
      </c>
      <c r="G56" s="102" t="inlineStr">
        <is>
          <t>Jamara</t>
        </is>
      </c>
      <c r="H56" s="103" t="inlineStr">
        <is>
          <t>Lagos</t>
        </is>
      </c>
      <c r="I56" s="61" t="inlineStr">
        <is>
          <t>Ibadan</t>
        </is>
      </c>
      <c r="J56" s="61" t="inlineStr">
        <is>
          <t>Oyo</t>
        </is>
      </c>
      <c r="K56" s="196" t="n">
        <v>120.5</v>
      </c>
      <c r="L56" s="194" t="n">
        <v>241</v>
      </c>
      <c r="M56" s="197" t="n">
        <v>182</v>
      </c>
      <c r="N56" s="194" t="n">
        <v>5784</v>
      </c>
      <c r="O56" s="198" t="n">
        <v>141581.78011258</v>
      </c>
    </row>
    <row r="57">
      <c r="A57" s="96" t="inlineStr">
        <is>
          <t>YEKENE</t>
        </is>
      </c>
      <c r="B57" s="49">
        <f>CONCATENATE(E57,"-",F57,"-",D57)</f>
        <v/>
      </c>
      <c r="C57" s="25">
        <f>CONCATENATE(G57,"-",F57,"-",D57)</f>
        <v/>
      </c>
      <c r="D57" s="24" t="inlineStr">
        <is>
          <t>25CBM</t>
        </is>
      </c>
      <c r="E57" s="50" t="inlineStr">
        <is>
          <t>CANTER</t>
        </is>
      </c>
      <c r="F57" s="177" t="inlineStr">
        <is>
          <t>8T</t>
        </is>
      </c>
      <c r="G57" s="102" t="inlineStr">
        <is>
          <t>Jamara</t>
        </is>
      </c>
      <c r="H57" s="103" t="inlineStr">
        <is>
          <t>Lagos</t>
        </is>
      </c>
      <c r="I57" s="61" t="inlineStr">
        <is>
          <t>Ado-Ekiti</t>
        </is>
      </c>
      <c r="J57" s="61" t="inlineStr">
        <is>
          <t>Ekiti</t>
        </is>
      </c>
      <c r="K57" s="196" t="n">
        <v>353</v>
      </c>
      <c r="L57" s="194" t="n">
        <v>706</v>
      </c>
      <c r="M57" s="197" t="n">
        <v>420</v>
      </c>
      <c r="N57" s="194" t="n">
        <v>16944</v>
      </c>
      <c r="O57" s="198" t="n">
        <v>377551.4136335467</v>
      </c>
    </row>
    <row r="58">
      <c r="A58" s="96" t="inlineStr">
        <is>
          <t>YEKENE</t>
        </is>
      </c>
      <c r="B58" s="49">
        <f>CONCATENATE(E58,"-",F58,"-",D58)</f>
        <v/>
      </c>
      <c r="C58" s="25">
        <f>CONCATENATE(G58,"-",F58,"-",D58)</f>
        <v/>
      </c>
      <c r="D58" s="24" t="inlineStr">
        <is>
          <t>25CBM</t>
        </is>
      </c>
      <c r="E58" s="50" t="inlineStr">
        <is>
          <t>CANTER</t>
        </is>
      </c>
      <c r="F58" s="177" t="inlineStr">
        <is>
          <t>8T</t>
        </is>
      </c>
      <c r="G58" s="102" t="inlineStr">
        <is>
          <t>Jamara</t>
        </is>
      </c>
      <c r="H58" s="103" t="inlineStr">
        <is>
          <t>Lagos</t>
        </is>
      </c>
      <c r="I58" s="58" t="inlineStr">
        <is>
          <t>Akure</t>
        </is>
      </c>
      <c r="J58" s="58" t="inlineStr">
        <is>
          <t>Ondo</t>
        </is>
      </c>
      <c r="K58" s="196" t="n">
        <v>304</v>
      </c>
      <c r="L58" s="194" t="n">
        <v>608</v>
      </c>
      <c r="M58" s="197" t="n">
        <v>370</v>
      </c>
      <c r="N58" s="194" t="n">
        <v>14592</v>
      </c>
      <c r="O58" s="198" t="n">
        <v>377551.4136335467</v>
      </c>
    </row>
    <row r="59">
      <c r="A59" s="96" t="inlineStr">
        <is>
          <t>YEKENE</t>
        </is>
      </c>
      <c r="B59" s="49">
        <f>CONCATENATE(E59,"-",F59,"-",D59)</f>
        <v/>
      </c>
      <c r="C59" s="25">
        <f>CONCATENATE(G59,"-",F59,"-",D59)</f>
        <v/>
      </c>
      <c r="D59" s="24" t="inlineStr">
        <is>
          <t>25CBM</t>
        </is>
      </c>
      <c r="E59" s="50" t="inlineStr">
        <is>
          <t>CANTER</t>
        </is>
      </c>
      <c r="F59" s="177" t="inlineStr">
        <is>
          <t>8T</t>
        </is>
      </c>
      <c r="G59" s="102" t="inlineStr">
        <is>
          <t>Jamara</t>
        </is>
      </c>
      <c r="H59" s="103" t="inlineStr">
        <is>
          <t>Lagos</t>
        </is>
      </c>
      <c r="I59" s="61" t="inlineStr">
        <is>
          <t>Ilorin</t>
        </is>
      </c>
      <c r="J59" s="61" t="inlineStr">
        <is>
          <t>Kwara</t>
        </is>
      </c>
      <c r="K59" s="196" t="n">
        <v>297.5</v>
      </c>
      <c r="L59" s="194" t="n">
        <v>595</v>
      </c>
      <c r="M59" s="197" t="n">
        <v>363</v>
      </c>
      <c r="N59" s="194" t="n">
        <v>14280</v>
      </c>
      <c r="O59" s="198" t="n">
        <v>259566.5968730634</v>
      </c>
    </row>
    <row r="60">
      <c r="A60" s="96" t="inlineStr">
        <is>
          <t>YEKENE</t>
        </is>
      </c>
      <c r="B60" s="49">
        <f>CONCATENATE(E60,"-",F60,"-",D60)</f>
        <v/>
      </c>
      <c r="C60" s="25">
        <f>CONCATENATE(G60,"-",F60,"-",D60)</f>
        <v/>
      </c>
      <c r="D60" s="24" t="inlineStr">
        <is>
          <t>25CBM</t>
        </is>
      </c>
      <c r="E60" s="50" t="inlineStr">
        <is>
          <t>CANTER</t>
        </is>
      </c>
      <c r="F60" s="177" t="inlineStr">
        <is>
          <t>8T</t>
        </is>
      </c>
      <c r="G60" s="102" t="inlineStr">
        <is>
          <t>Jamara</t>
        </is>
      </c>
      <c r="H60" s="103" t="inlineStr">
        <is>
          <t>Lagos</t>
        </is>
      </c>
      <c r="I60" s="62" t="inlineStr">
        <is>
          <t>Abuja (Direct)</t>
        </is>
      </c>
      <c r="J60" s="62" t="inlineStr">
        <is>
          <t>FCT</t>
        </is>
      </c>
      <c r="K60" s="196" t="n">
        <v>755</v>
      </c>
      <c r="L60" s="194" t="n">
        <v>1510</v>
      </c>
      <c r="M60" s="197" t="n">
        <v>770</v>
      </c>
      <c r="N60" s="194" t="n">
        <v>36240</v>
      </c>
      <c r="O60" s="198" t="n">
        <v>707908.9005629001</v>
      </c>
    </row>
    <row r="61">
      <c r="A61" s="96" t="inlineStr">
        <is>
          <t>YEKENE</t>
        </is>
      </c>
      <c r="B61" s="49">
        <f>CONCATENATE(E61,"-",F61,"-",D61)</f>
        <v/>
      </c>
      <c r="C61" s="25">
        <f>CONCATENATE(G61,"-",F61,"-",D61)</f>
        <v/>
      </c>
      <c r="D61" s="94" t="inlineStr">
        <is>
          <t>16CBM</t>
        </is>
      </c>
      <c r="E61" s="50" t="inlineStr">
        <is>
          <t>CANTER</t>
        </is>
      </c>
      <c r="F61" s="176" t="inlineStr">
        <is>
          <t>3T</t>
        </is>
      </c>
      <c r="G61" s="98" t="inlineStr">
        <is>
          <t>Jamara</t>
        </is>
      </c>
      <c r="H61" s="99" t="inlineStr">
        <is>
          <t>Lagos</t>
        </is>
      </c>
      <c r="I61" s="52" t="inlineStr">
        <is>
          <t>Sango-Ota</t>
        </is>
      </c>
      <c r="J61" s="52" t="inlineStr">
        <is>
          <t>Ogun</t>
        </is>
      </c>
      <c r="K61" s="193" t="n">
        <v>30</v>
      </c>
      <c r="L61" s="194" t="n">
        <v>60</v>
      </c>
      <c r="M61" s="194" t="n">
        <v>90</v>
      </c>
      <c r="N61" s="194" t="n">
        <v>1440</v>
      </c>
      <c r="O61" s="198" t="n">
        <v>88979.54286905425</v>
      </c>
    </row>
    <row r="62">
      <c r="A62" s="96" t="inlineStr">
        <is>
          <t>YEKENE</t>
        </is>
      </c>
      <c r="B62" s="49">
        <f>CONCATENATE(E62,"-",F62,"-",D62)</f>
        <v/>
      </c>
      <c r="C62" s="25">
        <f>CONCATENATE(G62,"-",F62,"-",D62)</f>
        <v/>
      </c>
      <c r="D62" s="94" t="inlineStr">
        <is>
          <t>16CBM</t>
        </is>
      </c>
      <c r="E62" s="50" t="inlineStr">
        <is>
          <t>CANTER</t>
        </is>
      </c>
      <c r="F62" s="176" t="inlineStr">
        <is>
          <t>3T</t>
        </is>
      </c>
      <c r="G62" s="102" t="inlineStr">
        <is>
          <t>Jamara</t>
        </is>
      </c>
      <c r="H62" s="103" t="inlineStr">
        <is>
          <t>Lagos</t>
        </is>
      </c>
      <c r="I62" s="58" t="inlineStr">
        <is>
          <t>Abule Egba</t>
        </is>
      </c>
      <c r="J62" s="58" t="inlineStr">
        <is>
          <t>Lagos</t>
        </is>
      </c>
      <c r="K62" s="196" t="n">
        <v>19</v>
      </c>
      <c r="L62" s="194" t="n">
        <v>38</v>
      </c>
      <c r="M62" s="197" t="n">
        <v>79</v>
      </c>
      <c r="N62" s="194" t="n">
        <v>912</v>
      </c>
      <c r="O62" s="198" t="n">
        <v>88979.54286905425</v>
      </c>
    </row>
    <row r="63">
      <c r="A63" s="96" t="inlineStr">
        <is>
          <t>YEKENE</t>
        </is>
      </c>
      <c r="B63" s="49">
        <f>CONCATENATE(E63,"-",F63,"-",D63)</f>
        <v/>
      </c>
      <c r="C63" s="25">
        <f>CONCATENATE(G63,"-",F63,"-",D63)</f>
        <v/>
      </c>
      <c r="D63" s="94" t="inlineStr">
        <is>
          <t>16CBM</t>
        </is>
      </c>
      <c r="E63" s="50" t="inlineStr">
        <is>
          <t>CANTER</t>
        </is>
      </c>
      <c r="F63" s="176" t="inlineStr">
        <is>
          <t>3T</t>
        </is>
      </c>
      <c r="G63" s="102" t="inlineStr">
        <is>
          <t>Jamara</t>
        </is>
      </c>
      <c r="H63" s="103" t="inlineStr">
        <is>
          <t>Lagos</t>
        </is>
      </c>
      <c r="I63" s="58" t="inlineStr">
        <is>
          <t>Agbado</t>
        </is>
      </c>
      <c r="J63" s="58" t="inlineStr">
        <is>
          <t>Lagos</t>
        </is>
      </c>
      <c r="K63" s="196" t="n">
        <v>22.5</v>
      </c>
      <c r="L63" s="194" t="n">
        <v>45</v>
      </c>
      <c r="M63" s="197" t="n">
        <v>82</v>
      </c>
      <c r="N63" s="194" t="n">
        <v>1080</v>
      </c>
      <c r="O63" s="198" t="n">
        <v>88979.54286905425</v>
      </c>
    </row>
    <row r="64">
      <c r="A64" s="96" t="inlineStr">
        <is>
          <t>YEKENE</t>
        </is>
      </c>
      <c r="B64" s="49">
        <f>CONCATENATE(E64,"-",F64,"-",D64)</f>
        <v/>
      </c>
      <c r="C64" s="25">
        <f>CONCATENATE(G64,"-",F64,"-",D64)</f>
        <v/>
      </c>
      <c r="D64" s="94" t="inlineStr">
        <is>
          <t>16CBM</t>
        </is>
      </c>
      <c r="E64" s="50" t="inlineStr">
        <is>
          <t>CANTER</t>
        </is>
      </c>
      <c r="F64" s="176" t="inlineStr">
        <is>
          <t>3T</t>
        </is>
      </c>
      <c r="G64" s="102" t="inlineStr">
        <is>
          <t>Jamara</t>
        </is>
      </c>
      <c r="H64" s="103" t="inlineStr">
        <is>
          <t>Lagos</t>
        </is>
      </c>
      <c r="I64" s="58" t="inlineStr">
        <is>
          <t>Ijaiye</t>
        </is>
      </c>
      <c r="J64" s="58" t="inlineStr">
        <is>
          <t>Lagos</t>
        </is>
      </c>
      <c r="K64" s="196" t="n">
        <v>14</v>
      </c>
      <c r="L64" s="194" t="n">
        <v>28</v>
      </c>
      <c r="M64" s="197" t="n">
        <v>74</v>
      </c>
      <c r="N64" s="194" t="n">
        <v>672</v>
      </c>
      <c r="O64" s="198" t="n">
        <v>88979.54286905425</v>
      </c>
    </row>
    <row r="65">
      <c r="A65" s="96" t="inlineStr">
        <is>
          <t>YEKENE</t>
        </is>
      </c>
      <c r="B65" s="49">
        <f>CONCATENATE(E65,"-",F65,"-",D65)</f>
        <v/>
      </c>
      <c r="C65" s="25">
        <f>CONCATENATE(G65,"-",F65,"-",D65)</f>
        <v/>
      </c>
      <c r="D65" s="94" t="inlineStr">
        <is>
          <t>16CBM</t>
        </is>
      </c>
      <c r="E65" s="50" t="inlineStr">
        <is>
          <t>CANTER</t>
        </is>
      </c>
      <c r="F65" s="176" t="inlineStr">
        <is>
          <t>3T</t>
        </is>
      </c>
      <c r="G65" s="102" t="inlineStr">
        <is>
          <t>Jamara</t>
        </is>
      </c>
      <c r="H65" s="103" t="inlineStr">
        <is>
          <t>Lagos</t>
        </is>
      </c>
      <c r="I65" s="58" t="inlineStr">
        <is>
          <t>Agbara</t>
        </is>
      </c>
      <c r="J65" s="58" t="inlineStr">
        <is>
          <t>Ogun</t>
        </is>
      </c>
      <c r="K65" s="196" t="n">
        <v>47</v>
      </c>
      <c r="L65" s="194" t="n">
        <v>94</v>
      </c>
      <c r="M65" s="197" t="n">
        <v>107</v>
      </c>
      <c r="N65" s="194" t="n">
        <v>2256</v>
      </c>
      <c r="O65" s="198" t="n">
        <v>88979.54286905425</v>
      </c>
    </row>
    <row r="66">
      <c r="A66" s="96" t="inlineStr">
        <is>
          <t>YEKENE</t>
        </is>
      </c>
      <c r="B66" s="49">
        <f>CONCATENATE(E66,"-",F66,"-",D66)</f>
        <v/>
      </c>
      <c r="C66" s="25">
        <f>CONCATENATE(G66,"-",F66,"-",D66)</f>
        <v/>
      </c>
      <c r="D66" s="94" t="inlineStr">
        <is>
          <t>16CBM</t>
        </is>
      </c>
      <c r="E66" s="50" t="inlineStr">
        <is>
          <t>CANTER</t>
        </is>
      </c>
      <c r="F66" s="176" t="inlineStr">
        <is>
          <t>3T</t>
        </is>
      </c>
      <c r="G66" s="102" t="inlineStr">
        <is>
          <t>Jamara</t>
        </is>
      </c>
      <c r="H66" s="103" t="inlineStr">
        <is>
          <t>Lagos</t>
        </is>
      </c>
      <c r="I66" s="58" t="inlineStr">
        <is>
          <t>Festac</t>
        </is>
      </c>
      <c r="J66" s="58" t="inlineStr">
        <is>
          <t>Lagos</t>
        </is>
      </c>
      <c r="K66" s="196" t="n">
        <v>23.5</v>
      </c>
      <c r="L66" s="194" t="n">
        <v>47</v>
      </c>
      <c r="M66" s="197" t="n">
        <v>83</v>
      </c>
      <c r="N66" s="194" t="n">
        <v>1128</v>
      </c>
      <c r="O66" s="198" t="n">
        <v>88979.54286905425</v>
      </c>
    </row>
    <row r="67">
      <c r="A67" s="96" t="inlineStr">
        <is>
          <t>YEKENE</t>
        </is>
      </c>
      <c r="B67" s="49">
        <f>CONCATENATE(E67,"-",F67,"-",D67)</f>
        <v/>
      </c>
      <c r="C67" s="25">
        <f>CONCATENATE(G67,"-",F67,"-",D67)</f>
        <v/>
      </c>
      <c r="D67" s="94" t="inlineStr">
        <is>
          <t>16CBM</t>
        </is>
      </c>
      <c r="E67" s="50" t="inlineStr">
        <is>
          <t>CANTER</t>
        </is>
      </c>
      <c r="F67" s="176" t="inlineStr">
        <is>
          <t>3T</t>
        </is>
      </c>
      <c r="G67" s="102" t="inlineStr">
        <is>
          <t>Jamara</t>
        </is>
      </c>
      <c r="H67" s="103" t="inlineStr">
        <is>
          <t>Lagos</t>
        </is>
      </c>
      <c r="I67" s="58" t="inlineStr">
        <is>
          <t>Mile 2</t>
        </is>
      </c>
      <c r="J67" s="58" t="inlineStr">
        <is>
          <t>Lagos</t>
        </is>
      </c>
      <c r="K67" s="196" t="n">
        <v>18</v>
      </c>
      <c r="L67" s="194" t="n">
        <v>36</v>
      </c>
      <c r="M67" s="197" t="n">
        <v>78</v>
      </c>
      <c r="N67" s="194" t="n">
        <v>864</v>
      </c>
      <c r="O67" s="198" t="n">
        <v>88979.54286905425</v>
      </c>
    </row>
    <row r="68">
      <c r="A68" s="96" t="inlineStr">
        <is>
          <t>YEKENE</t>
        </is>
      </c>
      <c r="B68" s="49">
        <f>CONCATENATE(E68,"-",F68,"-",D68)</f>
        <v/>
      </c>
      <c r="C68" s="25">
        <f>CONCATENATE(G68,"-",F68,"-",D68)</f>
        <v/>
      </c>
      <c r="D68" s="94" t="inlineStr">
        <is>
          <t>16CBM</t>
        </is>
      </c>
      <c r="E68" s="50" t="inlineStr">
        <is>
          <t>CANTER</t>
        </is>
      </c>
      <c r="F68" s="176" t="inlineStr">
        <is>
          <t>3T</t>
        </is>
      </c>
      <c r="G68" s="102" t="inlineStr">
        <is>
          <t>Jamara</t>
        </is>
      </c>
      <c r="H68" s="103" t="inlineStr">
        <is>
          <t>Lagos</t>
        </is>
      </c>
      <c r="I68" s="58" t="inlineStr">
        <is>
          <t>Ojo</t>
        </is>
      </c>
      <c r="J68" s="58" t="inlineStr">
        <is>
          <t>Lagos</t>
        </is>
      </c>
      <c r="K68" s="196" t="n">
        <v>18</v>
      </c>
      <c r="L68" s="194" t="n">
        <v>36</v>
      </c>
      <c r="M68" s="197" t="n">
        <v>78</v>
      </c>
      <c r="N68" s="194" t="n">
        <v>864</v>
      </c>
      <c r="O68" s="198" t="n">
        <v>88979.54286905425</v>
      </c>
    </row>
    <row r="69">
      <c r="A69" s="96" t="inlineStr">
        <is>
          <t>YEKENE</t>
        </is>
      </c>
      <c r="B69" s="49">
        <f>CONCATENATE(E69,"-",F69,"-",D69)</f>
        <v/>
      </c>
      <c r="C69" s="25">
        <f>CONCATENATE(G69,"-",F69,"-",D69)</f>
        <v/>
      </c>
      <c r="D69" s="94" t="inlineStr">
        <is>
          <t>16CBM</t>
        </is>
      </c>
      <c r="E69" s="50" t="inlineStr">
        <is>
          <t>CANTER</t>
        </is>
      </c>
      <c r="F69" s="176" t="inlineStr">
        <is>
          <t>3T</t>
        </is>
      </c>
      <c r="G69" s="102" t="inlineStr">
        <is>
          <t>Jamara</t>
        </is>
      </c>
      <c r="H69" s="103" t="inlineStr">
        <is>
          <t>Lagos</t>
        </is>
      </c>
      <c r="I69" s="59" t="inlineStr">
        <is>
          <t>Magodo</t>
        </is>
      </c>
      <c r="J69" s="59" t="inlineStr">
        <is>
          <t>Lagos</t>
        </is>
      </c>
      <c r="K69" s="196" t="n">
        <v>12</v>
      </c>
      <c r="L69" s="194" t="n">
        <v>24</v>
      </c>
      <c r="M69" s="197" t="n">
        <v>72</v>
      </c>
      <c r="N69" s="194" t="n">
        <v>576</v>
      </c>
      <c r="O69" s="198" t="n">
        <v>88979.54286905425</v>
      </c>
    </row>
    <row r="70">
      <c r="A70" s="96" t="inlineStr">
        <is>
          <t>YEKENE</t>
        </is>
      </c>
      <c r="B70" s="49">
        <f>CONCATENATE(E70,"-",F70,"-",D70)</f>
        <v/>
      </c>
      <c r="C70" s="25">
        <f>CONCATENATE(G70,"-",F70,"-",D70)</f>
        <v/>
      </c>
      <c r="D70" s="94" t="inlineStr">
        <is>
          <t>16CBM</t>
        </is>
      </c>
      <c r="E70" s="50" t="inlineStr">
        <is>
          <t>CANTER</t>
        </is>
      </c>
      <c r="F70" s="176" t="inlineStr">
        <is>
          <t>3T</t>
        </is>
      </c>
      <c r="G70" s="102" t="inlineStr">
        <is>
          <t>Jamara</t>
        </is>
      </c>
      <c r="H70" s="103" t="inlineStr">
        <is>
          <t>Lagos</t>
        </is>
      </c>
      <c r="I70" s="58" t="inlineStr">
        <is>
          <t>Agege</t>
        </is>
      </c>
      <c r="J70" s="58" t="inlineStr">
        <is>
          <t>Lagos</t>
        </is>
      </c>
      <c r="K70" s="196" t="n">
        <v>14</v>
      </c>
      <c r="L70" s="194" t="n">
        <v>28</v>
      </c>
      <c r="M70" s="197" t="n">
        <v>74</v>
      </c>
      <c r="N70" s="194" t="n">
        <v>672</v>
      </c>
      <c r="O70" s="198" t="n">
        <v>88979.54286905425</v>
      </c>
    </row>
    <row r="71">
      <c r="A71" s="96" t="inlineStr">
        <is>
          <t>YEKENE</t>
        </is>
      </c>
      <c r="B71" s="49">
        <f>CONCATENATE(E71,"-",F71,"-",D71)</f>
        <v/>
      </c>
      <c r="C71" s="25">
        <f>CONCATENATE(G71,"-",F71,"-",D71)</f>
        <v/>
      </c>
      <c r="D71" s="94" t="inlineStr">
        <is>
          <t>16CBM</t>
        </is>
      </c>
      <c r="E71" s="50" t="inlineStr">
        <is>
          <t>CANTER</t>
        </is>
      </c>
      <c r="F71" s="176" t="inlineStr">
        <is>
          <t>3T</t>
        </is>
      </c>
      <c r="G71" s="102" t="inlineStr">
        <is>
          <t>Jamara</t>
        </is>
      </c>
      <c r="H71" s="103" t="inlineStr">
        <is>
          <t>Lagos</t>
        </is>
      </c>
      <c r="I71" s="58" t="inlineStr">
        <is>
          <t>Ikeja</t>
        </is>
      </c>
      <c r="J71" s="58" t="inlineStr">
        <is>
          <t>Lagos</t>
        </is>
      </c>
      <c r="K71" s="196" t="n">
        <v>11</v>
      </c>
      <c r="L71" s="194" t="n">
        <v>22</v>
      </c>
      <c r="M71" s="197" t="n">
        <v>71</v>
      </c>
      <c r="N71" s="194" t="n">
        <v>528</v>
      </c>
      <c r="O71" s="198" t="n">
        <v>88979.54286905425</v>
      </c>
    </row>
    <row r="72">
      <c r="A72" s="96" t="inlineStr">
        <is>
          <t>YEKENE</t>
        </is>
      </c>
      <c r="B72" s="49">
        <f>CONCATENATE(E72,"-",F72,"-",D72)</f>
        <v/>
      </c>
      <c r="C72" s="25">
        <f>CONCATENATE(G72,"-",F72,"-",D72)</f>
        <v/>
      </c>
      <c r="D72" s="94" t="inlineStr">
        <is>
          <t>16CBM</t>
        </is>
      </c>
      <c r="E72" s="50" t="inlineStr">
        <is>
          <t>CANTER</t>
        </is>
      </c>
      <c r="F72" s="176" t="inlineStr">
        <is>
          <t>3T</t>
        </is>
      </c>
      <c r="G72" s="102" t="inlineStr">
        <is>
          <t>Jamara</t>
        </is>
      </c>
      <c r="H72" s="103" t="inlineStr">
        <is>
          <t>Lagos</t>
        </is>
      </c>
      <c r="I72" s="58" t="inlineStr">
        <is>
          <t>Ikotun</t>
        </is>
      </c>
      <c r="J72" s="58" t="inlineStr">
        <is>
          <t>Lagos</t>
        </is>
      </c>
      <c r="K72" s="196" t="n">
        <v>24.5</v>
      </c>
      <c r="L72" s="194" t="n">
        <v>49</v>
      </c>
      <c r="M72" s="197" t="n">
        <v>84</v>
      </c>
      <c r="N72" s="194" t="n">
        <v>1176</v>
      </c>
      <c r="O72" s="198" t="n">
        <v>88979.54286905425</v>
      </c>
    </row>
    <row r="73">
      <c r="A73" s="96" t="inlineStr">
        <is>
          <t>YEKENE</t>
        </is>
      </c>
      <c r="B73" s="49">
        <f>CONCATENATE(E73,"-",F73,"-",D73)</f>
        <v/>
      </c>
      <c r="C73" s="25">
        <f>CONCATENATE(G73,"-",F73,"-",D73)</f>
        <v/>
      </c>
      <c r="D73" s="94" t="inlineStr">
        <is>
          <t>16CBM</t>
        </is>
      </c>
      <c r="E73" s="50" t="inlineStr">
        <is>
          <t>CANTER</t>
        </is>
      </c>
      <c r="F73" s="176" t="inlineStr">
        <is>
          <t>3T</t>
        </is>
      </c>
      <c r="G73" s="102" t="inlineStr">
        <is>
          <t>Jamara</t>
        </is>
      </c>
      <c r="H73" s="103" t="inlineStr">
        <is>
          <t>Lagos</t>
        </is>
      </c>
      <c r="I73" s="58" t="inlineStr">
        <is>
          <t>Ipaja</t>
        </is>
      </c>
      <c r="J73" s="58" t="inlineStr">
        <is>
          <t>Lagos</t>
        </is>
      </c>
      <c r="K73" s="196" t="n">
        <v>22</v>
      </c>
      <c r="L73" s="194" t="n">
        <v>44</v>
      </c>
      <c r="M73" s="197" t="n">
        <v>82</v>
      </c>
      <c r="N73" s="194" t="n">
        <v>1056</v>
      </c>
      <c r="O73" s="198" t="n">
        <v>88979.54286905425</v>
      </c>
    </row>
    <row r="74">
      <c r="A74" s="96" t="inlineStr">
        <is>
          <t>YEKENE</t>
        </is>
      </c>
      <c r="B74" s="49">
        <f>CONCATENATE(E74,"-",F74,"-",D74)</f>
        <v/>
      </c>
      <c r="C74" s="25">
        <f>CONCATENATE(G74,"-",F74,"-",D74)</f>
        <v/>
      </c>
      <c r="D74" s="94" t="inlineStr">
        <is>
          <t>16CBM</t>
        </is>
      </c>
      <c r="E74" s="50" t="inlineStr">
        <is>
          <t>CANTER</t>
        </is>
      </c>
      <c r="F74" s="176" t="inlineStr">
        <is>
          <t>3T</t>
        </is>
      </c>
      <c r="G74" s="102" t="inlineStr">
        <is>
          <t>Jamara</t>
        </is>
      </c>
      <c r="H74" s="103" t="inlineStr">
        <is>
          <t>Lagos</t>
        </is>
      </c>
      <c r="I74" s="58" t="inlineStr">
        <is>
          <t>Ejigbo</t>
        </is>
      </c>
      <c r="J74" s="58" t="inlineStr">
        <is>
          <t>Lagos</t>
        </is>
      </c>
      <c r="K74" s="196" t="n">
        <v>15</v>
      </c>
      <c r="L74" s="194" t="n">
        <v>30</v>
      </c>
      <c r="M74" s="197" t="n">
        <v>75</v>
      </c>
      <c r="N74" s="194" t="n">
        <v>720</v>
      </c>
      <c r="O74" s="198" t="n">
        <v>88979.54286905425</v>
      </c>
    </row>
    <row r="75">
      <c r="A75" s="96" t="inlineStr">
        <is>
          <t>YEKENE</t>
        </is>
      </c>
      <c r="B75" s="49">
        <f>CONCATENATE(E75,"-",F75,"-",D75)</f>
        <v/>
      </c>
      <c r="C75" s="25">
        <f>CONCATENATE(G75,"-",F75,"-",D75)</f>
        <v/>
      </c>
      <c r="D75" s="94" t="inlineStr">
        <is>
          <t>16CBM</t>
        </is>
      </c>
      <c r="E75" s="50" t="inlineStr">
        <is>
          <t>CANTER</t>
        </is>
      </c>
      <c r="F75" s="176" t="inlineStr">
        <is>
          <t>3T</t>
        </is>
      </c>
      <c r="G75" s="102" t="inlineStr">
        <is>
          <t>Jamara</t>
        </is>
      </c>
      <c r="H75" s="103" t="inlineStr">
        <is>
          <t>Lagos</t>
        </is>
      </c>
      <c r="I75" s="58" t="inlineStr">
        <is>
          <t>Isolo</t>
        </is>
      </c>
      <c r="J75" s="58" t="inlineStr">
        <is>
          <t>Lagos</t>
        </is>
      </c>
      <c r="K75" s="196" t="n">
        <v>11</v>
      </c>
      <c r="L75" s="194" t="n">
        <v>22</v>
      </c>
      <c r="M75" s="197" t="n">
        <v>71</v>
      </c>
      <c r="N75" s="194" t="n">
        <v>528</v>
      </c>
      <c r="O75" s="198" t="n">
        <v>88979.54286905425</v>
      </c>
    </row>
    <row r="76">
      <c r="A76" s="96" t="inlineStr">
        <is>
          <t>YEKENE</t>
        </is>
      </c>
      <c r="B76" s="49">
        <f>CONCATENATE(E76,"-",F76,"-",D76)</f>
        <v/>
      </c>
      <c r="C76" s="25">
        <f>CONCATENATE(G76,"-",F76,"-",D76)</f>
        <v/>
      </c>
      <c r="D76" s="94" t="inlineStr">
        <is>
          <t>16CBM</t>
        </is>
      </c>
      <c r="E76" s="50" t="inlineStr">
        <is>
          <t>CANTER</t>
        </is>
      </c>
      <c r="F76" s="176" t="inlineStr">
        <is>
          <t>3T</t>
        </is>
      </c>
      <c r="G76" s="102" t="inlineStr">
        <is>
          <t>Jamara</t>
        </is>
      </c>
      <c r="H76" s="103" t="inlineStr">
        <is>
          <t>Lagos</t>
        </is>
      </c>
      <c r="I76" s="58" t="inlineStr">
        <is>
          <t>Oshodi</t>
        </is>
      </c>
      <c r="J76" s="58" t="inlineStr">
        <is>
          <t>Lagos</t>
        </is>
      </c>
      <c r="K76" s="196" t="n">
        <v>8</v>
      </c>
      <c r="L76" s="194" t="n">
        <v>16</v>
      </c>
      <c r="M76" s="197" t="n">
        <v>68</v>
      </c>
      <c r="N76" s="194" t="n">
        <v>384</v>
      </c>
      <c r="O76" s="198" t="n">
        <v>88979.54286905425</v>
      </c>
    </row>
    <row r="77">
      <c r="A77" s="96" t="inlineStr">
        <is>
          <t>YEKENE</t>
        </is>
      </c>
      <c r="B77" s="49">
        <f>CONCATENATE(E77,"-",F77,"-",D77)</f>
        <v/>
      </c>
      <c r="C77" s="25">
        <f>CONCATENATE(G77,"-",F77,"-",D77)</f>
        <v/>
      </c>
      <c r="D77" s="94" t="inlineStr">
        <is>
          <t>16CBM</t>
        </is>
      </c>
      <c r="E77" s="50" t="inlineStr">
        <is>
          <t>CANTER</t>
        </is>
      </c>
      <c r="F77" s="176" t="inlineStr">
        <is>
          <t>3T</t>
        </is>
      </c>
      <c r="G77" s="102" t="inlineStr">
        <is>
          <t>Jamara</t>
        </is>
      </c>
      <c r="H77" s="103" t="inlineStr">
        <is>
          <t>Lagos</t>
        </is>
      </c>
      <c r="I77" s="58" t="inlineStr">
        <is>
          <t>Mushin</t>
        </is>
      </c>
      <c r="J77" s="58" t="inlineStr">
        <is>
          <t>Lagos</t>
        </is>
      </c>
      <c r="K77" s="196" t="n">
        <v>8</v>
      </c>
      <c r="L77" s="194" t="n">
        <v>16</v>
      </c>
      <c r="M77" s="197" t="n">
        <v>68</v>
      </c>
      <c r="N77" s="194" t="n">
        <v>384</v>
      </c>
      <c r="O77" s="198" t="n">
        <v>88979.54286905425</v>
      </c>
    </row>
    <row r="78">
      <c r="A78" s="96" t="inlineStr">
        <is>
          <t>YEKENE</t>
        </is>
      </c>
      <c r="B78" s="49">
        <f>CONCATENATE(E78,"-",F78,"-",D78)</f>
        <v/>
      </c>
      <c r="C78" s="25">
        <f>CONCATENATE(G78,"-",F78,"-",D78)</f>
        <v/>
      </c>
      <c r="D78" s="94" t="inlineStr">
        <is>
          <t>16CBM</t>
        </is>
      </c>
      <c r="E78" s="50" t="inlineStr">
        <is>
          <t>CANTER</t>
        </is>
      </c>
      <c r="F78" s="176" t="inlineStr">
        <is>
          <t>3T</t>
        </is>
      </c>
      <c r="G78" s="102" t="inlineStr">
        <is>
          <t>Jamara</t>
        </is>
      </c>
      <c r="H78" s="103" t="inlineStr">
        <is>
          <t>Lagos</t>
        </is>
      </c>
      <c r="I78" s="60" t="inlineStr">
        <is>
          <t>Fadeyi</t>
        </is>
      </c>
      <c r="J78" s="60" t="inlineStr">
        <is>
          <t>Lagos</t>
        </is>
      </c>
      <c r="K78" s="196" t="n">
        <v>8</v>
      </c>
      <c r="L78" s="194" t="n">
        <v>16</v>
      </c>
      <c r="M78" s="197" t="n">
        <v>68</v>
      </c>
      <c r="N78" s="194" t="n">
        <v>384</v>
      </c>
      <c r="O78" s="198" t="n">
        <v>88979.54286905425</v>
      </c>
    </row>
    <row r="79">
      <c r="A79" s="96" t="inlineStr">
        <is>
          <t>YEKENE</t>
        </is>
      </c>
      <c r="B79" s="49">
        <f>CONCATENATE(E79,"-",F79,"-",D79)</f>
        <v/>
      </c>
      <c r="C79" s="25">
        <f>CONCATENATE(G79,"-",F79,"-",D79)</f>
        <v/>
      </c>
      <c r="D79" s="94" t="inlineStr">
        <is>
          <t>16CBM</t>
        </is>
      </c>
      <c r="E79" s="50" t="inlineStr">
        <is>
          <t>CANTER</t>
        </is>
      </c>
      <c r="F79" s="176" t="inlineStr">
        <is>
          <t>3T</t>
        </is>
      </c>
      <c r="G79" s="102" t="inlineStr">
        <is>
          <t>Jamara</t>
        </is>
      </c>
      <c r="H79" s="103" t="inlineStr">
        <is>
          <t>Lagos</t>
        </is>
      </c>
      <c r="I79" s="58" t="inlineStr">
        <is>
          <t>Okota</t>
        </is>
      </c>
      <c r="J79" s="58" t="inlineStr">
        <is>
          <t>Lagos</t>
        </is>
      </c>
      <c r="K79" s="196" t="n">
        <v>16</v>
      </c>
      <c r="L79" s="194" t="n">
        <v>32</v>
      </c>
      <c r="M79" s="197" t="n">
        <v>76</v>
      </c>
      <c r="N79" s="194" t="n">
        <v>768</v>
      </c>
      <c r="O79" s="198" t="n">
        <v>88979.54286905425</v>
      </c>
    </row>
    <row r="80">
      <c r="A80" s="96" t="inlineStr">
        <is>
          <t>YEKENE</t>
        </is>
      </c>
      <c r="B80" s="49">
        <f>CONCATENATE(E80,"-",F80,"-",D80)</f>
        <v/>
      </c>
      <c r="C80" s="25">
        <f>CONCATENATE(G80,"-",F80,"-",D80)</f>
        <v/>
      </c>
      <c r="D80" s="94" t="inlineStr">
        <is>
          <t>16CBM</t>
        </is>
      </c>
      <c r="E80" s="50" t="inlineStr">
        <is>
          <t>CANTER</t>
        </is>
      </c>
      <c r="F80" s="176" t="inlineStr">
        <is>
          <t>3T</t>
        </is>
      </c>
      <c r="G80" s="102" t="inlineStr">
        <is>
          <t>Jamara</t>
        </is>
      </c>
      <c r="H80" s="103" t="inlineStr">
        <is>
          <t>Lagos</t>
        </is>
      </c>
      <c r="I80" s="58" t="inlineStr">
        <is>
          <t>Apapa</t>
        </is>
      </c>
      <c r="J80" s="58" t="inlineStr">
        <is>
          <t>Lagos</t>
        </is>
      </c>
      <c r="K80" s="196" t="n">
        <v>27</v>
      </c>
      <c r="L80" s="194" t="n">
        <v>54</v>
      </c>
      <c r="M80" s="197" t="n">
        <v>87</v>
      </c>
      <c r="N80" s="194" t="n">
        <v>1296</v>
      </c>
      <c r="O80" s="198" t="n">
        <v>88979.54286905425</v>
      </c>
    </row>
    <row r="81">
      <c r="A81" s="96" t="inlineStr">
        <is>
          <t>YEKENE</t>
        </is>
      </c>
      <c r="B81" s="49">
        <f>CONCATENATE(E81,"-",F81,"-",D81)</f>
        <v/>
      </c>
      <c r="C81" s="25">
        <f>CONCATENATE(G81,"-",F81,"-",D81)</f>
        <v/>
      </c>
      <c r="D81" s="94" t="inlineStr">
        <is>
          <t>16CBM</t>
        </is>
      </c>
      <c r="E81" s="50" t="inlineStr">
        <is>
          <t>CANTER</t>
        </is>
      </c>
      <c r="F81" s="176" t="inlineStr">
        <is>
          <t>3T</t>
        </is>
      </c>
      <c r="G81" s="102" t="inlineStr">
        <is>
          <t>Jamara</t>
        </is>
      </c>
      <c r="H81" s="103" t="inlineStr">
        <is>
          <t>Lagos</t>
        </is>
      </c>
      <c r="I81" s="58" t="inlineStr">
        <is>
          <t>Matori</t>
        </is>
      </c>
      <c r="J81" s="58" t="inlineStr">
        <is>
          <t>Lagos</t>
        </is>
      </c>
      <c r="K81" s="196" t="n">
        <v>8</v>
      </c>
      <c r="L81" s="194" t="n">
        <v>16</v>
      </c>
      <c r="M81" s="197" t="n">
        <v>68</v>
      </c>
      <c r="N81" s="194" t="n">
        <v>384</v>
      </c>
      <c r="O81" s="198" t="n">
        <v>88979.54286905425</v>
      </c>
    </row>
    <row r="82">
      <c r="A82" s="96" t="inlineStr">
        <is>
          <t>YEKENE</t>
        </is>
      </c>
      <c r="B82" s="49">
        <f>CONCATENATE(E82,"-",F82,"-",D82)</f>
        <v/>
      </c>
      <c r="C82" s="25">
        <f>CONCATENATE(G82,"-",F82,"-",D82)</f>
        <v/>
      </c>
      <c r="D82" s="94" t="inlineStr">
        <is>
          <t>16CBM</t>
        </is>
      </c>
      <c r="E82" s="50" t="inlineStr">
        <is>
          <t>CANTER</t>
        </is>
      </c>
      <c r="F82" s="176" t="inlineStr">
        <is>
          <t>3T</t>
        </is>
      </c>
      <c r="G82" s="102" t="inlineStr">
        <is>
          <t>Jamara</t>
        </is>
      </c>
      <c r="H82" s="103" t="inlineStr">
        <is>
          <t>Lagos</t>
        </is>
      </c>
      <c r="I82" s="58" t="inlineStr">
        <is>
          <t>Gbagada</t>
        </is>
      </c>
      <c r="J82" s="58" t="inlineStr">
        <is>
          <t>Lagos</t>
        </is>
      </c>
      <c r="K82" s="196" t="n">
        <v>8</v>
      </c>
      <c r="L82" s="194" t="n">
        <v>16</v>
      </c>
      <c r="M82" s="197" t="n">
        <v>68</v>
      </c>
      <c r="N82" s="194" t="n">
        <v>384</v>
      </c>
      <c r="O82" s="198" t="n">
        <v>88979.54286905425</v>
      </c>
    </row>
    <row r="83">
      <c r="A83" s="96" t="inlineStr">
        <is>
          <t>YEKENE</t>
        </is>
      </c>
      <c r="B83" s="49">
        <f>CONCATENATE(E83,"-",F83,"-",D83)</f>
        <v/>
      </c>
      <c r="C83" s="25">
        <f>CONCATENATE(G83,"-",F83,"-",D83)</f>
        <v/>
      </c>
      <c r="D83" s="94" t="inlineStr">
        <is>
          <t>16CBM</t>
        </is>
      </c>
      <c r="E83" s="50" t="inlineStr">
        <is>
          <t>CANTER</t>
        </is>
      </c>
      <c r="F83" s="176" t="inlineStr">
        <is>
          <t>3T</t>
        </is>
      </c>
      <c r="G83" s="102" t="inlineStr">
        <is>
          <t>Jamara</t>
        </is>
      </c>
      <c r="H83" s="103" t="inlineStr">
        <is>
          <t>Lagos</t>
        </is>
      </c>
      <c r="I83" s="58" t="inlineStr">
        <is>
          <t>Ilupeju</t>
        </is>
      </c>
      <c r="J83" s="58" t="inlineStr">
        <is>
          <t>Lagos</t>
        </is>
      </c>
      <c r="K83" s="196" t="n">
        <v>8</v>
      </c>
      <c r="L83" s="194" t="n">
        <v>16</v>
      </c>
      <c r="M83" s="197" t="n">
        <v>68</v>
      </c>
      <c r="N83" s="194" t="n">
        <v>384</v>
      </c>
      <c r="O83" s="198" t="n">
        <v>88979.54286905425</v>
      </c>
    </row>
    <row r="84">
      <c r="A84" s="96" t="inlineStr">
        <is>
          <t>YEKENE</t>
        </is>
      </c>
      <c r="B84" s="49">
        <f>CONCATENATE(E84,"-",F84,"-",D84)</f>
        <v/>
      </c>
      <c r="C84" s="25">
        <f>CONCATENATE(G84,"-",F84,"-",D84)</f>
        <v/>
      </c>
      <c r="D84" s="94" t="inlineStr">
        <is>
          <t>16CBM</t>
        </is>
      </c>
      <c r="E84" s="50" t="inlineStr">
        <is>
          <t>CANTER</t>
        </is>
      </c>
      <c r="F84" s="176" t="inlineStr">
        <is>
          <t>3T</t>
        </is>
      </c>
      <c r="G84" s="102" t="inlineStr">
        <is>
          <t>Jamara</t>
        </is>
      </c>
      <c r="H84" s="103" t="inlineStr">
        <is>
          <t>Lagos</t>
        </is>
      </c>
      <c r="I84" s="58" t="inlineStr">
        <is>
          <t>Ikorodu</t>
        </is>
      </c>
      <c r="J84" s="58" t="inlineStr">
        <is>
          <t>Lagos</t>
        </is>
      </c>
      <c r="K84" s="196" t="n">
        <v>35</v>
      </c>
      <c r="L84" s="194" t="n">
        <v>70</v>
      </c>
      <c r="M84" s="197" t="n">
        <v>95</v>
      </c>
      <c r="N84" s="194" t="n">
        <v>1680</v>
      </c>
      <c r="O84" s="198" t="n">
        <v>80081.58858214882</v>
      </c>
    </row>
    <row r="85">
      <c r="A85" s="96" t="inlineStr">
        <is>
          <t>YEKENE</t>
        </is>
      </c>
      <c r="B85" s="49">
        <f>CONCATENATE(E85,"-",F85,"-",D85)</f>
        <v/>
      </c>
      <c r="C85" s="25">
        <f>CONCATENATE(G85,"-",F85,"-",D85)</f>
        <v/>
      </c>
      <c r="D85" s="94" t="inlineStr">
        <is>
          <t>16CBM</t>
        </is>
      </c>
      <c r="E85" s="50" t="inlineStr">
        <is>
          <t>CANTER</t>
        </is>
      </c>
      <c r="F85" s="176" t="inlineStr">
        <is>
          <t>3T</t>
        </is>
      </c>
      <c r="G85" s="102" t="inlineStr">
        <is>
          <t>Jamara</t>
        </is>
      </c>
      <c r="H85" s="103" t="inlineStr">
        <is>
          <t>Lagos</t>
        </is>
      </c>
      <c r="I85" s="58" t="inlineStr">
        <is>
          <t>Ketu</t>
        </is>
      </c>
      <c r="J85" s="58" t="inlineStr">
        <is>
          <t>Lagos</t>
        </is>
      </c>
      <c r="K85" s="196" t="n">
        <v>10</v>
      </c>
      <c r="L85" s="194" t="n">
        <v>20</v>
      </c>
      <c r="M85" s="197" t="n">
        <v>70</v>
      </c>
      <c r="N85" s="194" t="n">
        <v>480</v>
      </c>
      <c r="O85" s="198" t="n">
        <v>88979.54286905425</v>
      </c>
    </row>
    <row r="86">
      <c r="A86" s="96" t="inlineStr">
        <is>
          <t>YEKENE</t>
        </is>
      </c>
      <c r="B86" s="49">
        <f>CONCATENATE(E86,"-",F86,"-",D86)</f>
        <v/>
      </c>
      <c r="C86" s="25">
        <f>CONCATENATE(G86,"-",F86,"-",D86)</f>
        <v/>
      </c>
      <c r="D86" s="94" t="inlineStr">
        <is>
          <t>16CBM</t>
        </is>
      </c>
      <c r="E86" s="50" t="inlineStr">
        <is>
          <t>CANTER</t>
        </is>
      </c>
      <c r="F86" s="176" t="inlineStr">
        <is>
          <t>3T</t>
        </is>
      </c>
      <c r="G86" s="102" t="inlineStr">
        <is>
          <t>Jamara</t>
        </is>
      </c>
      <c r="H86" s="103" t="inlineStr">
        <is>
          <t>Lagos</t>
        </is>
      </c>
      <c r="I86" s="25" t="inlineStr">
        <is>
          <t>Lagos Island</t>
        </is>
      </c>
      <c r="J86" s="25" t="inlineStr">
        <is>
          <t>Lagos</t>
        </is>
      </c>
      <c r="K86" s="196" t="n">
        <v>18</v>
      </c>
      <c r="L86" s="194" t="n">
        <v>36</v>
      </c>
      <c r="M86" s="197" t="n">
        <v>78</v>
      </c>
      <c r="N86" s="194" t="n">
        <v>864</v>
      </c>
      <c r="O86" s="198" t="n">
        <v>88979.54286905425</v>
      </c>
    </row>
    <row r="87">
      <c r="A87" s="96" t="inlineStr">
        <is>
          <t>YEKENE</t>
        </is>
      </c>
      <c r="B87" s="49">
        <f>CONCATENATE(E87,"-",F87,"-",D87)</f>
        <v/>
      </c>
      <c r="C87" s="25">
        <f>CONCATENATE(G87,"-",F87,"-",D87)</f>
        <v/>
      </c>
      <c r="D87" s="94" t="inlineStr">
        <is>
          <t>16CBM</t>
        </is>
      </c>
      <c r="E87" s="50" t="inlineStr">
        <is>
          <t>CANTER</t>
        </is>
      </c>
      <c r="F87" s="176" t="inlineStr">
        <is>
          <t>3T</t>
        </is>
      </c>
      <c r="G87" s="102" t="inlineStr">
        <is>
          <t>Jamara</t>
        </is>
      </c>
      <c r="H87" s="103" t="inlineStr">
        <is>
          <t>Lagos</t>
        </is>
      </c>
      <c r="I87" s="58" t="inlineStr">
        <is>
          <t>Marina</t>
        </is>
      </c>
      <c r="J87" s="58" t="inlineStr">
        <is>
          <t>Lagos</t>
        </is>
      </c>
      <c r="K87" s="196" t="n">
        <v>23</v>
      </c>
      <c r="L87" s="194" t="n">
        <v>46</v>
      </c>
      <c r="M87" s="197" t="n">
        <v>83</v>
      </c>
      <c r="N87" s="194" t="n">
        <v>1104</v>
      </c>
      <c r="O87" s="198" t="n">
        <v>88979.54286905425</v>
      </c>
    </row>
    <row r="88">
      <c r="A88" s="96" t="inlineStr">
        <is>
          <t>YEKENE</t>
        </is>
      </c>
      <c r="B88" s="49">
        <f>CONCATENATE(E88,"-",F88,"-",D88)</f>
        <v/>
      </c>
      <c r="C88" s="25">
        <f>CONCATENATE(G88,"-",F88,"-",D88)</f>
        <v/>
      </c>
      <c r="D88" s="94" t="inlineStr">
        <is>
          <t>16CBM</t>
        </is>
      </c>
      <c r="E88" s="50" t="inlineStr">
        <is>
          <t>CANTER</t>
        </is>
      </c>
      <c r="F88" s="176" t="inlineStr">
        <is>
          <t>3T</t>
        </is>
      </c>
      <c r="G88" s="102" t="inlineStr">
        <is>
          <t>Jamara</t>
        </is>
      </c>
      <c r="H88" s="103" t="inlineStr">
        <is>
          <t>Lagos</t>
        </is>
      </c>
      <c r="I88" s="58" t="inlineStr">
        <is>
          <t>Abeokuta</t>
        </is>
      </c>
      <c r="J88" s="58" t="inlineStr">
        <is>
          <t>Ogun</t>
        </is>
      </c>
      <c r="K88" s="196" t="n">
        <v>99.5</v>
      </c>
      <c r="L88" s="194" t="n">
        <v>199</v>
      </c>
      <c r="M88" s="197" t="n">
        <v>161</v>
      </c>
      <c r="N88" s="194" t="n">
        <v>4776</v>
      </c>
      <c r="O88" s="198" t="n">
        <v>88979.54286905425</v>
      </c>
    </row>
    <row r="89">
      <c r="A89" s="96" t="inlineStr">
        <is>
          <t>YEKENE</t>
        </is>
      </c>
      <c r="B89" s="49">
        <f>CONCATENATE(E89,"-",F89,"-",D89)</f>
        <v/>
      </c>
      <c r="C89" s="25">
        <f>CONCATENATE(G89,"-",F89,"-",D89)</f>
        <v/>
      </c>
      <c r="D89" s="94" t="inlineStr">
        <is>
          <t>16CBM</t>
        </is>
      </c>
      <c r="E89" s="50" t="inlineStr">
        <is>
          <t>CANTER</t>
        </is>
      </c>
      <c r="F89" s="176" t="inlineStr">
        <is>
          <t>3T</t>
        </is>
      </c>
      <c r="G89" s="102" t="inlineStr">
        <is>
          <t>Jamara</t>
        </is>
      </c>
      <c r="H89" s="103" t="inlineStr">
        <is>
          <t>Lagos</t>
        </is>
      </c>
      <c r="I89" s="58" t="inlineStr">
        <is>
          <t>Ijebu-Ode</t>
        </is>
      </c>
      <c r="J89" s="58" t="inlineStr">
        <is>
          <t>Ogun</t>
        </is>
      </c>
      <c r="K89" s="196" t="n">
        <v>100</v>
      </c>
      <c r="L89" s="194" t="n">
        <v>200</v>
      </c>
      <c r="M89" s="197" t="n">
        <v>162</v>
      </c>
      <c r="N89" s="194" t="n">
        <v>4800</v>
      </c>
      <c r="O89" s="198" t="n">
        <v>88979.54286905425</v>
      </c>
    </row>
    <row r="90">
      <c r="A90" s="96" t="inlineStr">
        <is>
          <t>YEKENE</t>
        </is>
      </c>
      <c r="B90" s="49">
        <f>CONCATENATE(E90,"-",F90,"-",D90)</f>
        <v/>
      </c>
      <c r="C90" s="25">
        <f>CONCATENATE(G90,"-",F90,"-",D90)</f>
        <v/>
      </c>
      <c r="D90" s="94" t="inlineStr">
        <is>
          <t>16CBM</t>
        </is>
      </c>
      <c r="E90" s="50" t="inlineStr">
        <is>
          <t>CANTER</t>
        </is>
      </c>
      <c r="F90" s="176" t="inlineStr">
        <is>
          <t>3T</t>
        </is>
      </c>
      <c r="G90" s="102" t="inlineStr">
        <is>
          <t>Jamara</t>
        </is>
      </c>
      <c r="H90" s="103" t="inlineStr">
        <is>
          <t>Lagos</t>
        </is>
      </c>
      <c r="I90" s="58" t="inlineStr">
        <is>
          <t>Sagamu</t>
        </is>
      </c>
      <c r="J90" s="58" t="inlineStr">
        <is>
          <t>Ogun</t>
        </is>
      </c>
      <c r="K90" s="196" t="n">
        <v>70</v>
      </c>
      <c r="L90" s="194" t="n">
        <v>140</v>
      </c>
      <c r="M90" s="197" t="n">
        <v>131</v>
      </c>
      <c r="N90" s="194" t="n">
        <v>3360</v>
      </c>
      <c r="O90" s="198" t="n">
        <v>88979.54286905425</v>
      </c>
    </row>
    <row r="91">
      <c r="A91" s="96" t="inlineStr">
        <is>
          <t>YEKENE</t>
        </is>
      </c>
      <c r="B91" s="49">
        <f>CONCATENATE(E91,"-",F91,"-",D91)</f>
        <v/>
      </c>
      <c r="C91" s="25">
        <f>CONCATENATE(G91,"-",F91,"-",D91)</f>
        <v/>
      </c>
      <c r="D91" s="94" t="inlineStr">
        <is>
          <t>16CBM</t>
        </is>
      </c>
      <c r="E91" s="50" t="inlineStr">
        <is>
          <t>CANTER</t>
        </is>
      </c>
      <c r="F91" s="176" t="inlineStr">
        <is>
          <t>3T</t>
        </is>
      </c>
      <c r="G91" s="102" t="inlineStr">
        <is>
          <t>Jamara</t>
        </is>
      </c>
      <c r="H91" s="103" t="inlineStr">
        <is>
          <t>Lagos</t>
        </is>
      </c>
      <c r="I91" s="58" t="inlineStr">
        <is>
          <t>Magboro</t>
        </is>
      </c>
      <c r="J91" s="58" t="inlineStr">
        <is>
          <t>Ogun</t>
        </is>
      </c>
      <c r="K91" s="196" t="n">
        <v>37.6</v>
      </c>
      <c r="L91" s="194" t="n">
        <v>75.2</v>
      </c>
      <c r="M91" s="197" t="n">
        <v>98</v>
      </c>
      <c r="N91" s="194" t="n">
        <v>1804.8</v>
      </c>
      <c r="O91" s="198" t="n">
        <v>88979.54286905425</v>
      </c>
    </row>
    <row r="92">
      <c r="A92" s="96" t="inlineStr">
        <is>
          <t>YEKENE</t>
        </is>
      </c>
      <c r="B92" s="49">
        <f>CONCATENATE(E92,"-",F92,"-",D92)</f>
        <v/>
      </c>
      <c r="C92" s="25">
        <f>CONCATENATE(G92,"-",F92,"-",D92)</f>
        <v/>
      </c>
      <c r="D92" s="94" t="inlineStr">
        <is>
          <t>16CBM</t>
        </is>
      </c>
      <c r="E92" s="50" t="inlineStr">
        <is>
          <t>CANTER</t>
        </is>
      </c>
      <c r="F92" s="176" t="inlineStr">
        <is>
          <t>3T</t>
        </is>
      </c>
      <c r="G92" s="102" t="inlineStr">
        <is>
          <t>Jamara</t>
        </is>
      </c>
      <c r="H92" s="103" t="inlineStr">
        <is>
          <t>Lagos</t>
        </is>
      </c>
      <c r="I92" s="58" t="inlineStr">
        <is>
          <t>Akute</t>
        </is>
      </c>
      <c r="J92" s="58" t="inlineStr">
        <is>
          <t>Ogun</t>
        </is>
      </c>
      <c r="K92" s="196" t="n">
        <v>25</v>
      </c>
      <c r="L92" s="194" t="n">
        <v>50</v>
      </c>
      <c r="M92" s="197" t="n">
        <v>85</v>
      </c>
      <c r="N92" s="194" t="n">
        <v>1200</v>
      </c>
      <c r="O92" s="198" t="n">
        <v>88979.54286905425</v>
      </c>
    </row>
    <row r="93">
      <c r="A93" s="96" t="inlineStr">
        <is>
          <t>YEKENE</t>
        </is>
      </c>
      <c r="B93" s="49">
        <f>CONCATENATE(E93,"-",F93,"-",D93)</f>
        <v/>
      </c>
      <c r="C93" s="25">
        <f>CONCATENATE(G93,"-",F93,"-",D93)</f>
        <v/>
      </c>
      <c r="D93" s="94" t="inlineStr">
        <is>
          <t>16CBM</t>
        </is>
      </c>
      <c r="E93" s="50" t="inlineStr">
        <is>
          <t>CANTER</t>
        </is>
      </c>
      <c r="F93" s="176" t="inlineStr">
        <is>
          <t>3T</t>
        </is>
      </c>
      <c r="G93" s="102" t="inlineStr">
        <is>
          <t>Jamara</t>
        </is>
      </c>
      <c r="H93" s="103" t="inlineStr">
        <is>
          <t>Lagos</t>
        </is>
      </c>
      <c r="I93" s="58" t="inlineStr">
        <is>
          <t>Ojodu</t>
        </is>
      </c>
      <c r="J93" s="58" t="inlineStr">
        <is>
          <t>Lagos</t>
        </is>
      </c>
      <c r="K93" s="196" t="n">
        <v>25</v>
      </c>
      <c r="L93" s="194" t="n">
        <v>50</v>
      </c>
      <c r="M93" s="197" t="n">
        <v>85</v>
      </c>
      <c r="N93" s="194" t="n">
        <v>1200</v>
      </c>
      <c r="O93" s="198" t="n">
        <v>88979.54286905425</v>
      </c>
    </row>
    <row r="94">
      <c r="A94" s="96" t="inlineStr">
        <is>
          <t>YEKENE</t>
        </is>
      </c>
      <c r="B94" s="49">
        <f>CONCATENATE(E94,"-",F94,"-",D94)</f>
        <v/>
      </c>
      <c r="C94" s="25">
        <f>CONCATENATE(G94,"-",F94,"-",D94)</f>
        <v/>
      </c>
      <c r="D94" s="94" t="inlineStr">
        <is>
          <t>16CBM</t>
        </is>
      </c>
      <c r="E94" s="50" t="inlineStr">
        <is>
          <t>CANTER</t>
        </is>
      </c>
      <c r="F94" s="176" t="inlineStr">
        <is>
          <t>3T</t>
        </is>
      </c>
      <c r="G94" s="102" t="inlineStr">
        <is>
          <t>Jamara</t>
        </is>
      </c>
      <c r="H94" s="103" t="inlineStr">
        <is>
          <t>Lagos</t>
        </is>
      </c>
      <c r="I94" s="58" t="inlineStr">
        <is>
          <t>Yaba</t>
        </is>
      </c>
      <c r="J94" s="58" t="inlineStr">
        <is>
          <t>Lagos</t>
        </is>
      </c>
      <c r="K94" s="196" t="n">
        <v>15</v>
      </c>
      <c r="L94" s="194" t="n">
        <v>30</v>
      </c>
      <c r="M94" s="197" t="n">
        <v>75</v>
      </c>
      <c r="N94" s="194" t="n">
        <v>720</v>
      </c>
      <c r="O94" s="198" t="n">
        <v>88979.54286905425</v>
      </c>
    </row>
    <row r="95">
      <c r="A95" s="96" t="inlineStr">
        <is>
          <t>YEKENE</t>
        </is>
      </c>
      <c r="B95" s="49">
        <f>CONCATENATE(E95,"-",F95,"-",D95)</f>
        <v/>
      </c>
      <c r="C95" s="25">
        <f>CONCATENATE(G95,"-",F95,"-",D95)</f>
        <v/>
      </c>
      <c r="D95" s="94" t="inlineStr">
        <is>
          <t>16CBM</t>
        </is>
      </c>
      <c r="E95" s="50" t="inlineStr">
        <is>
          <t>CANTER</t>
        </is>
      </c>
      <c r="F95" s="176" t="inlineStr">
        <is>
          <t>3T</t>
        </is>
      </c>
      <c r="G95" s="102" t="inlineStr">
        <is>
          <t>Jamara</t>
        </is>
      </c>
      <c r="H95" s="103" t="inlineStr">
        <is>
          <t>Lagos</t>
        </is>
      </c>
      <c r="I95" s="58" t="inlineStr">
        <is>
          <t>Surulere</t>
        </is>
      </c>
      <c r="J95" s="58" t="inlineStr">
        <is>
          <t>Lagos</t>
        </is>
      </c>
      <c r="K95" s="196" t="n">
        <v>14</v>
      </c>
      <c r="L95" s="194" t="n">
        <v>28</v>
      </c>
      <c r="M95" s="197" t="n">
        <v>74</v>
      </c>
      <c r="N95" s="194" t="n">
        <v>672</v>
      </c>
      <c r="O95" s="198" t="n">
        <v>88979.54286905425</v>
      </c>
    </row>
    <row r="96">
      <c r="A96" s="96" t="inlineStr">
        <is>
          <t>YEKENE</t>
        </is>
      </c>
      <c r="B96" s="49">
        <f>CONCATENATE(E96,"-",F96,"-",D96)</f>
        <v/>
      </c>
      <c r="C96" s="25">
        <f>CONCATENATE(G96,"-",F96,"-",D96)</f>
        <v/>
      </c>
      <c r="D96" s="94" t="inlineStr">
        <is>
          <t>16CBM</t>
        </is>
      </c>
      <c r="E96" s="50" t="inlineStr">
        <is>
          <t>CANTER</t>
        </is>
      </c>
      <c r="F96" s="176" t="inlineStr">
        <is>
          <t>3T</t>
        </is>
      </c>
      <c r="G96" s="102" t="inlineStr">
        <is>
          <t>Jamara</t>
        </is>
      </c>
      <c r="H96" s="103" t="inlineStr">
        <is>
          <t>Lagos</t>
        </is>
      </c>
      <c r="I96" s="58" t="inlineStr">
        <is>
          <t>Tejuosho</t>
        </is>
      </c>
      <c r="J96" s="58" t="inlineStr">
        <is>
          <t>Lagos</t>
        </is>
      </c>
      <c r="K96" s="196" t="n">
        <v>19</v>
      </c>
      <c r="L96" s="194" t="n">
        <v>38</v>
      </c>
      <c r="M96" s="197" t="n">
        <v>79</v>
      </c>
      <c r="N96" s="194" t="n">
        <v>912</v>
      </c>
      <c r="O96" s="198" t="n">
        <v>88979.54286905425</v>
      </c>
    </row>
    <row r="97">
      <c r="A97" s="96" t="inlineStr">
        <is>
          <t>YEKENE</t>
        </is>
      </c>
      <c r="B97" s="49">
        <f>CONCATENATE(E97,"-",F97,"-",D97)</f>
        <v/>
      </c>
      <c r="C97" s="25">
        <f>CONCATENATE(G97,"-",F97,"-",D97)</f>
        <v/>
      </c>
      <c r="D97" s="94" t="inlineStr">
        <is>
          <t>16CBM</t>
        </is>
      </c>
      <c r="E97" s="50" t="inlineStr">
        <is>
          <t>CANTER</t>
        </is>
      </c>
      <c r="F97" s="176" t="inlineStr">
        <is>
          <t>3T</t>
        </is>
      </c>
      <c r="G97" s="102" t="inlineStr">
        <is>
          <t>Jamara</t>
        </is>
      </c>
      <c r="H97" s="103" t="inlineStr">
        <is>
          <t>Lagos</t>
        </is>
      </c>
      <c r="I97" s="58" t="inlineStr">
        <is>
          <t>Ibeju-Lekki</t>
        </is>
      </c>
      <c r="J97" s="58" t="inlineStr">
        <is>
          <t>Lagos</t>
        </is>
      </c>
      <c r="K97" s="196" t="n">
        <v>75</v>
      </c>
      <c r="L97" s="194" t="n">
        <v>150</v>
      </c>
      <c r="M97" s="197" t="n">
        <v>136</v>
      </c>
      <c r="N97" s="194" t="n">
        <v>3600</v>
      </c>
      <c r="O97" s="198" t="n">
        <v>88979.54286905425</v>
      </c>
    </row>
    <row r="98">
      <c r="A98" s="96" t="inlineStr">
        <is>
          <t>YEKENE</t>
        </is>
      </c>
      <c r="B98" s="49">
        <f>CONCATENATE(E98,"-",F98,"-",D98)</f>
        <v/>
      </c>
      <c r="C98" s="25">
        <f>CONCATENATE(G98,"-",F98,"-",D98)</f>
        <v/>
      </c>
      <c r="D98" s="94" t="inlineStr">
        <is>
          <t>16CBM</t>
        </is>
      </c>
      <c r="E98" s="50" t="inlineStr">
        <is>
          <t>CANTER</t>
        </is>
      </c>
      <c r="F98" s="176" t="inlineStr">
        <is>
          <t>3T</t>
        </is>
      </c>
      <c r="G98" s="102" t="inlineStr">
        <is>
          <t>Jamara</t>
        </is>
      </c>
      <c r="H98" s="103" t="inlineStr">
        <is>
          <t>Lagos</t>
        </is>
      </c>
      <c r="I98" s="58" t="inlineStr">
        <is>
          <t>Ajah</t>
        </is>
      </c>
      <c r="J98" s="58" t="inlineStr">
        <is>
          <t>Lagos</t>
        </is>
      </c>
      <c r="K98" s="196" t="n">
        <v>40</v>
      </c>
      <c r="L98" s="194" t="n">
        <v>80</v>
      </c>
      <c r="M98" s="197" t="n">
        <v>100</v>
      </c>
      <c r="N98" s="194" t="n">
        <v>1920</v>
      </c>
      <c r="O98" s="198" t="n">
        <v>88979.54286905425</v>
      </c>
    </row>
    <row r="99">
      <c r="A99" s="96" t="inlineStr">
        <is>
          <t>YEKENE</t>
        </is>
      </c>
      <c r="B99" s="49">
        <f>CONCATENATE(E99,"-",F99,"-",D99)</f>
        <v/>
      </c>
      <c r="C99" s="25">
        <f>CONCATENATE(G99,"-",F99,"-",D99)</f>
        <v/>
      </c>
      <c r="D99" s="94" t="inlineStr">
        <is>
          <t>16CBM</t>
        </is>
      </c>
      <c r="E99" s="50" t="inlineStr">
        <is>
          <t>CANTER</t>
        </is>
      </c>
      <c r="F99" s="176" t="inlineStr">
        <is>
          <t>3T</t>
        </is>
      </c>
      <c r="G99" s="102" t="inlineStr">
        <is>
          <t>Jamara</t>
        </is>
      </c>
      <c r="H99" s="103" t="inlineStr">
        <is>
          <t>Lagos</t>
        </is>
      </c>
      <c r="I99" s="58" t="inlineStr">
        <is>
          <t>Lekki</t>
        </is>
      </c>
      <c r="J99" s="58" t="inlineStr">
        <is>
          <t>Lagos</t>
        </is>
      </c>
      <c r="K99" s="196" t="n">
        <v>35</v>
      </c>
      <c r="L99" s="194" t="n">
        <v>70</v>
      </c>
      <c r="M99" s="197" t="n">
        <v>95</v>
      </c>
      <c r="N99" s="194" t="n">
        <v>1680</v>
      </c>
      <c r="O99" s="198" t="n">
        <v>88979.54286905425</v>
      </c>
    </row>
    <row r="100">
      <c r="A100" s="96" t="inlineStr">
        <is>
          <t>YEKENE</t>
        </is>
      </c>
      <c r="B100" s="49">
        <f>CONCATENATE(E100,"-",F100,"-",D100)</f>
        <v/>
      </c>
      <c r="C100" s="25">
        <f>CONCATENATE(G100,"-",F100,"-",D100)</f>
        <v/>
      </c>
      <c r="D100" s="94" t="inlineStr">
        <is>
          <t>16CBM</t>
        </is>
      </c>
      <c r="E100" s="50" t="inlineStr">
        <is>
          <t>CANTER</t>
        </is>
      </c>
      <c r="F100" s="176" t="inlineStr">
        <is>
          <t>3T</t>
        </is>
      </c>
      <c r="G100" s="102" t="inlineStr">
        <is>
          <t>Jamara</t>
        </is>
      </c>
      <c r="H100" s="103" t="inlineStr">
        <is>
          <t>Lagos</t>
        </is>
      </c>
      <c r="I100" s="58" t="inlineStr">
        <is>
          <t>Victoria Island</t>
        </is>
      </c>
      <c r="J100" s="58" t="inlineStr">
        <is>
          <t>Lagos</t>
        </is>
      </c>
      <c r="K100" s="196" t="n">
        <v>25</v>
      </c>
      <c r="L100" s="194" t="n">
        <v>50</v>
      </c>
      <c r="M100" s="197" t="n">
        <v>85</v>
      </c>
      <c r="N100" s="194" t="n">
        <v>1200</v>
      </c>
      <c r="O100" s="198" t="n">
        <v>88979.54286905425</v>
      </c>
    </row>
    <row r="101">
      <c r="A101" s="96" t="inlineStr">
        <is>
          <t>YEKENE</t>
        </is>
      </c>
      <c r="B101" s="49">
        <f>CONCATENATE(E101,"-",F101,"-",D101)</f>
        <v/>
      </c>
      <c r="C101" s="25">
        <f>CONCATENATE(G101,"-",F101,"-",D101)</f>
        <v/>
      </c>
      <c r="D101" s="94" t="inlineStr">
        <is>
          <t>16CBM</t>
        </is>
      </c>
      <c r="E101" s="50" t="inlineStr">
        <is>
          <t>CANTER</t>
        </is>
      </c>
      <c r="F101" s="176" t="inlineStr">
        <is>
          <t>3T</t>
        </is>
      </c>
      <c r="G101" s="102" t="inlineStr">
        <is>
          <t>Jamara</t>
        </is>
      </c>
      <c r="H101" s="103" t="inlineStr">
        <is>
          <t>Lagos</t>
        </is>
      </c>
      <c r="I101" s="58" t="inlineStr">
        <is>
          <t>Oniru</t>
        </is>
      </c>
      <c r="J101" s="58" t="inlineStr">
        <is>
          <t>Lagos</t>
        </is>
      </c>
      <c r="K101" s="196" t="n">
        <v>28</v>
      </c>
      <c r="L101" s="194" t="n">
        <v>56</v>
      </c>
      <c r="M101" s="197" t="n">
        <v>88</v>
      </c>
      <c r="N101" s="194" t="n">
        <v>1344</v>
      </c>
      <c r="O101" s="198" t="n">
        <v>80081.58858214882</v>
      </c>
    </row>
    <row r="102">
      <c r="A102" s="96" t="inlineStr">
        <is>
          <t>YEKENE</t>
        </is>
      </c>
      <c r="B102" s="49">
        <f>CONCATENATE(E102,"-",F102,"-",D102)</f>
        <v/>
      </c>
      <c r="C102" s="25">
        <f>CONCATENATE(G102,"-",F102,"-",D102)</f>
        <v/>
      </c>
      <c r="D102" s="94" t="inlineStr">
        <is>
          <t>16CBM</t>
        </is>
      </c>
      <c r="E102" s="50" t="inlineStr">
        <is>
          <t>CANTER</t>
        </is>
      </c>
      <c r="F102" s="176" t="inlineStr">
        <is>
          <t>3T</t>
        </is>
      </c>
      <c r="G102" s="102" t="inlineStr">
        <is>
          <t>Jamara</t>
        </is>
      </c>
      <c r="H102" s="103" t="inlineStr">
        <is>
          <t>Lagos</t>
        </is>
      </c>
      <c r="I102" s="61" t="inlineStr">
        <is>
          <t>Ibadan</t>
        </is>
      </c>
      <c r="J102" s="61" t="inlineStr">
        <is>
          <t>Oyo</t>
        </is>
      </c>
      <c r="K102" s="196" t="n">
        <v>120.5</v>
      </c>
      <c r="L102" s="194" t="n">
        <v>241</v>
      </c>
      <c r="M102" s="197" t="n">
        <v>182</v>
      </c>
      <c r="N102" s="194" t="n">
        <v>5784</v>
      </c>
      <c r="O102" s="198" t="n">
        <v>148299.2381150904</v>
      </c>
    </row>
    <row r="103">
      <c r="A103" s="96" t="inlineStr">
        <is>
          <t>YEKENE</t>
        </is>
      </c>
      <c r="B103" s="49">
        <f>CONCATENATE(E103,"-",F103,"-",D103)</f>
        <v/>
      </c>
      <c r="C103" s="25">
        <f>CONCATENATE(G103,"-",F103,"-",D103)</f>
        <v/>
      </c>
      <c r="D103" s="94" t="inlineStr">
        <is>
          <t>16CBM</t>
        </is>
      </c>
      <c r="E103" s="50" t="inlineStr">
        <is>
          <t>CANTER</t>
        </is>
      </c>
      <c r="F103" s="176" t="inlineStr">
        <is>
          <t>3T</t>
        </is>
      </c>
      <c r="G103" s="102" t="inlineStr">
        <is>
          <t>Jamara</t>
        </is>
      </c>
      <c r="H103" s="103" t="inlineStr">
        <is>
          <t>Lagos</t>
        </is>
      </c>
      <c r="I103" s="61" t="inlineStr">
        <is>
          <t>Benin City (Direct)</t>
        </is>
      </c>
      <c r="J103" s="61" t="inlineStr">
        <is>
          <t>Edo</t>
        </is>
      </c>
      <c r="K103" s="196" t="n">
        <v>312</v>
      </c>
      <c r="L103" s="194" t="n">
        <v>624</v>
      </c>
      <c r="M103" s="197" t="n">
        <v>378</v>
      </c>
      <c r="N103" s="194" t="n">
        <v>14976</v>
      </c>
      <c r="O103" s="198" t="n">
        <v>222448.8571726357</v>
      </c>
    </row>
    <row r="104">
      <c r="A104" s="96" t="inlineStr">
        <is>
          <t>YEKENE</t>
        </is>
      </c>
      <c r="B104" s="49">
        <f>CONCATENATE(E104,"-",F104,"-",D104)</f>
        <v/>
      </c>
      <c r="C104" s="25">
        <f>CONCATENATE(G104,"-",F104,"-",D104)</f>
        <v/>
      </c>
      <c r="D104" s="94" t="inlineStr">
        <is>
          <t>16CBM</t>
        </is>
      </c>
      <c r="E104" s="50" t="inlineStr">
        <is>
          <t>CANTER</t>
        </is>
      </c>
      <c r="F104" s="176" t="inlineStr">
        <is>
          <t>3T</t>
        </is>
      </c>
      <c r="G104" s="102" t="inlineStr">
        <is>
          <t>Jamara</t>
        </is>
      </c>
      <c r="H104" s="103" t="inlineStr">
        <is>
          <t>Lagos</t>
        </is>
      </c>
      <c r="I104" s="61" t="inlineStr">
        <is>
          <t>Asaba (Direct)</t>
        </is>
      </c>
      <c r="J104" s="61" t="inlineStr">
        <is>
          <t>Delta</t>
        </is>
      </c>
      <c r="K104" s="196" t="n">
        <v>410</v>
      </c>
      <c r="L104" s="194" t="n">
        <v>820</v>
      </c>
      <c r="M104" s="197" t="n">
        <v>478</v>
      </c>
      <c r="N104" s="194" t="n">
        <v>19680</v>
      </c>
      <c r="O104" s="198" t="n">
        <v>237278.7809841447</v>
      </c>
    </row>
    <row r="105">
      <c r="A105" s="96" t="inlineStr">
        <is>
          <t>YEKENE</t>
        </is>
      </c>
      <c r="B105" s="49">
        <f>CONCATENATE(E105,"-",F105,"-",D105)</f>
        <v/>
      </c>
      <c r="C105" s="25">
        <f>CONCATENATE(G105,"-",F105,"-",D105)</f>
        <v/>
      </c>
      <c r="D105" s="94" t="inlineStr">
        <is>
          <t>16CBM</t>
        </is>
      </c>
      <c r="E105" s="50" t="inlineStr">
        <is>
          <t>CANTER</t>
        </is>
      </c>
      <c r="F105" s="176" t="inlineStr">
        <is>
          <t>3T</t>
        </is>
      </c>
      <c r="G105" s="102" t="inlineStr">
        <is>
          <t>Jamara</t>
        </is>
      </c>
      <c r="H105" s="103" t="inlineStr">
        <is>
          <t>Lagos</t>
        </is>
      </c>
      <c r="I105" s="58" t="inlineStr">
        <is>
          <t>Sango-Ota</t>
        </is>
      </c>
      <c r="J105" s="58" t="inlineStr">
        <is>
          <t>Ogun</t>
        </is>
      </c>
      <c r="K105" s="196" t="n">
        <v>28.4</v>
      </c>
      <c r="L105" s="194" t="n">
        <v>56.8</v>
      </c>
      <c r="M105" s="194" t="n">
        <v>88</v>
      </c>
      <c r="N105" s="194" t="n">
        <v>1363.2</v>
      </c>
      <c r="O105" s="198" t="n">
        <v>88979.54286905425</v>
      </c>
    </row>
    <row r="106">
      <c r="A106" s="96" t="inlineStr">
        <is>
          <t>YEKENE</t>
        </is>
      </c>
      <c r="B106" s="49">
        <f>CONCATENATE(E106,"-",F106,"-",D106)</f>
        <v/>
      </c>
      <c r="C106" s="25">
        <f>CONCATENATE(G106,"-",F106,"-",D106)</f>
        <v/>
      </c>
      <c r="D106" s="94" t="inlineStr">
        <is>
          <t>16CBM</t>
        </is>
      </c>
      <c r="E106" s="50" t="inlineStr">
        <is>
          <t>CANTER</t>
        </is>
      </c>
      <c r="F106" s="176" t="inlineStr">
        <is>
          <t>3T</t>
        </is>
      </c>
      <c r="G106" s="102" t="inlineStr">
        <is>
          <t>Jamara</t>
        </is>
      </c>
      <c r="H106" s="103" t="inlineStr">
        <is>
          <t>Lagos</t>
        </is>
      </c>
      <c r="I106" s="58" t="inlineStr">
        <is>
          <t>Abeokuta</t>
        </is>
      </c>
      <c r="J106" s="58" t="inlineStr">
        <is>
          <t>Ogun</t>
        </is>
      </c>
      <c r="K106" s="196" t="n">
        <v>99.5</v>
      </c>
      <c r="L106" s="194" t="n">
        <v>199</v>
      </c>
      <c r="M106" s="197" t="n">
        <v>161</v>
      </c>
      <c r="N106" s="194" t="n">
        <v>4776</v>
      </c>
      <c r="O106" s="198" t="n">
        <v>88979.54286905425</v>
      </c>
    </row>
    <row r="107">
      <c r="A107" s="96" t="inlineStr">
        <is>
          <t>YEKENE</t>
        </is>
      </c>
      <c r="B107" s="49">
        <f>CONCATENATE(E107,"-",F107,"-",D107)</f>
        <v/>
      </c>
      <c r="C107" s="25">
        <f>CONCATENATE(G107,"-",F107,"-",D107)</f>
        <v/>
      </c>
      <c r="D107" s="94" t="inlineStr">
        <is>
          <t>16CBM</t>
        </is>
      </c>
      <c r="E107" s="50" t="inlineStr">
        <is>
          <t>CANTER</t>
        </is>
      </c>
      <c r="F107" s="176" t="inlineStr">
        <is>
          <t>3T</t>
        </is>
      </c>
      <c r="G107" s="102" t="inlineStr">
        <is>
          <t>Jamara</t>
        </is>
      </c>
      <c r="H107" s="103" t="inlineStr">
        <is>
          <t>Lagos</t>
        </is>
      </c>
      <c r="I107" s="58" t="inlineStr">
        <is>
          <t>Ijebu-Ode</t>
        </is>
      </c>
      <c r="J107" s="58" t="inlineStr">
        <is>
          <t>Ogun</t>
        </is>
      </c>
      <c r="K107" s="196" t="n">
        <v>100</v>
      </c>
      <c r="L107" s="194" t="n">
        <v>200</v>
      </c>
      <c r="M107" s="197" t="n">
        <v>162</v>
      </c>
      <c r="N107" s="194" t="n">
        <v>4800</v>
      </c>
      <c r="O107" s="198" t="n">
        <v>88979.54286905425</v>
      </c>
    </row>
    <row r="108">
      <c r="A108" s="96" t="inlineStr">
        <is>
          <t>YEKENE</t>
        </is>
      </c>
      <c r="B108" s="49">
        <f>CONCATENATE(E108,"-",F108,"-",D108)</f>
        <v/>
      </c>
      <c r="C108" s="25">
        <f>CONCATENATE(G108,"-",F108,"-",D108)</f>
        <v/>
      </c>
      <c r="D108" s="94" t="inlineStr">
        <is>
          <t>16CBM</t>
        </is>
      </c>
      <c r="E108" s="50" t="inlineStr">
        <is>
          <t>CANTER</t>
        </is>
      </c>
      <c r="F108" s="176" t="inlineStr">
        <is>
          <t>3T</t>
        </is>
      </c>
      <c r="G108" s="102" t="inlineStr">
        <is>
          <t>Jamara</t>
        </is>
      </c>
      <c r="H108" s="103" t="inlineStr">
        <is>
          <t>Lagos</t>
        </is>
      </c>
      <c r="I108" s="58" t="inlineStr">
        <is>
          <t>Sagamu</t>
        </is>
      </c>
      <c r="J108" s="58" t="inlineStr">
        <is>
          <t>Ogun</t>
        </is>
      </c>
      <c r="K108" s="196" t="n">
        <v>100</v>
      </c>
      <c r="L108" s="194" t="n">
        <v>200</v>
      </c>
      <c r="M108" s="197" t="n">
        <v>162</v>
      </c>
      <c r="N108" s="194" t="n">
        <v>4800</v>
      </c>
      <c r="O108" s="198" t="n">
        <v>88979.54286905425</v>
      </c>
    </row>
    <row r="109">
      <c r="A109" s="96" t="inlineStr">
        <is>
          <t>YEKENE</t>
        </is>
      </c>
      <c r="B109" s="49">
        <f>CONCATENATE(E109,"-",F109,"-",D109)</f>
        <v/>
      </c>
      <c r="C109" s="25">
        <f>CONCATENATE(G109,"-",F109,"-",D109)</f>
        <v/>
      </c>
      <c r="D109" s="94" t="inlineStr">
        <is>
          <t>16CBM</t>
        </is>
      </c>
      <c r="E109" s="50" t="inlineStr">
        <is>
          <t>CANTER</t>
        </is>
      </c>
      <c r="F109" s="176" t="inlineStr">
        <is>
          <t>3T</t>
        </is>
      </c>
      <c r="G109" s="102" t="inlineStr">
        <is>
          <t>Jamara</t>
        </is>
      </c>
      <c r="H109" s="103" t="inlineStr">
        <is>
          <t>Lagos</t>
        </is>
      </c>
      <c r="I109" s="61" t="inlineStr">
        <is>
          <t>Ibadan</t>
        </is>
      </c>
      <c r="J109" s="61" t="inlineStr">
        <is>
          <t>Oyo</t>
        </is>
      </c>
      <c r="K109" s="196" t="n">
        <v>120.5</v>
      </c>
      <c r="L109" s="194" t="n">
        <v>241</v>
      </c>
      <c r="M109" s="197" t="n">
        <v>182</v>
      </c>
      <c r="N109" s="194" t="n">
        <v>5784</v>
      </c>
      <c r="O109" s="198" t="n">
        <v>88979.54286905425</v>
      </c>
    </row>
    <row r="110">
      <c r="A110" s="96" t="inlineStr">
        <is>
          <t>YEKENE</t>
        </is>
      </c>
      <c r="B110" s="49">
        <f>CONCATENATE(E110,"-",F110,"-",D110)</f>
        <v/>
      </c>
      <c r="C110" s="25">
        <f>CONCATENATE(G110,"-",F110,"-",D110)</f>
        <v/>
      </c>
      <c r="D110" s="94" t="inlineStr">
        <is>
          <t>16CBM</t>
        </is>
      </c>
      <c r="E110" s="50" t="inlineStr">
        <is>
          <t>CANTER</t>
        </is>
      </c>
      <c r="F110" s="176" t="inlineStr">
        <is>
          <t>3T</t>
        </is>
      </c>
      <c r="G110" s="102" t="inlineStr">
        <is>
          <t>Jamara</t>
        </is>
      </c>
      <c r="H110" s="103" t="inlineStr">
        <is>
          <t>Lagos</t>
        </is>
      </c>
      <c r="I110" s="61" t="inlineStr">
        <is>
          <t>Ado-Ekiti</t>
        </is>
      </c>
      <c r="J110" s="61" t="inlineStr">
        <is>
          <t>Ekiti</t>
        </is>
      </c>
      <c r="K110" s="196" t="n">
        <v>353</v>
      </c>
      <c r="L110" s="194" t="n">
        <v>706</v>
      </c>
      <c r="M110" s="197" t="n">
        <v>420</v>
      </c>
      <c r="N110" s="194" t="n">
        <v>16944</v>
      </c>
      <c r="O110" s="198" t="n">
        <v>237278.7809841447</v>
      </c>
    </row>
    <row r="111">
      <c r="A111" s="96" t="inlineStr">
        <is>
          <t>YEKENE</t>
        </is>
      </c>
      <c r="B111" s="49">
        <f>CONCATENATE(E111,"-",F111,"-",D111)</f>
        <v/>
      </c>
      <c r="C111" s="25">
        <f>CONCATENATE(G111,"-",F111,"-",D111)</f>
        <v/>
      </c>
      <c r="D111" s="94" t="inlineStr">
        <is>
          <t>16CBM</t>
        </is>
      </c>
      <c r="E111" s="50" t="inlineStr">
        <is>
          <t>CANTER</t>
        </is>
      </c>
      <c r="F111" s="176" t="inlineStr">
        <is>
          <t>3T</t>
        </is>
      </c>
      <c r="G111" s="102" t="inlineStr">
        <is>
          <t>Jamara</t>
        </is>
      </c>
      <c r="H111" s="103" t="inlineStr">
        <is>
          <t>Lagos</t>
        </is>
      </c>
      <c r="I111" s="58" t="inlineStr">
        <is>
          <t>Akure</t>
        </is>
      </c>
      <c r="J111" s="58" t="inlineStr">
        <is>
          <t>Ondo</t>
        </is>
      </c>
      <c r="K111" s="196" t="n">
        <v>304</v>
      </c>
      <c r="L111" s="194" t="n">
        <v>608</v>
      </c>
      <c r="M111" s="197" t="n">
        <v>370</v>
      </c>
      <c r="N111" s="194" t="n">
        <v>14592</v>
      </c>
      <c r="O111" s="198" t="n">
        <v>237278.7809841447</v>
      </c>
    </row>
    <row r="112">
      <c r="A112" s="96" t="inlineStr">
        <is>
          <t>YEKENE</t>
        </is>
      </c>
      <c r="B112" s="49">
        <f>CONCATENATE(E112,"-",F112,"-",D112)</f>
        <v/>
      </c>
      <c r="C112" s="25">
        <f>CONCATENATE(G112,"-",F112,"-",D112)</f>
        <v/>
      </c>
      <c r="D112" s="94" t="inlineStr">
        <is>
          <t>16CBM</t>
        </is>
      </c>
      <c r="E112" s="50" t="inlineStr">
        <is>
          <t>CANTER</t>
        </is>
      </c>
      <c r="F112" s="176" t="inlineStr">
        <is>
          <t>3T</t>
        </is>
      </c>
      <c r="G112" s="102" t="inlineStr">
        <is>
          <t>Jamara</t>
        </is>
      </c>
      <c r="H112" s="103" t="inlineStr">
        <is>
          <t>Lagos</t>
        </is>
      </c>
      <c r="I112" s="61" t="inlineStr">
        <is>
          <t>Ilorin</t>
        </is>
      </c>
      <c r="J112" s="61" t="inlineStr">
        <is>
          <t>Kwara</t>
        </is>
      </c>
      <c r="K112" s="196" t="n">
        <v>297.5</v>
      </c>
      <c r="L112" s="194" t="n">
        <v>595</v>
      </c>
      <c r="M112" s="197" t="n">
        <v>363</v>
      </c>
      <c r="N112" s="194" t="n">
        <v>14280</v>
      </c>
      <c r="O112" s="198" t="n">
        <v>163129.1619265995</v>
      </c>
    </row>
    <row r="113">
      <c r="A113" s="96" t="inlineStr">
        <is>
          <t>YEKENE</t>
        </is>
      </c>
      <c r="B113" s="49">
        <f>CONCATENATE(E113,"-",F113,"-",D113)</f>
        <v/>
      </c>
      <c r="C113" s="25">
        <f>CONCATENATE(G113,"-",F113,"-",D113)</f>
        <v/>
      </c>
      <c r="D113" s="94" t="inlineStr">
        <is>
          <t>16CBM</t>
        </is>
      </c>
      <c r="E113" s="50" t="inlineStr">
        <is>
          <t>CANTER</t>
        </is>
      </c>
      <c r="F113" s="176" t="inlineStr">
        <is>
          <t>3T</t>
        </is>
      </c>
      <c r="G113" s="102" t="inlineStr">
        <is>
          <t>Jamara</t>
        </is>
      </c>
      <c r="H113" s="103" t="inlineStr">
        <is>
          <t>Lagos</t>
        </is>
      </c>
      <c r="I113" s="62" t="inlineStr">
        <is>
          <t>Abuja (Direct)</t>
        </is>
      </c>
      <c r="J113" s="62" t="inlineStr">
        <is>
          <t>FCT</t>
        </is>
      </c>
      <c r="K113" s="196" t="n">
        <v>755</v>
      </c>
      <c r="L113" s="194" t="n">
        <v>1510</v>
      </c>
      <c r="M113" s="197" t="n">
        <v>770</v>
      </c>
      <c r="N113" s="194" t="n">
        <v>36240</v>
      </c>
      <c r="O113" s="198" t="n">
        <v>444897.7143452713</v>
      </c>
    </row>
    <row r="114">
      <c r="A114" s="23" t="inlineStr">
        <is>
          <t>ASINI/Yekeni</t>
        </is>
      </c>
      <c r="B114">
        <f>CONCATENATE(E114,"-",F114,"-",D114)</f>
        <v/>
      </c>
      <c r="C114" s="25">
        <f>CONCATENATE(G114,"-",F114,"-",D114)</f>
        <v/>
      </c>
      <c r="D114" s="23" t="inlineStr">
        <is>
          <t>Upcountry</t>
        </is>
      </c>
      <c r="E114" s="50" t="inlineStr">
        <is>
          <t>Hiabs Logistics</t>
        </is>
      </c>
      <c r="F114" s="74" t="inlineStr">
        <is>
          <t>10T</t>
        </is>
      </c>
      <c r="G114" s="114" t="inlineStr">
        <is>
          <t>JMG</t>
        </is>
      </c>
      <c r="H114" s="74" t="inlineStr">
        <is>
          <t>Port Harcourt</t>
        </is>
      </c>
      <c r="I114" s="115" t="inlineStr">
        <is>
          <t>Obudu Cattle Ranch</t>
        </is>
      </c>
      <c r="J114" s="115" t="inlineStr">
        <is>
          <t>Cross River</t>
        </is>
      </c>
      <c r="K114" s="199" t="n">
        <v>525.5</v>
      </c>
      <c r="L114" s="200" t="n">
        <v>1051</v>
      </c>
      <c r="M114" s="195" t="n">
        <v>596</v>
      </c>
      <c r="N114" s="194" t="n">
        <v>25224</v>
      </c>
      <c r="O114" s="198" t="n">
        <v>658010.9978703284</v>
      </c>
    </row>
    <row r="115">
      <c r="A115" s="23" t="inlineStr">
        <is>
          <t>ASINI/Yekeni</t>
        </is>
      </c>
      <c r="B115">
        <f>CONCATENATE(E115,"-",F115,"-",D115)</f>
        <v/>
      </c>
      <c r="C115" s="25">
        <f>CONCATENATE(G115,"-",F115,"-",D115)</f>
        <v/>
      </c>
      <c r="D115" s="23" t="inlineStr">
        <is>
          <t>Upcountry</t>
        </is>
      </c>
      <c r="E115" s="25" t="inlineStr">
        <is>
          <t>Hiabs Logistics</t>
        </is>
      </c>
      <c r="F115" s="74" t="inlineStr">
        <is>
          <t>10T</t>
        </is>
      </c>
      <c r="G115" s="73" t="inlineStr">
        <is>
          <t>JMG</t>
        </is>
      </c>
      <c r="H115" s="74" t="inlineStr">
        <is>
          <t>Port Harcourt</t>
        </is>
      </c>
      <c r="I115" s="115" t="inlineStr">
        <is>
          <t>Makurdi</t>
        </is>
      </c>
      <c r="J115" s="115" t="inlineStr">
        <is>
          <t>Benue</t>
        </is>
      </c>
      <c r="K115" s="199" t="n">
        <v>485.5</v>
      </c>
      <c r="L115" s="200" t="n">
        <v>971</v>
      </c>
      <c r="M115" s="198" t="n">
        <v>555</v>
      </c>
      <c r="N115" s="194" t="n">
        <v>23304</v>
      </c>
      <c r="O115" s="198" t="n">
        <v>658010.9978703284</v>
      </c>
    </row>
    <row r="116">
      <c r="A116" s="23" t="inlineStr">
        <is>
          <t>ASINI/Yekeni</t>
        </is>
      </c>
      <c r="B116">
        <f>CONCATENATE(E116,"-",F116,"-",D116)</f>
        <v/>
      </c>
      <c r="C116" s="25">
        <f>CONCATENATE(G116,"-",F116,"-",D116)</f>
        <v/>
      </c>
      <c r="D116" s="23" t="inlineStr">
        <is>
          <t>Upcountry</t>
        </is>
      </c>
      <c r="E116" s="25" t="inlineStr">
        <is>
          <t>Hiabs Logistics</t>
        </is>
      </c>
      <c r="F116" s="74" t="inlineStr">
        <is>
          <t>10T</t>
        </is>
      </c>
      <c r="G116" s="73" t="inlineStr">
        <is>
          <t>JMG</t>
        </is>
      </c>
      <c r="H116" s="74" t="inlineStr">
        <is>
          <t>Port Harcourt</t>
        </is>
      </c>
      <c r="I116" s="115" t="inlineStr">
        <is>
          <t>Kpoko</t>
        </is>
      </c>
      <c r="J116" s="115" t="inlineStr">
        <is>
          <t>Benue</t>
        </is>
      </c>
      <c r="K116" s="199" t="n">
        <v>485.5</v>
      </c>
      <c r="L116" s="200" t="n">
        <v>971</v>
      </c>
      <c r="M116" s="198" t="n">
        <v>555</v>
      </c>
      <c r="N116" s="194" t="n">
        <v>23304</v>
      </c>
      <c r="O116" s="198" t="n">
        <v>658010.9978703284</v>
      </c>
    </row>
    <row r="117">
      <c r="A117" s="23" t="inlineStr">
        <is>
          <t>ASINI/Yekeni</t>
        </is>
      </c>
      <c r="B117">
        <f>CONCATENATE(E117,"-",F117,"-",D117)</f>
        <v/>
      </c>
      <c r="C117" s="25">
        <f>CONCATENATE(G117,"-",F117,"-",D117)</f>
        <v/>
      </c>
      <c r="D117" s="23" t="inlineStr">
        <is>
          <t>Upcountry</t>
        </is>
      </c>
      <c r="E117" s="25" t="inlineStr">
        <is>
          <t>Hiabs Logistics</t>
        </is>
      </c>
      <c r="F117" s="74" t="inlineStr">
        <is>
          <t>10T</t>
        </is>
      </c>
      <c r="G117" s="73" t="inlineStr">
        <is>
          <t>JMG</t>
        </is>
      </c>
      <c r="H117" s="74" t="inlineStr">
        <is>
          <t>Port Harcourt</t>
        </is>
      </c>
      <c r="I117" s="115" t="inlineStr">
        <is>
          <t>Ogoja</t>
        </is>
      </c>
      <c r="J117" s="115" t="inlineStr">
        <is>
          <t>Cross River</t>
        </is>
      </c>
      <c r="K117" s="199" t="n">
        <v>405</v>
      </c>
      <c r="L117" s="200" t="n">
        <v>810</v>
      </c>
      <c r="M117" s="198" t="n">
        <v>473</v>
      </c>
      <c r="N117" s="194" t="n">
        <v>19440</v>
      </c>
      <c r="O117" s="198" t="n">
        <v>526408.7982962627</v>
      </c>
    </row>
    <row r="118">
      <c r="A118" s="23" t="inlineStr">
        <is>
          <t>ASINI/Yekeni</t>
        </is>
      </c>
      <c r="B118">
        <f>CONCATENATE(E118,"-",F118,"-",D118)</f>
        <v/>
      </c>
      <c r="C118" s="25">
        <f>CONCATENATE(G118,"-",F118,"-",D118)</f>
        <v/>
      </c>
      <c r="D118" s="23" t="inlineStr">
        <is>
          <t>Upcountry</t>
        </is>
      </c>
      <c r="E118" s="25" t="inlineStr">
        <is>
          <t>Hiabs Logistics</t>
        </is>
      </c>
      <c r="F118" s="74" t="inlineStr">
        <is>
          <t>10T</t>
        </is>
      </c>
      <c r="G118" s="73" t="inlineStr">
        <is>
          <t>JMG</t>
        </is>
      </c>
      <c r="H118" s="74" t="inlineStr">
        <is>
          <t>Port Harcourt</t>
        </is>
      </c>
      <c r="I118" s="115" t="inlineStr">
        <is>
          <t>Otukpo</t>
        </is>
      </c>
      <c r="J118" s="115" t="inlineStr">
        <is>
          <t>Benue</t>
        </is>
      </c>
      <c r="K118" s="199" t="n">
        <v>384</v>
      </c>
      <c r="L118" s="200" t="n">
        <v>768</v>
      </c>
      <c r="M118" s="198" t="n">
        <v>451</v>
      </c>
      <c r="N118" s="194" t="n">
        <v>18432</v>
      </c>
      <c r="O118" s="198" t="n">
        <v>526408.7982962627</v>
      </c>
    </row>
    <row r="119">
      <c r="A119" s="23" t="inlineStr">
        <is>
          <t>ASINI/Yekeni</t>
        </is>
      </c>
      <c r="B119">
        <f>CONCATENATE(E119,"-",F119,"-",D119)</f>
        <v/>
      </c>
      <c r="C119" s="25">
        <f>CONCATENATE(G119,"-",F119,"-",D119)</f>
        <v/>
      </c>
      <c r="D119" s="23" t="inlineStr">
        <is>
          <t>Upcountry</t>
        </is>
      </c>
      <c r="E119" s="25" t="inlineStr">
        <is>
          <t>Hiabs Logistics</t>
        </is>
      </c>
      <c r="F119" s="74" t="inlineStr">
        <is>
          <t>10T</t>
        </is>
      </c>
      <c r="G119" s="73" t="inlineStr">
        <is>
          <t>JMG</t>
        </is>
      </c>
      <c r="H119" s="74" t="inlineStr">
        <is>
          <t>Port Harcourt</t>
        </is>
      </c>
      <c r="I119" s="115" t="inlineStr">
        <is>
          <t>Ikom</t>
        </is>
      </c>
      <c r="J119" s="115" t="inlineStr">
        <is>
          <t>Cross River</t>
        </is>
      </c>
      <c r="K119" s="199" t="n">
        <v>358</v>
      </c>
      <c r="L119" s="200" t="n">
        <v>716</v>
      </c>
      <c r="M119" s="198" t="n">
        <v>425</v>
      </c>
      <c r="N119" s="194" t="n">
        <v>17184</v>
      </c>
      <c r="O119" s="198" t="n">
        <v>658010.9978703284</v>
      </c>
    </row>
    <row r="120">
      <c r="A120" s="23" t="inlineStr">
        <is>
          <t>ASINI/Yekeni</t>
        </is>
      </c>
      <c r="B120">
        <f>CONCATENATE(E120,"-",F120,"-",D120)</f>
        <v/>
      </c>
      <c r="C120" s="25">
        <f>CONCATENATE(G120,"-",F120,"-",D120)</f>
        <v/>
      </c>
      <c r="D120" s="23" t="inlineStr">
        <is>
          <t>Upcountry</t>
        </is>
      </c>
      <c r="E120" s="25" t="inlineStr">
        <is>
          <t>Hiabs Logistics</t>
        </is>
      </c>
      <c r="F120" s="74" t="inlineStr">
        <is>
          <t>10T</t>
        </is>
      </c>
      <c r="G120" s="73" t="inlineStr">
        <is>
          <t>JMG</t>
        </is>
      </c>
      <c r="H120" s="74" t="inlineStr">
        <is>
          <t>Port Harcourt</t>
        </is>
      </c>
      <c r="I120" s="115" t="inlineStr">
        <is>
          <t>Ekpoma</t>
        </is>
      </c>
      <c r="J120" s="115" t="inlineStr">
        <is>
          <t>Edo</t>
        </is>
      </c>
      <c r="K120" s="199" t="n">
        <v>359</v>
      </c>
      <c r="L120" s="200" t="n">
        <v>718</v>
      </c>
      <c r="M120" s="198" t="n">
        <v>426</v>
      </c>
      <c r="N120" s="194" t="n">
        <v>17232</v>
      </c>
      <c r="O120" s="198" t="n">
        <v>526408.7982962627</v>
      </c>
    </row>
    <row r="121">
      <c r="A121" s="23" t="inlineStr">
        <is>
          <t>ASINI/Yekeni</t>
        </is>
      </c>
      <c r="B121">
        <f>CONCATENATE(E121,"-",F121,"-",D121)</f>
        <v/>
      </c>
      <c r="C121" s="25">
        <f>CONCATENATE(G121,"-",F121,"-",D121)</f>
        <v/>
      </c>
      <c r="D121" s="23" t="inlineStr">
        <is>
          <t>Upcountry</t>
        </is>
      </c>
      <c r="E121" s="25" t="inlineStr">
        <is>
          <t>Hiabs Logistics</t>
        </is>
      </c>
      <c r="F121" s="74" t="inlineStr">
        <is>
          <t>10T</t>
        </is>
      </c>
      <c r="G121" s="73" t="inlineStr">
        <is>
          <t>JMG</t>
        </is>
      </c>
      <c r="H121" s="74" t="inlineStr">
        <is>
          <t>Port Harcourt</t>
        </is>
      </c>
      <c r="I121" s="115" t="inlineStr">
        <is>
          <t>Auchi</t>
        </is>
      </c>
      <c r="J121" s="115" t="inlineStr">
        <is>
          <t>Edo</t>
        </is>
      </c>
      <c r="K121" s="199" t="n">
        <v>335.5</v>
      </c>
      <c r="L121" s="200" t="n">
        <v>671</v>
      </c>
      <c r="M121" s="198" t="n">
        <v>402</v>
      </c>
      <c r="N121" s="194" t="n">
        <v>16104</v>
      </c>
      <c r="O121" s="198" t="n">
        <v>526408.7982962627</v>
      </c>
    </row>
    <row r="122">
      <c r="A122" s="23" t="inlineStr">
        <is>
          <t>ASINI/Yekeni</t>
        </is>
      </c>
      <c r="B122">
        <f>CONCATENATE(E122,"-",F122,"-",D122)</f>
        <v/>
      </c>
      <c r="C122" s="25">
        <f>CONCATENATE(G122,"-",F122,"-",D122)</f>
        <v/>
      </c>
      <c r="D122" s="23" t="inlineStr">
        <is>
          <t>Upcountry</t>
        </is>
      </c>
      <c r="E122" s="25" t="inlineStr">
        <is>
          <t>Hiabs Logistics</t>
        </is>
      </c>
      <c r="F122" s="74" t="inlineStr">
        <is>
          <t>10T</t>
        </is>
      </c>
      <c r="G122" s="73" t="inlineStr">
        <is>
          <t>JMG</t>
        </is>
      </c>
      <c r="H122" s="74" t="inlineStr">
        <is>
          <t>Port Harcourt</t>
        </is>
      </c>
      <c r="I122" s="115" t="inlineStr">
        <is>
          <t>Otukpa</t>
        </is>
      </c>
      <c r="J122" s="115" t="inlineStr">
        <is>
          <t>Benue</t>
        </is>
      </c>
      <c r="K122" s="199" t="n">
        <v>327</v>
      </c>
      <c r="L122" s="200" t="n">
        <v>654</v>
      </c>
      <c r="M122" s="198" t="n">
        <v>393</v>
      </c>
      <c r="N122" s="194" t="n">
        <v>15696</v>
      </c>
      <c r="O122" s="198" t="n">
        <v>526408.7982962627</v>
      </c>
    </row>
    <row r="123">
      <c r="A123" s="23" t="inlineStr">
        <is>
          <t>ASINI/Yekeni</t>
        </is>
      </c>
      <c r="B123">
        <f>CONCATENATE(E123,"-",F123,"-",D123)</f>
        <v/>
      </c>
      <c r="C123" s="25">
        <f>CONCATENATE(G123,"-",F123,"-",D123)</f>
        <v/>
      </c>
      <c r="D123" s="23" t="inlineStr">
        <is>
          <t>Upcountry</t>
        </is>
      </c>
      <c r="E123" s="25" t="inlineStr">
        <is>
          <t>Hiabs Logistics</t>
        </is>
      </c>
      <c r="F123" s="74" t="inlineStr">
        <is>
          <t>10T</t>
        </is>
      </c>
      <c r="G123" s="73" t="inlineStr">
        <is>
          <t>JMG</t>
        </is>
      </c>
      <c r="H123" s="74" t="inlineStr">
        <is>
          <t>Port Harcourt</t>
        </is>
      </c>
      <c r="I123" s="115" t="inlineStr">
        <is>
          <t>Nsukka</t>
        </is>
      </c>
      <c r="J123" s="115" t="inlineStr">
        <is>
          <t>Enugu</t>
        </is>
      </c>
      <c r="K123" s="199" t="n">
        <v>290.5</v>
      </c>
      <c r="L123" s="200" t="n">
        <v>581</v>
      </c>
      <c r="M123" s="198" t="n">
        <v>356</v>
      </c>
      <c r="N123" s="194" t="n">
        <v>13944</v>
      </c>
      <c r="O123" s="198" t="n">
        <v>394806.5987221971</v>
      </c>
    </row>
    <row r="124">
      <c r="A124" s="23" t="inlineStr">
        <is>
          <t>ASINI/Yekeni</t>
        </is>
      </c>
      <c r="B124">
        <f>CONCATENATE(E124,"-",F124,"-",D124)</f>
        <v/>
      </c>
      <c r="C124" s="25">
        <f>CONCATENATE(G124,"-",F124,"-",D124)</f>
        <v/>
      </c>
      <c r="D124" s="23" t="inlineStr">
        <is>
          <t>Upcountry</t>
        </is>
      </c>
      <c r="E124" s="25" t="inlineStr">
        <is>
          <t>Hiabs Logistics</t>
        </is>
      </c>
      <c r="F124" s="74" t="inlineStr">
        <is>
          <t>10T</t>
        </is>
      </c>
      <c r="G124" s="73" t="inlineStr">
        <is>
          <t>JMG</t>
        </is>
      </c>
      <c r="H124" s="74" t="inlineStr">
        <is>
          <t>Port Harcourt</t>
        </is>
      </c>
      <c r="I124" s="115" t="inlineStr">
        <is>
          <t>Benin City</t>
        </is>
      </c>
      <c r="J124" s="115" t="inlineStr">
        <is>
          <t>Edo</t>
        </is>
      </c>
      <c r="K124" s="199" t="n">
        <v>289</v>
      </c>
      <c r="L124" s="200" t="n">
        <v>578</v>
      </c>
      <c r="M124" s="198" t="n">
        <v>354</v>
      </c>
      <c r="N124" s="194" t="n">
        <v>13872</v>
      </c>
      <c r="O124" s="198" t="n">
        <v>394806.5987221971</v>
      </c>
    </row>
    <row r="125">
      <c r="A125" s="23" t="inlineStr">
        <is>
          <t>ASINI/Yekeni</t>
        </is>
      </c>
      <c r="B125">
        <f>CONCATENATE(E125,"-",F125,"-",D125)</f>
        <v/>
      </c>
      <c r="C125" s="25">
        <f>CONCATENATE(G125,"-",F125,"-",D125)</f>
        <v/>
      </c>
      <c r="D125" s="23" t="inlineStr">
        <is>
          <t>Upcountry</t>
        </is>
      </c>
      <c r="E125" s="25" t="inlineStr">
        <is>
          <t>Hiabs Logistics</t>
        </is>
      </c>
      <c r="F125" s="74" t="inlineStr">
        <is>
          <t>10T</t>
        </is>
      </c>
      <c r="G125" s="73" t="inlineStr">
        <is>
          <t>JMG</t>
        </is>
      </c>
      <c r="H125" s="74" t="inlineStr">
        <is>
          <t>Port Harcourt</t>
        </is>
      </c>
      <c r="I125" s="115" t="inlineStr">
        <is>
          <t>Uromi</t>
        </is>
      </c>
      <c r="J125" s="115" t="inlineStr">
        <is>
          <t>Edo</t>
        </is>
      </c>
      <c r="K125" s="199" t="n">
        <v>288</v>
      </c>
      <c r="L125" s="200" t="n">
        <v>576</v>
      </c>
      <c r="M125" s="198" t="n">
        <v>353</v>
      </c>
      <c r="N125" s="194" t="n">
        <v>13824</v>
      </c>
      <c r="O125" s="198" t="n">
        <v>394806.5987221971</v>
      </c>
    </row>
    <row r="126">
      <c r="A126" s="23" t="inlineStr">
        <is>
          <t>ASINI/Yekeni</t>
        </is>
      </c>
      <c r="B126">
        <f>CONCATENATE(E126,"-",F126,"-",D126)</f>
        <v/>
      </c>
      <c r="C126" s="25">
        <f>CONCATENATE(G126,"-",F126,"-",D126)</f>
        <v/>
      </c>
      <c r="D126" s="23" t="inlineStr">
        <is>
          <t>Upcountry</t>
        </is>
      </c>
      <c r="E126" s="25" t="inlineStr">
        <is>
          <t>Hiabs Logistics</t>
        </is>
      </c>
      <c r="F126" s="74" t="inlineStr">
        <is>
          <t>10T</t>
        </is>
      </c>
      <c r="G126" s="73" t="inlineStr">
        <is>
          <t>JMG</t>
        </is>
      </c>
      <c r="H126" s="74" t="inlineStr">
        <is>
          <t>Port Harcourt</t>
        </is>
      </c>
      <c r="I126" s="116" t="inlineStr">
        <is>
          <t>Ebonyi</t>
        </is>
      </c>
      <c r="J126" s="116" t="inlineStr">
        <is>
          <t>Ebonyi</t>
        </is>
      </c>
      <c r="K126" s="199" t="n">
        <v>279.5</v>
      </c>
      <c r="L126" s="200" t="n">
        <v>559</v>
      </c>
      <c r="M126" s="198" t="n">
        <v>345</v>
      </c>
      <c r="N126" s="194" t="n">
        <v>13416</v>
      </c>
      <c r="O126" s="198" t="n">
        <v>394806.5987221971</v>
      </c>
    </row>
    <row r="127">
      <c r="A127" s="23" t="inlineStr">
        <is>
          <t>ASINI/Yekeni</t>
        </is>
      </c>
      <c r="B127">
        <f>CONCATENATE(E127,"-",F127,"-",D127)</f>
        <v/>
      </c>
      <c r="C127" s="25">
        <f>CONCATENATE(G127,"-",F127,"-",D127)</f>
        <v/>
      </c>
      <c r="D127" s="23" t="inlineStr">
        <is>
          <t>Upcountry</t>
        </is>
      </c>
      <c r="E127" s="25" t="inlineStr">
        <is>
          <t>Hiabs Logistics</t>
        </is>
      </c>
      <c r="F127" s="74" t="inlineStr">
        <is>
          <t>10T</t>
        </is>
      </c>
      <c r="G127" s="73" t="inlineStr">
        <is>
          <t>JMG</t>
        </is>
      </c>
      <c r="H127" s="74" t="inlineStr">
        <is>
          <t>Port Harcourt</t>
        </is>
      </c>
      <c r="I127" s="115" t="inlineStr">
        <is>
          <t>Abakaliki</t>
        </is>
      </c>
      <c r="J127" s="115" t="inlineStr">
        <is>
          <t>Ebonyi</t>
        </is>
      </c>
      <c r="K127" s="199" t="n">
        <v>279.5</v>
      </c>
      <c r="L127" s="200" t="n">
        <v>559</v>
      </c>
      <c r="M127" s="198" t="n">
        <v>345</v>
      </c>
      <c r="N127" s="194" t="n">
        <v>13416</v>
      </c>
      <c r="O127" s="198" t="n">
        <v>394806.5987221971</v>
      </c>
    </row>
    <row r="128">
      <c r="A128" s="23" t="inlineStr">
        <is>
          <t>ASINI/Yekeni</t>
        </is>
      </c>
      <c r="B128">
        <f>CONCATENATE(E128,"-",F128,"-",D128)</f>
        <v/>
      </c>
      <c r="C128" s="25">
        <f>CONCATENATE(G128,"-",F128,"-",D128)</f>
        <v/>
      </c>
      <c r="D128" s="23" t="inlineStr">
        <is>
          <t>Upcountry</t>
        </is>
      </c>
      <c r="E128" s="25" t="inlineStr">
        <is>
          <t>Hiabs Logistics</t>
        </is>
      </c>
      <c r="F128" s="74" t="inlineStr">
        <is>
          <t>10T</t>
        </is>
      </c>
      <c r="G128" s="73" t="inlineStr">
        <is>
          <t>JMG</t>
        </is>
      </c>
      <c r="H128" s="74" t="inlineStr">
        <is>
          <t>Port Harcourt</t>
        </is>
      </c>
      <c r="I128" s="115" t="inlineStr">
        <is>
          <t>Agbor</t>
        </is>
      </c>
      <c r="J128" s="115" t="inlineStr">
        <is>
          <t>Delta</t>
        </is>
      </c>
      <c r="K128" s="199" t="n">
        <v>269</v>
      </c>
      <c r="L128" s="200" t="n">
        <v>538</v>
      </c>
      <c r="M128" s="198" t="n">
        <v>334</v>
      </c>
      <c r="N128" s="194" t="n">
        <v>12912</v>
      </c>
      <c r="O128" s="198" t="n">
        <v>394806.5987221971</v>
      </c>
    </row>
    <row r="129">
      <c r="A129" s="23" t="inlineStr">
        <is>
          <t>ASINI/Yekeni</t>
        </is>
      </c>
      <c r="B129">
        <f>CONCATENATE(E129,"-",F129,"-",D129)</f>
        <v/>
      </c>
      <c r="C129" s="25">
        <f>CONCATENATE(G129,"-",F129,"-",D129)</f>
        <v/>
      </c>
      <c r="D129" s="23" t="inlineStr">
        <is>
          <t>Upcountry</t>
        </is>
      </c>
      <c r="E129" s="25" t="inlineStr">
        <is>
          <t>Hiabs Logistics</t>
        </is>
      </c>
      <c r="F129" s="74" t="inlineStr">
        <is>
          <t>10T</t>
        </is>
      </c>
      <c r="G129" s="73" t="inlineStr">
        <is>
          <t>JMG</t>
        </is>
      </c>
      <c r="H129" s="74" t="inlineStr">
        <is>
          <t>Port Harcourt</t>
        </is>
      </c>
      <c r="I129" s="115" t="inlineStr">
        <is>
          <t>Akpabuyo</t>
        </is>
      </c>
      <c r="J129" s="115" t="inlineStr">
        <is>
          <t>Cross River</t>
        </is>
      </c>
      <c r="K129" s="199" t="n">
        <v>253</v>
      </c>
      <c r="L129" s="200" t="n">
        <v>506</v>
      </c>
      <c r="M129" s="198" t="n">
        <v>318</v>
      </c>
      <c r="N129" s="194" t="n">
        <v>12144</v>
      </c>
      <c r="O129" s="198" t="n">
        <v>394806.5987221971</v>
      </c>
    </row>
    <row r="130">
      <c r="A130" s="23" t="inlineStr">
        <is>
          <t>ASINI/Yekeni</t>
        </is>
      </c>
      <c r="B130">
        <f>CONCATENATE(E130,"-",F130,"-",D130)</f>
        <v/>
      </c>
      <c r="C130" s="25">
        <f>CONCATENATE(G130,"-",F130,"-",D130)</f>
        <v/>
      </c>
      <c r="D130" s="23" t="inlineStr">
        <is>
          <t>Upcountry</t>
        </is>
      </c>
      <c r="E130" s="25" t="inlineStr">
        <is>
          <t>Hiabs Logistics</t>
        </is>
      </c>
      <c r="F130" s="74" t="inlineStr">
        <is>
          <t>10T</t>
        </is>
      </c>
      <c r="G130" s="73" t="inlineStr">
        <is>
          <t>JMG</t>
        </is>
      </c>
      <c r="H130" s="74" t="inlineStr">
        <is>
          <t>Port Harcourt</t>
        </is>
      </c>
      <c r="I130" s="117" t="inlineStr">
        <is>
          <t>Enugu</t>
        </is>
      </c>
      <c r="J130" s="117" t="inlineStr">
        <is>
          <t>Enugu</t>
        </is>
      </c>
      <c r="K130" s="199" t="n">
        <v>249.5</v>
      </c>
      <c r="L130" s="200" t="n">
        <v>499</v>
      </c>
      <c r="M130" s="198" t="n">
        <v>314</v>
      </c>
      <c r="N130" s="194" t="n">
        <v>11976</v>
      </c>
      <c r="O130" s="198" t="n">
        <v>394806.5987221971</v>
      </c>
    </row>
    <row r="131">
      <c r="A131" s="23" t="inlineStr">
        <is>
          <t>ASINI/Yekeni</t>
        </is>
      </c>
      <c r="B131">
        <f>CONCATENATE(E131,"-",F131,"-",D131)</f>
        <v/>
      </c>
      <c r="C131" s="25">
        <f>CONCATENATE(G131,"-",F131,"-",D131)</f>
        <v/>
      </c>
      <c r="D131" s="23" t="inlineStr">
        <is>
          <t>Upcountry</t>
        </is>
      </c>
      <c r="E131" s="25" t="inlineStr">
        <is>
          <t>Hiabs Logistics</t>
        </is>
      </c>
      <c r="F131" s="74" t="inlineStr">
        <is>
          <t>10T</t>
        </is>
      </c>
      <c r="G131" s="73" t="inlineStr">
        <is>
          <t>JMG</t>
        </is>
      </c>
      <c r="H131" s="74" t="inlineStr">
        <is>
          <t>Port Harcourt</t>
        </is>
      </c>
      <c r="I131" s="115" t="inlineStr">
        <is>
          <t>Sapele</t>
        </is>
      </c>
      <c r="J131" s="115" t="inlineStr">
        <is>
          <t>Delta</t>
        </is>
      </c>
      <c r="K131" s="199" t="n">
        <v>233.5</v>
      </c>
      <c r="L131" s="200" t="n">
        <v>467</v>
      </c>
      <c r="M131" s="198" t="n">
        <v>298</v>
      </c>
      <c r="N131" s="194" t="n">
        <v>11208</v>
      </c>
      <c r="O131" s="198" t="n">
        <v>394806.5987221971</v>
      </c>
    </row>
    <row r="132">
      <c r="A132" s="23" t="inlineStr">
        <is>
          <t>ASINI/Yekeni</t>
        </is>
      </c>
      <c r="B132">
        <f>CONCATENATE(E132,"-",F132,"-",D132)</f>
        <v/>
      </c>
      <c r="C132" s="25">
        <f>CONCATENATE(G132,"-",F132,"-",D132)</f>
        <v/>
      </c>
      <c r="D132" s="23" t="inlineStr">
        <is>
          <t>Upcountry</t>
        </is>
      </c>
      <c r="E132" s="25" t="inlineStr">
        <is>
          <t>Hiabs Logistics</t>
        </is>
      </c>
      <c r="F132" s="74" t="inlineStr">
        <is>
          <t>10T</t>
        </is>
      </c>
      <c r="G132" s="73" t="inlineStr">
        <is>
          <t>JMG</t>
        </is>
      </c>
      <c r="H132" s="74" t="inlineStr">
        <is>
          <t>Port Harcourt</t>
        </is>
      </c>
      <c r="I132" s="117" t="inlineStr">
        <is>
          <t>Calabar</t>
        </is>
      </c>
      <c r="J132" s="117" t="inlineStr">
        <is>
          <t>Cross River</t>
        </is>
      </c>
      <c r="K132" s="199" t="n">
        <v>228</v>
      </c>
      <c r="L132" s="200" t="n">
        <v>456</v>
      </c>
      <c r="M132" s="198" t="n">
        <v>292</v>
      </c>
      <c r="N132" s="194" t="n">
        <v>10944</v>
      </c>
      <c r="O132" s="198" t="n">
        <v>394806.5987221971</v>
      </c>
    </row>
    <row r="133">
      <c r="A133" s="23" t="inlineStr">
        <is>
          <t>ASINI/Yekeni</t>
        </is>
      </c>
      <c r="B133">
        <f>CONCATENATE(E133,"-",F133,"-",D133)</f>
        <v/>
      </c>
      <c r="C133" s="25">
        <f>CONCATENATE(G133,"-",F133,"-",D133)</f>
        <v/>
      </c>
      <c r="D133" s="23" t="inlineStr">
        <is>
          <t>Upcountry</t>
        </is>
      </c>
      <c r="E133" s="25" t="inlineStr">
        <is>
          <t>Hiabs Logistics</t>
        </is>
      </c>
      <c r="F133" s="74" t="inlineStr">
        <is>
          <t>10T</t>
        </is>
      </c>
      <c r="G133" s="73" t="inlineStr">
        <is>
          <t>JMG</t>
        </is>
      </c>
      <c r="H133" s="74" t="inlineStr">
        <is>
          <t>Port Harcourt</t>
        </is>
      </c>
      <c r="I133" s="115" t="inlineStr">
        <is>
          <t>Kwale</t>
        </is>
      </c>
      <c r="J133" s="115" t="inlineStr">
        <is>
          <t>Delta</t>
        </is>
      </c>
      <c r="K133" s="199" t="n">
        <v>227</v>
      </c>
      <c r="L133" s="200" t="n">
        <v>454</v>
      </c>
      <c r="M133" s="198" t="n">
        <v>291</v>
      </c>
      <c r="N133" s="194" t="n">
        <v>10896</v>
      </c>
      <c r="O133" s="198" t="n">
        <v>394806.5987221971</v>
      </c>
    </row>
    <row r="134">
      <c r="A134" s="23" t="inlineStr">
        <is>
          <t>ASINI/Yekeni</t>
        </is>
      </c>
      <c r="B134">
        <f>CONCATENATE(E134,"-",F134,"-",D134)</f>
        <v/>
      </c>
      <c r="C134" s="25">
        <f>CONCATENATE(G134,"-",F134,"-",D134)</f>
        <v/>
      </c>
      <c r="D134" s="23" t="inlineStr">
        <is>
          <t>Upcountry</t>
        </is>
      </c>
      <c r="E134" s="25" t="inlineStr">
        <is>
          <t>Hiabs Logistics</t>
        </is>
      </c>
      <c r="F134" s="74" t="inlineStr">
        <is>
          <t>10T</t>
        </is>
      </c>
      <c r="G134" s="73" t="inlineStr">
        <is>
          <t>JMG</t>
        </is>
      </c>
      <c r="H134" s="74" t="inlineStr">
        <is>
          <t>Port Harcourt</t>
        </is>
      </c>
      <c r="I134" s="115" t="inlineStr">
        <is>
          <t>Anambra</t>
        </is>
      </c>
      <c r="J134" s="115" t="inlineStr">
        <is>
          <t>Anambra</t>
        </is>
      </c>
      <c r="K134" s="199" t="n">
        <v>224</v>
      </c>
      <c r="L134" s="200" t="n">
        <v>448</v>
      </c>
      <c r="M134" s="198" t="n">
        <v>288</v>
      </c>
      <c r="N134" s="194" t="n">
        <v>10752</v>
      </c>
      <c r="O134" s="198" t="n">
        <v>394806.5987221971</v>
      </c>
    </row>
    <row r="135">
      <c r="A135" s="23" t="inlineStr">
        <is>
          <t>ASINI/Yekeni</t>
        </is>
      </c>
      <c r="B135">
        <f>CONCATENATE(E135,"-",F135,"-",D135)</f>
        <v/>
      </c>
      <c r="C135" s="25">
        <f>CONCATENATE(G135,"-",F135,"-",D135)</f>
        <v/>
      </c>
      <c r="D135" s="23" t="inlineStr">
        <is>
          <t>Upcountry</t>
        </is>
      </c>
      <c r="E135" s="25" t="inlineStr">
        <is>
          <t>Hiabs Logistics</t>
        </is>
      </c>
      <c r="F135" s="74" t="inlineStr">
        <is>
          <t>10T</t>
        </is>
      </c>
      <c r="G135" s="73" t="inlineStr">
        <is>
          <t>JMG</t>
        </is>
      </c>
      <c r="H135" s="74" t="inlineStr">
        <is>
          <t>Port Harcourt</t>
        </is>
      </c>
      <c r="I135" s="115" t="inlineStr">
        <is>
          <t>Akamkpa</t>
        </is>
      </c>
      <c r="J135" s="115" t="inlineStr">
        <is>
          <t>Cross River</t>
        </is>
      </c>
      <c r="K135" s="199" t="n">
        <v>220</v>
      </c>
      <c r="L135" s="200" t="n">
        <v>440</v>
      </c>
      <c r="M135" s="198" t="n">
        <v>284</v>
      </c>
      <c r="N135" s="194" t="n">
        <v>10560</v>
      </c>
      <c r="O135" s="198" t="n">
        <v>394806.5987221971</v>
      </c>
    </row>
    <row r="136">
      <c r="A136" s="23" t="inlineStr">
        <is>
          <t>ASINI/Yekeni</t>
        </is>
      </c>
      <c r="B136">
        <f>CONCATENATE(E136,"-",F136,"-",D136)</f>
        <v/>
      </c>
      <c r="C136" s="25">
        <f>CONCATENATE(G136,"-",F136,"-",D136)</f>
        <v/>
      </c>
      <c r="D136" s="23" t="inlineStr">
        <is>
          <t>Upcountry</t>
        </is>
      </c>
      <c r="E136" s="25" t="inlineStr">
        <is>
          <t>Hiabs Logistics</t>
        </is>
      </c>
      <c r="F136" s="74" t="inlineStr">
        <is>
          <t>10T</t>
        </is>
      </c>
      <c r="G136" s="73" t="inlineStr">
        <is>
          <t>JMG</t>
        </is>
      </c>
      <c r="H136" s="74" t="inlineStr">
        <is>
          <t>Port Harcourt</t>
        </is>
      </c>
      <c r="I136" s="117" t="inlineStr">
        <is>
          <t>Awka</t>
        </is>
      </c>
      <c r="J136" s="117" t="inlineStr">
        <is>
          <t>Anambra</t>
        </is>
      </c>
      <c r="K136" s="199" t="n">
        <v>216</v>
      </c>
      <c r="L136" s="200" t="n">
        <v>432</v>
      </c>
      <c r="M136" s="198" t="n">
        <v>280</v>
      </c>
      <c r="N136" s="194" t="n">
        <v>10368</v>
      </c>
      <c r="O136" s="198" t="n">
        <v>394806.5987221971</v>
      </c>
    </row>
    <row r="137">
      <c r="A137" s="23" t="inlineStr">
        <is>
          <t>ASINI/Yekeni</t>
        </is>
      </c>
      <c r="B137">
        <f>CONCATENATE(E137,"-",F137,"-",D137)</f>
        <v/>
      </c>
      <c r="C137" s="25">
        <f>CONCATENATE(G137,"-",F137,"-",D137)</f>
        <v/>
      </c>
      <c r="D137" s="23" t="inlineStr">
        <is>
          <t>Upcountry</t>
        </is>
      </c>
      <c r="E137" s="25" t="inlineStr">
        <is>
          <t>Hiabs Logistics</t>
        </is>
      </c>
      <c r="F137" s="74" t="inlineStr">
        <is>
          <t>10T</t>
        </is>
      </c>
      <c r="G137" s="73" t="inlineStr">
        <is>
          <t>JMG</t>
        </is>
      </c>
      <c r="H137" s="74" t="inlineStr">
        <is>
          <t>Port Harcourt</t>
        </is>
      </c>
      <c r="I137" s="115" t="inlineStr">
        <is>
          <t>Odukpani</t>
        </is>
      </c>
      <c r="J137" s="115" t="inlineStr">
        <is>
          <t>Cross River</t>
        </is>
      </c>
      <c r="K137" s="199" t="n">
        <v>214</v>
      </c>
      <c r="L137" s="200" t="n">
        <v>428</v>
      </c>
      <c r="M137" s="198" t="n">
        <v>278</v>
      </c>
      <c r="N137" s="194" t="n">
        <v>10272</v>
      </c>
      <c r="O137" s="198" t="n">
        <v>394806.5987221971</v>
      </c>
    </row>
    <row r="138">
      <c r="A138" s="23" t="inlineStr">
        <is>
          <t>ASINI/Yekeni</t>
        </is>
      </c>
      <c r="B138">
        <f>CONCATENATE(E138,"-",F138,"-",D138)</f>
        <v/>
      </c>
      <c r="C138" s="25">
        <f>CONCATENATE(G138,"-",F138,"-",D138)</f>
        <v/>
      </c>
      <c r="D138" s="23" t="inlineStr">
        <is>
          <t>Upcountry</t>
        </is>
      </c>
      <c r="E138" s="25" t="inlineStr">
        <is>
          <t>Hiabs Logistics</t>
        </is>
      </c>
      <c r="F138" s="74" t="inlineStr">
        <is>
          <t>10T</t>
        </is>
      </c>
      <c r="G138" s="73" t="inlineStr">
        <is>
          <t>JMG</t>
        </is>
      </c>
      <c r="H138" s="74" t="inlineStr">
        <is>
          <t>Port Harcourt</t>
        </is>
      </c>
      <c r="I138" s="115" t="inlineStr">
        <is>
          <t>Abraka</t>
        </is>
      </c>
      <c r="J138" s="115" t="inlineStr">
        <is>
          <t>Delta</t>
        </is>
      </c>
      <c r="K138" s="199" t="n">
        <v>212.5</v>
      </c>
      <c r="L138" s="200" t="n">
        <v>425</v>
      </c>
      <c r="M138" s="198" t="n">
        <v>276</v>
      </c>
      <c r="N138" s="194" t="n">
        <v>10200</v>
      </c>
      <c r="O138" s="198" t="n">
        <v>394806.5987221971</v>
      </c>
    </row>
    <row r="139">
      <c r="A139" s="23" t="inlineStr">
        <is>
          <t>ASINI/Yekeni</t>
        </is>
      </c>
      <c r="B139">
        <f>CONCATENATE(E139,"-",F139,"-",D139)</f>
        <v/>
      </c>
      <c r="C139" s="25">
        <f>CONCATENATE(G139,"-",F139,"-",D139)</f>
        <v/>
      </c>
      <c r="D139" s="23" t="inlineStr">
        <is>
          <t>Upcountry</t>
        </is>
      </c>
      <c r="E139" s="25" t="inlineStr">
        <is>
          <t>Hiabs Logistics</t>
        </is>
      </c>
      <c r="F139" s="74" t="inlineStr">
        <is>
          <t>10T</t>
        </is>
      </c>
      <c r="G139" s="73" t="inlineStr">
        <is>
          <t>JMG</t>
        </is>
      </c>
      <c r="H139" s="74" t="inlineStr">
        <is>
          <t>Port Harcourt</t>
        </is>
      </c>
      <c r="I139" s="115" t="inlineStr">
        <is>
          <t>Oji River</t>
        </is>
      </c>
      <c r="J139" s="115" t="inlineStr">
        <is>
          <t>Enugu</t>
        </is>
      </c>
      <c r="K139" s="199" t="n">
        <v>208.5</v>
      </c>
      <c r="L139" s="200" t="n">
        <v>417</v>
      </c>
      <c r="M139" s="198" t="n">
        <v>272</v>
      </c>
      <c r="N139" s="194" t="n">
        <v>10008</v>
      </c>
      <c r="O139" s="198" t="n">
        <v>394806.5987221971</v>
      </c>
    </row>
    <row r="140">
      <c r="A140" s="23" t="inlineStr">
        <is>
          <t>ASINI/Yekeni</t>
        </is>
      </c>
      <c r="B140">
        <f>CONCATENATE(E140,"-",F140,"-",D140)</f>
        <v/>
      </c>
      <c r="C140" s="25">
        <f>CONCATENATE(G140,"-",F140,"-",D140)</f>
        <v/>
      </c>
      <c r="D140" s="23" t="inlineStr">
        <is>
          <t>Upcountry</t>
        </is>
      </c>
      <c r="E140" s="25" t="inlineStr">
        <is>
          <t>Hiabs Logistics</t>
        </is>
      </c>
      <c r="F140" s="74" t="inlineStr">
        <is>
          <t>10T</t>
        </is>
      </c>
      <c r="G140" s="73" t="inlineStr">
        <is>
          <t>JMG</t>
        </is>
      </c>
      <c r="H140" s="74" t="inlineStr">
        <is>
          <t>Port Harcourt</t>
        </is>
      </c>
      <c r="I140" s="116" t="inlineStr">
        <is>
          <t>Asaba</t>
        </is>
      </c>
      <c r="J140" s="116" t="inlineStr">
        <is>
          <t>Delta</t>
        </is>
      </c>
      <c r="K140" s="199" t="n">
        <v>205</v>
      </c>
      <c r="L140" s="200" t="n">
        <v>410</v>
      </c>
      <c r="M140" s="198" t="n">
        <v>269</v>
      </c>
      <c r="N140" s="194" t="n">
        <v>9840</v>
      </c>
      <c r="O140" s="198" t="n">
        <v>394806.5987221971</v>
      </c>
    </row>
    <row r="141">
      <c r="A141" s="23" t="inlineStr">
        <is>
          <t>ASINI/Yekeni</t>
        </is>
      </c>
      <c r="B141">
        <f>CONCATENATE(E141,"-",F141,"-",D141)</f>
        <v/>
      </c>
      <c r="C141" s="25">
        <f>CONCATENATE(G141,"-",F141,"-",D141)</f>
        <v/>
      </c>
      <c r="D141" s="23" t="inlineStr">
        <is>
          <t>Upcountry</t>
        </is>
      </c>
      <c r="E141" s="25" t="inlineStr">
        <is>
          <t>Hiabs Logistics</t>
        </is>
      </c>
      <c r="F141" s="74" t="inlineStr">
        <is>
          <t>10T</t>
        </is>
      </c>
      <c r="G141" s="73" t="inlineStr">
        <is>
          <t>JMG</t>
        </is>
      </c>
      <c r="H141" s="74" t="inlineStr">
        <is>
          <t>Port Harcourt</t>
        </is>
      </c>
      <c r="I141" s="115" t="inlineStr">
        <is>
          <t>Warri</t>
        </is>
      </c>
      <c r="J141" s="115" t="inlineStr">
        <is>
          <t>Delta</t>
        </is>
      </c>
      <c r="K141" s="199" t="n">
        <v>197</v>
      </c>
      <c r="L141" s="200" t="n">
        <v>394</v>
      </c>
      <c r="M141" s="198" t="n">
        <v>260</v>
      </c>
      <c r="N141" s="194" t="n">
        <v>9456</v>
      </c>
      <c r="O141" s="198" t="n">
        <v>394806.5987221971</v>
      </c>
    </row>
    <row r="142">
      <c r="A142" s="23" t="inlineStr">
        <is>
          <t>ASINI/Yekeni</t>
        </is>
      </c>
      <c r="B142">
        <f>CONCATENATE(E142,"-",F142,"-",D142)</f>
        <v/>
      </c>
      <c r="C142" s="25">
        <f>CONCATENATE(G142,"-",F142,"-",D142)</f>
        <v/>
      </c>
      <c r="D142" s="23" t="inlineStr">
        <is>
          <t>Upcountry</t>
        </is>
      </c>
      <c r="E142" s="25" t="inlineStr">
        <is>
          <t>Hiabs Logistics</t>
        </is>
      </c>
      <c r="F142" s="74" t="inlineStr">
        <is>
          <t>10T</t>
        </is>
      </c>
      <c r="G142" s="73" t="inlineStr">
        <is>
          <t>JMG</t>
        </is>
      </c>
      <c r="H142" s="74" t="inlineStr">
        <is>
          <t>Port Harcourt</t>
        </is>
      </c>
      <c r="I142" s="115" t="inlineStr">
        <is>
          <t>Arochukwu</t>
        </is>
      </c>
      <c r="J142" s="115" t="inlineStr">
        <is>
          <t>Abia</t>
        </is>
      </c>
      <c r="K142" s="199" t="n">
        <v>189</v>
      </c>
      <c r="L142" s="200" t="n">
        <v>378</v>
      </c>
      <c r="M142" s="198" t="n">
        <v>252</v>
      </c>
      <c r="N142" s="194" t="n">
        <v>9072</v>
      </c>
      <c r="O142" s="198" t="n">
        <v>394806.5987221971</v>
      </c>
    </row>
    <row r="143">
      <c r="A143" s="23" t="inlineStr">
        <is>
          <t>ASINI/Yekeni</t>
        </is>
      </c>
      <c r="B143">
        <f>CONCATENATE(E143,"-",F143,"-",D143)</f>
        <v/>
      </c>
      <c r="C143" s="25">
        <f>CONCATENATE(G143,"-",F143,"-",D143)</f>
        <v/>
      </c>
      <c r="D143" s="23" t="inlineStr">
        <is>
          <t>Upcountry</t>
        </is>
      </c>
      <c r="E143" s="25" t="inlineStr">
        <is>
          <t>Hiabs Logistics</t>
        </is>
      </c>
      <c r="F143" s="74" t="inlineStr">
        <is>
          <t>10T</t>
        </is>
      </c>
      <c r="G143" s="73" t="inlineStr">
        <is>
          <t>JMG</t>
        </is>
      </c>
      <c r="H143" s="74" t="inlineStr">
        <is>
          <t>Port Harcourt</t>
        </is>
      </c>
      <c r="I143" s="116" t="inlineStr">
        <is>
          <t>Onitsha</t>
        </is>
      </c>
      <c r="J143" s="116" t="inlineStr">
        <is>
          <t>Anambra</t>
        </is>
      </c>
      <c r="K143" s="199" t="n">
        <v>188.5</v>
      </c>
      <c r="L143" s="200" t="n">
        <v>377</v>
      </c>
      <c r="M143" s="198" t="n">
        <v>252</v>
      </c>
      <c r="N143" s="194" t="n">
        <v>9048</v>
      </c>
      <c r="O143" s="198" t="n">
        <v>394806.5987221971</v>
      </c>
    </row>
    <row r="144">
      <c r="A144" s="23" t="inlineStr">
        <is>
          <t>ASINI/Yekeni</t>
        </is>
      </c>
      <c r="B144">
        <f>CONCATENATE(E144,"-",F144,"-",D144)</f>
        <v/>
      </c>
      <c r="C144" s="25">
        <f>CONCATENATE(G144,"-",F144,"-",D144)</f>
        <v/>
      </c>
      <c r="D144" s="23" t="inlineStr">
        <is>
          <t>Upcountry</t>
        </is>
      </c>
      <c r="E144" s="25" t="inlineStr">
        <is>
          <t>Hiabs Logistics</t>
        </is>
      </c>
      <c r="F144" s="74" t="inlineStr">
        <is>
          <t>10T</t>
        </is>
      </c>
      <c r="G144" s="73" t="inlineStr">
        <is>
          <t>JMG</t>
        </is>
      </c>
      <c r="H144" s="74" t="inlineStr">
        <is>
          <t>Port Harcourt</t>
        </is>
      </c>
      <c r="I144" s="115" t="inlineStr">
        <is>
          <t>Nnewi</t>
        </is>
      </c>
      <c r="J144" s="115" t="inlineStr">
        <is>
          <t>Anambra</t>
        </is>
      </c>
      <c r="K144" s="199" t="n">
        <v>179</v>
      </c>
      <c r="L144" s="200" t="n">
        <v>358</v>
      </c>
      <c r="M144" s="198" t="n">
        <v>242</v>
      </c>
      <c r="N144" s="194" t="n">
        <v>8592</v>
      </c>
      <c r="O144" s="198" t="n">
        <v>394806.5987221971</v>
      </c>
    </row>
    <row r="145">
      <c r="A145" s="23" t="inlineStr">
        <is>
          <t>ASINI/Yekeni</t>
        </is>
      </c>
      <c r="B145">
        <f>CONCATENATE(E145,"-",F145,"-",D145)</f>
        <v/>
      </c>
      <c r="C145" s="25">
        <f>CONCATENATE(G145,"-",F145,"-",D145)</f>
        <v/>
      </c>
      <c r="D145" s="23" t="inlineStr">
        <is>
          <t>Upcountry</t>
        </is>
      </c>
      <c r="E145" s="25" t="inlineStr">
        <is>
          <t>Hiabs Logistics</t>
        </is>
      </c>
      <c r="F145" s="74" t="inlineStr">
        <is>
          <t>10T</t>
        </is>
      </c>
      <c r="G145" s="73" t="inlineStr">
        <is>
          <t>JMG</t>
        </is>
      </c>
      <c r="H145" s="74" t="inlineStr">
        <is>
          <t>Port Harcourt</t>
        </is>
      </c>
      <c r="I145" s="115" t="inlineStr">
        <is>
          <t>Arondizuogu</t>
        </is>
      </c>
      <c r="J145" s="115" t="inlineStr">
        <is>
          <t>Imo</t>
        </is>
      </c>
      <c r="K145" s="199" t="n">
        <v>176</v>
      </c>
      <c r="L145" s="200" t="n">
        <v>352</v>
      </c>
      <c r="M145" s="198" t="n">
        <v>239</v>
      </c>
      <c r="N145" s="194" t="n">
        <v>8448</v>
      </c>
      <c r="O145" s="198" t="n">
        <v>394806.5987221971</v>
      </c>
    </row>
    <row r="146">
      <c r="A146" s="23" t="inlineStr">
        <is>
          <t>ASINI/Yekeni</t>
        </is>
      </c>
      <c r="B146">
        <f>CONCATENATE(E146,"-",F146,"-",D146)</f>
        <v/>
      </c>
      <c r="C146" s="25">
        <f>CONCATENATE(G146,"-",F146,"-",D146)</f>
        <v/>
      </c>
      <c r="D146" s="23" t="inlineStr">
        <is>
          <t>Upcountry</t>
        </is>
      </c>
      <c r="E146" s="25" t="inlineStr">
        <is>
          <t>Hiabs Logistics</t>
        </is>
      </c>
      <c r="F146" s="74" t="inlineStr">
        <is>
          <t>10T</t>
        </is>
      </c>
      <c r="G146" s="73" t="inlineStr">
        <is>
          <t>JMG</t>
        </is>
      </c>
      <c r="H146" s="74" t="inlineStr">
        <is>
          <t>Port Harcourt</t>
        </is>
      </c>
      <c r="I146" s="115" t="inlineStr">
        <is>
          <t>Ughelli</t>
        </is>
      </c>
      <c r="J146" s="115" t="inlineStr">
        <is>
          <t>Delta</t>
        </is>
      </c>
      <c r="K146" s="199" t="n">
        <v>169</v>
      </c>
      <c r="L146" s="200" t="n">
        <v>338</v>
      </c>
      <c r="M146" s="198" t="n">
        <v>232</v>
      </c>
      <c r="N146" s="194" t="n">
        <v>8112</v>
      </c>
      <c r="O146" s="198" t="n">
        <v>394806.5987221971</v>
      </c>
    </row>
    <row r="147">
      <c r="A147" s="23" t="inlineStr">
        <is>
          <t>ASINI/Yekeni</t>
        </is>
      </c>
      <c r="B147">
        <f>CONCATENATE(E147,"-",F147,"-",D147)</f>
        <v/>
      </c>
      <c r="C147" s="25">
        <f>CONCATENATE(G147,"-",F147,"-",D147)</f>
        <v/>
      </c>
      <c r="D147" s="23" t="inlineStr">
        <is>
          <t>Upcountry</t>
        </is>
      </c>
      <c r="E147" s="25" t="inlineStr">
        <is>
          <t>Hiabs Logistics</t>
        </is>
      </c>
      <c r="F147" s="74" t="inlineStr">
        <is>
          <t>10T</t>
        </is>
      </c>
      <c r="G147" s="73" t="inlineStr">
        <is>
          <t>JMG</t>
        </is>
      </c>
      <c r="H147" s="74" t="inlineStr">
        <is>
          <t>Port Harcourt</t>
        </is>
      </c>
      <c r="I147" s="115" t="inlineStr">
        <is>
          <t>Ohafia</t>
        </is>
      </c>
      <c r="J147" s="115" t="inlineStr">
        <is>
          <t>Abia</t>
        </is>
      </c>
      <c r="K147" s="199" t="n">
        <v>164.5</v>
      </c>
      <c r="L147" s="200" t="n">
        <v>329</v>
      </c>
      <c r="M147" s="198" t="n">
        <v>227</v>
      </c>
      <c r="N147" s="194" t="n">
        <v>7896</v>
      </c>
      <c r="O147" s="198" t="n">
        <v>394806.5987221971</v>
      </c>
    </row>
    <row r="148">
      <c r="A148" s="23" t="inlineStr">
        <is>
          <t>ASINI/Yekeni</t>
        </is>
      </c>
      <c r="B148">
        <f>CONCATENATE(E148,"-",F148,"-",D148)</f>
        <v/>
      </c>
      <c r="C148" s="25">
        <f>CONCATENATE(G148,"-",F148,"-",D148)</f>
        <v/>
      </c>
      <c r="D148" s="23" t="inlineStr">
        <is>
          <t>Upcountry</t>
        </is>
      </c>
      <c r="E148" s="25" t="inlineStr">
        <is>
          <t>Hiabs Logistics</t>
        </is>
      </c>
      <c r="F148" s="74" t="inlineStr">
        <is>
          <t>10T</t>
        </is>
      </c>
      <c r="G148" s="73" t="inlineStr">
        <is>
          <t>JMG</t>
        </is>
      </c>
      <c r="H148" s="74" t="inlineStr">
        <is>
          <t>Port Harcourt</t>
        </is>
      </c>
      <c r="I148" s="115" t="inlineStr">
        <is>
          <t>Mbo</t>
        </is>
      </c>
      <c r="J148" s="115" t="inlineStr">
        <is>
          <t>Akwa Ibom</t>
        </is>
      </c>
      <c r="K148" s="199" t="n">
        <v>163.5</v>
      </c>
      <c r="L148" s="200" t="n">
        <v>327</v>
      </c>
      <c r="M148" s="198" t="n">
        <v>226</v>
      </c>
      <c r="N148" s="194" t="n">
        <v>7848</v>
      </c>
      <c r="O148" s="198" t="n">
        <v>394806.5987221971</v>
      </c>
    </row>
    <row r="149">
      <c r="A149" s="23" t="inlineStr">
        <is>
          <t>ASINI/Yekeni</t>
        </is>
      </c>
      <c r="B149">
        <f>CONCATENATE(E149,"-",F149,"-",D149)</f>
        <v/>
      </c>
      <c r="C149" s="25">
        <f>CONCATENATE(G149,"-",F149,"-",D149)</f>
        <v/>
      </c>
      <c r="D149" s="23" t="inlineStr">
        <is>
          <t>Upcountry</t>
        </is>
      </c>
      <c r="E149" s="25" t="inlineStr">
        <is>
          <t>Hiabs Logistics</t>
        </is>
      </c>
      <c r="F149" s="74" t="inlineStr">
        <is>
          <t>10T</t>
        </is>
      </c>
      <c r="G149" s="73" t="inlineStr">
        <is>
          <t>JMG</t>
        </is>
      </c>
      <c r="H149" s="74" t="inlineStr">
        <is>
          <t>Port Harcourt</t>
        </is>
      </c>
      <c r="I149" s="115" t="inlineStr">
        <is>
          <t>Uturu</t>
        </is>
      </c>
      <c r="J149" s="115" t="inlineStr">
        <is>
          <t>Abia</t>
        </is>
      </c>
      <c r="K149" s="199" t="n">
        <v>159.5</v>
      </c>
      <c r="L149" s="200" t="n">
        <v>319</v>
      </c>
      <c r="M149" s="198" t="n">
        <v>222</v>
      </c>
      <c r="N149" s="194" t="n">
        <v>7656</v>
      </c>
      <c r="O149" s="198" t="n">
        <v>394806.5987221971</v>
      </c>
    </row>
    <row r="150">
      <c r="A150" s="23" t="inlineStr">
        <is>
          <t>ASINI/Yekeni</t>
        </is>
      </c>
      <c r="B150">
        <f>CONCATENATE(E150,"-",F150,"-",D150)</f>
        <v/>
      </c>
      <c r="C150" s="25">
        <f>CONCATENATE(G150,"-",F150,"-",D150)</f>
        <v/>
      </c>
      <c r="D150" s="23" t="inlineStr">
        <is>
          <t>Upcountry</t>
        </is>
      </c>
      <c r="E150" s="25" t="inlineStr">
        <is>
          <t>Hiabs Logistics</t>
        </is>
      </c>
      <c r="F150" s="74" t="inlineStr">
        <is>
          <t>10T</t>
        </is>
      </c>
      <c r="G150" s="73" t="inlineStr">
        <is>
          <t>JMG</t>
        </is>
      </c>
      <c r="H150" s="74" t="inlineStr">
        <is>
          <t>Port Harcourt</t>
        </is>
      </c>
      <c r="I150" s="115" t="inlineStr">
        <is>
          <t>Okobo</t>
        </is>
      </c>
      <c r="J150" s="115" t="inlineStr">
        <is>
          <t>Akwa Ibom</t>
        </is>
      </c>
      <c r="K150" s="199" t="n">
        <v>159.5</v>
      </c>
      <c r="L150" s="200" t="n">
        <v>319</v>
      </c>
      <c r="M150" s="198" t="n">
        <v>222</v>
      </c>
      <c r="N150" s="194" t="n">
        <v>7656</v>
      </c>
      <c r="O150" s="198" t="n">
        <v>394806.5987221971</v>
      </c>
    </row>
    <row r="151">
      <c r="A151" s="23" t="inlineStr">
        <is>
          <t>ASINI/Yekeni</t>
        </is>
      </c>
      <c r="B151">
        <f>CONCATENATE(E151,"-",F151,"-",D151)</f>
        <v/>
      </c>
      <c r="C151" s="25">
        <f>CONCATENATE(G151,"-",F151,"-",D151)</f>
        <v/>
      </c>
      <c r="D151" s="23" t="inlineStr">
        <is>
          <t>Upcountry</t>
        </is>
      </c>
      <c r="E151" s="25" t="inlineStr">
        <is>
          <t>Hiabs Logistics</t>
        </is>
      </c>
      <c r="F151" s="74" t="inlineStr">
        <is>
          <t>10T</t>
        </is>
      </c>
      <c r="G151" s="73" t="inlineStr">
        <is>
          <t>JMG</t>
        </is>
      </c>
      <c r="H151" s="74" t="inlineStr">
        <is>
          <t>Port Harcourt</t>
        </is>
      </c>
      <c r="I151" s="115" t="inlineStr">
        <is>
          <t>Oron</t>
        </is>
      </c>
      <c r="J151" s="115" t="inlineStr">
        <is>
          <t>Akwa Ibom</t>
        </is>
      </c>
      <c r="K151" s="199" t="n">
        <v>156.5</v>
      </c>
      <c r="L151" s="200" t="n">
        <v>313</v>
      </c>
      <c r="M151" s="198" t="n">
        <v>219</v>
      </c>
      <c r="N151" s="194" t="n">
        <v>7512</v>
      </c>
      <c r="O151" s="198" t="n">
        <v>394806.5987221971</v>
      </c>
    </row>
    <row r="152">
      <c r="A152" s="23" t="inlineStr">
        <is>
          <t>ASINI/Yekeni</t>
        </is>
      </c>
      <c r="B152">
        <f>CONCATENATE(E152,"-",F152,"-",D152)</f>
        <v/>
      </c>
      <c r="C152" s="25">
        <f>CONCATENATE(G152,"-",F152,"-",D152)</f>
        <v/>
      </c>
      <c r="D152" s="23" t="inlineStr">
        <is>
          <t>Upcountry</t>
        </is>
      </c>
      <c r="E152" s="25" t="inlineStr">
        <is>
          <t>Hiabs Logistics</t>
        </is>
      </c>
      <c r="F152" s="74" t="inlineStr">
        <is>
          <t>10T</t>
        </is>
      </c>
      <c r="G152" s="73" t="inlineStr">
        <is>
          <t>JMG</t>
        </is>
      </c>
      <c r="H152" s="74" t="inlineStr">
        <is>
          <t>Port Harcourt</t>
        </is>
      </c>
      <c r="I152" s="115" t="inlineStr">
        <is>
          <t>Oguta</t>
        </is>
      </c>
      <c r="J152" s="115" t="inlineStr">
        <is>
          <t>Imo</t>
        </is>
      </c>
      <c r="K152" s="199" t="n">
        <v>147.5</v>
      </c>
      <c r="L152" s="200" t="n">
        <v>295</v>
      </c>
      <c r="M152" s="198" t="n">
        <v>210</v>
      </c>
      <c r="N152" s="194" t="n">
        <v>7080</v>
      </c>
      <c r="O152" s="198" t="n">
        <v>263204.3991481314</v>
      </c>
    </row>
    <row r="153">
      <c r="A153" s="23" t="inlineStr">
        <is>
          <t>ASINI/Yekeni</t>
        </is>
      </c>
      <c r="B153">
        <f>CONCATENATE(E153,"-",F153,"-",D153)</f>
        <v/>
      </c>
      <c r="C153" s="25">
        <f>CONCATENATE(G153,"-",F153,"-",D153)</f>
        <v/>
      </c>
      <c r="D153" s="23" t="inlineStr">
        <is>
          <t>Upcountry</t>
        </is>
      </c>
      <c r="E153" s="25" t="inlineStr">
        <is>
          <t>Hiabs Logistics</t>
        </is>
      </c>
      <c r="F153" s="74" t="inlineStr">
        <is>
          <t>10T</t>
        </is>
      </c>
      <c r="G153" s="73" t="inlineStr">
        <is>
          <t>JMG</t>
        </is>
      </c>
      <c r="H153" s="74" t="inlineStr">
        <is>
          <t>Port Harcourt</t>
        </is>
      </c>
      <c r="I153" s="115" t="inlineStr">
        <is>
          <t>Okigwe</t>
        </is>
      </c>
      <c r="J153" s="115" t="inlineStr">
        <is>
          <t>Imo</t>
        </is>
      </c>
      <c r="K153" s="199" t="n">
        <v>147</v>
      </c>
      <c r="L153" s="200" t="n">
        <v>294</v>
      </c>
      <c r="M153" s="198" t="n">
        <v>209</v>
      </c>
      <c r="N153" s="194" t="n">
        <v>7056</v>
      </c>
      <c r="O153" s="198" t="n">
        <v>263204.3991481314</v>
      </c>
    </row>
    <row r="154">
      <c r="A154" s="23" t="inlineStr">
        <is>
          <t>ASINI/Yekeni</t>
        </is>
      </c>
      <c r="B154">
        <f>CONCATENATE(E154,"-",F154,"-",D154)</f>
        <v/>
      </c>
      <c r="C154" s="25">
        <f>CONCATENATE(G154,"-",F154,"-",D154)</f>
        <v/>
      </c>
      <c r="D154" s="23" t="inlineStr">
        <is>
          <t>Upcountry</t>
        </is>
      </c>
      <c r="E154" s="25" t="inlineStr">
        <is>
          <t>Hiabs Logistics</t>
        </is>
      </c>
      <c r="F154" s="74" t="inlineStr">
        <is>
          <t>10T</t>
        </is>
      </c>
      <c r="G154" s="73" t="inlineStr">
        <is>
          <t>JMG</t>
        </is>
      </c>
      <c r="H154" s="74" t="inlineStr">
        <is>
          <t>Port Harcourt</t>
        </is>
      </c>
      <c r="I154" s="115" t="inlineStr">
        <is>
          <t>Itu</t>
        </is>
      </c>
      <c r="J154" s="115" t="inlineStr">
        <is>
          <t>Akwa Ibom</t>
        </is>
      </c>
      <c r="K154" s="199" t="n">
        <v>145</v>
      </c>
      <c r="L154" s="200" t="n">
        <v>290</v>
      </c>
      <c r="M154" s="198" t="n">
        <v>207</v>
      </c>
      <c r="N154" s="194" t="n">
        <v>6960</v>
      </c>
      <c r="O154" s="198" t="n">
        <v>263204.3991481314</v>
      </c>
    </row>
    <row r="155">
      <c r="A155" s="23" t="inlineStr">
        <is>
          <t>ASINI/Yekeni</t>
        </is>
      </c>
      <c r="B155">
        <f>CONCATENATE(E155,"-",F155,"-",D155)</f>
        <v/>
      </c>
      <c r="C155" s="25">
        <f>CONCATENATE(G155,"-",F155,"-",D155)</f>
        <v/>
      </c>
      <c r="D155" s="23" t="inlineStr">
        <is>
          <t>Upcountry</t>
        </is>
      </c>
      <c r="E155" s="25" t="inlineStr">
        <is>
          <t>Hiabs Logistics</t>
        </is>
      </c>
      <c r="F155" s="74" t="inlineStr">
        <is>
          <t>10T</t>
        </is>
      </c>
      <c r="G155" s="73" t="inlineStr">
        <is>
          <t>JMG</t>
        </is>
      </c>
      <c r="H155" s="74" t="inlineStr">
        <is>
          <t>Port Harcourt</t>
        </is>
      </c>
      <c r="I155" s="115" t="inlineStr">
        <is>
          <t>Uyo</t>
        </is>
      </c>
      <c r="J155" s="115" t="inlineStr">
        <is>
          <t>Akwa Ibom</t>
        </is>
      </c>
      <c r="K155" s="199" t="n">
        <v>145</v>
      </c>
      <c r="L155" s="200" t="n">
        <v>290</v>
      </c>
      <c r="M155" s="198" t="n">
        <v>207</v>
      </c>
      <c r="N155" s="194" t="n">
        <v>6960</v>
      </c>
      <c r="O155" s="198" t="n">
        <v>263204.3991481314</v>
      </c>
    </row>
    <row r="156">
      <c r="A156" s="23" t="inlineStr">
        <is>
          <t>ASINI/Yekeni</t>
        </is>
      </c>
      <c r="B156">
        <f>CONCATENATE(E156,"-",F156,"-",D156)</f>
        <v/>
      </c>
      <c r="C156" s="25">
        <f>CONCATENATE(G156,"-",F156,"-",D156)</f>
        <v/>
      </c>
      <c r="D156" s="23" t="inlineStr">
        <is>
          <t>Upcountry</t>
        </is>
      </c>
      <c r="E156" s="25" t="inlineStr">
        <is>
          <t>Hiabs Logistics</t>
        </is>
      </c>
      <c r="F156" s="74" t="inlineStr">
        <is>
          <t>10T</t>
        </is>
      </c>
      <c r="G156" s="73" t="inlineStr">
        <is>
          <t>JMG</t>
        </is>
      </c>
      <c r="H156" s="74" t="inlineStr">
        <is>
          <t>Port Harcourt</t>
        </is>
      </c>
      <c r="I156" s="115" t="inlineStr">
        <is>
          <t>Ikot Ekpene</t>
        </is>
      </c>
      <c r="J156" s="115" t="inlineStr">
        <is>
          <t>Akwa Ibom</t>
        </is>
      </c>
      <c r="K156" s="199" t="n">
        <v>140</v>
      </c>
      <c r="L156" s="200" t="n">
        <v>280</v>
      </c>
      <c r="M156" s="198" t="n">
        <v>202</v>
      </c>
      <c r="N156" s="194" t="n">
        <v>6720</v>
      </c>
      <c r="O156" s="198" t="n">
        <v>263204.3991481314</v>
      </c>
    </row>
    <row r="157">
      <c r="A157" s="23" t="inlineStr">
        <is>
          <t>ASINI/Yekeni</t>
        </is>
      </c>
      <c r="B157">
        <f>CONCATENATE(E157,"-",F157,"-",D157)</f>
        <v/>
      </c>
      <c r="C157" s="25">
        <f>CONCATENATE(G157,"-",F157,"-",D157)</f>
        <v/>
      </c>
      <c r="D157" s="23" t="inlineStr">
        <is>
          <t>Upcountry</t>
        </is>
      </c>
      <c r="E157" s="25" t="inlineStr">
        <is>
          <t>Hiabs Logistics</t>
        </is>
      </c>
      <c r="F157" s="74" t="inlineStr">
        <is>
          <t>10T</t>
        </is>
      </c>
      <c r="G157" s="73" t="inlineStr">
        <is>
          <t>JMG</t>
        </is>
      </c>
      <c r="H157" s="74" t="inlineStr">
        <is>
          <t>Port Harcourt</t>
        </is>
      </c>
      <c r="I157" s="115" t="inlineStr">
        <is>
          <t>Akwa Ibom</t>
        </is>
      </c>
      <c r="J157" s="115" t="inlineStr">
        <is>
          <t>Akwa Ibom</t>
        </is>
      </c>
      <c r="K157" s="199" t="n">
        <v>139</v>
      </c>
      <c r="L157" s="200" t="n">
        <v>278</v>
      </c>
      <c r="M157" s="198" t="n">
        <v>201</v>
      </c>
      <c r="N157" s="194" t="n">
        <v>6672</v>
      </c>
      <c r="O157" s="198" t="n">
        <v>263204.3991481314</v>
      </c>
    </row>
    <row r="158">
      <c r="A158" s="23" t="inlineStr">
        <is>
          <t>ASINI/Yekeni</t>
        </is>
      </c>
      <c r="B158">
        <f>CONCATENATE(E158,"-",F158,"-",D158)</f>
        <v/>
      </c>
      <c r="C158" s="25">
        <f>CONCATENATE(G158,"-",F158,"-",D158)</f>
        <v/>
      </c>
      <c r="D158" s="23" t="inlineStr">
        <is>
          <t>Upcountry</t>
        </is>
      </c>
      <c r="E158" s="25" t="inlineStr">
        <is>
          <t>Hiabs Logistics</t>
        </is>
      </c>
      <c r="F158" s="74" t="inlineStr">
        <is>
          <t>10T</t>
        </is>
      </c>
      <c r="G158" s="73" t="inlineStr">
        <is>
          <t>JMG</t>
        </is>
      </c>
      <c r="H158" s="74" t="inlineStr">
        <is>
          <t>Port Harcourt</t>
        </is>
      </c>
      <c r="I158" s="74" t="inlineStr">
        <is>
          <t>Nsit Ibom</t>
        </is>
      </c>
      <c r="J158" s="74" t="inlineStr">
        <is>
          <t>Akwa Ibom</t>
        </is>
      </c>
      <c r="K158" s="199" t="n">
        <v>136</v>
      </c>
      <c r="L158" s="200" t="n">
        <v>272</v>
      </c>
      <c r="M158" s="198" t="n">
        <v>198</v>
      </c>
      <c r="N158" s="194" t="n">
        <v>6528</v>
      </c>
      <c r="O158" s="198" t="n">
        <v>394806.5987221971</v>
      </c>
    </row>
    <row r="159">
      <c r="A159" s="23" t="inlineStr">
        <is>
          <t>ASINI/Yekeni</t>
        </is>
      </c>
      <c r="B159">
        <f>CONCATENATE(E159,"-",F159,"-",D159)</f>
        <v/>
      </c>
      <c r="C159" s="25">
        <f>CONCATENATE(G159,"-",F159,"-",D159)</f>
        <v/>
      </c>
      <c r="D159" s="23" t="inlineStr">
        <is>
          <t>Upcountry</t>
        </is>
      </c>
      <c r="E159" s="25" t="inlineStr">
        <is>
          <t>Hiabs Logistics</t>
        </is>
      </c>
      <c r="F159" s="74" t="inlineStr">
        <is>
          <t>10T</t>
        </is>
      </c>
      <c r="G159" s="73" t="inlineStr">
        <is>
          <t>JMG</t>
        </is>
      </c>
      <c r="H159" s="74" t="inlineStr">
        <is>
          <t>Port Harcourt</t>
        </is>
      </c>
      <c r="I159" s="115" t="inlineStr">
        <is>
          <t>Sagbama</t>
        </is>
      </c>
      <c r="J159" s="115" t="inlineStr">
        <is>
          <t>Bayelsa</t>
        </is>
      </c>
      <c r="K159" s="199" t="n">
        <v>123.5</v>
      </c>
      <c r="L159" s="200" t="n">
        <v>247</v>
      </c>
      <c r="M159" s="198" t="n">
        <v>185</v>
      </c>
      <c r="N159" s="194" t="n">
        <v>5928</v>
      </c>
      <c r="O159" s="198" t="n">
        <v>394806.5987221971</v>
      </c>
    </row>
    <row r="160">
      <c r="A160" s="23" t="inlineStr">
        <is>
          <t>ASINI/Yekeni</t>
        </is>
      </c>
      <c r="B160">
        <f>CONCATENATE(E160,"-",F160,"-",D160)</f>
        <v/>
      </c>
      <c r="C160" s="25">
        <f>CONCATENATE(G160,"-",F160,"-",D160)</f>
        <v/>
      </c>
      <c r="D160" s="23" t="inlineStr">
        <is>
          <t>Upcountry</t>
        </is>
      </c>
      <c r="E160" s="25" t="inlineStr">
        <is>
          <t>Hiabs Logistics</t>
        </is>
      </c>
      <c r="F160" s="74" t="inlineStr">
        <is>
          <t>10T</t>
        </is>
      </c>
      <c r="G160" s="73" t="inlineStr">
        <is>
          <t>JMG</t>
        </is>
      </c>
      <c r="H160" s="74" t="inlineStr">
        <is>
          <t>Port Harcourt</t>
        </is>
      </c>
      <c r="I160" s="117" t="inlineStr">
        <is>
          <t>Imo</t>
        </is>
      </c>
      <c r="J160" s="117" t="inlineStr">
        <is>
          <t>Imo</t>
        </is>
      </c>
      <c r="K160" s="199" t="n">
        <v>120.5</v>
      </c>
      <c r="L160" s="200" t="n">
        <v>241</v>
      </c>
      <c r="M160" s="198" t="n">
        <v>182</v>
      </c>
      <c r="N160" s="194" t="n">
        <v>5784</v>
      </c>
      <c r="O160" s="198" t="n">
        <v>394806.5987221971</v>
      </c>
    </row>
    <row r="161">
      <c r="A161" s="23" t="inlineStr">
        <is>
          <t>ASINI/Yekeni</t>
        </is>
      </c>
      <c r="B161">
        <f>CONCATENATE(E161,"-",F161,"-",D161)</f>
        <v/>
      </c>
      <c r="C161" s="25">
        <f>CONCATENATE(G161,"-",F161,"-",D161)</f>
        <v/>
      </c>
      <c r="D161" s="23" t="inlineStr">
        <is>
          <t>Upcountry</t>
        </is>
      </c>
      <c r="E161" s="25" t="inlineStr">
        <is>
          <t>Hiabs Logistics</t>
        </is>
      </c>
      <c r="F161" s="74" t="inlineStr">
        <is>
          <t>10T</t>
        </is>
      </c>
      <c r="G161" s="73" t="inlineStr">
        <is>
          <t>JMG</t>
        </is>
      </c>
      <c r="H161" s="74" t="inlineStr">
        <is>
          <t>Port Harcourt</t>
        </is>
      </c>
      <c r="I161" s="115" t="inlineStr">
        <is>
          <t>Yenagoa</t>
        </is>
      </c>
      <c r="J161" s="115" t="inlineStr">
        <is>
          <t>Bayelsa</t>
        </is>
      </c>
      <c r="K161" s="199" t="n">
        <v>118</v>
      </c>
      <c r="L161" s="200" t="n">
        <v>236</v>
      </c>
      <c r="M161" s="198" t="n">
        <v>180</v>
      </c>
      <c r="N161" s="194" t="n">
        <v>5664</v>
      </c>
      <c r="O161" s="198" t="n">
        <v>394806.5987221971</v>
      </c>
    </row>
    <row r="162">
      <c r="A162" s="23" t="inlineStr">
        <is>
          <t>ASINI/Yekeni</t>
        </is>
      </c>
      <c r="B162">
        <f>CONCATENATE(E162,"-",F162,"-",D162)</f>
        <v/>
      </c>
      <c r="C162" s="25">
        <f>CONCATENATE(G162,"-",F162,"-",D162)</f>
        <v/>
      </c>
      <c r="D162" s="23" t="inlineStr">
        <is>
          <t>Upcountry</t>
        </is>
      </c>
      <c r="E162" s="25" t="inlineStr">
        <is>
          <t>Hiabs Logistics</t>
        </is>
      </c>
      <c r="F162" s="74" t="inlineStr">
        <is>
          <t>10T</t>
        </is>
      </c>
      <c r="G162" s="73" t="inlineStr">
        <is>
          <t>JMG</t>
        </is>
      </c>
      <c r="H162" s="74" t="inlineStr">
        <is>
          <t>Port Harcourt</t>
        </is>
      </c>
      <c r="I162" s="115" t="inlineStr">
        <is>
          <t>Bayelsa</t>
        </is>
      </c>
      <c r="J162" s="115" t="inlineStr">
        <is>
          <t>Bayelsa</t>
        </is>
      </c>
      <c r="K162" s="199" t="n">
        <v>117</v>
      </c>
      <c r="L162" s="200" t="n">
        <v>234</v>
      </c>
      <c r="M162" s="198" t="n">
        <v>179</v>
      </c>
      <c r="N162" s="194" t="n">
        <v>5616</v>
      </c>
      <c r="O162" s="198" t="n">
        <v>263204.3991481314</v>
      </c>
    </row>
    <row r="163">
      <c r="A163" s="23" t="inlineStr">
        <is>
          <t>ASINI/Yekeni</t>
        </is>
      </c>
      <c r="B163">
        <f>CONCATENATE(E163,"-",F163,"-",D163)</f>
        <v/>
      </c>
      <c r="C163" s="25">
        <f>CONCATENATE(G163,"-",F163,"-",D163)</f>
        <v/>
      </c>
      <c r="D163" s="23" t="inlineStr">
        <is>
          <t>Upcountry</t>
        </is>
      </c>
      <c r="E163" s="25" t="inlineStr">
        <is>
          <t>Hiabs Logistics</t>
        </is>
      </c>
      <c r="F163" s="74" t="inlineStr">
        <is>
          <t>10T</t>
        </is>
      </c>
      <c r="G163" s="73" t="inlineStr">
        <is>
          <t>JMG</t>
        </is>
      </c>
      <c r="H163" s="74" t="inlineStr">
        <is>
          <t>Port Harcourt</t>
        </is>
      </c>
      <c r="I163" s="117" t="inlineStr">
        <is>
          <t>Umuahia</t>
        </is>
      </c>
      <c r="J163" s="117" t="inlineStr">
        <is>
          <t>Abia</t>
        </is>
      </c>
      <c r="K163" s="199" t="n">
        <v>116</v>
      </c>
      <c r="L163" s="200" t="n">
        <v>232</v>
      </c>
      <c r="M163" s="198" t="n">
        <v>178</v>
      </c>
      <c r="N163" s="194" t="n">
        <v>5568</v>
      </c>
      <c r="O163" s="198" t="n">
        <v>394806.5987221971</v>
      </c>
    </row>
    <row r="164">
      <c r="A164" s="23" t="inlineStr">
        <is>
          <t>ASINI/Yekeni</t>
        </is>
      </c>
      <c r="B164">
        <f>CONCATENATE(E164,"-",F164,"-",D164)</f>
        <v/>
      </c>
      <c r="C164" s="25">
        <f>CONCATENATE(G164,"-",F164,"-",D164)</f>
        <v/>
      </c>
      <c r="D164" s="23" t="inlineStr">
        <is>
          <t>Upcountry</t>
        </is>
      </c>
      <c r="E164" s="25" t="inlineStr">
        <is>
          <t>Hiabs Logistics</t>
        </is>
      </c>
      <c r="F164" s="74" t="inlineStr">
        <is>
          <t>10T</t>
        </is>
      </c>
      <c r="G164" s="73" t="inlineStr">
        <is>
          <t>JMG</t>
        </is>
      </c>
      <c r="H164" s="74" t="inlineStr">
        <is>
          <t>Port Harcourt</t>
        </is>
      </c>
      <c r="I164" s="115" t="inlineStr">
        <is>
          <t>Eket</t>
        </is>
      </c>
      <c r="J164" s="115" t="inlineStr">
        <is>
          <t>Akwa Ibom</t>
        </is>
      </c>
      <c r="K164" s="199" t="n">
        <v>115.5</v>
      </c>
      <c r="L164" s="200" t="n">
        <v>231</v>
      </c>
      <c r="M164" s="198" t="n">
        <v>177</v>
      </c>
      <c r="N164" s="194" t="n">
        <v>5544</v>
      </c>
      <c r="O164" s="198" t="n">
        <v>394806.5987221971</v>
      </c>
    </row>
    <row r="165">
      <c r="A165" s="23" t="inlineStr">
        <is>
          <t>ASINI/Yekeni</t>
        </is>
      </c>
      <c r="B165">
        <f>CONCATENATE(E165,"-",F165,"-",D165)</f>
        <v/>
      </c>
      <c r="C165" s="25">
        <f>CONCATENATE(G165,"-",F165,"-",D165)</f>
        <v/>
      </c>
      <c r="D165" s="23" t="inlineStr">
        <is>
          <t>Upcountry</t>
        </is>
      </c>
      <c r="E165" s="25" t="inlineStr">
        <is>
          <t>Hiabs Logistics</t>
        </is>
      </c>
      <c r="F165" s="74" t="inlineStr">
        <is>
          <t>10T</t>
        </is>
      </c>
      <c r="G165" s="73" t="inlineStr">
        <is>
          <t>JMG</t>
        </is>
      </c>
      <c r="H165" s="74" t="inlineStr">
        <is>
          <t>Port Harcourt</t>
        </is>
      </c>
      <c r="I165" s="117" t="inlineStr">
        <is>
          <t>Owerri</t>
        </is>
      </c>
      <c r="J165" s="117" t="inlineStr">
        <is>
          <t>Imo</t>
        </is>
      </c>
      <c r="K165" s="199" t="n">
        <v>106</v>
      </c>
      <c r="L165" s="200" t="n">
        <v>212</v>
      </c>
      <c r="M165" s="198" t="n">
        <v>168</v>
      </c>
      <c r="N165" s="194" t="n">
        <v>5088</v>
      </c>
      <c r="O165" s="198" t="n">
        <v>394806.5987221971</v>
      </c>
    </row>
    <row r="166">
      <c r="A166" s="23" t="inlineStr">
        <is>
          <t>ASINI/Yekeni</t>
        </is>
      </c>
      <c r="B166">
        <f>CONCATENATE(E166,"-",F166,"-",D166)</f>
        <v/>
      </c>
      <c r="C166" s="25">
        <f>CONCATENATE(G166,"-",F166,"-",D166)</f>
        <v/>
      </c>
      <c r="D166" s="23" t="inlineStr">
        <is>
          <t>Upcountry</t>
        </is>
      </c>
      <c r="E166" s="25" t="inlineStr">
        <is>
          <t>Hiabs Logistics</t>
        </is>
      </c>
      <c r="F166" s="74" t="inlineStr">
        <is>
          <t>10T</t>
        </is>
      </c>
      <c r="G166" s="73" t="inlineStr">
        <is>
          <t>JMG</t>
        </is>
      </c>
      <c r="H166" s="74" t="inlineStr">
        <is>
          <t>Port Harcourt</t>
        </is>
      </c>
      <c r="I166" s="115" t="inlineStr">
        <is>
          <t>Ikot Abasi</t>
        </is>
      </c>
      <c r="J166" s="115" t="inlineStr">
        <is>
          <t>Akwa Ibom</t>
        </is>
      </c>
      <c r="K166" s="199" t="n">
        <v>93</v>
      </c>
      <c r="L166" s="200" t="n">
        <v>186</v>
      </c>
      <c r="M166" s="198" t="n">
        <v>154</v>
      </c>
      <c r="N166" s="194" t="n">
        <v>4464</v>
      </c>
      <c r="O166" s="198" t="n">
        <v>394806.5987221971</v>
      </c>
    </row>
    <row r="167">
      <c r="A167" s="23" t="inlineStr">
        <is>
          <t>ASINI/Yekeni</t>
        </is>
      </c>
      <c r="B167">
        <f>CONCATENATE(E167,"-",F167,"-",D167)</f>
        <v/>
      </c>
      <c r="C167" s="25">
        <f>CONCATENATE(G167,"-",F167,"-",D167)</f>
        <v/>
      </c>
      <c r="D167" s="23" t="inlineStr">
        <is>
          <t>Upcountry</t>
        </is>
      </c>
      <c r="E167" s="25" t="inlineStr">
        <is>
          <t>Hiabs Logistics</t>
        </is>
      </c>
      <c r="F167" s="74" t="inlineStr">
        <is>
          <t>10T</t>
        </is>
      </c>
      <c r="G167" s="73" t="inlineStr">
        <is>
          <t>JMG</t>
        </is>
      </c>
      <c r="H167" s="74" t="inlineStr">
        <is>
          <t>Port Harcourt</t>
        </is>
      </c>
      <c r="I167" s="115" t="inlineStr">
        <is>
          <t>Omoku</t>
        </is>
      </c>
      <c r="J167" s="115" t="inlineStr">
        <is>
          <t>Rivers</t>
        </is>
      </c>
      <c r="K167" s="199" t="n">
        <v>88.5</v>
      </c>
      <c r="L167" s="200" t="n">
        <v>177</v>
      </c>
      <c r="M167" s="198" t="n">
        <v>150</v>
      </c>
      <c r="N167" s="194" t="n">
        <v>4248</v>
      </c>
      <c r="O167" s="198" t="n">
        <v>394806.5987221971</v>
      </c>
    </row>
    <row r="168">
      <c r="A168" s="23" t="inlineStr">
        <is>
          <t>ASINI/Yekeni</t>
        </is>
      </c>
      <c r="B168">
        <f>CONCATENATE(E168,"-",F168,"-",D168)</f>
        <v/>
      </c>
      <c r="C168" s="25">
        <f>CONCATENATE(G168,"-",F168,"-",D168)</f>
        <v/>
      </c>
      <c r="D168" s="23" t="inlineStr">
        <is>
          <t>Upcountry</t>
        </is>
      </c>
      <c r="E168" s="25" t="inlineStr">
        <is>
          <t>Hiabs Logistics</t>
        </is>
      </c>
      <c r="F168" s="74" t="inlineStr">
        <is>
          <t>10T</t>
        </is>
      </c>
      <c r="G168" s="73" t="inlineStr">
        <is>
          <t>JMG</t>
        </is>
      </c>
      <c r="H168" s="74" t="inlineStr">
        <is>
          <t>Port Harcourt</t>
        </is>
      </c>
      <c r="I168" s="115" t="inlineStr">
        <is>
          <t>Mbiama</t>
        </is>
      </c>
      <c r="J168" s="115" t="inlineStr">
        <is>
          <t>Rivers</t>
        </is>
      </c>
      <c r="K168" s="199" t="n">
        <v>87.5</v>
      </c>
      <c r="L168" s="200" t="n">
        <v>175</v>
      </c>
      <c r="M168" s="198" t="n">
        <v>149</v>
      </c>
      <c r="N168" s="194" t="n">
        <v>4200</v>
      </c>
      <c r="O168" s="198" t="n">
        <v>394806.5987221971</v>
      </c>
    </row>
    <row r="169">
      <c r="A169" s="23" t="inlineStr">
        <is>
          <t>ASINI/Yekeni</t>
        </is>
      </c>
      <c r="B169">
        <f>CONCATENATE(E169,"-",F169,"-",D169)</f>
        <v/>
      </c>
      <c r="C169" s="25">
        <f>CONCATENATE(G169,"-",F169,"-",D169)</f>
        <v/>
      </c>
      <c r="D169" s="23" t="inlineStr">
        <is>
          <t>Upcountry</t>
        </is>
      </c>
      <c r="E169" s="25" t="inlineStr">
        <is>
          <t>Hiabs Logistics</t>
        </is>
      </c>
      <c r="F169" s="74" t="inlineStr">
        <is>
          <t>10T</t>
        </is>
      </c>
      <c r="G169" s="73" t="inlineStr">
        <is>
          <t>JMG</t>
        </is>
      </c>
      <c r="H169" s="74" t="inlineStr">
        <is>
          <t>Port Harcourt</t>
        </is>
      </c>
      <c r="I169" s="115" t="inlineStr">
        <is>
          <t>Abua</t>
        </is>
      </c>
      <c r="J169" s="115" t="inlineStr">
        <is>
          <t>Rivers</t>
        </is>
      </c>
      <c r="K169" s="199" t="n">
        <v>78</v>
      </c>
      <c r="L169" s="200" t="n">
        <v>156</v>
      </c>
      <c r="M169" s="198" t="n">
        <v>139</v>
      </c>
      <c r="N169" s="194" t="n">
        <v>3744</v>
      </c>
      <c r="O169" s="198" t="n">
        <v>263204.3991481314</v>
      </c>
    </row>
    <row r="170">
      <c r="A170" s="23" t="inlineStr">
        <is>
          <t>ASINI/Yekeni</t>
        </is>
      </c>
      <c r="B170">
        <f>CONCATENATE(E170,"-",F170,"-",D170)</f>
        <v/>
      </c>
      <c r="C170" s="25">
        <f>CONCATENATE(G170,"-",F170,"-",D170)</f>
        <v/>
      </c>
      <c r="D170" s="23" t="inlineStr">
        <is>
          <t>Upcountry</t>
        </is>
      </c>
      <c r="E170" s="25" t="inlineStr">
        <is>
          <t>Hiabs Logistics</t>
        </is>
      </c>
      <c r="F170" s="74" t="inlineStr">
        <is>
          <t>10T</t>
        </is>
      </c>
      <c r="G170" s="73" t="inlineStr">
        <is>
          <t>JMG</t>
        </is>
      </c>
      <c r="H170" s="74" t="inlineStr">
        <is>
          <t>Port Harcourt</t>
        </is>
      </c>
      <c r="I170" s="115" t="inlineStr">
        <is>
          <t>Ahoada</t>
        </is>
      </c>
      <c r="J170" s="115" t="inlineStr">
        <is>
          <t>Rivers</t>
        </is>
      </c>
      <c r="K170" s="199" t="n">
        <v>69.5</v>
      </c>
      <c r="L170" s="200" t="n">
        <v>139</v>
      </c>
      <c r="M170" s="198" t="n">
        <v>130</v>
      </c>
      <c r="N170" s="194" t="n">
        <v>3336</v>
      </c>
      <c r="O170" s="198" t="n">
        <v>263204.3991481314</v>
      </c>
    </row>
    <row r="171">
      <c r="A171" s="23" t="inlineStr">
        <is>
          <t>ASINI/Yekeni</t>
        </is>
      </c>
      <c r="B171">
        <f>CONCATENATE(E171,"-",F171,"-",D171)</f>
        <v/>
      </c>
      <c r="C171" s="25">
        <f>CONCATENATE(G171,"-",F171,"-",D171)</f>
        <v/>
      </c>
      <c r="D171" s="23" t="inlineStr">
        <is>
          <t>Upcountry</t>
        </is>
      </c>
      <c r="E171" s="25" t="inlineStr">
        <is>
          <t>Hiabs Logistics</t>
        </is>
      </c>
      <c r="F171" s="74" t="inlineStr">
        <is>
          <t>10T</t>
        </is>
      </c>
      <c r="G171" s="73" t="inlineStr">
        <is>
          <t>JMG</t>
        </is>
      </c>
      <c r="H171" s="74" t="inlineStr">
        <is>
          <t>Port Harcourt</t>
        </is>
      </c>
      <c r="I171" s="115" t="inlineStr">
        <is>
          <t>Aba</t>
        </is>
      </c>
      <c r="J171" s="115" t="inlineStr">
        <is>
          <t>Abia</t>
        </is>
      </c>
      <c r="K171" s="199" t="n">
        <v>63.5</v>
      </c>
      <c r="L171" s="200" t="n">
        <v>127</v>
      </c>
      <c r="M171" s="198" t="n">
        <v>124</v>
      </c>
      <c r="N171" s="194" t="n">
        <v>3048</v>
      </c>
      <c r="O171" s="198" t="n">
        <v>329005.4989351642</v>
      </c>
    </row>
    <row r="172">
      <c r="A172" s="23" t="inlineStr">
        <is>
          <t>ASINI/Yekeni</t>
        </is>
      </c>
      <c r="B172">
        <f>CONCATENATE(E172,"-",F172,"-",D172)</f>
        <v/>
      </c>
      <c r="C172" s="25">
        <f>CONCATENATE(G172,"-",F172,"-",D172)</f>
        <v/>
      </c>
      <c r="D172" s="23" t="inlineStr">
        <is>
          <t>Upcountry</t>
        </is>
      </c>
      <c r="E172" s="25" t="inlineStr">
        <is>
          <t>Hiabs Logistics</t>
        </is>
      </c>
      <c r="F172" s="74" t="inlineStr">
        <is>
          <t>10T</t>
        </is>
      </c>
      <c r="G172" s="73" t="inlineStr">
        <is>
          <t>JMG</t>
        </is>
      </c>
      <c r="H172" s="74" t="inlineStr">
        <is>
          <t>Port Harcourt</t>
        </is>
      </c>
      <c r="I172" s="118" t="inlineStr">
        <is>
          <t>Mbaise</t>
        </is>
      </c>
      <c r="J172" s="118" t="inlineStr">
        <is>
          <t>Imo</t>
        </is>
      </c>
      <c r="K172" s="199" t="n">
        <v>60</v>
      </c>
      <c r="L172" s="200" t="n">
        <v>120</v>
      </c>
      <c r="M172" s="198" t="n">
        <v>121</v>
      </c>
      <c r="N172" s="194" t="n">
        <v>2880</v>
      </c>
      <c r="O172" s="198" t="n">
        <v>263204.3991481314</v>
      </c>
    </row>
    <row r="173">
      <c r="A173" s="23" t="inlineStr">
        <is>
          <t>ASINI/Yekeni</t>
        </is>
      </c>
      <c r="B173">
        <f>CONCATENATE(E173,"-",F173,"-",D173)</f>
        <v/>
      </c>
      <c r="C173" s="25">
        <f>CONCATENATE(G173,"-",F173,"-",D173)</f>
        <v/>
      </c>
      <c r="D173" s="23" t="inlineStr">
        <is>
          <t>Upcountry</t>
        </is>
      </c>
      <c r="E173" s="25" t="inlineStr">
        <is>
          <t>Hiabs Logistics</t>
        </is>
      </c>
      <c r="F173" s="74" t="inlineStr">
        <is>
          <t>10T</t>
        </is>
      </c>
      <c r="G173" s="73" t="inlineStr">
        <is>
          <t>JMG</t>
        </is>
      </c>
      <c r="H173" s="74" t="inlineStr">
        <is>
          <t>Port Harcourt</t>
        </is>
      </c>
      <c r="I173" s="115" t="inlineStr">
        <is>
          <t>Elele</t>
        </is>
      </c>
      <c r="J173" s="115" t="inlineStr">
        <is>
          <t>Rivers</t>
        </is>
      </c>
      <c r="K173" s="199" t="n">
        <v>54.5</v>
      </c>
      <c r="L173" s="200" t="n">
        <v>109</v>
      </c>
      <c r="M173" s="198" t="n">
        <v>115</v>
      </c>
      <c r="N173" s="194" t="n">
        <v>2616</v>
      </c>
      <c r="O173" s="198" t="n">
        <v>263204.3991481314</v>
      </c>
    </row>
    <row r="174">
      <c r="A174" s="23" t="inlineStr">
        <is>
          <t>ASINI/Yekeni</t>
        </is>
      </c>
      <c r="B174">
        <f>CONCATENATE(E174,"-",F174,"-",D174)</f>
        <v/>
      </c>
      <c r="C174" s="25">
        <f>CONCATENATE(G174,"-",F174,"-",D174)</f>
        <v/>
      </c>
      <c r="D174" s="23" t="inlineStr">
        <is>
          <t>Local</t>
        </is>
      </c>
      <c r="E174" s="25" t="inlineStr">
        <is>
          <t>Hiabs Logistics</t>
        </is>
      </c>
      <c r="F174" s="74" t="inlineStr">
        <is>
          <t>10T</t>
        </is>
      </c>
      <c r="G174" s="73" t="inlineStr">
        <is>
          <t>JMG</t>
        </is>
      </c>
      <c r="H174" s="74" t="inlineStr">
        <is>
          <t>Port Harcourt</t>
        </is>
      </c>
      <c r="I174" s="115" t="inlineStr">
        <is>
          <t>Bori</t>
        </is>
      </c>
      <c r="J174" s="115" t="inlineStr">
        <is>
          <t>Rivers</t>
        </is>
      </c>
      <c r="K174" s="199" t="n">
        <v>44.5</v>
      </c>
      <c r="L174" s="200" t="n">
        <v>89</v>
      </c>
      <c r="M174" s="198" t="n">
        <v>105</v>
      </c>
      <c r="N174" s="194" t="n">
        <v>2136</v>
      </c>
      <c r="O174" s="198" t="n">
        <v>263204.3991481314</v>
      </c>
    </row>
    <row r="175">
      <c r="A175" s="23" t="inlineStr">
        <is>
          <t>ASINI/Yekeni</t>
        </is>
      </c>
      <c r="B175">
        <f>CONCATENATE(E175,"-",F175,"-",D175)</f>
        <v/>
      </c>
      <c r="C175" s="25">
        <f>CONCATENATE(G175,"-",F175,"-",D175)</f>
        <v/>
      </c>
      <c r="D175" s="23" t="inlineStr">
        <is>
          <t>Local</t>
        </is>
      </c>
      <c r="E175" s="25" t="inlineStr">
        <is>
          <t>Hiabs Logistics</t>
        </is>
      </c>
      <c r="F175" s="74" t="inlineStr">
        <is>
          <t>10T</t>
        </is>
      </c>
      <c r="G175" s="73" t="inlineStr">
        <is>
          <t>JMG</t>
        </is>
      </c>
      <c r="H175" s="74" t="inlineStr">
        <is>
          <t>Port Harcourt</t>
        </is>
      </c>
      <c r="I175" s="115" t="inlineStr">
        <is>
          <t>Isiokpo</t>
        </is>
      </c>
      <c r="J175" s="115" t="inlineStr">
        <is>
          <t>Rivers</t>
        </is>
      </c>
      <c r="K175" s="199" t="n">
        <v>43</v>
      </c>
      <c r="L175" s="200" t="n">
        <v>86</v>
      </c>
      <c r="M175" s="198" t="n">
        <v>103</v>
      </c>
      <c r="N175" s="194" t="n">
        <v>2064</v>
      </c>
      <c r="O175" s="198" t="n">
        <v>263204.3991481314</v>
      </c>
    </row>
    <row r="176">
      <c r="A176" s="23" t="inlineStr">
        <is>
          <t>ASINI/Yekeni</t>
        </is>
      </c>
      <c r="B176">
        <f>CONCATENATE(E176,"-",F176,"-",D176)</f>
        <v/>
      </c>
      <c r="C176" s="25">
        <f>CONCATENATE(G176,"-",F176,"-",D176)</f>
        <v/>
      </c>
      <c r="D176" s="23" t="inlineStr">
        <is>
          <t>Local</t>
        </is>
      </c>
      <c r="E176" s="25" t="inlineStr">
        <is>
          <t>Hiabs Logistics</t>
        </is>
      </c>
      <c r="F176" s="74" t="inlineStr">
        <is>
          <t>10T</t>
        </is>
      </c>
      <c r="G176" s="73" t="inlineStr">
        <is>
          <t>JMG</t>
        </is>
      </c>
      <c r="H176" s="74" t="inlineStr">
        <is>
          <t>Port Harcourt</t>
        </is>
      </c>
      <c r="I176" s="115" t="inlineStr">
        <is>
          <t>Omagwa</t>
        </is>
      </c>
      <c r="J176" s="115" t="inlineStr">
        <is>
          <t>Rivers</t>
        </is>
      </c>
      <c r="K176" s="199" t="n">
        <v>33.7</v>
      </c>
      <c r="L176" s="200" t="n">
        <v>67.40000000000001</v>
      </c>
      <c r="M176" s="198" t="n">
        <v>94</v>
      </c>
      <c r="N176" s="194" t="n">
        <v>1617.6</v>
      </c>
      <c r="O176" s="198" t="n">
        <v>263204.3991481314</v>
      </c>
    </row>
    <row r="177">
      <c r="A177" s="23" t="inlineStr">
        <is>
          <t>ASINI/Yekeni</t>
        </is>
      </c>
      <c r="B177">
        <f>CONCATENATE(E177,"-",F177,"-",D177)</f>
        <v/>
      </c>
      <c r="C177" s="25">
        <f>CONCATENATE(G177,"-",F177,"-",D177)</f>
        <v/>
      </c>
      <c r="D177" s="23" t="inlineStr">
        <is>
          <t>Local</t>
        </is>
      </c>
      <c r="E177" s="25" t="inlineStr">
        <is>
          <t>Hiabs Logistics</t>
        </is>
      </c>
      <c r="F177" s="74" t="inlineStr">
        <is>
          <t>10T</t>
        </is>
      </c>
      <c r="G177" s="73" t="inlineStr">
        <is>
          <t>JMG</t>
        </is>
      </c>
      <c r="H177" s="74" t="inlineStr">
        <is>
          <t>Port Harcourt</t>
        </is>
      </c>
      <c r="I177" s="115" t="inlineStr">
        <is>
          <t>Choba</t>
        </is>
      </c>
      <c r="J177" s="115" t="inlineStr">
        <is>
          <t>Rivers</t>
        </is>
      </c>
      <c r="K177" s="199" t="n">
        <v>22.25</v>
      </c>
      <c r="L177" s="200" t="n">
        <v>44.5</v>
      </c>
      <c r="M177" s="198" t="n">
        <v>82</v>
      </c>
      <c r="N177" s="194" t="n">
        <v>1068</v>
      </c>
      <c r="O177" s="198" t="n">
        <v>263204.3991481314</v>
      </c>
    </row>
    <row r="178">
      <c r="A178" s="23" t="inlineStr">
        <is>
          <t>ASINI/Yekeni</t>
        </is>
      </c>
      <c r="B178">
        <f>CONCATENATE(E178,"-",F178,"-",D178)</f>
        <v/>
      </c>
      <c r="C178" s="25">
        <f>CONCATENATE(G178,"-",F178,"-",D178)</f>
        <v/>
      </c>
      <c r="D178" s="23" t="inlineStr">
        <is>
          <t>Local</t>
        </is>
      </c>
      <c r="E178" s="25" t="inlineStr">
        <is>
          <t>Hiabs Logistics</t>
        </is>
      </c>
      <c r="F178" s="74" t="inlineStr">
        <is>
          <t>10T</t>
        </is>
      </c>
      <c r="G178" s="73" t="inlineStr">
        <is>
          <t>JMG</t>
        </is>
      </c>
      <c r="H178" s="74" t="inlineStr">
        <is>
          <t>Port Harcourt</t>
        </is>
      </c>
      <c r="I178" s="115" t="inlineStr">
        <is>
          <t>Onne</t>
        </is>
      </c>
      <c r="J178" s="115" t="inlineStr">
        <is>
          <t>Rivers</t>
        </is>
      </c>
      <c r="K178" s="199" t="n">
        <v>21.75</v>
      </c>
      <c r="L178" s="200" t="n">
        <v>43.5</v>
      </c>
      <c r="M178" s="198" t="n">
        <v>82</v>
      </c>
      <c r="N178" s="194" t="n">
        <v>1044</v>
      </c>
      <c r="O178" s="198" t="n">
        <v>263204.3991481314</v>
      </c>
    </row>
    <row r="179">
      <c r="A179" s="23" t="inlineStr">
        <is>
          <t>ASINI/Yekeni</t>
        </is>
      </c>
      <c r="B179">
        <f>CONCATENATE(E179,"-",F179,"-",D179)</f>
        <v/>
      </c>
      <c r="C179" s="25">
        <f>CONCATENATE(G179,"-",F179,"-",D179)</f>
        <v/>
      </c>
      <c r="D179" s="23" t="inlineStr">
        <is>
          <t>Local</t>
        </is>
      </c>
      <c r="E179" s="25" t="inlineStr">
        <is>
          <t>Hiabs Logistics</t>
        </is>
      </c>
      <c r="F179" s="74" t="inlineStr">
        <is>
          <t>10T</t>
        </is>
      </c>
      <c r="G179" s="73" t="inlineStr">
        <is>
          <t>JMG</t>
        </is>
      </c>
      <c r="H179" s="74" t="inlineStr">
        <is>
          <t>Port Harcourt</t>
        </is>
      </c>
      <c r="I179" s="115" t="inlineStr">
        <is>
          <t>Alakahia</t>
        </is>
      </c>
      <c r="J179" s="115" t="inlineStr">
        <is>
          <t>Rivers</t>
        </is>
      </c>
      <c r="K179" s="199" t="n">
        <v>20.45</v>
      </c>
      <c r="L179" s="200" t="n">
        <v>40.9</v>
      </c>
      <c r="M179" s="198" t="n">
        <v>80</v>
      </c>
      <c r="N179" s="194" t="n">
        <v>981.5999999999999</v>
      </c>
      <c r="O179" s="198" t="n">
        <v>263204.3991481314</v>
      </c>
    </row>
    <row r="180">
      <c r="A180" s="23" t="inlineStr">
        <is>
          <t>ASINI/Yekeni</t>
        </is>
      </c>
      <c r="B180">
        <f>CONCATENATE(E180,"-",F180,"-",D180)</f>
        <v/>
      </c>
      <c r="C180" s="25">
        <f>CONCATENATE(G180,"-",F180,"-",D180)</f>
        <v/>
      </c>
      <c r="D180" s="23" t="inlineStr">
        <is>
          <t>Local</t>
        </is>
      </c>
      <c r="E180" s="25" t="inlineStr">
        <is>
          <t>Hiabs Logistics</t>
        </is>
      </c>
      <c r="F180" s="74" t="inlineStr">
        <is>
          <t>10T</t>
        </is>
      </c>
      <c r="G180" s="73" t="inlineStr">
        <is>
          <t>JMG</t>
        </is>
      </c>
      <c r="H180" s="74" t="inlineStr">
        <is>
          <t>Port Harcourt</t>
        </is>
      </c>
      <c r="I180" s="115" t="inlineStr">
        <is>
          <t>Oyigbo</t>
        </is>
      </c>
      <c r="J180" s="115" t="inlineStr">
        <is>
          <t>Rivers</t>
        </is>
      </c>
      <c r="K180" s="199" t="n">
        <v>20.35</v>
      </c>
      <c r="L180" s="200" t="n">
        <v>40.7</v>
      </c>
      <c r="M180" s="195" t="n">
        <v>80</v>
      </c>
      <c r="N180" s="194" t="n">
        <v>976.8000000000001</v>
      </c>
      <c r="O180" s="198" t="n">
        <v>263204.3991481314</v>
      </c>
    </row>
    <row r="181">
      <c r="A181" s="23" t="inlineStr">
        <is>
          <t>ASINI/Yekeni</t>
        </is>
      </c>
      <c r="B181">
        <f>CONCATENATE(E181,"-",F181,"-",D181)</f>
        <v/>
      </c>
      <c r="C181" s="25">
        <f>CONCATENATE(G181,"-",F181,"-",D181)</f>
        <v/>
      </c>
      <c r="D181" s="23" t="inlineStr">
        <is>
          <t>Local</t>
        </is>
      </c>
      <c r="E181" s="25" t="inlineStr">
        <is>
          <t>Hiabs Logistics</t>
        </is>
      </c>
      <c r="F181" s="74" t="inlineStr">
        <is>
          <t>10T</t>
        </is>
      </c>
      <c r="G181" s="73" t="inlineStr">
        <is>
          <t>JMG</t>
        </is>
      </c>
      <c r="H181" s="74" t="inlineStr">
        <is>
          <t>Port Harcourt</t>
        </is>
      </c>
      <c r="I181" s="115" t="inlineStr">
        <is>
          <t>Okrika</t>
        </is>
      </c>
      <c r="J181" s="115" t="inlineStr">
        <is>
          <t>Rivers</t>
        </is>
      </c>
      <c r="K181" s="199" t="n">
        <v>19.4</v>
      </c>
      <c r="L181" s="200" t="n">
        <v>38.8</v>
      </c>
      <c r="M181" s="198" t="n">
        <v>79</v>
      </c>
      <c r="N181" s="194" t="n">
        <v>931.1999999999999</v>
      </c>
      <c r="O181" s="198" t="n">
        <v>263204.3991481314</v>
      </c>
    </row>
    <row r="182">
      <c r="A182" s="23" t="inlineStr">
        <is>
          <t>ASINI/Yekeni</t>
        </is>
      </c>
      <c r="B182">
        <f>CONCATENATE(E182,"-",F182,"-",D182)</f>
        <v/>
      </c>
      <c r="C182" s="25">
        <f>CONCATENATE(G182,"-",F182,"-",D182)</f>
        <v/>
      </c>
      <c r="D182" s="23" t="inlineStr">
        <is>
          <t>Local</t>
        </is>
      </c>
      <c r="E182" s="25" t="inlineStr">
        <is>
          <t>Hiabs Logistics</t>
        </is>
      </c>
      <c r="F182" s="74" t="inlineStr">
        <is>
          <t>10T</t>
        </is>
      </c>
      <c r="G182" s="73" t="inlineStr">
        <is>
          <t>JMG</t>
        </is>
      </c>
      <c r="H182" s="74" t="inlineStr">
        <is>
          <t>Port Harcourt</t>
        </is>
      </c>
      <c r="I182" s="115" t="inlineStr">
        <is>
          <t>Ogoni</t>
        </is>
      </c>
      <c r="J182" s="115" t="inlineStr">
        <is>
          <t>Rivers</t>
        </is>
      </c>
      <c r="K182" s="199" t="n">
        <v>17.9</v>
      </c>
      <c r="L182" s="200" t="n">
        <v>35.8</v>
      </c>
      <c r="M182" s="198" t="n">
        <v>78</v>
      </c>
      <c r="N182" s="194" t="n">
        <v>859.1999999999999</v>
      </c>
      <c r="O182" s="198" t="n">
        <v>263204.3991481314</v>
      </c>
    </row>
    <row r="183">
      <c r="A183" s="23" t="inlineStr">
        <is>
          <t>ASINI/Yekeni</t>
        </is>
      </c>
      <c r="B183">
        <f>CONCATENATE(E183,"-",F183,"-",D183)</f>
        <v/>
      </c>
      <c r="C183" s="25">
        <f>CONCATENATE(G183,"-",F183,"-",D183)</f>
        <v/>
      </c>
      <c r="D183" s="23" t="inlineStr">
        <is>
          <t>Local</t>
        </is>
      </c>
      <c r="E183" s="25" t="inlineStr">
        <is>
          <t>Hiabs Logistics</t>
        </is>
      </c>
      <c r="F183" s="74" t="inlineStr">
        <is>
          <t>10T</t>
        </is>
      </c>
      <c r="G183" s="73" t="inlineStr">
        <is>
          <t>JMG</t>
        </is>
      </c>
      <c r="H183" s="74" t="inlineStr">
        <is>
          <t>Port Harcourt</t>
        </is>
      </c>
      <c r="I183" s="115" t="inlineStr">
        <is>
          <t>Airport Road (Port Harcourt)</t>
        </is>
      </c>
      <c r="J183" s="115" t="inlineStr">
        <is>
          <t>Rivers</t>
        </is>
      </c>
      <c r="K183" s="199" t="n">
        <v>16</v>
      </c>
      <c r="L183" s="200" t="n">
        <v>32</v>
      </c>
      <c r="M183" s="198" t="n">
        <v>76</v>
      </c>
      <c r="N183" s="194" t="n">
        <v>768</v>
      </c>
      <c r="O183" s="198" t="n">
        <v>263204.3991481314</v>
      </c>
    </row>
    <row r="184">
      <c r="A184" s="23" t="inlineStr">
        <is>
          <t>ASINI/Yekeni</t>
        </is>
      </c>
      <c r="B184">
        <f>CONCATENATE(E184,"-",F184,"-",D184)</f>
        <v/>
      </c>
      <c r="C184" s="25">
        <f>CONCATENATE(G184,"-",F184,"-",D184)</f>
        <v/>
      </c>
      <c r="D184" s="23" t="inlineStr">
        <is>
          <t>Local</t>
        </is>
      </c>
      <c r="E184" s="25" t="inlineStr">
        <is>
          <t>Hiabs Logistics</t>
        </is>
      </c>
      <c r="F184" s="74" t="inlineStr">
        <is>
          <t>10T</t>
        </is>
      </c>
      <c r="G184" s="73" t="inlineStr">
        <is>
          <t>JMG</t>
        </is>
      </c>
      <c r="H184" s="74" t="inlineStr">
        <is>
          <t>Port Harcourt</t>
        </is>
      </c>
      <c r="I184" s="115" t="inlineStr">
        <is>
          <t>Eleme</t>
        </is>
      </c>
      <c r="J184" s="115" t="inlineStr">
        <is>
          <t>Rivers</t>
        </is>
      </c>
      <c r="K184" s="199" t="n">
        <v>14.05</v>
      </c>
      <c r="L184" s="200" t="n">
        <v>28.1</v>
      </c>
      <c r="M184" s="198" t="n">
        <v>74</v>
      </c>
      <c r="N184" s="194" t="n">
        <v>674.4000000000001</v>
      </c>
      <c r="O184" s="198" t="n">
        <v>131602.1995740657</v>
      </c>
    </row>
    <row r="185">
      <c r="A185" s="23" t="inlineStr">
        <is>
          <t>ASINI/Yekeni</t>
        </is>
      </c>
      <c r="B185">
        <f>CONCATENATE(E185,"-",F185,"-",D185)</f>
        <v/>
      </c>
      <c r="C185" s="25">
        <f>CONCATENATE(G185,"-",F185,"-",D185)</f>
        <v/>
      </c>
      <c r="D185" s="23" t="inlineStr">
        <is>
          <t>Local</t>
        </is>
      </c>
      <c r="E185" s="25" t="inlineStr">
        <is>
          <t>Hiabs Logistics</t>
        </is>
      </c>
      <c r="F185" s="74" t="inlineStr">
        <is>
          <t>10T</t>
        </is>
      </c>
      <c r="G185" s="73" t="inlineStr">
        <is>
          <t>JMG</t>
        </is>
      </c>
      <c r="H185" s="74" t="inlineStr">
        <is>
          <t>Port Harcourt</t>
        </is>
      </c>
      <c r="I185" s="115" t="inlineStr">
        <is>
          <t>Rumukpakolosi</t>
        </is>
      </c>
      <c r="J185" s="115" t="inlineStr">
        <is>
          <t>Rivers</t>
        </is>
      </c>
      <c r="K185" s="199" t="n">
        <v>10.2</v>
      </c>
      <c r="L185" s="200" t="n">
        <v>20.4</v>
      </c>
      <c r="M185" s="198" t="n">
        <v>70</v>
      </c>
      <c r="N185" s="194" t="n">
        <v>489.6</v>
      </c>
      <c r="O185" s="198" t="n">
        <v>263204.3991481314</v>
      </c>
    </row>
    <row r="186">
      <c r="A186" s="23" t="inlineStr">
        <is>
          <t>ASINI/Yekeni</t>
        </is>
      </c>
      <c r="B186">
        <f>CONCATENATE(E186,"-",F186,"-",D186)</f>
        <v/>
      </c>
      <c r="C186" s="25">
        <f>CONCATENATE(G186,"-",F186,"-",D186)</f>
        <v/>
      </c>
      <c r="D186" s="23" t="inlineStr">
        <is>
          <t>Local</t>
        </is>
      </c>
      <c r="E186" s="25" t="inlineStr">
        <is>
          <t>Hiabs Logistics</t>
        </is>
      </c>
      <c r="F186" s="74" t="inlineStr">
        <is>
          <t>10T</t>
        </is>
      </c>
      <c r="G186" s="73" t="inlineStr">
        <is>
          <t>JMG</t>
        </is>
      </c>
      <c r="H186" s="74" t="inlineStr">
        <is>
          <t>Port Harcourt</t>
        </is>
      </c>
      <c r="I186" s="115" t="inlineStr">
        <is>
          <t>Rumuepirikom</t>
        </is>
      </c>
      <c r="J186" s="115" t="inlineStr">
        <is>
          <t>Rivers</t>
        </is>
      </c>
      <c r="K186" s="199" t="n">
        <v>8.75</v>
      </c>
      <c r="L186" s="200" t="n">
        <v>17.5</v>
      </c>
      <c r="M186" s="198" t="n">
        <v>68</v>
      </c>
      <c r="N186" s="194" t="n">
        <v>420</v>
      </c>
      <c r="O186" s="198" t="n">
        <v>263204.3991481314</v>
      </c>
    </row>
    <row r="187">
      <c r="A187" s="23" t="inlineStr">
        <is>
          <t>ASINI/Yekeni</t>
        </is>
      </c>
      <c r="B187">
        <f>CONCATENATE(E187,"-",F187,"-",D187)</f>
        <v/>
      </c>
      <c r="C187" s="25">
        <f>CONCATENATE(G187,"-",F187,"-",D187)</f>
        <v/>
      </c>
      <c r="D187" s="23" t="inlineStr">
        <is>
          <t>Local</t>
        </is>
      </c>
      <c r="E187" s="25" t="inlineStr">
        <is>
          <t>Hiabs Logistics</t>
        </is>
      </c>
      <c r="F187" s="74" t="inlineStr">
        <is>
          <t>10T</t>
        </is>
      </c>
      <c r="G187" s="73" t="inlineStr">
        <is>
          <t>JMG</t>
        </is>
      </c>
      <c r="H187" s="74" t="inlineStr">
        <is>
          <t>Port Harcourt</t>
        </is>
      </c>
      <c r="I187" s="115" t="inlineStr">
        <is>
          <t>Ogbunabali</t>
        </is>
      </c>
      <c r="J187" s="115" t="inlineStr">
        <is>
          <t>Rivers</t>
        </is>
      </c>
      <c r="K187" s="199" t="n">
        <v>4.9</v>
      </c>
      <c r="L187" s="200" t="n">
        <v>9.800000000000001</v>
      </c>
      <c r="M187" s="198" t="n">
        <v>64</v>
      </c>
      <c r="N187" s="194" t="n">
        <v>235.2</v>
      </c>
      <c r="O187" s="198" t="n">
        <v>263204.3991481314</v>
      </c>
    </row>
    <row r="188">
      <c r="A188" s="23" t="inlineStr">
        <is>
          <t>ASINI/Yekeni</t>
        </is>
      </c>
      <c r="B188">
        <f>CONCATENATE(E188,"-",F188,"-",D188)</f>
        <v/>
      </c>
      <c r="C188" s="25">
        <f>CONCATENATE(G188,"-",F188,"-",D188)</f>
        <v/>
      </c>
      <c r="D188" s="23" t="inlineStr">
        <is>
          <t>Local</t>
        </is>
      </c>
      <c r="E188" s="25" t="inlineStr">
        <is>
          <t>Hiabs Logistics</t>
        </is>
      </c>
      <c r="F188" s="74" t="inlineStr">
        <is>
          <t>10T</t>
        </is>
      </c>
      <c r="G188" s="73" t="inlineStr">
        <is>
          <t>JMG</t>
        </is>
      </c>
      <c r="H188" s="74" t="inlineStr">
        <is>
          <t>Port Harcourt</t>
        </is>
      </c>
      <c r="I188" s="115" t="inlineStr">
        <is>
          <t>Elekahia</t>
        </is>
      </c>
      <c r="J188" s="115" t="inlineStr">
        <is>
          <t>Rivers</t>
        </is>
      </c>
      <c r="K188" s="199" t="n">
        <v>3.625</v>
      </c>
      <c r="L188" s="200" t="n">
        <v>7.25</v>
      </c>
      <c r="M188" s="198" t="n">
        <v>3</v>
      </c>
      <c r="N188" s="194" t="n">
        <v>174</v>
      </c>
      <c r="O188" s="198" t="n">
        <v>263204.3991481314</v>
      </c>
    </row>
    <row r="189">
      <c r="A189" s="23" t="inlineStr">
        <is>
          <t>ASINI/Yekeni</t>
        </is>
      </c>
      <c r="B189">
        <f>CONCATENATE(E189,"-",F189,"-",D189)</f>
        <v/>
      </c>
      <c r="C189" s="25">
        <f>CONCATENATE(G189,"-",F189,"-",D189)</f>
        <v/>
      </c>
      <c r="D189" s="23" t="inlineStr">
        <is>
          <t>Local</t>
        </is>
      </c>
      <c r="E189" s="25" t="inlineStr">
        <is>
          <t>Hiabs Logistics</t>
        </is>
      </c>
      <c r="F189" s="74" t="inlineStr">
        <is>
          <t>10T</t>
        </is>
      </c>
      <c r="G189" s="73" t="inlineStr">
        <is>
          <t>JMG</t>
        </is>
      </c>
      <c r="H189" s="74" t="inlineStr">
        <is>
          <t>Port Harcourt</t>
        </is>
      </c>
      <c r="I189" s="115" t="inlineStr">
        <is>
          <t>Trans-Amadi</t>
        </is>
      </c>
      <c r="J189" s="115" t="inlineStr">
        <is>
          <t>Rivers</t>
        </is>
      </c>
      <c r="K189" s="199" t="n">
        <v>2.75</v>
      </c>
      <c r="L189" s="200" t="n">
        <v>5.5</v>
      </c>
      <c r="M189" s="198" t="n">
        <v>62</v>
      </c>
      <c r="N189" s="194" t="n">
        <v>132</v>
      </c>
      <c r="O189" s="198" t="n">
        <v>263204.3991481314</v>
      </c>
    </row>
    <row r="190">
      <c r="A190" s="23" t="inlineStr">
        <is>
          <t>HARUNA/YEKINI</t>
        </is>
      </c>
      <c r="B190">
        <f>CONCATENATE(E190,"-",F190,"-",D190)</f>
        <v/>
      </c>
      <c r="C190" s="25">
        <f>CONCATENATE(G190,"-",F190,"-",D190)</f>
        <v/>
      </c>
      <c r="D190" s="23" t="inlineStr">
        <is>
          <t>Upcountry</t>
        </is>
      </c>
      <c r="E190" s="24" t="inlineStr">
        <is>
          <t>Hiabs Logistics</t>
        </is>
      </c>
      <c r="F190" s="74" t="inlineStr">
        <is>
          <t>10T</t>
        </is>
      </c>
      <c r="G190" s="73" t="inlineStr">
        <is>
          <t>JMG</t>
        </is>
      </c>
      <c r="H190" s="74" t="inlineStr">
        <is>
          <t>Abuja</t>
        </is>
      </c>
      <c r="I190" s="74" t="inlineStr">
        <is>
          <t>Mubi</t>
        </is>
      </c>
      <c r="J190" s="74" t="inlineStr">
        <is>
          <t>Adamawa</t>
        </is>
      </c>
      <c r="K190" s="201" t="n">
        <v>965.5</v>
      </c>
      <c r="L190" s="200" t="n">
        <v>1931</v>
      </c>
      <c r="M190" s="198" t="n">
        <v>1044</v>
      </c>
      <c r="N190" s="194" t="n">
        <v>46344</v>
      </c>
      <c r="O190" s="198" t="n">
        <v>1052817.596592525</v>
      </c>
    </row>
    <row r="191">
      <c r="A191" s="23" t="inlineStr">
        <is>
          <t>HARUNA/YEKINI</t>
        </is>
      </c>
      <c r="B191">
        <f>CONCATENATE(E191,"-",F191,"-",D191)</f>
        <v/>
      </c>
      <c r="C191" s="25">
        <f>CONCATENATE(G191,"-",F191,"-",D191)</f>
        <v/>
      </c>
      <c r="D191" s="23" t="inlineStr">
        <is>
          <t>Upcountry</t>
        </is>
      </c>
      <c r="E191" s="25" t="inlineStr">
        <is>
          <t>Hiabs Logistics</t>
        </is>
      </c>
      <c r="F191" s="74" t="inlineStr">
        <is>
          <t>10T</t>
        </is>
      </c>
      <c r="G191" s="73" t="inlineStr">
        <is>
          <t>JMG</t>
        </is>
      </c>
      <c r="H191" s="74" t="inlineStr">
        <is>
          <t>Abuja</t>
        </is>
      </c>
      <c r="I191" s="74" t="inlineStr">
        <is>
          <t>Maiduguri</t>
        </is>
      </c>
      <c r="J191" s="74" t="inlineStr">
        <is>
          <t>Borno</t>
        </is>
      </c>
      <c r="K191" s="201" t="n">
        <v>845</v>
      </c>
      <c r="L191" s="201" t="n">
        <v>1690</v>
      </c>
      <c r="M191" s="198" t="n">
        <v>921</v>
      </c>
      <c r="N191" s="194" t="n">
        <v>40560</v>
      </c>
      <c r="O191" s="198" t="n">
        <v>921215.3970184599</v>
      </c>
    </row>
    <row r="192">
      <c r="A192" s="23" t="inlineStr">
        <is>
          <t>HARUNA/YEKINI</t>
        </is>
      </c>
      <c r="B192">
        <f>CONCATENATE(E192,"-",F192,"-",D192)</f>
        <v/>
      </c>
      <c r="C192" s="25">
        <f>CONCATENATE(G192,"-",F192,"-",D192)</f>
        <v/>
      </c>
      <c r="D192" s="23" t="inlineStr">
        <is>
          <t>Upcountry</t>
        </is>
      </c>
      <c r="E192" s="25" t="inlineStr">
        <is>
          <t>Hiabs Logistics</t>
        </is>
      </c>
      <c r="F192" s="74" t="inlineStr">
        <is>
          <t>10T</t>
        </is>
      </c>
      <c r="G192" s="73" t="inlineStr">
        <is>
          <t>JMG</t>
        </is>
      </c>
      <c r="H192" s="74" t="inlineStr">
        <is>
          <t>Abuja</t>
        </is>
      </c>
      <c r="I192" s="74" t="inlineStr">
        <is>
          <t>Yola</t>
        </is>
      </c>
      <c r="J192" s="74" t="inlineStr">
        <is>
          <t>Adamawa</t>
        </is>
      </c>
      <c r="K192" s="201" t="n">
        <v>796.5</v>
      </c>
      <c r="L192" s="201" t="n">
        <v>1593</v>
      </c>
      <c r="M192" s="198" t="n">
        <v>872</v>
      </c>
      <c r="N192" s="194" t="n">
        <v>38232</v>
      </c>
      <c r="O192" s="198" t="n">
        <v>921215.3970184599</v>
      </c>
    </row>
    <row r="193">
      <c r="A193" s="23" t="inlineStr">
        <is>
          <t>HARUNA/YEKINI</t>
        </is>
      </c>
      <c r="B193">
        <f>CONCATENATE(E193,"-",F193,"-",D193)</f>
        <v/>
      </c>
      <c r="C193" s="25">
        <f>CONCATENATE(G193,"-",F193,"-",D193)</f>
        <v/>
      </c>
      <c r="D193" s="23" t="inlineStr">
        <is>
          <t>Upcountry</t>
        </is>
      </c>
      <c r="E193" s="25" t="inlineStr">
        <is>
          <t>Hiabs Logistics</t>
        </is>
      </c>
      <c r="F193" s="74" t="inlineStr">
        <is>
          <t>10T</t>
        </is>
      </c>
      <c r="G193" s="73" t="inlineStr">
        <is>
          <t>JMG</t>
        </is>
      </c>
      <c r="H193" s="74" t="inlineStr">
        <is>
          <t>Abuja</t>
        </is>
      </c>
      <c r="I193" s="74" t="inlineStr">
        <is>
          <t>Yobe</t>
        </is>
      </c>
      <c r="J193" s="74" t="inlineStr">
        <is>
          <t>Yobe</t>
        </is>
      </c>
      <c r="K193" s="201" t="n">
        <v>710.5</v>
      </c>
      <c r="L193" s="201" t="n">
        <v>1421</v>
      </c>
      <c r="M193" s="198" t="n">
        <v>784</v>
      </c>
      <c r="N193" s="194" t="n">
        <v>34104</v>
      </c>
      <c r="O193" s="198" t="n">
        <v>684331.4377851416</v>
      </c>
    </row>
    <row r="194">
      <c r="A194" s="23" t="inlineStr">
        <is>
          <t>HARUNA/YEKINI</t>
        </is>
      </c>
      <c r="B194">
        <f>CONCATENATE(E194,"-",F194,"-",D194)</f>
        <v/>
      </c>
      <c r="C194" s="25">
        <f>CONCATENATE(G194,"-",F194,"-",D194)</f>
        <v/>
      </c>
      <c r="D194" s="23" t="inlineStr">
        <is>
          <t>Upcountry</t>
        </is>
      </c>
      <c r="E194" s="25" t="inlineStr">
        <is>
          <t>Hiabs Logistics</t>
        </is>
      </c>
      <c r="F194" s="74" t="inlineStr">
        <is>
          <t>10T</t>
        </is>
      </c>
      <c r="G194" s="73" t="inlineStr">
        <is>
          <t>JMG</t>
        </is>
      </c>
      <c r="H194" s="74" t="inlineStr">
        <is>
          <t>Abuja</t>
        </is>
      </c>
      <c r="I194" s="74" t="inlineStr">
        <is>
          <t>Lagos</t>
        </is>
      </c>
      <c r="J194" s="74" t="inlineStr">
        <is>
          <t>Lagos</t>
        </is>
      </c>
      <c r="K194" s="201" t="n">
        <v>695.5</v>
      </c>
      <c r="L194" s="201" t="n">
        <v>1391</v>
      </c>
      <c r="M194" s="198" t="n">
        <v>769</v>
      </c>
      <c r="N194" s="194" t="n">
        <v>33384</v>
      </c>
      <c r="O194" s="198" t="n">
        <v>684331.4377851416</v>
      </c>
    </row>
    <row r="195">
      <c r="A195" s="23" t="inlineStr">
        <is>
          <t>HARUNA/YEKINI</t>
        </is>
      </c>
      <c r="B195">
        <f>CONCATENATE(E195,"-",F195,"-",D195)</f>
        <v/>
      </c>
      <c r="C195" s="25">
        <f>CONCATENATE(G195,"-",F195,"-",D195)</f>
        <v/>
      </c>
      <c r="D195" s="23" t="inlineStr">
        <is>
          <t>Upcountry</t>
        </is>
      </c>
      <c r="E195" s="25" t="inlineStr">
        <is>
          <t>Hiabs Logistics</t>
        </is>
      </c>
      <c r="F195" s="74" t="inlineStr">
        <is>
          <t>10T</t>
        </is>
      </c>
      <c r="G195" s="73" t="inlineStr">
        <is>
          <t>JMG</t>
        </is>
      </c>
      <c r="H195" s="74" t="inlineStr">
        <is>
          <t>Abuja</t>
        </is>
      </c>
      <c r="I195" s="74" t="inlineStr">
        <is>
          <t>Port Harcourt</t>
        </is>
      </c>
      <c r="J195" s="74" t="inlineStr">
        <is>
          <t>Rivers</t>
        </is>
      </c>
      <c r="K195" s="201" t="n">
        <v>684.5</v>
      </c>
      <c r="L195" s="201" t="n">
        <v>1369</v>
      </c>
      <c r="M195" s="198" t="n">
        <v>758</v>
      </c>
      <c r="N195" s="194" t="n">
        <v>32856</v>
      </c>
      <c r="O195" s="198" t="n">
        <v>684331.4377851416</v>
      </c>
    </row>
    <row r="196">
      <c r="A196" s="23" t="inlineStr">
        <is>
          <t>HARUNA/YEKINI</t>
        </is>
      </c>
      <c r="B196">
        <f>CONCATENATE(E196,"-",F196,"-",D196)</f>
        <v/>
      </c>
      <c r="C196" s="25">
        <f>CONCATENATE(G196,"-",F196,"-",D196)</f>
        <v/>
      </c>
      <c r="D196" s="23" t="inlineStr">
        <is>
          <t>Upcountry</t>
        </is>
      </c>
      <c r="E196" s="25" t="inlineStr">
        <is>
          <t>Hiabs Logistics</t>
        </is>
      </c>
      <c r="F196" s="74" t="inlineStr">
        <is>
          <t>10T</t>
        </is>
      </c>
      <c r="G196" s="73" t="inlineStr">
        <is>
          <t>JMG</t>
        </is>
      </c>
      <c r="H196" s="74" t="inlineStr">
        <is>
          <t>Abuja</t>
        </is>
      </c>
      <c r="I196" s="74" t="inlineStr">
        <is>
          <t>Abeokuta</t>
        </is>
      </c>
      <c r="J196" s="74" t="inlineStr">
        <is>
          <t>Ogun</t>
        </is>
      </c>
      <c r="K196" s="201" t="n">
        <v>662</v>
      </c>
      <c r="L196" s="201" t="n">
        <v>1324</v>
      </c>
      <c r="M196" s="198" t="n">
        <v>735</v>
      </c>
      <c r="N196" s="194" t="n">
        <v>31776</v>
      </c>
      <c r="O196" s="198" t="n">
        <v>684331.4377851416</v>
      </c>
    </row>
    <row r="197">
      <c r="A197" s="23" t="inlineStr">
        <is>
          <t>HARUNA/YEKINI</t>
        </is>
      </c>
      <c r="B197">
        <f>CONCATENATE(E197,"-",F197,"-",D197)</f>
        <v/>
      </c>
      <c r="C197" s="25">
        <f>CONCATENATE(G197,"-",F197,"-",D197)</f>
        <v/>
      </c>
      <c r="D197" s="23" t="inlineStr">
        <is>
          <t>Upcountry</t>
        </is>
      </c>
      <c r="E197" s="25" t="inlineStr">
        <is>
          <t>Hiabs Logistics</t>
        </is>
      </c>
      <c r="F197" s="74" t="inlineStr">
        <is>
          <t>10T</t>
        </is>
      </c>
      <c r="G197" s="73" t="inlineStr">
        <is>
          <t>JMG</t>
        </is>
      </c>
      <c r="H197" s="74" t="inlineStr">
        <is>
          <t>Abuja</t>
        </is>
      </c>
      <c r="I197" s="74" t="inlineStr">
        <is>
          <t>Birnin Kebbi</t>
        </is>
      </c>
      <c r="J197" s="74" t="inlineStr">
        <is>
          <t>Kebbi</t>
        </is>
      </c>
      <c r="K197" s="201" t="n">
        <v>660</v>
      </c>
      <c r="L197" s="201" t="n">
        <v>1320</v>
      </c>
      <c r="M197" s="198" t="n">
        <v>733</v>
      </c>
      <c r="N197" s="194" t="n">
        <v>31680</v>
      </c>
      <c r="O197" s="198" t="n">
        <v>684331.4377851416</v>
      </c>
    </row>
    <row r="198">
      <c r="A198" s="23" t="inlineStr">
        <is>
          <t>HARUNA/YEKINI</t>
        </is>
      </c>
      <c r="B198">
        <f>CONCATENATE(E198,"-",F198,"-",D198)</f>
        <v/>
      </c>
      <c r="C198" s="25">
        <f>CONCATENATE(G198,"-",F198,"-",D198)</f>
        <v/>
      </c>
      <c r="D198" s="23" t="inlineStr">
        <is>
          <t>Upcountry</t>
        </is>
      </c>
      <c r="E198" s="25" t="inlineStr">
        <is>
          <t>Hiabs Logistics</t>
        </is>
      </c>
      <c r="F198" s="74" t="inlineStr">
        <is>
          <t>10T</t>
        </is>
      </c>
      <c r="G198" s="73" t="inlineStr">
        <is>
          <t>JMG</t>
        </is>
      </c>
      <c r="H198" s="74" t="inlineStr">
        <is>
          <t>Abuja</t>
        </is>
      </c>
      <c r="I198" s="74" t="inlineStr">
        <is>
          <t>Sokoto</t>
        </is>
      </c>
      <c r="J198" s="74" t="inlineStr">
        <is>
          <t>Sokoto</t>
        </is>
      </c>
      <c r="K198" s="201" t="n">
        <v>656.5</v>
      </c>
      <c r="L198" s="201" t="n">
        <v>1313</v>
      </c>
      <c r="M198" s="198" t="n">
        <v>729</v>
      </c>
      <c r="N198" s="194" t="n">
        <v>31512</v>
      </c>
      <c r="O198" s="198" t="n">
        <v>684331.4377851416</v>
      </c>
    </row>
    <row r="199">
      <c r="A199" s="23" t="inlineStr">
        <is>
          <t>HARUNA/YEKINI</t>
        </is>
      </c>
      <c r="B199">
        <f>CONCATENATE(E199,"-",F199,"-",D199)</f>
        <v/>
      </c>
      <c r="C199" s="25">
        <f>CONCATENATE(G199,"-",F199,"-",D199)</f>
        <v/>
      </c>
      <c r="D199" s="23" t="inlineStr">
        <is>
          <t>Upcountry</t>
        </is>
      </c>
      <c r="E199" s="25" t="inlineStr">
        <is>
          <t>Hiabs Logistics</t>
        </is>
      </c>
      <c r="F199" s="74" t="inlineStr">
        <is>
          <t>10T</t>
        </is>
      </c>
      <c r="G199" s="73" t="inlineStr">
        <is>
          <t>JMG</t>
        </is>
      </c>
      <c r="H199" s="74" t="inlineStr">
        <is>
          <t>Abuja</t>
        </is>
      </c>
      <c r="I199" s="74" t="inlineStr">
        <is>
          <t>Jalingo</t>
        </is>
      </c>
      <c r="J199" s="74" t="inlineStr">
        <is>
          <t>Taraba</t>
        </is>
      </c>
      <c r="K199" s="201" t="n">
        <v>616.5</v>
      </c>
      <c r="L199" s="201" t="n">
        <v>1233</v>
      </c>
      <c r="M199" s="198" t="n">
        <v>688</v>
      </c>
      <c r="N199" s="194" t="n">
        <v>29592</v>
      </c>
      <c r="O199" s="198" t="n">
        <v>684331.4377851416</v>
      </c>
    </row>
    <row r="200">
      <c r="A200" s="23" t="inlineStr">
        <is>
          <t>HARUNA/YEKINI</t>
        </is>
      </c>
      <c r="B200">
        <f>CONCATENATE(E200,"-",F200,"-",D200)</f>
        <v/>
      </c>
      <c r="C200" s="25">
        <f>CONCATENATE(G200,"-",F200,"-",D200)</f>
        <v/>
      </c>
      <c r="D200" s="23" t="inlineStr">
        <is>
          <t>Upcountry</t>
        </is>
      </c>
      <c r="E200" s="25" t="inlineStr">
        <is>
          <t>Hiabs Logistics</t>
        </is>
      </c>
      <c r="F200" s="74" t="inlineStr">
        <is>
          <t>10T</t>
        </is>
      </c>
      <c r="G200" s="73" t="inlineStr">
        <is>
          <t>JMG</t>
        </is>
      </c>
      <c r="H200" s="74" t="inlineStr">
        <is>
          <t>Abuja</t>
        </is>
      </c>
      <c r="I200" s="74" t="inlineStr">
        <is>
          <t>Warri</t>
        </is>
      </c>
      <c r="J200" s="74" t="inlineStr">
        <is>
          <t>Delta</t>
        </is>
      </c>
      <c r="K200" s="201" t="n">
        <v>592</v>
      </c>
      <c r="L200" s="201" t="n">
        <v>1184</v>
      </c>
      <c r="M200" s="198" t="n">
        <v>663</v>
      </c>
      <c r="N200" s="194" t="n">
        <v>28416</v>
      </c>
      <c r="O200" s="198" t="n">
        <v>552729.2382110759</v>
      </c>
    </row>
    <row r="201">
      <c r="A201" s="23" t="inlineStr">
        <is>
          <t>HARUNA/YEKINI</t>
        </is>
      </c>
      <c r="B201">
        <f>CONCATENATE(E201,"-",F201,"-",D201)</f>
        <v/>
      </c>
      <c r="C201" s="25">
        <f>CONCATENATE(G201,"-",F201,"-",D201)</f>
        <v/>
      </c>
      <c r="D201" s="23" t="inlineStr">
        <is>
          <t>Upcountry</t>
        </is>
      </c>
      <c r="E201" s="25" t="inlineStr">
        <is>
          <t>Hiabs Logistics</t>
        </is>
      </c>
      <c r="F201" s="74" t="inlineStr">
        <is>
          <t>10T</t>
        </is>
      </c>
      <c r="G201" s="73" t="inlineStr">
        <is>
          <t>JMG</t>
        </is>
      </c>
      <c r="H201" s="74" t="inlineStr">
        <is>
          <t>Abuja</t>
        </is>
      </c>
      <c r="I201" s="74" t="inlineStr">
        <is>
          <t>Ibadan</t>
        </is>
      </c>
      <c r="J201" s="74" t="inlineStr">
        <is>
          <t>Oyo</t>
        </is>
      </c>
      <c r="K201" s="201" t="n">
        <v>566.5</v>
      </c>
      <c r="L201" s="201" t="n">
        <v>1133</v>
      </c>
      <c r="M201" s="198" t="n">
        <v>637</v>
      </c>
      <c r="N201" s="194" t="n">
        <v>27192</v>
      </c>
      <c r="O201" s="198" t="n">
        <v>552729.2382110759</v>
      </c>
    </row>
    <row r="202">
      <c r="A202" s="23" t="inlineStr">
        <is>
          <t>HARUNA/YEKINI</t>
        </is>
      </c>
      <c r="B202">
        <f>CONCATENATE(E202,"-",F202,"-",D202)</f>
        <v/>
      </c>
      <c r="C202" s="25">
        <f>CONCATENATE(G202,"-",F202,"-",D202)</f>
        <v/>
      </c>
      <c r="D202" s="23" t="inlineStr">
        <is>
          <t>Upcountry</t>
        </is>
      </c>
      <c r="E202" s="25" t="inlineStr">
        <is>
          <t>Hiabs Logistics</t>
        </is>
      </c>
      <c r="F202" s="74" t="inlineStr">
        <is>
          <t>10T</t>
        </is>
      </c>
      <c r="G202" s="73" t="inlineStr">
        <is>
          <t>JMG</t>
        </is>
      </c>
      <c r="H202" s="74" t="inlineStr">
        <is>
          <t>Abuja</t>
        </is>
      </c>
      <c r="I202" s="74" t="inlineStr">
        <is>
          <t>Gombe</t>
        </is>
      </c>
      <c r="J202" s="74" t="inlineStr">
        <is>
          <t>Gombe</t>
        </is>
      </c>
      <c r="K202" s="201" t="n">
        <v>546.5</v>
      </c>
      <c r="L202" s="201" t="n">
        <v>1093</v>
      </c>
      <c r="M202" s="198" t="n">
        <v>617</v>
      </c>
      <c r="N202" s="194" t="n">
        <v>26232</v>
      </c>
      <c r="O202" s="198" t="n">
        <v>552729.2382110759</v>
      </c>
    </row>
    <row r="203">
      <c r="A203" s="23" t="inlineStr">
        <is>
          <t>HARUNA/YEKINI</t>
        </is>
      </c>
      <c r="B203">
        <f>CONCATENATE(E203,"-",F203,"-",D203)</f>
        <v/>
      </c>
      <c r="C203" s="25">
        <f>CONCATENATE(G203,"-",F203,"-",D203)</f>
        <v/>
      </c>
      <c r="D203" s="23" t="inlineStr">
        <is>
          <t>Upcountry</t>
        </is>
      </c>
      <c r="E203" s="25" t="inlineStr">
        <is>
          <t>Hiabs Logistics</t>
        </is>
      </c>
      <c r="F203" s="74" t="inlineStr">
        <is>
          <t>10T</t>
        </is>
      </c>
      <c r="G203" s="73" t="inlineStr">
        <is>
          <t>JMG</t>
        </is>
      </c>
      <c r="H203" s="74" t="inlineStr">
        <is>
          <t>Abuja</t>
        </is>
      </c>
      <c r="I203" s="74" t="inlineStr">
        <is>
          <t>Zamfara</t>
        </is>
      </c>
      <c r="J203" s="74" t="inlineStr">
        <is>
          <t>Zamfara</t>
        </is>
      </c>
      <c r="K203" s="201" t="n">
        <v>532</v>
      </c>
      <c r="L203" s="201" t="n">
        <v>1064</v>
      </c>
      <c r="M203" s="198" t="n">
        <v>602</v>
      </c>
      <c r="N203" s="194" t="n">
        <v>25536</v>
      </c>
      <c r="O203" s="198" t="n">
        <v>658010.9978703284</v>
      </c>
    </row>
    <row r="204">
      <c r="A204" s="23" t="inlineStr">
        <is>
          <t>HARUNA/YEKINI</t>
        </is>
      </c>
      <c r="B204">
        <f>CONCATENATE(E204,"-",F204,"-",D204)</f>
        <v/>
      </c>
      <c r="C204" s="25">
        <f>CONCATENATE(G204,"-",F204,"-",D204)</f>
        <v/>
      </c>
      <c r="D204" s="23" t="inlineStr">
        <is>
          <t>Upcountry</t>
        </is>
      </c>
      <c r="E204" s="25" t="inlineStr">
        <is>
          <t>Hiabs Logistics</t>
        </is>
      </c>
      <c r="F204" s="74" t="inlineStr">
        <is>
          <t>10T</t>
        </is>
      </c>
      <c r="G204" s="73" t="inlineStr">
        <is>
          <t>JMG</t>
        </is>
      </c>
      <c r="H204" s="74" t="inlineStr">
        <is>
          <t>Abuja</t>
        </is>
      </c>
      <c r="I204" s="74" t="inlineStr">
        <is>
          <t>Benin City</t>
        </is>
      </c>
      <c r="J204" s="74" t="inlineStr">
        <is>
          <t>Edo</t>
        </is>
      </c>
      <c r="K204" s="201" t="n">
        <v>489.5</v>
      </c>
      <c r="L204" s="201" t="n">
        <v>979</v>
      </c>
      <c r="M204" s="198" t="n">
        <v>559</v>
      </c>
      <c r="N204" s="194" t="n">
        <v>23496</v>
      </c>
      <c r="O204" s="198" t="n">
        <v>658010.9978703284</v>
      </c>
    </row>
    <row r="205">
      <c r="A205" s="23" t="inlineStr">
        <is>
          <t>HARUNA/YEKINI</t>
        </is>
      </c>
      <c r="B205">
        <f>CONCATENATE(E205,"-",F205,"-",D205)</f>
        <v/>
      </c>
      <c r="C205" s="25">
        <f>CONCATENATE(G205,"-",F205,"-",D205)</f>
        <v/>
      </c>
      <c r="D205" s="23" t="inlineStr">
        <is>
          <t>Upcountry</t>
        </is>
      </c>
      <c r="E205" s="25" t="inlineStr">
        <is>
          <t>Hiabs Logistics</t>
        </is>
      </c>
      <c r="F205" s="74" t="inlineStr">
        <is>
          <t>10T</t>
        </is>
      </c>
      <c r="G205" s="73" t="inlineStr">
        <is>
          <t>JMG</t>
        </is>
      </c>
      <c r="H205" s="74" t="inlineStr">
        <is>
          <t>Abuja</t>
        </is>
      </c>
      <c r="I205" s="74" t="inlineStr">
        <is>
          <t>Kano</t>
        </is>
      </c>
      <c r="J205" s="74" t="inlineStr">
        <is>
          <t>Kano</t>
        </is>
      </c>
      <c r="K205" s="201" t="n">
        <v>429</v>
      </c>
      <c r="L205" s="201" t="n">
        <v>858</v>
      </c>
      <c r="M205" s="198" t="n">
        <v>497</v>
      </c>
      <c r="N205" s="194" t="n">
        <v>20592</v>
      </c>
      <c r="O205" s="198" t="n">
        <v>526408.7982962627</v>
      </c>
    </row>
    <row r="206">
      <c r="A206" s="23" t="inlineStr">
        <is>
          <t>HARUNA/YEKINI</t>
        </is>
      </c>
      <c r="B206">
        <f>CONCATENATE(E206,"-",F206,"-",D206)</f>
        <v/>
      </c>
      <c r="C206" s="25">
        <f>CONCATENATE(G206,"-",F206,"-",D206)</f>
        <v/>
      </c>
      <c r="D206" s="23" t="inlineStr">
        <is>
          <t>Upcountry</t>
        </is>
      </c>
      <c r="E206" s="25" t="inlineStr">
        <is>
          <t>Hiabs Logistics</t>
        </is>
      </c>
      <c r="F206" s="74" t="inlineStr">
        <is>
          <t>10T</t>
        </is>
      </c>
      <c r="G206" s="73" t="inlineStr">
        <is>
          <t>JMG</t>
        </is>
      </c>
      <c r="H206" s="74" t="inlineStr">
        <is>
          <t>Abuja</t>
        </is>
      </c>
      <c r="I206" s="74" t="inlineStr">
        <is>
          <t>Bauchi</t>
        </is>
      </c>
      <c r="J206" s="74" t="inlineStr">
        <is>
          <t>Bauchi</t>
        </is>
      </c>
      <c r="K206" s="201" t="n">
        <v>396</v>
      </c>
      <c r="L206" s="201" t="n">
        <v>792</v>
      </c>
      <c r="M206" s="198" t="n">
        <v>463</v>
      </c>
      <c r="N206" s="194" t="n">
        <v>19008</v>
      </c>
      <c r="O206" s="198" t="n">
        <v>526408.7982962627</v>
      </c>
    </row>
    <row r="207">
      <c r="A207" s="23" t="inlineStr">
        <is>
          <t>HARUNA/YEKINI</t>
        </is>
      </c>
      <c r="B207">
        <f>CONCATENATE(E207,"-",F207,"-",D207)</f>
        <v/>
      </c>
      <c r="C207" s="25">
        <f>CONCATENATE(G207,"-",F207,"-",D207)</f>
        <v/>
      </c>
      <c r="D207" s="23" t="inlineStr">
        <is>
          <t>Upcountry</t>
        </is>
      </c>
      <c r="E207" s="25" t="inlineStr">
        <is>
          <t>Hiabs Logistics</t>
        </is>
      </c>
      <c r="F207" s="74" t="inlineStr">
        <is>
          <t>10T</t>
        </is>
      </c>
      <c r="G207" s="73" t="inlineStr">
        <is>
          <t>JMG</t>
        </is>
      </c>
      <c r="H207" s="74" t="inlineStr">
        <is>
          <t>Abuja</t>
        </is>
      </c>
      <c r="I207" s="74" t="inlineStr">
        <is>
          <t>Gboko</t>
        </is>
      </c>
      <c r="J207" s="74" t="inlineStr">
        <is>
          <t>Benue</t>
        </is>
      </c>
      <c r="K207" s="201" t="n">
        <v>374</v>
      </c>
      <c r="L207" s="201" t="n">
        <v>748</v>
      </c>
      <c r="M207" s="198" t="n">
        <v>441</v>
      </c>
      <c r="N207" s="194" t="n">
        <v>17952</v>
      </c>
      <c r="O207" s="198" t="n">
        <v>526408.7982962627</v>
      </c>
    </row>
    <row r="208">
      <c r="A208" s="23" t="inlineStr">
        <is>
          <t>HARUNA/YEKINI</t>
        </is>
      </c>
      <c r="B208">
        <f>CONCATENATE(E208,"-",F208,"-",D208)</f>
        <v/>
      </c>
      <c r="C208" s="25">
        <f>CONCATENATE(G208,"-",F208,"-",D208)</f>
        <v/>
      </c>
      <c r="D208" s="23" t="inlineStr">
        <is>
          <t>Upcountry</t>
        </is>
      </c>
      <c r="E208" s="25" t="inlineStr">
        <is>
          <t>Hiabs Logistics</t>
        </is>
      </c>
      <c r="F208" s="74" t="inlineStr">
        <is>
          <t>10T</t>
        </is>
      </c>
      <c r="G208" s="73" t="inlineStr">
        <is>
          <t>JMG</t>
        </is>
      </c>
      <c r="H208" s="74" t="inlineStr">
        <is>
          <t>Abuja</t>
        </is>
      </c>
      <c r="I208" s="74" t="inlineStr">
        <is>
          <t>Ankpa</t>
        </is>
      </c>
      <c r="J208" s="74" t="inlineStr">
        <is>
          <t>Kogi</t>
        </is>
      </c>
      <c r="K208" s="201" t="n">
        <v>371.5</v>
      </c>
      <c r="L208" s="201" t="n">
        <v>743</v>
      </c>
      <c r="M208" s="198" t="n">
        <v>438</v>
      </c>
      <c r="N208" s="194" t="n">
        <v>17832</v>
      </c>
      <c r="O208" s="198" t="n">
        <v>526408.7982962627</v>
      </c>
    </row>
    <row r="209">
      <c r="A209" s="23" t="inlineStr">
        <is>
          <t>HARUNA/YEKINI</t>
        </is>
      </c>
      <c r="B209">
        <f>CONCATENATE(E209,"-",F209,"-",D209)</f>
        <v/>
      </c>
      <c r="C209" s="25">
        <f>CONCATENATE(G209,"-",F209,"-",D209)</f>
        <v/>
      </c>
      <c r="D209" s="23" t="inlineStr">
        <is>
          <t>Upcountry</t>
        </is>
      </c>
      <c r="E209" s="25" t="inlineStr">
        <is>
          <t>Hiabs Logistics</t>
        </is>
      </c>
      <c r="F209" s="74" t="inlineStr">
        <is>
          <t>10T</t>
        </is>
      </c>
      <c r="G209" s="73" t="inlineStr">
        <is>
          <t>JMG</t>
        </is>
      </c>
      <c r="H209" s="74" t="inlineStr">
        <is>
          <t>Abuja</t>
        </is>
      </c>
      <c r="I209" s="74" t="inlineStr">
        <is>
          <t>Idah</t>
        </is>
      </c>
      <c r="J209" s="74" t="inlineStr">
        <is>
          <t>Kogi</t>
        </is>
      </c>
      <c r="K209" s="201" t="n">
        <v>327</v>
      </c>
      <c r="L209" s="201" t="n">
        <v>654</v>
      </c>
      <c r="M209" s="198" t="n">
        <v>393</v>
      </c>
      <c r="N209" s="194" t="n">
        <v>15696</v>
      </c>
      <c r="O209" s="198" t="n">
        <v>526408.7982962627</v>
      </c>
    </row>
    <row r="210">
      <c r="A210" s="23" t="inlineStr">
        <is>
          <t>HARUNA/YEKINI</t>
        </is>
      </c>
      <c r="B210">
        <f>CONCATENATE(E210,"-",F210,"-",D210)</f>
        <v/>
      </c>
      <c r="C210" s="25">
        <f>CONCATENATE(G210,"-",F210,"-",D210)</f>
        <v/>
      </c>
      <c r="D210" s="23" t="inlineStr">
        <is>
          <t>Upcountry</t>
        </is>
      </c>
      <c r="E210" s="25" t="inlineStr">
        <is>
          <t>Hiabs Logistics</t>
        </is>
      </c>
      <c r="F210" s="74" t="inlineStr">
        <is>
          <t>10T</t>
        </is>
      </c>
      <c r="G210" s="73" t="inlineStr">
        <is>
          <t>JMG</t>
        </is>
      </c>
      <c r="H210" s="74" t="inlineStr">
        <is>
          <t>Abuja</t>
        </is>
      </c>
      <c r="I210" s="74" t="inlineStr">
        <is>
          <t>Makurdi</t>
        </is>
      </c>
      <c r="J210" s="74" t="inlineStr">
        <is>
          <t>Benue</t>
        </is>
      </c>
      <c r="K210" s="201" t="n">
        <v>288.5</v>
      </c>
      <c r="L210" s="201" t="n">
        <v>577</v>
      </c>
      <c r="M210" s="198" t="n">
        <v>354</v>
      </c>
      <c r="N210" s="194" t="n">
        <v>13848</v>
      </c>
      <c r="O210" s="198" t="n">
        <v>460607.6985092299</v>
      </c>
    </row>
    <row r="211">
      <c r="A211" s="23" t="inlineStr">
        <is>
          <t>HARUNA/YEKINI</t>
        </is>
      </c>
      <c r="B211">
        <f>CONCATENATE(E211,"-",F211,"-",D211)</f>
        <v/>
      </c>
      <c r="C211" s="25">
        <f>CONCATENATE(G211,"-",F211,"-",D211)</f>
        <v/>
      </c>
      <c r="D211" s="23" t="inlineStr">
        <is>
          <t>Upcountry</t>
        </is>
      </c>
      <c r="E211" s="25" t="inlineStr">
        <is>
          <t>Hiabs Logistics</t>
        </is>
      </c>
      <c r="F211" s="74" t="inlineStr">
        <is>
          <t>10T</t>
        </is>
      </c>
      <c r="G211" s="73" t="inlineStr">
        <is>
          <t>JMG</t>
        </is>
      </c>
      <c r="H211" s="74" t="inlineStr">
        <is>
          <t>Abuja</t>
        </is>
      </c>
      <c r="I211" s="74" t="inlineStr">
        <is>
          <t>Otukpo</t>
        </is>
      </c>
      <c r="J211" s="74" t="inlineStr">
        <is>
          <t>Benue</t>
        </is>
      </c>
      <c r="K211" s="201" t="n">
        <v>286</v>
      </c>
      <c r="L211" s="201" t="n">
        <v>572</v>
      </c>
      <c r="M211" s="198" t="n">
        <v>351</v>
      </c>
      <c r="N211" s="194" t="n">
        <v>13728</v>
      </c>
      <c r="O211" s="198" t="n">
        <v>460607.6985092299</v>
      </c>
    </row>
    <row r="212">
      <c r="A212" s="23" t="inlineStr">
        <is>
          <t>HARUNA/YEKINI</t>
        </is>
      </c>
      <c r="B212">
        <f>CONCATENATE(E212,"-",F212,"-",D212)</f>
        <v/>
      </c>
      <c r="C212" s="25">
        <f>CONCATENATE(G212,"-",F212,"-",D212)</f>
        <v/>
      </c>
      <c r="D212" s="23" t="inlineStr">
        <is>
          <t>Upcountry</t>
        </is>
      </c>
      <c r="E212" s="25" t="inlineStr">
        <is>
          <t>Hiabs Logistics</t>
        </is>
      </c>
      <c r="F212" s="74" t="inlineStr">
        <is>
          <t>10T</t>
        </is>
      </c>
      <c r="G212" s="73" t="inlineStr">
        <is>
          <t>JMG</t>
        </is>
      </c>
      <c r="H212" s="74" t="inlineStr">
        <is>
          <t>Abuja</t>
        </is>
      </c>
      <c r="I212" s="74" t="inlineStr">
        <is>
          <t>Okene</t>
        </is>
      </c>
      <c r="J212" s="74" t="inlineStr">
        <is>
          <t>Kogi</t>
        </is>
      </c>
      <c r="K212" s="201" t="n">
        <v>267</v>
      </c>
      <c r="L212" s="201" t="n">
        <v>534</v>
      </c>
      <c r="M212" s="198" t="n">
        <v>332</v>
      </c>
      <c r="N212" s="194" t="n">
        <v>12816</v>
      </c>
      <c r="O212" s="198" t="n">
        <v>394806.5987221971</v>
      </c>
    </row>
    <row r="213">
      <c r="A213" s="23" t="inlineStr">
        <is>
          <t>HARUNA/YEKINI</t>
        </is>
      </c>
      <c r="B213">
        <f>CONCATENATE(E213,"-",F213,"-",D213)</f>
        <v/>
      </c>
      <c r="C213" s="25">
        <f>CONCATENATE(G213,"-",F213,"-",D213)</f>
        <v/>
      </c>
      <c r="D213" s="23" t="inlineStr">
        <is>
          <t>Upcountry</t>
        </is>
      </c>
      <c r="E213" s="25" t="inlineStr">
        <is>
          <t>Hiabs Logistics</t>
        </is>
      </c>
      <c r="F213" s="74" t="inlineStr">
        <is>
          <t>10T</t>
        </is>
      </c>
      <c r="G213" s="73" t="inlineStr">
        <is>
          <t>JMG</t>
        </is>
      </c>
      <c r="H213" s="74" t="inlineStr">
        <is>
          <t>Abuja</t>
        </is>
      </c>
      <c r="I213" s="74" t="inlineStr">
        <is>
          <t>Jos</t>
        </is>
      </c>
      <c r="J213" s="74" t="inlineStr">
        <is>
          <t>Plateau</t>
        </is>
      </c>
      <c r="K213" s="201" t="n">
        <v>265</v>
      </c>
      <c r="L213" s="201" t="n">
        <v>530</v>
      </c>
      <c r="M213" s="198" t="n">
        <v>330</v>
      </c>
      <c r="N213" s="194" t="n">
        <v>12720</v>
      </c>
      <c r="O213" s="198" t="n">
        <v>394806.5987221971</v>
      </c>
    </row>
    <row r="214">
      <c r="A214" s="23" t="inlineStr">
        <is>
          <t>HARUNA/YEKINI</t>
        </is>
      </c>
      <c r="B214">
        <f>CONCATENATE(E214,"-",F214,"-",D214)</f>
        <v/>
      </c>
      <c r="C214" s="25">
        <f>CONCATENATE(G214,"-",F214,"-",D214)</f>
        <v/>
      </c>
      <c r="D214" s="23" t="inlineStr">
        <is>
          <t>Upcountry</t>
        </is>
      </c>
      <c r="E214" s="25" t="inlineStr">
        <is>
          <t>Hiabs Logistics</t>
        </is>
      </c>
      <c r="F214" s="74" t="inlineStr">
        <is>
          <t>10T</t>
        </is>
      </c>
      <c r="G214" s="73" t="inlineStr">
        <is>
          <t>JMG</t>
        </is>
      </c>
      <c r="H214" s="74" t="inlineStr">
        <is>
          <t>Abuja</t>
        </is>
      </c>
      <c r="I214" s="74" t="inlineStr">
        <is>
          <t>Obajana</t>
        </is>
      </c>
      <c r="J214" s="74" t="inlineStr">
        <is>
          <t>Kogi</t>
        </is>
      </c>
      <c r="K214" s="201" t="n">
        <v>234</v>
      </c>
      <c r="L214" s="201" t="n">
        <v>468</v>
      </c>
      <c r="M214" s="198" t="n">
        <v>298</v>
      </c>
      <c r="N214" s="194" t="n">
        <v>11232</v>
      </c>
      <c r="O214" s="198" t="n">
        <v>394806.5987221971</v>
      </c>
    </row>
    <row r="215">
      <c r="A215" s="23" t="inlineStr">
        <is>
          <t>HARUNA/YEKINI</t>
        </is>
      </c>
      <c r="B215">
        <f>CONCATENATE(E215,"-",F215,"-",D215)</f>
        <v/>
      </c>
      <c r="C215" s="25">
        <f>CONCATENATE(G215,"-",F215,"-",D215)</f>
        <v/>
      </c>
      <c r="D215" s="23" t="inlineStr">
        <is>
          <t>Upcountry</t>
        </is>
      </c>
      <c r="E215" s="25" t="inlineStr">
        <is>
          <t>Hiabs Logistics</t>
        </is>
      </c>
      <c r="F215" s="74" t="inlineStr">
        <is>
          <t>10T</t>
        </is>
      </c>
      <c r="G215" s="73" t="inlineStr">
        <is>
          <t>JMG</t>
        </is>
      </c>
      <c r="H215" s="74" t="inlineStr">
        <is>
          <t>Abuja</t>
        </is>
      </c>
      <c r="I215" s="74" t="inlineStr">
        <is>
          <t>Lokoja</t>
        </is>
      </c>
      <c r="J215" s="74" t="inlineStr">
        <is>
          <t>Kogi</t>
        </is>
      </c>
      <c r="K215" s="201" t="n">
        <v>200.5</v>
      </c>
      <c r="L215" s="201" t="n">
        <v>401</v>
      </c>
      <c r="M215" s="198" t="n">
        <v>264</v>
      </c>
      <c r="N215" s="194" t="n">
        <v>9624</v>
      </c>
      <c r="O215" s="198" t="n">
        <v>394806.5987221971</v>
      </c>
    </row>
    <row r="216">
      <c r="A216" s="23" t="inlineStr">
        <is>
          <t>HARUNA/YEKINI</t>
        </is>
      </c>
      <c r="B216">
        <f>CONCATENATE(E216,"-",F216,"-",D216)</f>
        <v/>
      </c>
      <c r="C216" s="25">
        <f>CONCATENATE(G216,"-",F216,"-",D216)</f>
        <v/>
      </c>
      <c r="D216" s="23" t="inlineStr">
        <is>
          <t>Upcountry</t>
        </is>
      </c>
      <c r="E216" s="25" t="inlineStr">
        <is>
          <t>Hiabs Logistics</t>
        </is>
      </c>
      <c r="F216" s="74" t="inlineStr">
        <is>
          <t>10T</t>
        </is>
      </c>
      <c r="G216" s="73" t="inlineStr">
        <is>
          <t>JMG</t>
        </is>
      </c>
      <c r="H216" s="74" t="inlineStr">
        <is>
          <t>Abuja</t>
        </is>
      </c>
      <c r="I216" s="74" t="inlineStr">
        <is>
          <t>Kaduna</t>
        </is>
      </c>
      <c r="J216" s="74" t="inlineStr">
        <is>
          <t>Kaduna</t>
        </is>
      </c>
      <c r="K216" s="201" t="n">
        <v>195.5</v>
      </c>
      <c r="L216" s="201" t="n">
        <v>391</v>
      </c>
      <c r="M216" s="198" t="n">
        <v>259</v>
      </c>
      <c r="N216" s="194" t="n">
        <v>9384</v>
      </c>
      <c r="O216" s="198" t="n">
        <v>394806.5987221971</v>
      </c>
    </row>
    <row r="217">
      <c r="A217" s="23" t="inlineStr">
        <is>
          <t>HARUNA/YEKINI</t>
        </is>
      </c>
      <c r="B217">
        <f>CONCATENATE(E217,"-",F217,"-",D217)</f>
        <v/>
      </c>
      <c r="C217" s="25">
        <f>CONCATENATE(G217,"-",F217,"-",D217)</f>
        <v/>
      </c>
      <c r="D217" s="23" t="inlineStr">
        <is>
          <t>Upcountry</t>
        </is>
      </c>
      <c r="E217" s="25" t="inlineStr">
        <is>
          <t>Hiabs Logistics</t>
        </is>
      </c>
      <c r="F217" s="74" t="inlineStr">
        <is>
          <t>10T</t>
        </is>
      </c>
      <c r="G217" s="73" t="inlineStr">
        <is>
          <t>JMG</t>
        </is>
      </c>
      <c r="H217" s="74" t="inlineStr">
        <is>
          <t>Abuja</t>
        </is>
      </c>
      <c r="I217" s="74" t="inlineStr">
        <is>
          <t>Lafia</t>
        </is>
      </c>
      <c r="J217" s="74" t="inlineStr">
        <is>
          <t>Nasarawa</t>
        </is>
      </c>
      <c r="K217" s="201" t="n">
        <v>188</v>
      </c>
      <c r="L217" s="201" t="n">
        <v>376</v>
      </c>
      <c r="M217" s="198" t="n">
        <v>251</v>
      </c>
      <c r="N217" s="194" t="n">
        <v>9024</v>
      </c>
      <c r="O217" s="198" t="n">
        <v>394806.5987221971</v>
      </c>
    </row>
    <row r="218">
      <c r="A218" s="23" t="inlineStr">
        <is>
          <t>HARUNA/YEKINI</t>
        </is>
      </c>
      <c r="B218">
        <f>CONCATENATE(E218,"-",F218,"-",D218)</f>
        <v/>
      </c>
      <c r="C218" s="25">
        <f>CONCATENATE(G218,"-",F218,"-",D218)</f>
        <v/>
      </c>
      <c r="D218" s="23" t="inlineStr">
        <is>
          <t>Upcountry</t>
        </is>
      </c>
      <c r="E218" s="25" t="inlineStr">
        <is>
          <t>Hiabs Logistics</t>
        </is>
      </c>
      <c r="F218" s="74" t="inlineStr">
        <is>
          <t>10T</t>
        </is>
      </c>
      <c r="G218" s="73" t="inlineStr">
        <is>
          <t>JMG</t>
        </is>
      </c>
      <c r="H218" s="74" t="inlineStr">
        <is>
          <t>Abuja</t>
        </is>
      </c>
      <c r="I218" s="74" t="inlineStr">
        <is>
          <t>Minna</t>
        </is>
      </c>
      <c r="J218" s="74" t="inlineStr">
        <is>
          <t>Niger</t>
        </is>
      </c>
      <c r="K218" s="201" t="n">
        <v>162.5</v>
      </c>
      <c r="L218" s="201" t="n">
        <v>325</v>
      </c>
      <c r="M218" s="198" t="n">
        <v>225</v>
      </c>
      <c r="N218" s="194" t="n">
        <v>7800</v>
      </c>
      <c r="O218" s="198" t="n">
        <v>394806.5987221971</v>
      </c>
    </row>
    <row r="219">
      <c r="A219" s="23" t="inlineStr">
        <is>
          <t>HARUNA/YEKINI</t>
        </is>
      </c>
      <c r="B219">
        <f>CONCATENATE(E219,"-",F219,"-",D219)</f>
        <v/>
      </c>
      <c r="C219" s="25">
        <f>CONCATENATE(G219,"-",F219,"-",D219)</f>
        <v/>
      </c>
      <c r="D219" s="23" t="inlineStr">
        <is>
          <t>Upcountry</t>
        </is>
      </c>
      <c r="E219" s="25" t="inlineStr">
        <is>
          <t>Hiabs Logistics</t>
        </is>
      </c>
      <c r="F219" s="74" t="inlineStr">
        <is>
          <t>10T</t>
        </is>
      </c>
      <c r="G219" s="73" t="inlineStr">
        <is>
          <t>JMG</t>
        </is>
      </c>
      <c r="H219" s="74" t="inlineStr">
        <is>
          <t>Abuja</t>
        </is>
      </c>
      <c r="I219" s="74" t="inlineStr">
        <is>
          <t>Keffi</t>
        </is>
      </c>
      <c r="J219" s="74" t="inlineStr">
        <is>
          <t>Nasarawa</t>
        </is>
      </c>
      <c r="K219" s="201" t="n">
        <v>65.5</v>
      </c>
      <c r="L219" s="201" t="n">
        <v>131</v>
      </c>
      <c r="M219" s="198" t="n">
        <v>126</v>
      </c>
      <c r="N219" s="194" t="n">
        <v>3144</v>
      </c>
      <c r="O219" s="198" t="n">
        <v>263204.3991481314</v>
      </c>
    </row>
    <row r="220">
      <c r="A220" s="23" t="inlineStr">
        <is>
          <t>HARUNA/YEKINI</t>
        </is>
      </c>
      <c r="B220">
        <f>CONCATENATE(E220,"-",F220,"-",D220)</f>
        <v/>
      </c>
      <c r="C220" s="25">
        <f>CONCATENATE(G220,"-",F220,"-",D220)</f>
        <v/>
      </c>
      <c r="D220" s="23" t="inlineStr">
        <is>
          <t>Upcountry</t>
        </is>
      </c>
      <c r="E220" s="25" t="inlineStr">
        <is>
          <t>Hiabs Logistics</t>
        </is>
      </c>
      <c r="F220" s="74" t="inlineStr">
        <is>
          <t>10T</t>
        </is>
      </c>
      <c r="G220" s="73" t="inlineStr">
        <is>
          <t>JMG</t>
        </is>
      </c>
      <c r="H220" s="74" t="inlineStr">
        <is>
          <t>Abuja</t>
        </is>
      </c>
      <c r="I220" s="74" t="inlineStr">
        <is>
          <t>Suleja</t>
        </is>
      </c>
      <c r="J220" s="74" t="inlineStr">
        <is>
          <t>Niger</t>
        </is>
      </c>
      <c r="K220" s="201" t="n">
        <v>63.5</v>
      </c>
      <c r="L220" s="201" t="n">
        <v>127</v>
      </c>
      <c r="M220" s="198" t="n">
        <v>124</v>
      </c>
      <c r="N220" s="194" t="n">
        <v>3048</v>
      </c>
      <c r="O220" s="198" t="n">
        <v>263204.3991481314</v>
      </c>
    </row>
    <row r="221">
      <c r="A221" s="23" t="inlineStr">
        <is>
          <t>HARUNA/YEKINI</t>
        </is>
      </c>
      <c r="B221">
        <f>CONCATENATE(E221,"-",F221,"-",D221)</f>
        <v/>
      </c>
      <c r="C221" s="25">
        <f>CONCATENATE(G221,"-",F221,"-",D221)</f>
        <v/>
      </c>
      <c r="D221" s="23" t="inlineStr">
        <is>
          <t>Local</t>
        </is>
      </c>
      <c r="E221" s="25" t="inlineStr">
        <is>
          <t>Hiabs Logistics</t>
        </is>
      </c>
      <c r="F221" s="74" t="inlineStr">
        <is>
          <t>10T</t>
        </is>
      </c>
      <c r="G221" s="73" t="inlineStr">
        <is>
          <t>JMG</t>
        </is>
      </c>
      <c r="H221" s="74" t="inlineStr">
        <is>
          <t>Abuja</t>
        </is>
      </c>
      <c r="I221" s="74" t="inlineStr">
        <is>
          <t>Gwagwalada</t>
        </is>
      </c>
      <c r="J221" s="74" t="inlineStr">
        <is>
          <t>FCT</t>
        </is>
      </c>
      <c r="K221" s="201" t="n">
        <v>56.5</v>
      </c>
      <c r="L221" s="201" t="n">
        <v>113</v>
      </c>
      <c r="M221" s="198" t="n">
        <v>117</v>
      </c>
      <c r="N221" s="194" t="n">
        <v>2712</v>
      </c>
      <c r="O221" s="198" t="n">
        <v>263204.3991481314</v>
      </c>
    </row>
    <row r="222">
      <c r="A222" s="23" t="inlineStr">
        <is>
          <t>HARUNA/YEKINI</t>
        </is>
      </c>
      <c r="B222">
        <f>CONCATENATE(E222,"-",F222,"-",D222)</f>
        <v/>
      </c>
      <c r="C222" s="25">
        <f>CONCATENATE(G222,"-",F222,"-",D222)</f>
        <v/>
      </c>
      <c r="D222" s="23" t="inlineStr">
        <is>
          <t>Local</t>
        </is>
      </c>
      <c r="E222" s="25" t="inlineStr">
        <is>
          <t>Hiabs Logistics</t>
        </is>
      </c>
      <c r="F222" s="74" t="inlineStr">
        <is>
          <t>10T</t>
        </is>
      </c>
      <c r="G222" s="73" t="inlineStr">
        <is>
          <t>JMG</t>
        </is>
      </c>
      <c r="H222" s="74" t="inlineStr">
        <is>
          <t>Abuja</t>
        </is>
      </c>
      <c r="I222" s="74" t="inlineStr">
        <is>
          <t>Karshi</t>
        </is>
      </c>
      <c r="J222" s="74" t="inlineStr">
        <is>
          <t>FCT</t>
        </is>
      </c>
      <c r="K222" s="201" t="n">
        <v>44.3</v>
      </c>
      <c r="L222" s="201" t="n">
        <v>88.59999999999999</v>
      </c>
      <c r="M222" s="198" t="n">
        <v>105</v>
      </c>
      <c r="N222" s="194" t="n">
        <v>2126.4</v>
      </c>
      <c r="O222" s="198" t="n">
        <v>263204.3991481314</v>
      </c>
    </row>
    <row r="223">
      <c r="A223" s="23" t="inlineStr">
        <is>
          <t>HARUNA/YEKINI</t>
        </is>
      </c>
      <c r="B223">
        <f>CONCATENATE(E223,"-",F223,"-",D223)</f>
        <v/>
      </c>
      <c r="C223" s="25">
        <f>CONCATENATE(G223,"-",F223,"-",D223)</f>
        <v/>
      </c>
      <c r="D223" s="23" t="inlineStr">
        <is>
          <t>Local</t>
        </is>
      </c>
      <c r="E223" s="25" t="inlineStr">
        <is>
          <t>Hiabs Logistics</t>
        </is>
      </c>
      <c r="F223" s="74" t="inlineStr">
        <is>
          <t>10T</t>
        </is>
      </c>
      <c r="G223" s="73" t="inlineStr">
        <is>
          <t>JMG</t>
        </is>
      </c>
      <c r="H223" s="74" t="inlineStr">
        <is>
          <t>Abuja</t>
        </is>
      </c>
      <c r="I223" s="74" t="inlineStr">
        <is>
          <t>Zuba</t>
        </is>
      </c>
      <c r="J223" s="74" t="inlineStr">
        <is>
          <t>FCT</t>
        </is>
      </c>
      <c r="K223" s="201" t="n">
        <v>40.8</v>
      </c>
      <c r="L223" s="201" t="n">
        <v>81.59999999999999</v>
      </c>
      <c r="M223" s="198" t="n">
        <v>101</v>
      </c>
      <c r="N223" s="194" t="n">
        <v>1958.4</v>
      </c>
      <c r="O223" s="198" t="n">
        <v>197403.2993610985</v>
      </c>
    </row>
    <row r="224">
      <c r="A224" s="23" t="inlineStr">
        <is>
          <t>HARUNA/YEKINI</t>
        </is>
      </c>
      <c r="B224">
        <f>CONCATENATE(E224,"-",F224,"-",D224)</f>
        <v/>
      </c>
      <c r="C224" s="25">
        <f>CONCATENATE(G224,"-",F224,"-",D224)</f>
        <v/>
      </c>
      <c r="D224" s="23" t="inlineStr">
        <is>
          <t>Local</t>
        </is>
      </c>
      <c r="E224" s="25" t="inlineStr">
        <is>
          <t>Hiabs Logistics</t>
        </is>
      </c>
      <c r="F224" s="74" t="inlineStr">
        <is>
          <t>10T</t>
        </is>
      </c>
      <c r="G224" s="73" t="inlineStr">
        <is>
          <t>JMG</t>
        </is>
      </c>
      <c r="H224" s="74" t="inlineStr">
        <is>
          <t>Abuja</t>
        </is>
      </c>
      <c r="I224" s="74" t="inlineStr">
        <is>
          <t>Bwari</t>
        </is>
      </c>
      <c r="J224" s="74" t="inlineStr">
        <is>
          <t>FCT</t>
        </is>
      </c>
      <c r="K224" s="201" t="n">
        <v>40</v>
      </c>
      <c r="L224" s="201" t="n">
        <v>80</v>
      </c>
      <c r="M224" s="198" t="n">
        <v>100</v>
      </c>
      <c r="N224" s="194" t="n">
        <v>1920</v>
      </c>
      <c r="O224" s="198" t="n">
        <v>263204.3991481314</v>
      </c>
    </row>
    <row r="225">
      <c r="A225" s="23" t="inlineStr">
        <is>
          <t>HARUNA/YEKINI</t>
        </is>
      </c>
      <c r="B225">
        <f>CONCATENATE(E225,"-",F225,"-",D225)</f>
        <v/>
      </c>
      <c r="C225" s="25">
        <f>CONCATENATE(G225,"-",F225,"-",D225)</f>
        <v/>
      </c>
      <c r="D225" s="23" t="inlineStr">
        <is>
          <t>Local</t>
        </is>
      </c>
      <c r="E225" s="25" t="inlineStr">
        <is>
          <t>Hiabs Logistics</t>
        </is>
      </c>
      <c r="F225" s="74" t="inlineStr">
        <is>
          <t>10T</t>
        </is>
      </c>
      <c r="G225" s="73" t="inlineStr">
        <is>
          <t>JMG</t>
        </is>
      </c>
      <c r="H225" s="74" t="inlineStr">
        <is>
          <t>Abuja</t>
        </is>
      </c>
      <c r="I225" s="74" t="inlineStr">
        <is>
          <t>Kuje</t>
        </is>
      </c>
      <c r="J225" s="74" t="inlineStr">
        <is>
          <t>FCT</t>
        </is>
      </c>
      <c r="K225" s="201" t="n">
        <v>39.5</v>
      </c>
      <c r="L225" s="201" t="n">
        <v>79</v>
      </c>
      <c r="M225" s="198" t="n">
        <v>40</v>
      </c>
      <c r="N225" s="194" t="n">
        <v>1896</v>
      </c>
      <c r="O225" s="198" t="n">
        <v>263204.3991481314</v>
      </c>
    </row>
    <row r="226">
      <c r="A226" s="23" t="inlineStr">
        <is>
          <t>HARUNA/YEKINI</t>
        </is>
      </c>
      <c r="B226">
        <f>CONCATENATE(E226,"-",F226,"-",D226)</f>
        <v/>
      </c>
      <c r="C226" s="25">
        <f>CONCATENATE(G226,"-",F226,"-",D226)</f>
        <v/>
      </c>
      <c r="D226" s="23" t="inlineStr">
        <is>
          <t>Local</t>
        </is>
      </c>
      <c r="E226" s="25" t="inlineStr">
        <is>
          <t>Hiabs Logistics</t>
        </is>
      </c>
      <c r="F226" s="74" t="inlineStr">
        <is>
          <t>10T</t>
        </is>
      </c>
      <c r="G226" s="73" t="inlineStr">
        <is>
          <t>JMG</t>
        </is>
      </c>
      <c r="H226" s="74" t="inlineStr">
        <is>
          <t>Abuja</t>
        </is>
      </c>
      <c r="I226" s="74" t="inlineStr">
        <is>
          <t>Kurudu</t>
        </is>
      </c>
      <c r="J226" s="74" t="inlineStr">
        <is>
          <t>FCT</t>
        </is>
      </c>
      <c r="K226" s="201" t="n">
        <v>30.25</v>
      </c>
      <c r="L226" s="201" t="n">
        <v>60.5</v>
      </c>
      <c r="M226" s="198" t="n">
        <v>90</v>
      </c>
      <c r="N226" s="194" t="n">
        <v>1452</v>
      </c>
      <c r="O226" s="198" t="n">
        <v>263204.3991481314</v>
      </c>
    </row>
    <row r="227">
      <c r="A227" s="23" t="inlineStr">
        <is>
          <t>HARUNA/YEKINI</t>
        </is>
      </c>
      <c r="B227">
        <f>CONCATENATE(E227,"-",F227,"-",D227)</f>
        <v/>
      </c>
      <c r="C227" s="25">
        <f>CONCATENATE(G227,"-",F227,"-",D227)</f>
        <v/>
      </c>
      <c r="D227" s="23" t="inlineStr">
        <is>
          <t>Local</t>
        </is>
      </c>
      <c r="E227" s="25" t="inlineStr">
        <is>
          <t>Hiabs Logistics</t>
        </is>
      </c>
      <c r="F227" s="74" t="inlineStr">
        <is>
          <t>10T</t>
        </is>
      </c>
      <c r="G227" s="73" t="inlineStr">
        <is>
          <t>JMG</t>
        </is>
      </c>
      <c r="H227" s="74" t="inlineStr">
        <is>
          <t>Abuja</t>
        </is>
      </c>
      <c r="I227" s="74" t="inlineStr">
        <is>
          <t>Kubwa</t>
        </is>
      </c>
      <c r="J227" s="74" t="inlineStr">
        <is>
          <t>FCT</t>
        </is>
      </c>
      <c r="K227" s="201" t="n">
        <v>29</v>
      </c>
      <c r="L227" s="201" t="n">
        <v>58</v>
      </c>
      <c r="M227" s="198" t="n">
        <v>89</v>
      </c>
      <c r="N227" s="194" t="n">
        <v>1392</v>
      </c>
      <c r="O227" s="198" t="n">
        <v>263204.3991481314</v>
      </c>
    </row>
    <row r="228">
      <c r="A228" s="23" t="inlineStr">
        <is>
          <t>HARUNA/YEKINI</t>
        </is>
      </c>
      <c r="B228">
        <f>CONCATENATE(E228,"-",F228,"-",D228)</f>
        <v/>
      </c>
      <c r="C228" s="25">
        <f>CONCATENATE(G228,"-",F228,"-",D228)</f>
        <v/>
      </c>
      <c r="D228" s="23" t="inlineStr">
        <is>
          <t>Local</t>
        </is>
      </c>
      <c r="E228" s="25" t="inlineStr">
        <is>
          <t>Hiabs Logistics</t>
        </is>
      </c>
      <c r="F228" s="74" t="inlineStr">
        <is>
          <t>10T</t>
        </is>
      </c>
      <c r="G228" s="73" t="inlineStr">
        <is>
          <t>JMG</t>
        </is>
      </c>
      <c r="H228" s="74" t="inlineStr">
        <is>
          <t>Abuja</t>
        </is>
      </c>
      <c r="I228" s="74" t="inlineStr">
        <is>
          <t>Jega</t>
        </is>
      </c>
      <c r="J228" s="74" t="inlineStr">
        <is>
          <t>Kebbi</t>
        </is>
      </c>
      <c r="K228" s="201" t="n">
        <v>26.4</v>
      </c>
      <c r="L228" s="201" t="n">
        <v>52.8</v>
      </c>
      <c r="M228" s="198" t="n">
        <v>86</v>
      </c>
      <c r="N228" s="194" t="n">
        <v>1267.2</v>
      </c>
      <c r="O228" s="198" t="n">
        <v>263204.3991481314</v>
      </c>
    </row>
    <row r="229">
      <c r="A229" s="23" t="inlineStr">
        <is>
          <t>HARUNA/YEKINI</t>
        </is>
      </c>
      <c r="B229">
        <f>CONCATENATE(E229,"-",F229,"-",D229)</f>
        <v/>
      </c>
      <c r="C229" s="25">
        <f>CONCATENATE(G229,"-",F229,"-",D229)</f>
        <v/>
      </c>
      <c r="D229" s="23" t="inlineStr">
        <is>
          <t>Local</t>
        </is>
      </c>
      <c r="E229" s="25" t="inlineStr">
        <is>
          <t>Hiabs Logistics</t>
        </is>
      </c>
      <c r="F229" s="74" t="inlineStr">
        <is>
          <t>10T</t>
        </is>
      </c>
      <c r="G229" s="73" t="inlineStr">
        <is>
          <t>JMG</t>
        </is>
      </c>
      <c r="H229" s="74" t="inlineStr">
        <is>
          <t>Abuja</t>
        </is>
      </c>
      <c r="I229" s="74" t="inlineStr">
        <is>
          <t>Mararaba</t>
        </is>
      </c>
      <c r="J229" s="74" t="inlineStr">
        <is>
          <t>Nasarawa</t>
        </is>
      </c>
      <c r="K229" s="201" t="n">
        <v>24.7</v>
      </c>
      <c r="L229" s="201" t="n">
        <v>49.4</v>
      </c>
      <c r="M229" s="198" t="n">
        <v>85</v>
      </c>
      <c r="N229" s="194" t="n">
        <v>1185.6</v>
      </c>
      <c r="O229" s="198" t="n">
        <v>394806.5987221971</v>
      </c>
    </row>
    <row r="230">
      <c r="A230" s="23" t="inlineStr">
        <is>
          <t>HARUNA/YEKINI</t>
        </is>
      </c>
      <c r="B230">
        <f>CONCATENATE(E230,"-",F230,"-",D230)</f>
        <v/>
      </c>
      <c r="C230" s="25">
        <f>CONCATENATE(G230,"-",F230,"-",D230)</f>
        <v/>
      </c>
      <c r="D230" s="23" t="inlineStr">
        <is>
          <t>Local</t>
        </is>
      </c>
      <c r="E230" s="25" t="inlineStr">
        <is>
          <t>Hiabs Logistics</t>
        </is>
      </c>
      <c r="F230" s="74" t="inlineStr">
        <is>
          <t>10T</t>
        </is>
      </c>
      <c r="G230" s="73" t="inlineStr">
        <is>
          <t>JMG</t>
        </is>
      </c>
      <c r="H230" s="74" t="inlineStr">
        <is>
          <t>Abuja</t>
        </is>
      </c>
      <c r="I230" s="74" t="inlineStr">
        <is>
          <t>Karu</t>
        </is>
      </c>
      <c r="J230" s="74" t="inlineStr">
        <is>
          <t>FCT</t>
        </is>
      </c>
      <c r="K230" s="201" t="n">
        <v>24.3</v>
      </c>
      <c r="L230" s="200" t="n">
        <v>48.6</v>
      </c>
      <c r="M230" s="198" t="n">
        <v>84</v>
      </c>
      <c r="N230" s="194" t="n">
        <v>1166.4</v>
      </c>
      <c r="O230" s="198" t="n">
        <v>263204.3991481314</v>
      </c>
    </row>
    <row r="231">
      <c r="A231" s="23" t="inlineStr">
        <is>
          <t>HARUNA/YEKINI</t>
        </is>
      </c>
      <c r="B231">
        <f>CONCATENATE(E231,"-",F231,"-",D231)</f>
        <v/>
      </c>
      <c r="C231" s="25">
        <f>CONCATENATE(G231,"-",F231,"-",D231)</f>
        <v/>
      </c>
      <c r="D231" s="23" t="inlineStr">
        <is>
          <t>Local</t>
        </is>
      </c>
      <c r="E231" s="25" t="inlineStr">
        <is>
          <t>Hiabs Logistics</t>
        </is>
      </c>
      <c r="F231" s="74" t="inlineStr">
        <is>
          <t>10T</t>
        </is>
      </c>
      <c r="G231" s="73" t="inlineStr">
        <is>
          <t>JMG</t>
        </is>
      </c>
      <c r="H231" s="74" t="inlineStr">
        <is>
          <t>Abuja</t>
        </is>
      </c>
      <c r="I231" s="74" t="inlineStr">
        <is>
          <t>Jikwoyi</t>
        </is>
      </c>
      <c r="J231" s="74" t="inlineStr">
        <is>
          <t>FCT</t>
        </is>
      </c>
      <c r="K231" s="201" t="n">
        <v>24.25</v>
      </c>
      <c r="L231" s="201" t="n">
        <v>48.5</v>
      </c>
      <c r="M231" s="198" t="n">
        <v>84</v>
      </c>
      <c r="N231" s="194" t="n">
        <v>1164</v>
      </c>
      <c r="O231" s="198" t="n">
        <v>263204.3991481314</v>
      </c>
    </row>
    <row r="232">
      <c r="A232" s="23" t="inlineStr">
        <is>
          <t>HARUNA/YEKINI</t>
        </is>
      </c>
      <c r="B232">
        <f>CONCATENATE(E232,"-",F232,"-",D232)</f>
        <v/>
      </c>
      <c r="C232" s="25">
        <f>CONCATENATE(G232,"-",F232,"-",D232)</f>
        <v/>
      </c>
      <c r="D232" s="23" t="inlineStr">
        <is>
          <t>Local</t>
        </is>
      </c>
      <c r="E232" s="25" t="inlineStr">
        <is>
          <t>Hiabs Logistics</t>
        </is>
      </c>
      <c r="F232" s="74" t="inlineStr">
        <is>
          <t>10T</t>
        </is>
      </c>
      <c r="G232" s="73" t="inlineStr">
        <is>
          <t>JMG</t>
        </is>
      </c>
      <c r="H232" s="74" t="inlineStr">
        <is>
          <t>Abuja</t>
        </is>
      </c>
      <c r="I232" s="74" t="inlineStr">
        <is>
          <t>Nyanya</t>
        </is>
      </c>
      <c r="J232" s="74" t="inlineStr">
        <is>
          <t>FCT</t>
        </is>
      </c>
      <c r="K232" s="201" t="n">
        <v>23.6</v>
      </c>
      <c r="L232" s="200" t="n">
        <v>47.2</v>
      </c>
      <c r="M232" s="198" t="n">
        <v>84</v>
      </c>
      <c r="N232" s="194" t="n">
        <v>1132.8</v>
      </c>
      <c r="O232" s="198" t="n">
        <v>263204.3991481314</v>
      </c>
    </row>
    <row r="233">
      <c r="A233" s="23" t="inlineStr">
        <is>
          <t>HARUNA/YEKINI</t>
        </is>
      </c>
      <c r="B233">
        <f>CONCATENATE(E233,"-",F233,"-",D233)</f>
        <v/>
      </c>
      <c r="C233" s="25">
        <f>CONCATENATE(G233,"-",F233,"-",D233)</f>
        <v/>
      </c>
      <c r="D233" s="23" t="inlineStr">
        <is>
          <t>Local</t>
        </is>
      </c>
      <c r="E233" s="25" t="inlineStr">
        <is>
          <t>Hiabs Logistics</t>
        </is>
      </c>
      <c r="F233" s="74" t="inlineStr">
        <is>
          <t>10T</t>
        </is>
      </c>
      <c r="G233" s="73" t="inlineStr">
        <is>
          <t>JMG</t>
        </is>
      </c>
      <c r="H233" s="74" t="inlineStr">
        <is>
          <t>Abuja</t>
        </is>
      </c>
      <c r="I233" s="74" t="inlineStr">
        <is>
          <t>Kasana</t>
        </is>
      </c>
      <c r="J233" s="74" t="inlineStr">
        <is>
          <t>FCT</t>
        </is>
      </c>
      <c r="K233" s="201" t="n">
        <v>21.05</v>
      </c>
      <c r="L233" s="200" t="n">
        <v>42.1</v>
      </c>
      <c r="M233" s="198" t="n">
        <v>81</v>
      </c>
      <c r="N233" s="194" t="n">
        <v>1010.4</v>
      </c>
      <c r="O233" s="198" t="n">
        <v>263204.3991481314</v>
      </c>
    </row>
    <row r="234">
      <c r="A234" s="23" t="inlineStr">
        <is>
          <t>HARUNA/YEKINI</t>
        </is>
      </c>
      <c r="B234">
        <f>CONCATENATE(E234,"-",F234,"-",D234)</f>
        <v/>
      </c>
      <c r="C234" s="25">
        <f>CONCATENATE(G234,"-",F234,"-",D234)</f>
        <v/>
      </c>
      <c r="D234" s="23" t="inlineStr">
        <is>
          <t>Local</t>
        </is>
      </c>
      <c r="E234" s="25" t="inlineStr">
        <is>
          <t>Hiabs Logistics</t>
        </is>
      </c>
      <c r="F234" s="74" t="inlineStr">
        <is>
          <t>10T</t>
        </is>
      </c>
      <c r="G234" s="73" t="inlineStr">
        <is>
          <t>JMG</t>
        </is>
      </c>
      <c r="H234" s="74" t="inlineStr">
        <is>
          <t>Abuja</t>
        </is>
      </c>
      <c r="I234" s="74" t="inlineStr">
        <is>
          <t>River Park</t>
        </is>
      </c>
      <c r="J234" s="74" t="inlineStr">
        <is>
          <t>FCT</t>
        </is>
      </c>
      <c r="K234" s="201" t="n">
        <v>20.85</v>
      </c>
      <c r="L234" s="200" t="n">
        <v>41.7</v>
      </c>
      <c r="M234" s="198" t="n">
        <v>81</v>
      </c>
      <c r="N234" s="194" t="n">
        <v>1000.8</v>
      </c>
      <c r="O234" s="198" t="n">
        <v>263204.3991481314</v>
      </c>
    </row>
    <row r="235">
      <c r="A235" s="23" t="inlineStr">
        <is>
          <t>HARUNA/YEKINI</t>
        </is>
      </c>
      <c r="B235">
        <f>CONCATENATE(E235,"-",F235,"-",D235)</f>
        <v/>
      </c>
      <c r="C235" s="25">
        <f>CONCATENATE(G235,"-",F235,"-",D235)</f>
        <v/>
      </c>
      <c r="D235" s="23" t="inlineStr">
        <is>
          <t>Local</t>
        </is>
      </c>
      <c r="E235" s="25" t="inlineStr">
        <is>
          <t>Hiabs Logistics</t>
        </is>
      </c>
      <c r="F235" s="74" t="inlineStr">
        <is>
          <t>10T</t>
        </is>
      </c>
      <c r="G235" s="73" t="inlineStr">
        <is>
          <t>JMG</t>
        </is>
      </c>
      <c r="H235" s="74" t="inlineStr">
        <is>
          <t>Abuja</t>
        </is>
      </c>
      <c r="I235" s="74" t="inlineStr">
        <is>
          <t>Pyakasa</t>
        </is>
      </c>
      <c r="J235" s="74" t="inlineStr">
        <is>
          <t>FCT</t>
        </is>
      </c>
      <c r="K235" s="201" t="n">
        <v>19.4</v>
      </c>
      <c r="L235" s="200" t="n">
        <v>38.8</v>
      </c>
      <c r="M235" s="198" t="n">
        <v>79</v>
      </c>
      <c r="N235" s="194" t="n">
        <v>931.1999999999999</v>
      </c>
      <c r="O235" s="198" t="n">
        <v>263204.3991481314</v>
      </c>
    </row>
    <row r="236">
      <c r="A236" s="23" t="inlineStr">
        <is>
          <t>HARUNA/YEKINI</t>
        </is>
      </c>
      <c r="B236">
        <f>CONCATENATE(E236,"-",F236,"-",D236)</f>
        <v/>
      </c>
      <c r="C236" s="25">
        <f>CONCATENATE(G236,"-",F236,"-",D236)</f>
        <v/>
      </c>
      <c r="D236" s="23" t="inlineStr">
        <is>
          <t>Local</t>
        </is>
      </c>
      <c r="E236" s="25" t="inlineStr">
        <is>
          <t>Hiabs Logistics</t>
        </is>
      </c>
      <c r="F236" s="74" t="inlineStr">
        <is>
          <t>10T</t>
        </is>
      </c>
      <c r="G236" s="73" t="inlineStr">
        <is>
          <t>JMG</t>
        </is>
      </c>
      <c r="H236" s="74" t="inlineStr">
        <is>
          <t>Abuja</t>
        </is>
      </c>
      <c r="I236" s="74" t="inlineStr">
        <is>
          <t>Airport Road (Abuja)</t>
        </is>
      </c>
      <c r="J236" s="74" t="inlineStr">
        <is>
          <t>FCT</t>
        </is>
      </c>
      <c r="K236" s="201" t="n">
        <v>19.15</v>
      </c>
      <c r="L236" s="201" t="n">
        <v>38.3</v>
      </c>
      <c r="M236" s="198" t="n">
        <v>79</v>
      </c>
      <c r="N236" s="194" t="n">
        <v>919.1999999999999</v>
      </c>
      <c r="O236" s="198" t="n">
        <v>263204.3991481314</v>
      </c>
    </row>
    <row r="237">
      <c r="A237" s="23" t="inlineStr">
        <is>
          <t>HARUNA/YEKINI</t>
        </is>
      </c>
      <c r="B237">
        <f>CONCATENATE(E237,"-",F237,"-",D237)</f>
        <v/>
      </c>
      <c r="C237" s="25">
        <f>CONCATENATE(G237,"-",F237,"-",D237)</f>
        <v/>
      </c>
      <c r="D237" s="23" t="inlineStr">
        <is>
          <t>Local</t>
        </is>
      </c>
      <c r="E237" s="25" t="inlineStr">
        <is>
          <t>Hiabs Logistics</t>
        </is>
      </c>
      <c r="F237" s="74" t="inlineStr">
        <is>
          <t>10T</t>
        </is>
      </c>
      <c r="G237" s="73" t="inlineStr">
        <is>
          <t>JMG</t>
        </is>
      </c>
      <c r="H237" s="74" t="inlineStr">
        <is>
          <t>Abuja</t>
        </is>
      </c>
      <c r="I237" s="119" t="inlineStr">
        <is>
          <t>Dutse Alhaji</t>
        </is>
      </c>
      <c r="J237" s="119" t="inlineStr">
        <is>
          <t>FCT</t>
        </is>
      </c>
      <c r="K237" s="201" t="n">
        <v>19.05</v>
      </c>
      <c r="L237" s="200" t="n">
        <v>38.1</v>
      </c>
      <c r="M237" s="198" t="n">
        <v>79</v>
      </c>
      <c r="N237" s="194" t="n">
        <v>914.4000000000001</v>
      </c>
      <c r="O237" s="198" t="n">
        <v>263204.3991481314</v>
      </c>
    </row>
    <row r="238">
      <c r="A238" s="23" t="inlineStr">
        <is>
          <t>HARUNA/YEKINI</t>
        </is>
      </c>
      <c r="B238">
        <f>CONCATENATE(E238,"-",F238,"-",D238)</f>
        <v/>
      </c>
      <c r="C238" s="25">
        <f>CONCATENATE(G238,"-",F238,"-",D238)</f>
        <v/>
      </c>
      <c r="D238" s="23" t="inlineStr">
        <is>
          <t>Local</t>
        </is>
      </c>
      <c r="E238" s="25" t="inlineStr">
        <is>
          <t>Hiabs Logistics</t>
        </is>
      </c>
      <c r="F238" s="74" t="inlineStr">
        <is>
          <t>10T</t>
        </is>
      </c>
      <c r="G238" s="73" t="inlineStr">
        <is>
          <t>JMG</t>
        </is>
      </c>
      <c r="H238" s="74" t="inlineStr">
        <is>
          <t>Abuja</t>
        </is>
      </c>
      <c r="I238" s="74" t="inlineStr">
        <is>
          <t>Lugbe</t>
        </is>
      </c>
      <c r="J238" s="74" t="inlineStr">
        <is>
          <t>FCT</t>
        </is>
      </c>
      <c r="K238" s="201" t="n">
        <v>18.95</v>
      </c>
      <c r="L238" s="200" t="n">
        <v>37.9</v>
      </c>
      <c r="M238" s="198" t="n">
        <v>79</v>
      </c>
      <c r="N238" s="194" t="n">
        <v>909.5999999999999</v>
      </c>
      <c r="O238" s="198" t="n">
        <v>263204.3991481314</v>
      </c>
    </row>
    <row r="239">
      <c r="A239" s="23" t="inlineStr">
        <is>
          <t>HARUNA/YEKINI</t>
        </is>
      </c>
      <c r="B239">
        <f>CONCATENATE(E239,"-",F239,"-",D239)</f>
        <v/>
      </c>
      <c r="C239" s="25">
        <f>CONCATENATE(G239,"-",F239,"-",D239)</f>
        <v/>
      </c>
      <c r="D239" s="23" t="inlineStr">
        <is>
          <t>Local</t>
        </is>
      </c>
      <c r="E239" s="25" t="inlineStr">
        <is>
          <t>Hiabs Logistics</t>
        </is>
      </c>
      <c r="F239" s="74" t="inlineStr">
        <is>
          <t>10T</t>
        </is>
      </c>
      <c r="G239" s="73" t="inlineStr">
        <is>
          <t>JMG</t>
        </is>
      </c>
      <c r="H239" s="74" t="inlineStr">
        <is>
          <t>Abuja</t>
        </is>
      </c>
      <c r="I239" s="74" t="inlineStr">
        <is>
          <t>Lokogoma</t>
        </is>
      </c>
      <c r="J239" s="74" t="inlineStr">
        <is>
          <t>FCT</t>
        </is>
      </c>
      <c r="K239" s="201" t="n">
        <v>16.65</v>
      </c>
      <c r="L239" s="200" t="n">
        <v>33.3</v>
      </c>
      <c r="M239" s="198" t="n">
        <v>76</v>
      </c>
      <c r="N239" s="194" t="n">
        <v>799.1999999999999</v>
      </c>
      <c r="O239" s="198" t="n">
        <v>263204.3991481314</v>
      </c>
    </row>
    <row r="240">
      <c r="A240" s="23" t="inlineStr">
        <is>
          <t>HARUNA/YEKINI</t>
        </is>
      </c>
      <c r="B240">
        <f>CONCATENATE(E240,"-",F240,"-",D240)</f>
        <v/>
      </c>
      <c r="C240" s="25">
        <f>CONCATENATE(G240,"-",F240,"-",D240)</f>
        <v/>
      </c>
      <c r="D240" s="23" t="inlineStr">
        <is>
          <t>Local</t>
        </is>
      </c>
      <c r="E240" s="25" t="inlineStr">
        <is>
          <t>Hiabs Logistics</t>
        </is>
      </c>
      <c r="F240" s="74" t="inlineStr">
        <is>
          <t>10T</t>
        </is>
      </c>
      <c r="G240" s="73" t="inlineStr">
        <is>
          <t>JMG</t>
        </is>
      </c>
      <c r="H240" s="74" t="inlineStr">
        <is>
          <t>Abuja</t>
        </is>
      </c>
      <c r="I240" s="74" t="inlineStr">
        <is>
          <t>Aya</t>
        </is>
      </c>
      <c r="J240" s="74" t="inlineStr">
        <is>
          <t>FCT</t>
        </is>
      </c>
      <c r="K240" s="201" t="n">
        <v>16.55</v>
      </c>
      <c r="L240" s="200" t="n">
        <v>33.1</v>
      </c>
      <c r="M240" s="198" t="n">
        <v>76</v>
      </c>
      <c r="N240" s="194" t="n">
        <v>794.4000000000001</v>
      </c>
      <c r="O240" s="198" t="n">
        <v>263204.3991481314</v>
      </c>
    </row>
    <row r="241">
      <c r="A241" s="23" t="inlineStr">
        <is>
          <t>HARUNA/YEKINI</t>
        </is>
      </c>
      <c r="B241">
        <f>CONCATENATE(E241,"-",F241,"-",D241)</f>
        <v/>
      </c>
      <c r="C241" s="25">
        <f>CONCATENATE(G241,"-",F241,"-",D241)</f>
        <v/>
      </c>
      <c r="D241" s="23" t="inlineStr">
        <is>
          <t>Local</t>
        </is>
      </c>
      <c r="E241" s="25" t="inlineStr">
        <is>
          <t>Hiabs Logistics</t>
        </is>
      </c>
      <c r="F241" s="74" t="inlineStr">
        <is>
          <t>10T</t>
        </is>
      </c>
      <c r="G241" s="73" t="inlineStr">
        <is>
          <t>JMG</t>
        </is>
      </c>
      <c r="H241" s="74" t="inlineStr">
        <is>
          <t>Abuja</t>
        </is>
      </c>
      <c r="I241" s="74" t="inlineStr">
        <is>
          <t>Apo Mechanic Village</t>
        </is>
      </c>
      <c r="J241" s="74" t="inlineStr">
        <is>
          <t>FCT</t>
        </is>
      </c>
      <c r="K241" s="201" t="n">
        <v>16.5</v>
      </c>
      <c r="L241" s="200" t="n">
        <v>33</v>
      </c>
      <c r="M241" s="198" t="n">
        <v>76</v>
      </c>
      <c r="N241" s="194" t="n">
        <v>792</v>
      </c>
      <c r="O241" s="198" t="n">
        <v>263204.3991481314</v>
      </c>
    </row>
    <row r="242">
      <c r="A242" s="23" t="inlineStr">
        <is>
          <t>HARUNA/YEKINI</t>
        </is>
      </c>
      <c r="B242">
        <f>CONCATENATE(E242,"-",F242,"-",D242)</f>
        <v/>
      </c>
      <c r="C242" s="25">
        <f>CONCATENATE(G242,"-",F242,"-",D242)</f>
        <v/>
      </c>
      <c r="D242" s="23" t="inlineStr">
        <is>
          <t>Local</t>
        </is>
      </c>
      <c r="E242" s="25" t="inlineStr">
        <is>
          <t>Hiabs Logistics</t>
        </is>
      </c>
      <c r="F242" s="74" t="inlineStr">
        <is>
          <t>10T</t>
        </is>
      </c>
      <c r="G242" s="73" t="inlineStr">
        <is>
          <t>JMG</t>
        </is>
      </c>
      <c r="H242" s="74" t="inlineStr">
        <is>
          <t>Abuja</t>
        </is>
      </c>
      <c r="I242" s="74" t="inlineStr">
        <is>
          <t>Bida</t>
        </is>
      </c>
      <c r="J242" s="74" t="inlineStr">
        <is>
          <t>Niger</t>
        </is>
      </c>
      <c r="K242" s="201" t="n">
        <v>16</v>
      </c>
      <c r="L242" s="201" t="n">
        <v>32</v>
      </c>
      <c r="M242" s="198" t="n">
        <v>76</v>
      </c>
      <c r="N242" s="194" t="n">
        <v>768</v>
      </c>
      <c r="O242" s="198" t="n">
        <v>263204.3991481314</v>
      </c>
    </row>
    <row r="243">
      <c r="A243" s="23" t="inlineStr">
        <is>
          <t>HARUNA/YEKINI</t>
        </is>
      </c>
      <c r="B243">
        <f>CONCATENATE(E243,"-",F243,"-",D243)</f>
        <v/>
      </c>
      <c r="C243" s="25">
        <f>CONCATENATE(G243,"-",F243,"-",D243)</f>
        <v/>
      </c>
      <c r="D243" s="23" t="inlineStr">
        <is>
          <t>Local</t>
        </is>
      </c>
      <c r="E243" s="25" t="inlineStr">
        <is>
          <t>Hiabs Logistics</t>
        </is>
      </c>
      <c r="F243" s="74" t="inlineStr">
        <is>
          <t>10T</t>
        </is>
      </c>
      <c r="G243" s="73" t="inlineStr">
        <is>
          <t>JMG</t>
        </is>
      </c>
      <c r="H243" s="74" t="inlineStr">
        <is>
          <t>Abuja</t>
        </is>
      </c>
      <c r="I243" s="74" t="inlineStr">
        <is>
          <t>Sunnyvale</t>
        </is>
      </c>
      <c r="J243" s="74" t="inlineStr">
        <is>
          <t>FCT</t>
        </is>
      </c>
      <c r="K243" s="201" t="n">
        <v>15.1</v>
      </c>
      <c r="L243" s="200" t="n">
        <v>30.2</v>
      </c>
      <c r="M243" s="198" t="n">
        <v>75</v>
      </c>
      <c r="N243" s="194" t="n">
        <v>724.8</v>
      </c>
      <c r="O243" s="198" t="n">
        <v>263204.3991481314</v>
      </c>
    </row>
    <row r="244">
      <c r="A244" s="23" t="inlineStr">
        <is>
          <t>HARUNA/YEKINI</t>
        </is>
      </c>
      <c r="B244">
        <f>CONCATENATE(E244,"-",F244,"-",D244)</f>
        <v/>
      </c>
      <c r="C244" s="25">
        <f>CONCATENATE(G244,"-",F244,"-",D244)</f>
        <v/>
      </c>
      <c r="D244" s="23" t="inlineStr">
        <is>
          <t>Local</t>
        </is>
      </c>
      <c r="E244" s="25" t="inlineStr">
        <is>
          <t>Hiabs Logistics</t>
        </is>
      </c>
      <c r="F244" s="74" t="inlineStr">
        <is>
          <t>10T</t>
        </is>
      </c>
      <c r="G244" s="73" t="inlineStr">
        <is>
          <t>JMG</t>
        </is>
      </c>
      <c r="H244" s="74" t="inlineStr">
        <is>
          <t>Abuja</t>
        </is>
      </c>
      <c r="I244" s="74" t="inlineStr">
        <is>
          <t>Asokoro</t>
        </is>
      </c>
      <c r="J244" s="74" t="inlineStr">
        <is>
          <t>FCT</t>
        </is>
      </c>
      <c r="K244" s="201" t="n">
        <v>15</v>
      </c>
      <c r="L244" s="201" t="n">
        <v>30</v>
      </c>
      <c r="M244" s="198" t="n">
        <v>75</v>
      </c>
      <c r="N244" s="194" t="n">
        <v>720</v>
      </c>
      <c r="O244" s="198" t="n">
        <v>263204.3991481314</v>
      </c>
    </row>
    <row r="245">
      <c r="A245" s="23" t="inlineStr">
        <is>
          <t>HARUNA/YEKINI</t>
        </is>
      </c>
      <c r="B245">
        <f>CONCATENATE(E245,"-",F245,"-",D245)</f>
        <v/>
      </c>
      <c r="C245" s="25">
        <f>CONCATENATE(G245,"-",F245,"-",D245)</f>
        <v/>
      </c>
      <c r="D245" s="23" t="inlineStr">
        <is>
          <t>Local</t>
        </is>
      </c>
      <c r="E245" s="25" t="inlineStr">
        <is>
          <t>Hiabs Logistics</t>
        </is>
      </c>
      <c r="F245" s="74" t="inlineStr">
        <is>
          <t>10T</t>
        </is>
      </c>
      <c r="G245" s="73" t="inlineStr">
        <is>
          <t>JMG</t>
        </is>
      </c>
      <c r="H245" s="74" t="inlineStr">
        <is>
          <t>Abuja</t>
        </is>
      </c>
      <c r="I245" s="74" t="inlineStr">
        <is>
          <t>Karmo</t>
        </is>
      </c>
      <c r="J245" s="74" t="inlineStr">
        <is>
          <t>FCT</t>
        </is>
      </c>
      <c r="K245" s="201" t="n">
        <v>13.9</v>
      </c>
      <c r="L245" s="200" t="n">
        <v>27.8</v>
      </c>
      <c r="M245" s="198" t="n">
        <v>74</v>
      </c>
      <c r="N245" s="194" t="n">
        <v>667.2</v>
      </c>
      <c r="O245" s="198" t="n">
        <v>263204.3991481314</v>
      </c>
    </row>
    <row r="246">
      <c r="A246" s="23" t="inlineStr">
        <is>
          <t>HARUNA/YEKINI</t>
        </is>
      </c>
      <c r="B246">
        <f>CONCATENATE(E246,"-",F246,"-",D246)</f>
        <v/>
      </c>
      <c r="C246" s="25">
        <f>CONCATENATE(G246,"-",F246,"-",D246)</f>
        <v/>
      </c>
      <c r="D246" s="23" t="inlineStr">
        <is>
          <t>Local</t>
        </is>
      </c>
      <c r="E246" s="25" t="inlineStr">
        <is>
          <t>Hiabs Logistics</t>
        </is>
      </c>
      <c r="F246" s="74" t="inlineStr">
        <is>
          <t>10T</t>
        </is>
      </c>
      <c r="G246" s="73" t="inlineStr">
        <is>
          <t>JMG</t>
        </is>
      </c>
      <c r="H246" s="74" t="inlineStr">
        <is>
          <t>Abuja</t>
        </is>
      </c>
      <c r="I246" s="74" t="inlineStr">
        <is>
          <t>Mpape</t>
        </is>
      </c>
      <c r="J246" s="74" t="inlineStr">
        <is>
          <t>FCT</t>
        </is>
      </c>
      <c r="K246" s="201" t="n">
        <v>13.25</v>
      </c>
      <c r="L246" s="200" t="n">
        <v>26.5</v>
      </c>
      <c r="M246" s="198" t="n">
        <v>73</v>
      </c>
      <c r="N246" s="194" t="n">
        <v>636</v>
      </c>
      <c r="O246" s="198" t="n">
        <v>263204.3991481314</v>
      </c>
    </row>
    <row r="247">
      <c r="A247" s="23" t="inlineStr">
        <is>
          <t>HARUNA/YEKINI</t>
        </is>
      </c>
      <c r="B247">
        <f>CONCATENATE(E247,"-",F247,"-",D247)</f>
        <v/>
      </c>
      <c r="C247" s="25">
        <f>CONCATENATE(G247,"-",F247,"-",D247)</f>
        <v/>
      </c>
      <c r="D247" s="23" t="inlineStr">
        <is>
          <t>Local</t>
        </is>
      </c>
      <c r="E247" s="25" t="inlineStr">
        <is>
          <t>Hiabs Logistics</t>
        </is>
      </c>
      <c r="F247" s="74" t="inlineStr">
        <is>
          <t>10T</t>
        </is>
      </c>
      <c r="G247" s="73" t="inlineStr">
        <is>
          <t>JMG</t>
        </is>
      </c>
      <c r="H247" s="74" t="inlineStr">
        <is>
          <t>Abuja</t>
        </is>
      </c>
      <c r="I247" s="74" t="inlineStr">
        <is>
          <t>Guzape</t>
        </is>
      </c>
      <c r="J247" s="74" t="inlineStr">
        <is>
          <t>FCT</t>
        </is>
      </c>
      <c r="K247" s="201" t="n">
        <v>13.1</v>
      </c>
      <c r="L247" s="200" t="n">
        <v>26.2</v>
      </c>
      <c r="M247" s="198" t="n">
        <v>73</v>
      </c>
      <c r="N247" s="194" t="n">
        <v>628.8</v>
      </c>
      <c r="O247" s="198" t="n">
        <v>263204.3991481314</v>
      </c>
    </row>
    <row r="248">
      <c r="A248" s="23" t="inlineStr">
        <is>
          <t>HARUNA/YEKINI</t>
        </is>
      </c>
      <c r="B248">
        <f>CONCATENATE(E248,"-",F248,"-",D248)</f>
        <v/>
      </c>
      <c r="C248" s="25">
        <f>CONCATENATE(G248,"-",F248,"-",D248)</f>
        <v/>
      </c>
      <c r="D248" s="23" t="inlineStr">
        <is>
          <t>Local</t>
        </is>
      </c>
      <c r="E248" s="25" t="inlineStr">
        <is>
          <t>Hiabs Logistics</t>
        </is>
      </c>
      <c r="F248" s="74" t="inlineStr">
        <is>
          <t>10T</t>
        </is>
      </c>
      <c r="G248" s="73" t="inlineStr">
        <is>
          <t>JMG</t>
        </is>
      </c>
      <c r="H248" s="74" t="inlineStr">
        <is>
          <t>Abuja</t>
        </is>
      </c>
      <c r="I248" s="74" t="inlineStr">
        <is>
          <t>Sun City</t>
        </is>
      </c>
      <c r="J248" s="74" t="inlineStr">
        <is>
          <t>FCT</t>
        </is>
      </c>
      <c r="K248" s="201" t="n">
        <v>12.45</v>
      </c>
      <c r="L248" s="200" t="n">
        <v>24.9</v>
      </c>
      <c r="M248" s="198" t="n">
        <v>72</v>
      </c>
      <c r="N248" s="194" t="n">
        <v>597.5999999999999</v>
      </c>
      <c r="O248" s="198" t="n">
        <v>263204.3991481314</v>
      </c>
    </row>
    <row r="249">
      <c r="A249" s="23" t="inlineStr">
        <is>
          <t>HARUNA/YEKINI</t>
        </is>
      </c>
      <c r="B249">
        <f>CONCATENATE(E249,"-",F249,"-",D249)</f>
        <v/>
      </c>
      <c r="C249" s="25">
        <f>CONCATENATE(G249,"-",F249,"-",D249)</f>
        <v/>
      </c>
      <c r="D249" s="23" t="inlineStr">
        <is>
          <t>Local</t>
        </is>
      </c>
      <c r="E249" s="25" t="inlineStr">
        <is>
          <t>Hiabs Logistics</t>
        </is>
      </c>
      <c r="F249" s="74" t="inlineStr">
        <is>
          <t>10T</t>
        </is>
      </c>
      <c r="G249" s="73" t="inlineStr">
        <is>
          <t>JMG</t>
        </is>
      </c>
      <c r="H249" s="74" t="inlineStr">
        <is>
          <t>Abuja</t>
        </is>
      </c>
      <c r="I249" s="74" t="inlineStr">
        <is>
          <t>Garki 2</t>
        </is>
      </c>
      <c r="J249" s="74" t="inlineStr">
        <is>
          <t>FCT</t>
        </is>
      </c>
      <c r="K249" s="201" t="n">
        <v>12.3</v>
      </c>
      <c r="L249" s="201" t="n">
        <v>24.6</v>
      </c>
      <c r="M249" s="198" t="n">
        <v>72</v>
      </c>
      <c r="N249" s="194" t="n">
        <v>590.4000000000001</v>
      </c>
      <c r="O249" s="198" t="n">
        <v>263204.3991481314</v>
      </c>
    </row>
    <row r="250">
      <c r="A250" s="23" t="inlineStr">
        <is>
          <t>HARUNA/YEKINI</t>
        </is>
      </c>
      <c r="B250">
        <f>CONCATENATE(E250,"-",F250,"-",D250)</f>
        <v/>
      </c>
      <c r="C250" s="25">
        <f>CONCATENATE(G250,"-",F250,"-",D250)</f>
        <v/>
      </c>
      <c r="D250" s="23" t="inlineStr">
        <is>
          <t>Local</t>
        </is>
      </c>
      <c r="E250" s="25" t="inlineStr">
        <is>
          <t>Hiabs Logistics</t>
        </is>
      </c>
      <c r="F250" s="74" t="inlineStr">
        <is>
          <t>10T</t>
        </is>
      </c>
      <c r="G250" s="73" t="inlineStr">
        <is>
          <t>JMG</t>
        </is>
      </c>
      <c r="H250" s="74" t="inlineStr">
        <is>
          <t>Abuja</t>
        </is>
      </c>
      <c r="I250" s="74" t="inlineStr">
        <is>
          <t>Galadimawa</t>
        </is>
      </c>
      <c r="J250" s="74" t="inlineStr">
        <is>
          <t>FCT</t>
        </is>
      </c>
      <c r="K250" s="201" t="n">
        <v>11.6</v>
      </c>
      <c r="L250" s="200" t="n">
        <v>23.2</v>
      </c>
      <c r="M250" s="198" t="n">
        <v>71</v>
      </c>
      <c r="N250" s="194" t="n">
        <v>556.8</v>
      </c>
      <c r="O250" s="198" t="n">
        <v>263204.3991481314</v>
      </c>
    </row>
    <row r="251">
      <c r="A251" s="23" t="inlineStr">
        <is>
          <t>HARUNA/YEKINI</t>
        </is>
      </c>
      <c r="B251">
        <f>CONCATENATE(E251,"-",F251,"-",D251)</f>
        <v/>
      </c>
      <c r="C251" s="25">
        <f>CONCATENATE(G251,"-",F251,"-",D251)</f>
        <v/>
      </c>
      <c r="D251" s="23" t="inlineStr">
        <is>
          <t>Local</t>
        </is>
      </c>
      <c r="E251" s="25" t="inlineStr">
        <is>
          <t>Hiabs Logistics</t>
        </is>
      </c>
      <c r="F251" s="74" t="inlineStr">
        <is>
          <t>10T</t>
        </is>
      </c>
      <c r="G251" s="73" t="inlineStr">
        <is>
          <t>JMG</t>
        </is>
      </c>
      <c r="H251" s="74" t="inlineStr">
        <is>
          <t>Abuja</t>
        </is>
      </c>
      <c r="I251" s="74" t="inlineStr">
        <is>
          <t>Area 11</t>
        </is>
      </c>
      <c r="J251" s="74" t="inlineStr">
        <is>
          <t>FCT</t>
        </is>
      </c>
      <c r="K251" s="201" t="n">
        <v>11.5</v>
      </c>
      <c r="L251" s="201" t="n">
        <v>23</v>
      </c>
      <c r="M251" s="198" t="n">
        <v>71</v>
      </c>
      <c r="N251" s="194" t="n">
        <v>552</v>
      </c>
      <c r="O251" s="198" t="n">
        <v>263204.3991481314</v>
      </c>
    </row>
    <row r="252">
      <c r="A252" s="23" t="inlineStr">
        <is>
          <t>HARUNA/YEKINI</t>
        </is>
      </c>
      <c r="B252">
        <f>CONCATENATE(E252,"-",F252,"-",D252)</f>
        <v/>
      </c>
      <c r="C252" s="25">
        <f>CONCATENATE(G252,"-",F252,"-",D252)</f>
        <v/>
      </c>
      <c r="D252" s="23" t="inlineStr">
        <is>
          <t>Local</t>
        </is>
      </c>
      <c r="E252" s="25" t="inlineStr">
        <is>
          <t>Hiabs Logistics</t>
        </is>
      </c>
      <c r="F252" s="74" t="inlineStr">
        <is>
          <t>10T</t>
        </is>
      </c>
      <c r="G252" s="73" t="inlineStr">
        <is>
          <t>JMG</t>
        </is>
      </c>
      <c r="H252" s="74" t="inlineStr">
        <is>
          <t>Abuja</t>
        </is>
      </c>
      <c r="I252" s="74" t="inlineStr">
        <is>
          <t>EFAB Estate</t>
        </is>
      </c>
      <c r="J252" s="74" t="inlineStr">
        <is>
          <t>FCT</t>
        </is>
      </c>
      <c r="K252" s="201" t="n">
        <v>10.5</v>
      </c>
      <c r="L252" s="200" t="n">
        <v>21</v>
      </c>
      <c r="M252" s="198" t="n">
        <v>70</v>
      </c>
      <c r="N252" s="194" t="n">
        <v>504</v>
      </c>
      <c r="O252" s="198" t="n">
        <v>263204.3991481314</v>
      </c>
    </row>
    <row r="253">
      <c r="A253" s="23" t="inlineStr">
        <is>
          <t>HARUNA/YEKINI</t>
        </is>
      </c>
      <c r="B253">
        <f>CONCATENATE(E253,"-",F253,"-",D253)</f>
        <v/>
      </c>
      <c r="C253" s="25">
        <f>CONCATENATE(G253,"-",F253,"-",D253)</f>
        <v/>
      </c>
      <c r="D253" s="23" t="inlineStr">
        <is>
          <t>Local</t>
        </is>
      </c>
      <c r="E253" s="25" t="inlineStr">
        <is>
          <t>Hiabs Logistics</t>
        </is>
      </c>
      <c r="F253" s="74" t="inlineStr">
        <is>
          <t>10T</t>
        </is>
      </c>
      <c r="G253" s="73" t="inlineStr">
        <is>
          <t>JMG</t>
        </is>
      </c>
      <c r="H253" s="74" t="inlineStr">
        <is>
          <t>Abuja</t>
        </is>
      </c>
      <c r="I253" s="74" t="inlineStr">
        <is>
          <t>Dei-Dei</t>
        </is>
      </c>
      <c r="J253" s="74" t="inlineStr">
        <is>
          <t>FCT</t>
        </is>
      </c>
      <c r="K253" s="201" t="n">
        <v>10.4</v>
      </c>
      <c r="L253" s="201" t="n">
        <v>20.8</v>
      </c>
      <c r="M253" s="198" t="n">
        <v>70</v>
      </c>
      <c r="N253" s="194" t="n">
        <v>499.2</v>
      </c>
      <c r="O253" s="198" t="n">
        <v>263204.3991481314</v>
      </c>
    </row>
    <row r="254">
      <c r="A254" s="23" t="inlineStr">
        <is>
          <t>HARUNA/YEKINI</t>
        </is>
      </c>
      <c r="B254">
        <f>CONCATENATE(E254,"-",F254,"-",D254)</f>
        <v/>
      </c>
      <c r="C254" s="25">
        <f>CONCATENATE(G254,"-",F254,"-",D254)</f>
        <v/>
      </c>
      <c r="D254" s="23" t="inlineStr">
        <is>
          <t>Local</t>
        </is>
      </c>
      <c r="E254" s="25" t="inlineStr">
        <is>
          <t>Hiabs Logistics</t>
        </is>
      </c>
      <c r="F254" s="74" t="inlineStr">
        <is>
          <t>10T</t>
        </is>
      </c>
      <c r="G254" s="73" t="inlineStr">
        <is>
          <t>JMG</t>
        </is>
      </c>
      <c r="H254" s="74" t="inlineStr">
        <is>
          <t>Abuja</t>
        </is>
      </c>
      <c r="I254" s="74" t="inlineStr">
        <is>
          <t>Games Village</t>
        </is>
      </c>
      <c r="J254" s="74" t="inlineStr">
        <is>
          <t>FCT</t>
        </is>
      </c>
      <c r="K254" s="201" t="n">
        <v>10.25</v>
      </c>
      <c r="L254" s="201" t="n">
        <v>20.5</v>
      </c>
      <c r="M254" s="198" t="n">
        <v>70</v>
      </c>
      <c r="N254" s="194" t="n">
        <v>492</v>
      </c>
      <c r="O254" s="198" t="n">
        <v>263204.3991481314</v>
      </c>
    </row>
    <row r="255">
      <c r="A255" s="23" t="inlineStr">
        <is>
          <t>HARUNA/YEKINI</t>
        </is>
      </c>
      <c r="B255">
        <f>CONCATENATE(E255,"-",F255,"-",D255)</f>
        <v/>
      </c>
      <c r="C255" s="25">
        <f>CONCATENATE(G255,"-",F255,"-",D255)</f>
        <v/>
      </c>
      <c r="D255" s="23" t="inlineStr">
        <is>
          <t>Local</t>
        </is>
      </c>
      <c r="E255" s="25" t="inlineStr">
        <is>
          <t>Hiabs Logistics</t>
        </is>
      </c>
      <c r="F255" s="74" t="inlineStr">
        <is>
          <t>10T</t>
        </is>
      </c>
      <c r="G255" s="73" t="inlineStr">
        <is>
          <t>JMG</t>
        </is>
      </c>
      <c r="H255" s="74" t="inlineStr">
        <is>
          <t>Abuja</t>
        </is>
      </c>
      <c r="I255" s="74" t="inlineStr">
        <is>
          <t>CITEC Estate</t>
        </is>
      </c>
      <c r="J255" s="74" t="inlineStr">
        <is>
          <t>FCT</t>
        </is>
      </c>
      <c r="K255" s="201" t="n">
        <v>9.9</v>
      </c>
      <c r="L255" s="200" t="n">
        <v>19.8</v>
      </c>
      <c r="M255" s="198" t="n">
        <v>70</v>
      </c>
      <c r="N255" s="194" t="n">
        <v>475.2</v>
      </c>
      <c r="O255" s="198" t="n">
        <v>263204.3991481314</v>
      </c>
    </row>
    <row r="256">
      <c r="A256" s="23" t="inlineStr">
        <is>
          <t>HARUNA/YEKINI</t>
        </is>
      </c>
      <c r="B256">
        <f>CONCATENATE(E256,"-",F256,"-",D256)</f>
        <v/>
      </c>
      <c r="C256" s="25">
        <f>CONCATENATE(G256,"-",F256,"-",D256)</f>
        <v/>
      </c>
      <c r="D256" s="23" t="inlineStr">
        <is>
          <t>Local</t>
        </is>
      </c>
      <c r="E256" s="25" t="inlineStr">
        <is>
          <t>Hiabs Logistics</t>
        </is>
      </c>
      <c r="F256" s="74" t="inlineStr">
        <is>
          <t>10T</t>
        </is>
      </c>
      <c r="G256" s="73" t="inlineStr">
        <is>
          <t>JMG</t>
        </is>
      </c>
      <c r="H256" s="74" t="inlineStr">
        <is>
          <t>Abuja</t>
        </is>
      </c>
      <c r="I256" s="74" t="inlineStr">
        <is>
          <t>Gudu</t>
        </is>
      </c>
      <c r="J256" s="74" t="inlineStr">
        <is>
          <t>FCT</t>
        </is>
      </c>
      <c r="K256" s="201" t="n">
        <v>9.75</v>
      </c>
      <c r="L256" s="201" t="n">
        <v>19.5</v>
      </c>
      <c r="M256" s="198" t="n">
        <v>69</v>
      </c>
      <c r="N256" s="194" t="n">
        <v>468</v>
      </c>
      <c r="O256" s="198" t="n">
        <v>263204.3991481314</v>
      </c>
    </row>
    <row r="257">
      <c r="A257" s="23" t="inlineStr">
        <is>
          <t>HARUNA/YEKINI</t>
        </is>
      </c>
      <c r="B257">
        <f>CONCATENATE(E257,"-",F257,"-",D257)</f>
        <v/>
      </c>
      <c r="C257" s="25">
        <f>CONCATENATE(G257,"-",F257,"-",D257)</f>
        <v/>
      </c>
      <c r="D257" s="23" t="inlineStr">
        <is>
          <t>Local</t>
        </is>
      </c>
      <c r="E257" s="25" t="inlineStr">
        <is>
          <t>Hiabs Logistics</t>
        </is>
      </c>
      <c r="F257" s="74" t="inlineStr">
        <is>
          <t>10T</t>
        </is>
      </c>
      <c r="G257" s="73" t="inlineStr">
        <is>
          <t>JMG</t>
        </is>
      </c>
      <c r="H257" s="74" t="inlineStr">
        <is>
          <t>Abuja</t>
        </is>
      </c>
      <c r="I257" s="74" t="inlineStr">
        <is>
          <t>Gwarinpa</t>
        </is>
      </c>
      <c r="J257" s="74" t="inlineStr">
        <is>
          <t>FCT</t>
        </is>
      </c>
      <c r="K257" s="201" t="n">
        <v>9.25</v>
      </c>
      <c r="L257" s="200" t="n">
        <v>18.5</v>
      </c>
      <c r="M257" s="198" t="n">
        <v>69</v>
      </c>
      <c r="N257" s="194" t="n">
        <v>444</v>
      </c>
      <c r="O257" s="198" t="n">
        <v>263204.3991481314</v>
      </c>
    </row>
    <row r="258">
      <c r="A258" s="23" t="inlineStr">
        <is>
          <t>HARUNA/YEKINI</t>
        </is>
      </c>
      <c r="B258">
        <f>CONCATENATE(E258,"-",F258,"-",D258)</f>
        <v/>
      </c>
      <c r="C258" s="25">
        <f>CONCATENATE(G258,"-",F258,"-",D258)</f>
        <v/>
      </c>
      <c r="D258" s="23" t="inlineStr">
        <is>
          <t>Local</t>
        </is>
      </c>
      <c r="E258" s="25" t="inlineStr">
        <is>
          <t>Hiabs Logistics</t>
        </is>
      </c>
      <c r="F258" s="74" t="inlineStr">
        <is>
          <t>10T</t>
        </is>
      </c>
      <c r="G258" s="73" t="inlineStr">
        <is>
          <t>JMG</t>
        </is>
      </c>
      <c r="H258" s="74" t="inlineStr">
        <is>
          <t>Abuja</t>
        </is>
      </c>
      <c r="I258" s="74" t="inlineStr">
        <is>
          <t>Apo</t>
        </is>
      </c>
      <c r="J258" s="74" t="inlineStr">
        <is>
          <t>FCT</t>
        </is>
      </c>
      <c r="K258" s="201" t="n">
        <v>9.25</v>
      </c>
      <c r="L258" s="201" t="n">
        <v>18.5</v>
      </c>
      <c r="M258" s="198" t="n">
        <v>69</v>
      </c>
      <c r="N258" s="194" t="n">
        <v>444</v>
      </c>
      <c r="O258" s="198" t="n">
        <v>263204.3991481314</v>
      </c>
    </row>
    <row r="259">
      <c r="A259" s="23" t="inlineStr">
        <is>
          <t>HARUNA/YEKINI</t>
        </is>
      </c>
      <c r="B259">
        <f>CONCATENATE(E259,"-",F259,"-",D259)</f>
        <v/>
      </c>
      <c r="C259" s="25">
        <f>CONCATENATE(G259,"-",F259,"-",D259)</f>
        <v/>
      </c>
      <c r="D259" s="23" t="inlineStr">
        <is>
          <t>Local</t>
        </is>
      </c>
      <c r="E259" s="25" t="inlineStr">
        <is>
          <t>Hiabs Logistics</t>
        </is>
      </c>
      <c r="F259" s="74" t="inlineStr">
        <is>
          <t>10T</t>
        </is>
      </c>
      <c r="G259" s="73" t="inlineStr">
        <is>
          <t>JMG</t>
        </is>
      </c>
      <c r="H259" s="74" t="inlineStr">
        <is>
          <t>Abuja</t>
        </is>
      </c>
      <c r="I259" s="74" t="inlineStr">
        <is>
          <t>Apo/Gudu</t>
        </is>
      </c>
      <c r="J259" s="74" t="inlineStr">
        <is>
          <t>FCT</t>
        </is>
      </c>
      <c r="K259" s="201" t="n">
        <v>9.199999999999999</v>
      </c>
      <c r="L259" s="200" t="n">
        <v>18.4</v>
      </c>
      <c r="M259" s="198" t="n">
        <v>69</v>
      </c>
      <c r="N259" s="194" t="n">
        <v>441.6</v>
      </c>
      <c r="O259" s="198" t="n">
        <v>263204.3991481314</v>
      </c>
    </row>
    <row r="260">
      <c r="A260" s="23" t="inlineStr">
        <is>
          <t>HARUNA/YEKINI</t>
        </is>
      </c>
      <c r="B260">
        <f>CONCATENATE(E260,"-",F260,"-",D260)</f>
        <v/>
      </c>
      <c r="C260" s="25">
        <f>CONCATENATE(G260,"-",F260,"-",D260)</f>
        <v/>
      </c>
      <c r="D260" s="23" t="inlineStr">
        <is>
          <t>Local</t>
        </is>
      </c>
      <c r="E260" s="25" t="inlineStr">
        <is>
          <t>Hiabs Logistics</t>
        </is>
      </c>
      <c r="F260" s="74" t="inlineStr">
        <is>
          <t>10T</t>
        </is>
      </c>
      <c r="G260" s="73" t="inlineStr">
        <is>
          <t>JMG</t>
        </is>
      </c>
      <c r="H260" s="74" t="inlineStr">
        <is>
          <t>Abuja</t>
        </is>
      </c>
      <c r="I260" s="74" t="inlineStr">
        <is>
          <t>Maitama</t>
        </is>
      </c>
      <c r="J260" s="74" t="inlineStr">
        <is>
          <t>FCT</t>
        </is>
      </c>
      <c r="K260" s="201" t="n">
        <v>8.65</v>
      </c>
      <c r="L260" s="200" t="n">
        <v>17.3</v>
      </c>
      <c r="M260" s="198" t="n">
        <v>68</v>
      </c>
      <c r="N260" s="194" t="n">
        <v>415.2</v>
      </c>
      <c r="O260" s="198" t="n">
        <v>263204.3991481314</v>
      </c>
    </row>
    <row r="261">
      <c r="A261" s="23" t="inlineStr">
        <is>
          <t>HARUNA/YEKINI</t>
        </is>
      </c>
      <c r="B261">
        <f>CONCATENATE(E261,"-",F261,"-",D261)</f>
        <v/>
      </c>
      <c r="C261" s="25">
        <f>CONCATENATE(G261,"-",F261,"-",D261)</f>
        <v/>
      </c>
      <c r="D261" s="23" t="inlineStr">
        <is>
          <t>Local</t>
        </is>
      </c>
      <c r="E261" s="25" t="inlineStr">
        <is>
          <t>Hiabs Logistics</t>
        </is>
      </c>
      <c r="F261" s="74" t="inlineStr">
        <is>
          <t>10T</t>
        </is>
      </c>
      <c r="G261" s="73" t="inlineStr">
        <is>
          <t>JMG</t>
        </is>
      </c>
      <c r="H261" s="74" t="inlineStr">
        <is>
          <t>Abuja</t>
        </is>
      </c>
      <c r="I261" s="74" t="inlineStr">
        <is>
          <t>Maitama</t>
        </is>
      </c>
      <c r="J261" s="74" t="inlineStr">
        <is>
          <t>FCT</t>
        </is>
      </c>
      <c r="K261" s="201" t="n">
        <v>8.65</v>
      </c>
      <c r="L261" s="201" t="n">
        <v>17.3</v>
      </c>
      <c r="M261" s="198" t="n">
        <v>68</v>
      </c>
      <c r="N261" s="194" t="n">
        <v>415.2</v>
      </c>
      <c r="O261" s="198" t="n">
        <v>263204.3991481314</v>
      </c>
    </row>
    <row r="262">
      <c r="A262" s="23" t="inlineStr">
        <is>
          <t>HARUNA/YEKINI</t>
        </is>
      </c>
      <c r="B262">
        <f>CONCATENATE(E262,"-",F262,"-",D262)</f>
        <v/>
      </c>
      <c r="C262" s="25">
        <f>CONCATENATE(G262,"-",F262,"-",D262)</f>
        <v/>
      </c>
      <c r="D262" s="23" t="inlineStr">
        <is>
          <t>Local</t>
        </is>
      </c>
      <c r="E262" s="25" t="inlineStr">
        <is>
          <t>Hiabs Logistics</t>
        </is>
      </c>
      <c r="F262" s="74" t="inlineStr">
        <is>
          <t>10T</t>
        </is>
      </c>
      <c r="G262" s="73" t="inlineStr">
        <is>
          <t>JMG</t>
        </is>
      </c>
      <c r="H262" s="74" t="inlineStr">
        <is>
          <t>Abuja</t>
        </is>
      </c>
      <c r="I262" s="74" t="inlineStr">
        <is>
          <t>Life Camp</t>
        </is>
      </c>
      <c r="J262" s="74" t="inlineStr">
        <is>
          <t>FCT</t>
        </is>
      </c>
      <c r="K262" s="201" t="n">
        <v>8.35</v>
      </c>
      <c r="L262" s="200" t="n">
        <v>16.7</v>
      </c>
      <c r="M262" s="198" t="n">
        <v>68</v>
      </c>
      <c r="N262" s="194" t="n">
        <v>400.8</v>
      </c>
      <c r="O262" s="198" t="n">
        <v>263204.3991481314</v>
      </c>
    </row>
    <row r="263">
      <c r="A263" s="23" t="inlineStr">
        <is>
          <t>HARUNA/YEKINI</t>
        </is>
      </c>
      <c r="B263">
        <f>CONCATENATE(E263,"-",F263,"-",D263)</f>
        <v/>
      </c>
      <c r="C263" s="25">
        <f>CONCATENATE(G263,"-",F263,"-",D263)</f>
        <v/>
      </c>
      <c r="D263" s="23" t="inlineStr">
        <is>
          <t>Local</t>
        </is>
      </c>
      <c r="E263" s="25" t="inlineStr">
        <is>
          <t>Hiabs Logistics</t>
        </is>
      </c>
      <c r="F263" s="74" t="inlineStr">
        <is>
          <t>10T</t>
        </is>
      </c>
      <c r="G263" s="73" t="inlineStr">
        <is>
          <t>JMG</t>
        </is>
      </c>
      <c r="H263" s="74" t="inlineStr">
        <is>
          <t>Abuja</t>
        </is>
      </c>
      <c r="I263" s="74" t="inlineStr">
        <is>
          <t>Kado</t>
        </is>
      </c>
      <c r="J263" s="74" t="inlineStr">
        <is>
          <t>FCT</t>
        </is>
      </c>
      <c r="K263" s="201" t="n">
        <v>7.8</v>
      </c>
      <c r="L263" s="200" t="n">
        <v>15.6</v>
      </c>
      <c r="M263" s="198" t="n">
        <v>67</v>
      </c>
      <c r="N263" s="194" t="n">
        <v>374.4</v>
      </c>
      <c r="O263" s="198" t="n">
        <v>263204.3991481314</v>
      </c>
    </row>
    <row r="264">
      <c r="A264" s="23" t="inlineStr">
        <is>
          <t>HARUNA/YEKINI</t>
        </is>
      </c>
      <c r="B264">
        <f>CONCATENATE(E264,"-",F264,"-",D264)</f>
        <v/>
      </c>
      <c r="C264" s="25">
        <f>CONCATENATE(G264,"-",F264,"-",D264)</f>
        <v/>
      </c>
      <c r="D264" s="23" t="inlineStr">
        <is>
          <t>Local</t>
        </is>
      </c>
      <c r="E264" s="25" t="inlineStr">
        <is>
          <t>Hiabs Logistics</t>
        </is>
      </c>
      <c r="F264" s="74" t="inlineStr">
        <is>
          <t>10T</t>
        </is>
      </c>
      <c r="G264" s="73" t="inlineStr">
        <is>
          <t>JMG</t>
        </is>
      </c>
      <c r="H264" s="74" t="inlineStr">
        <is>
          <t>Abuja</t>
        </is>
      </c>
      <c r="I264" s="74" t="inlineStr">
        <is>
          <t>Katampe</t>
        </is>
      </c>
      <c r="J264" s="74" t="inlineStr">
        <is>
          <t>FCT</t>
        </is>
      </c>
      <c r="K264" s="201" t="n">
        <v>7.55</v>
      </c>
      <c r="L264" s="201" t="n">
        <v>15.1</v>
      </c>
      <c r="M264" s="198" t="n">
        <v>67</v>
      </c>
      <c r="N264" s="194" t="n">
        <v>362.4</v>
      </c>
      <c r="O264" s="198" t="n">
        <v>263204.3991481314</v>
      </c>
    </row>
    <row r="265">
      <c r="A265" s="23" t="inlineStr">
        <is>
          <t>HARUNA/YEKINI</t>
        </is>
      </c>
      <c r="B265">
        <f>CONCATENATE(E265,"-",F265,"-",D265)</f>
        <v/>
      </c>
      <c r="C265" s="25">
        <f>CONCATENATE(G265,"-",F265,"-",D265)</f>
        <v/>
      </c>
      <c r="D265" s="23" t="inlineStr">
        <is>
          <t>Local</t>
        </is>
      </c>
      <c r="E265" s="25" t="inlineStr">
        <is>
          <t>Hiabs Logistics</t>
        </is>
      </c>
      <c r="F265" s="74" t="inlineStr">
        <is>
          <t>10T</t>
        </is>
      </c>
      <c r="G265" s="73" t="inlineStr">
        <is>
          <t>JMG</t>
        </is>
      </c>
      <c r="H265" s="74" t="inlineStr">
        <is>
          <t>Abuja</t>
        </is>
      </c>
      <c r="I265" s="74" t="inlineStr">
        <is>
          <t>Durumi</t>
        </is>
      </c>
      <c r="J265" s="74" t="inlineStr">
        <is>
          <t>FCT</t>
        </is>
      </c>
      <c r="K265" s="201" t="n">
        <v>7.35</v>
      </c>
      <c r="L265" s="201" t="n">
        <v>14.7</v>
      </c>
      <c r="M265" s="198" t="n">
        <v>67</v>
      </c>
      <c r="N265" s="194" t="n">
        <v>352.8</v>
      </c>
      <c r="O265" s="198" t="n">
        <v>263204.3991481314</v>
      </c>
    </row>
    <row r="266">
      <c r="A266" s="23" t="inlineStr">
        <is>
          <t>HARUNA/YEKINI</t>
        </is>
      </c>
      <c r="B266">
        <f>CONCATENATE(E266,"-",F266,"-",D266)</f>
        <v/>
      </c>
      <c r="C266" s="25">
        <f>CONCATENATE(G266,"-",F266,"-",D266)</f>
        <v/>
      </c>
      <c r="D266" s="23" t="inlineStr">
        <is>
          <t>Local</t>
        </is>
      </c>
      <c r="E266" s="25" t="inlineStr">
        <is>
          <t>Hiabs Logistics</t>
        </is>
      </c>
      <c r="F266" s="74" t="inlineStr">
        <is>
          <t>10T</t>
        </is>
      </c>
      <c r="G266" s="73" t="inlineStr">
        <is>
          <t>JMG</t>
        </is>
      </c>
      <c r="H266" s="74" t="inlineStr">
        <is>
          <t>Abuja</t>
        </is>
      </c>
      <c r="I266" s="74" t="inlineStr">
        <is>
          <t>Wuse</t>
        </is>
      </c>
      <c r="J266" s="74" t="inlineStr">
        <is>
          <t>FCT</t>
        </is>
      </c>
      <c r="K266" s="201" t="n">
        <v>6.25</v>
      </c>
      <c r="L266" s="200" t="n">
        <v>12.5</v>
      </c>
      <c r="M266" s="195" t="n">
        <v>66</v>
      </c>
      <c r="N266" s="194" t="n">
        <v>300</v>
      </c>
      <c r="O266" s="198" t="n">
        <v>263204.3991481314</v>
      </c>
    </row>
    <row r="267">
      <c r="A267" s="23" t="inlineStr">
        <is>
          <t>HARUNA/YEKINI</t>
        </is>
      </c>
      <c r="B267">
        <f>CONCATENATE(E267,"-",F267,"-",D267)</f>
        <v/>
      </c>
      <c r="C267" s="25">
        <f>CONCATENATE(G267,"-",F267,"-",D267)</f>
        <v/>
      </c>
      <c r="D267" s="23" t="inlineStr">
        <is>
          <t>Local</t>
        </is>
      </c>
      <c r="E267" s="25" t="inlineStr">
        <is>
          <t>Hiabs Logistics</t>
        </is>
      </c>
      <c r="F267" s="74" t="inlineStr">
        <is>
          <t>10T</t>
        </is>
      </c>
      <c r="G267" s="73" t="inlineStr">
        <is>
          <t>JMG</t>
        </is>
      </c>
      <c r="H267" s="74" t="inlineStr">
        <is>
          <t>Abuja</t>
        </is>
      </c>
      <c r="I267" s="74" t="inlineStr">
        <is>
          <t>Wuse</t>
        </is>
      </c>
      <c r="J267" s="74" t="inlineStr">
        <is>
          <t>FCT</t>
        </is>
      </c>
      <c r="K267" s="201" t="n">
        <v>6.2</v>
      </c>
      <c r="L267" s="201" t="n">
        <v>12.4</v>
      </c>
      <c r="M267" s="198" t="n">
        <v>66</v>
      </c>
      <c r="N267" s="194" t="n">
        <v>297.6</v>
      </c>
      <c r="O267" s="198" t="n">
        <v>263204.3991481314</v>
      </c>
    </row>
    <row r="268">
      <c r="A268" s="23" t="inlineStr">
        <is>
          <t>HARUNA/YEKINI</t>
        </is>
      </c>
      <c r="B268">
        <f>CONCATENATE(E268,"-",F268,"-",D268)</f>
        <v/>
      </c>
      <c r="C268" s="25">
        <f>CONCATENATE(G268,"-",F268,"-",D268)</f>
        <v/>
      </c>
      <c r="D268" s="23" t="inlineStr">
        <is>
          <t>Local</t>
        </is>
      </c>
      <c r="E268" s="25" t="inlineStr">
        <is>
          <t>Hiabs Logistics</t>
        </is>
      </c>
      <c r="F268" s="74" t="inlineStr">
        <is>
          <t>10T</t>
        </is>
      </c>
      <c r="G268" s="73" t="inlineStr">
        <is>
          <t>JMG</t>
        </is>
      </c>
      <c r="H268" s="74" t="inlineStr">
        <is>
          <t>Abuja</t>
        </is>
      </c>
      <c r="I268" s="74" t="inlineStr">
        <is>
          <t>Wuse 2</t>
        </is>
      </c>
      <c r="J268" s="74" t="inlineStr">
        <is>
          <t>FCT</t>
        </is>
      </c>
      <c r="K268" s="201" t="n">
        <v>5.2</v>
      </c>
      <c r="L268" s="200" t="n">
        <v>10.4</v>
      </c>
      <c r="M268" s="198" t="n">
        <v>65</v>
      </c>
      <c r="N268" s="194" t="n">
        <v>249.6</v>
      </c>
      <c r="O268" s="198" t="n">
        <v>263204.3991481314</v>
      </c>
    </row>
    <row r="269">
      <c r="A269" s="23" t="inlineStr">
        <is>
          <t>HARUNA/YEKINI</t>
        </is>
      </c>
      <c r="B269">
        <f>CONCATENATE(E269,"-",F269,"-",D269)</f>
        <v/>
      </c>
      <c r="C269" s="25">
        <f>CONCATENATE(G269,"-",F269,"-",D269)</f>
        <v/>
      </c>
      <c r="D269" s="23" t="inlineStr">
        <is>
          <t>Local</t>
        </is>
      </c>
      <c r="E269" s="25" t="inlineStr">
        <is>
          <t>Hiabs Logistics</t>
        </is>
      </c>
      <c r="F269" s="74" t="inlineStr">
        <is>
          <t>10T</t>
        </is>
      </c>
      <c r="G269" s="73" t="inlineStr">
        <is>
          <t>JMG</t>
        </is>
      </c>
      <c r="H269" s="74" t="inlineStr">
        <is>
          <t>Abuja</t>
        </is>
      </c>
      <c r="I269" s="74" t="inlineStr">
        <is>
          <t>Jabi</t>
        </is>
      </c>
      <c r="J269" s="74" t="inlineStr">
        <is>
          <t>FCT</t>
        </is>
      </c>
      <c r="K269" s="201" t="n">
        <v>3.85</v>
      </c>
      <c r="L269" s="200" t="n">
        <v>7.7</v>
      </c>
      <c r="M269" s="198" t="n">
        <v>63</v>
      </c>
      <c r="N269" s="194" t="n">
        <v>184.8</v>
      </c>
      <c r="O269" s="198" t="n">
        <v>263204.3991481314</v>
      </c>
    </row>
    <row r="270">
      <c r="A270" s="23" t="inlineStr">
        <is>
          <t>HARUNA/YEKINI</t>
        </is>
      </c>
      <c r="B270">
        <f>CONCATENATE(E270,"-",F270,"-",D270)</f>
        <v/>
      </c>
      <c r="C270" s="25">
        <f>CONCATENATE(G270,"-",F270,"-",D270)</f>
        <v/>
      </c>
      <c r="D270" s="23" t="inlineStr">
        <is>
          <t>Local</t>
        </is>
      </c>
      <c r="E270" s="25" t="inlineStr">
        <is>
          <t>Hiabs Logistics</t>
        </is>
      </c>
      <c r="F270" s="74" t="inlineStr">
        <is>
          <t>10T</t>
        </is>
      </c>
      <c r="G270" s="73" t="inlineStr">
        <is>
          <t>JMG</t>
        </is>
      </c>
      <c r="H270" s="74" t="inlineStr">
        <is>
          <t>Abuja</t>
        </is>
      </c>
      <c r="I270" s="74" t="inlineStr">
        <is>
          <t>Wuse Zone 6</t>
        </is>
      </c>
      <c r="J270" s="74" t="inlineStr">
        <is>
          <t>FCT</t>
        </is>
      </c>
      <c r="K270" s="201" t="n">
        <v>2.5</v>
      </c>
      <c r="L270" s="200" t="n">
        <v>5</v>
      </c>
      <c r="M270" s="198" t="n">
        <v>62</v>
      </c>
      <c r="N270" s="194" t="n">
        <v>120</v>
      </c>
      <c r="O270" s="198" t="n">
        <v>131602.1995740657</v>
      </c>
    </row>
    <row r="271">
      <c r="A271" s="23" t="inlineStr">
        <is>
          <t>HARUNA/YEKINI</t>
        </is>
      </c>
      <c r="B271">
        <f>CONCATENATE(E271,"-",F271,"-",D271)</f>
        <v/>
      </c>
      <c r="C271" s="25">
        <f>CONCATENATE(G271,"-",F271,"-",D271)</f>
        <v/>
      </c>
      <c r="D271" s="23" t="inlineStr">
        <is>
          <t>Local</t>
        </is>
      </c>
      <c r="E271" s="25" t="inlineStr">
        <is>
          <t>Hiabs Logistics</t>
        </is>
      </c>
      <c r="F271" s="74" t="inlineStr">
        <is>
          <t>10T</t>
        </is>
      </c>
      <c r="G271" s="73" t="inlineStr">
        <is>
          <t>JMG</t>
        </is>
      </c>
      <c r="H271" s="74" t="inlineStr">
        <is>
          <t>Abuja</t>
        </is>
      </c>
      <c r="I271" s="74" t="inlineStr">
        <is>
          <t>Wuse Zone 5</t>
        </is>
      </c>
      <c r="J271" s="74" t="inlineStr">
        <is>
          <t>FCT</t>
        </is>
      </c>
      <c r="K271" s="201" t="n">
        <v>2.5</v>
      </c>
      <c r="L271" s="201" t="n">
        <v>5</v>
      </c>
      <c r="M271" s="198" t="n">
        <v>62</v>
      </c>
      <c r="N271" s="194" t="n">
        <v>120</v>
      </c>
      <c r="O271" s="198" t="n">
        <v>263204.3991481314</v>
      </c>
    </row>
    <row r="272">
      <c r="A272" s="23" t="inlineStr">
        <is>
          <t>HARUNA/YEKINI</t>
        </is>
      </c>
      <c r="B272">
        <f>CONCATENATE(E272,"-",F272,"-",D272)</f>
        <v/>
      </c>
      <c r="C272" s="25">
        <f>CONCATENATE(G272,"-",F272,"-",D272)</f>
        <v/>
      </c>
      <c r="D272" s="23" t="inlineStr">
        <is>
          <t>Local</t>
        </is>
      </c>
      <c r="E272" s="25" t="inlineStr">
        <is>
          <t>Hiabs Logistics</t>
        </is>
      </c>
      <c r="F272" s="74" t="inlineStr">
        <is>
          <t>10T</t>
        </is>
      </c>
      <c r="G272" s="73" t="inlineStr">
        <is>
          <t>JMG</t>
        </is>
      </c>
      <c r="H272" s="74" t="inlineStr">
        <is>
          <t>Abuja</t>
        </is>
      </c>
      <c r="I272" s="74" t="inlineStr">
        <is>
          <t>Utako</t>
        </is>
      </c>
      <c r="J272" s="74" t="inlineStr">
        <is>
          <t>FCT</t>
        </is>
      </c>
      <c r="K272" s="201" t="n">
        <v>1.5</v>
      </c>
      <c r="L272" s="200" t="n">
        <v>3</v>
      </c>
      <c r="M272" s="198" t="n">
        <v>61</v>
      </c>
      <c r="N272" s="194" t="n">
        <v>72</v>
      </c>
      <c r="O272" s="198" t="n">
        <v>263204.3991481314</v>
      </c>
    </row>
    <row r="273">
      <c r="A273" s="23" t="inlineStr">
        <is>
          <t>YEKINI</t>
        </is>
      </c>
      <c r="B273">
        <f>CONCATENATE(E273,"-",F273,"-",D273)</f>
        <v/>
      </c>
      <c r="C273" s="25">
        <f>CONCATENATE(G273,"-",F273,"-",D273)</f>
        <v/>
      </c>
      <c r="D273" s="23" t="inlineStr">
        <is>
          <t>Upcountry</t>
        </is>
      </c>
      <c r="E273" s="25" t="inlineStr">
        <is>
          <t>Hiabs Logistics</t>
        </is>
      </c>
      <c r="F273" s="74" t="inlineStr">
        <is>
          <t>10T</t>
        </is>
      </c>
      <c r="G273" s="73" t="inlineStr">
        <is>
          <t>JMG</t>
        </is>
      </c>
      <c r="H273" s="74" t="inlineStr">
        <is>
          <t>Lagos</t>
        </is>
      </c>
      <c r="I273" s="202" t="inlineStr">
        <is>
          <t>Kano</t>
        </is>
      </c>
      <c r="J273" s="202" t="inlineStr">
        <is>
          <t>Kano</t>
        </is>
      </c>
      <c r="K273" s="199" t="n">
        <v>1250</v>
      </c>
      <c r="L273" s="201" t="n">
        <v>2500</v>
      </c>
      <c r="M273" s="198" t="n">
        <v>1335</v>
      </c>
      <c r="N273" s="194" t="n">
        <v>60000</v>
      </c>
      <c r="O273" s="198" t="n">
        <v>1184419.796166591</v>
      </c>
    </row>
    <row r="274">
      <c r="A274" s="23" t="inlineStr">
        <is>
          <t>YEKINI</t>
        </is>
      </c>
      <c r="B274">
        <f>CONCATENATE(E274,"-",F274,"-",D274)</f>
        <v/>
      </c>
      <c r="C274" s="25">
        <f>CONCATENATE(G274,"-",F274,"-",D274)</f>
        <v/>
      </c>
      <c r="D274" s="23" t="inlineStr">
        <is>
          <t>Upcountry</t>
        </is>
      </c>
      <c r="E274" s="25" t="inlineStr">
        <is>
          <t>Hiabs Logistics</t>
        </is>
      </c>
      <c r="F274" s="74" t="inlineStr">
        <is>
          <t>10T</t>
        </is>
      </c>
      <c r="G274" s="73" t="inlineStr">
        <is>
          <t>JMG</t>
        </is>
      </c>
      <c r="H274" s="74" t="inlineStr">
        <is>
          <t>Lagos</t>
        </is>
      </c>
      <c r="I274" s="202" t="inlineStr">
        <is>
          <t>Kaduna</t>
        </is>
      </c>
      <c r="J274" s="202" t="inlineStr">
        <is>
          <t>Kaduna</t>
        </is>
      </c>
      <c r="K274" s="199" t="n">
        <v>950</v>
      </c>
      <c r="L274" s="201" t="n">
        <v>1900</v>
      </c>
      <c r="M274" s="198" t="n">
        <v>1029</v>
      </c>
      <c r="N274" s="194" t="n">
        <v>45600</v>
      </c>
      <c r="O274" s="198" t="n">
        <v>921215.3970184599</v>
      </c>
    </row>
    <row r="275">
      <c r="A275" s="23" t="inlineStr">
        <is>
          <t>YEKINI</t>
        </is>
      </c>
      <c r="B275">
        <f>CONCATENATE(E275,"-",F275,"-",D275)</f>
        <v/>
      </c>
      <c r="C275" s="25">
        <f>CONCATENATE(G275,"-",F275,"-",D275)</f>
        <v/>
      </c>
      <c r="D275" s="23" t="inlineStr">
        <is>
          <t>Upcountry</t>
        </is>
      </c>
      <c r="E275" s="25" t="inlineStr">
        <is>
          <t>Hiabs Logistics</t>
        </is>
      </c>
      <c r="F275" s="74" t="inlineStr">
        <is>
          <t>10T</t>
        </is>
      </c>
      <c r="G275" s="73" t="inlineStr">
        <is>
          <t>JMG</t>
        </is>
      </c>
      <c r="H275" s="74" t="inlineStr">
        <is>
          <t>Lagos</t>
        </is>
      </c>
      <c r="I275" s="202" t="inlineStr">
        <is>
          <t>Abuja</t>
        </is>
      </c>
      <c r="J275" s="202" t="inlineStr">
        <is>
          <t>FCT</t>
        </is>
      </c>
      <c r="K275" s="199" t="n">
        <v>755</v>
      </c>
      <c r="L275" s="201" t="n">
        <v>1510</v>
      </c>
      <c r="M275" s="198" t="n">
        <v>830</v>
      </c>
      <c r="N275" s="194" t="n">
        <v>36240</v>
      </c>
      <c r="O275" s="198" t="n">
        <v>789613.1974443941</v>
      </c>
    </row>
    <row r="276">
      <c r="A276" s="23" t="inlineStr">
        <is>
          <t>YEKINI</t>
        </is>
      </c>
      <c r="B276">
        <f>CONCATENATE(E276,"-",F276,"-",D276)</f>
        <v/>
      </c>
      <c r="C276" s="25">
        <f>CONCATENATE(G276,"-",F276,"-",D276)</f>
        <v/>
      </c>
      <c r="D276" s="23" t="inlineStr">
        <is>
          <t>Upcountry</t>
        </is>
      </c>
      <c r="E276" s="25" t="inlineStr">
        <is>
          <t>Hiabs Logistics</t>
        </is>
      </c>
      <c r="F276" s="74" t="inlineStr">
        <is>
          <t>10T</t>
        </is>
      </c>
      <c r="G276" s="73" t="inlineStr">
        <is>
          <t>JMG</t>
        </is>
      </c>
      <c r="H276" s="74" t="inlineStr">
        <is>
          <t>Lagos</t>
        </is>
      </c>
      <c r="I276" s="202" t="inlineStr">
        <is>
          <t>Akwa Ibom</t>
        </is>
      </c>
      <c r="J276" s="202" t="inlineStr">
        <is>
          <t>Akwa Ibom</t>
        </is>
      </c>
      <c r="K276" s="199" t="n">
        <v>120</v>
      </c>
      <c r="L276" s="201" t="n">
        <v>1450</v>
      </c>
      <c r="M276" s="198" t="n">
        <v>799</v>
      </c>
      <c r="N276" s="194" t="n">
        <v>34800</v>
      </c>
      <c r="O276" s="198" t="n">
        <v>658010.9978703284</v>
      </c>
    </row>
    <row r="277">
      <c r="A277" s="23" t="inlineStr">
        <is>
          <t>YEKINI</t>
        </is>
      </c>
      <c r="B277">
        <f>CONCATENATE(E277,"-",F277,"-",D277)</f>
        <v/>
      </c>
      <c r="C277" s="25">
        <f>CONCATENATE(G277,"-",F277,"-",D277)</f>
        <v/>
      </c>
      <c r="D277" s="23" t="inlineStr">
        <is>
          <t>Upcountry</t>
        </is>
      </c>
      <c r="E277" s="25" t="inlineStr">
        <is>
          <t>Hiabs Logistics</t>
        </is>
      </c>
      <c r="F277" s="74" t="inlineStr">
        <is>
          <t>10T</t>
        </is>
      </c>
      <c r="G277" s="73" t="inlineStr">
        <is>
          <t>JMG</t>
        </is>
      </c>
      <c r="H277" s="74" t="inlineStr">
        <is>
          <t>Lagos</t>
        </is>
      </c>
      <c r="I277" s="202" t="inlineStr">
        <is>
          <t>Port Harcourt</t>
        </is>
      </c>
      <c r="J277" s="202" t="inlineStr">
        <is>
          <t>Rivers</t>
        </is>
      </c>
      <c r="K277" s="201" t="n">
        <v>617</v>
      </c>
      <c r="L277" s="201" t="n">
        <v>1234</v>
      </c>
      <c r="M277" s="198" t="n">
        <v>689</v>
      </c>
      <c r="N277" s="194" t="n">
        <v>29616</v>
      </c>
      <c r="O277" s="198" t="n">
        <v>658010.9978703284</v>
      </c>
    </row>
    <row r="278">
      <c r="A278" s="23" t="inlineStr">
        <is>
          <t>YEKINI</t>
        </is>
      </c>
      <c r="B278">
        <f>CONCATENATE(E278,"-",F278,"-",D278)</f>
        <v/>
      </c>
      <c r="C278" s="25">
        <f>CONCATENATE(G278,"-",F278,"-",D278)</f>
        <v/>
      </c>
      <c r="D278" s="23" t="inlineStr">
        <is>
          <t>Upcountry</t>
        </is>
      </c>
      <c r="E278" s="25" t="inlineStr">
        <is>
          <t>Hiabs Logistics</t>
        </is>
      </c>
      <c r="F278" s="74" t="inlineStr">
        <is>
          <t>10T</t>
        </is>
      </c>
      <c r="G278" s="73" t="inlineStr">
        <is>
          <t>JMG</t>
        </is>
      </c>
      <c r="H278" s="74" t="inlineStr">
        <is>
          <t>Lagos</t>
        </is>
      </c>
      <c r="I278" s="202" t="inlineStr">
        <is>
          <t>Anambra</t>
        </is>
      </c>
      <c r="J278" s="202" t="inlineStr">
        <is>
          <t>Anambra</t>
        </is>
      </c>
      <c r="K278" s="201" t="n">
        <v>675</v>
      </c>
      <c r="L278" s="201" t="n">
        <v>1350</v>
      </c>
      <c r="M278" s="198" t="n">
        <v>748</v>
      </c>
      <c r="N278" s="194" t="n">
        <v>32400</v>
      </c>
      <c r="O278" s="198" t="n">
        <v>658010.9978703284</v>
      </c>
    </row>
    <row r="279">
      <c r="A279" s="23" t="inlineStr">
        <is>
          <t>YEKINI</t>
        </is>
      </c>
      <c r="B279">
        <f>CONCATENATE(E279,"-",F279,"-",D279)</f>
        <v/>
      </c>
      <c r="C279" s="25">
        <f>CONCATENATE(G279,"-",F279,"-",D279)</f>
        <v/>
      </c>
      <c r="D279" s="23" t="inlineStr">
        <is>
          <t>Upcountry</t>
        </is>
      </c>
      <c r="E279" s="25" t="inlineStr">
        <is>
          <t>Hiabs Logistics</t>
        </is>
      </c>
      <c r="F279" s="74" t="inlineStr">
        <is>
          <t>10T</t>
        </is>
      </c>
      <c r="G279" s="73" t="inlineStr">
        <is>
          <t>JMG</t>
        </is>
      </c>
      <c r="H279" s="74" t="inlineStr">
        <is>
          <t>Lagos</t>
        </is>
      </c>
      <c r="I279" s="202" t="inlineStr">
        <is>
          <t>Onitsha</t>
        </is>
      </c>
      <c r="J279" s="202" t="inlineStr">
        <is>
          <t>Anambra</t>
        </is>
      </c>
      <c r="K279" s="201" t="n">
        <v>575</v>
      </c>
      <c r="L279" s="201" t="n">
        <v>1150</v>
      </c>
      <c r="M279" s="198" t="n">
        <v>646</v>
      </c>
      <c r="N279" s="194" t="n">
        <v>27600</v>
      </c>
      <c r="O279" s="198" t="n">
        <v>526408.7982962627</v>
      </c>
    </row>
    <row r="280" ht="15" customHeight="1" thickBot="1">
      <c r="A280" s="23" t="inlineStr">
        <is>
          <t>YEKINI</t>
        </is>
      </c>
      <c r="B280">
        <f>CONCATENATE(E280,"-",F280,"-",D280)</f>
        <v/>
      </c>
      <c r="C280" s="25">
        <f>CONCATENATE(G280,"-",F280,"-",D280)</f>
        <v/>
      </c>
      <c r="D280" s="23" t="inlineStr">
        <is>
          <t>Upcountry</t>
        </is>
      </c>
      <c r="E280" s="25" t="inlineStr">
        <is>
          <t>Hiabs Logistics</t>
        </is>
      </c>
      <c r="F280" s="74" t="inlineStr">
        <is>
          <t>10T</t>
        </is>
      </c>
      <c r="G280" s="73" t="inlineStr">
        <is>
          <t>JMG</t>
        </is>
      </c>
      <c r="H280" s="74" t="inlineStr">
        <is>
          <t>Lagos</t>
        </is>
      </c>
      <c r="I280" s="202" t="inlineStr">
        <is>
          <t>Warri</t>
        </is>
      </c>
      <c r="J280" s="202" t="inlineStr">
        <is>
          <t>Delta</t>
        </is>
      </c>
      <c r="K280" s="201" t="n">
        <v>375</v>
      </c>
      <c r="L280" s="201" t="n">
        <v>750</v>
      </c>
      <c r="M280" s="203" t="n">
        <v>442</v>
      </c>
      <c r="N280" s="194" t="n">
        <v>18000</v>
      </c>
      <c r="O280" s="198" t="n">
        <v>394806.5987221971</v>
      </c>
    </row>
    <row r="281">
      <c r="A281" s="23" t="inlineStr">
        <is>
          <t>YEKINI</t>
        </is>
      </c>
      <c r="B281">
        <f>CONCATENATE(E281,"-",F281,"-",D281)</f>
        <v/>
      </c>
      <c r="C281" s="25">
        <f>CONCATENATE(G281,"-",F281,"-",D281)</f>
        <v/>
      </c>
      <c r="D281" s="23" t="inlineStr">
        <is>
          <t>Upcountry</t>
        </is>
      </c>
      <c r="E281" s="25" t="inlineStr">
        <is>
          <t>Hiabs Logistics</t>
        </is>
      </c>
      <c r="F281" s="74" t="inlineStr">
        <is>
          <t>10T</t>
        </is>
      </c>
      <c r="G281" s="73" t="inlineStr">
        <is>
          <t>JMG</t>
        </is>
      </c>
      <c r="H281" s="74" t="inlineStr">
        <is>
          <t>Lagos</t>
        </is>
      </c>
      <c r="I281" s="121" t="inlineStr">
        <is>
          <t>Ado-Ekiti</t>
        </is>
      </c>
      <c r="J281" s="121" t="inlineStr">
        <is>
          <t>Ekiti</t>
        </is>
      </c>
      <c r="K281" s="201" t="n">
        <v>376.5</v>
      </c>
      <c r="L281" s="201" t="n">
        <v>753</v>
      </c>
      <c r="M281" s="198" t="n">
        <v>444</v>
      </c>
      <c r="N281" s="194" t="n">
        <v>18072</v>
      </c>
      <c r="O281" s="198" t="n">
        <v>394806.5987221971</v>
      </c>
    </row>
    <row r="282">
      <c r="A282" s="23" t="inlineStr">
        <is>
          <t>YEKINI</t>
        </is>
      </c>
      <c r="B282">
        <f>CONCATENATE(E282,"-",F282,"-",D282)</f>
        <v/>
      </c>
      <c r="C282" s="25">
        <f>CONCATENATE(G282,"-",F282,"-",D282)</f>
        <v/>
      </c>
      <c r="D282" s="23" t="inlineStr">
        <is>
          <t>Upcountry</t>
        </is>
      </c>
      <c r="E282" s="25" t="inlineStr">
        <is>
          <t>Hiabs Logistics</t>
        </is>
      </c>
      <c r="F282" s="74" t="inlineStr">
        <is>
          <t>10T</t>
        </is>
      </c>
      <c r="G282" s="73" t="inlineStr">
        <is>
          <t>JMG</t>
        </is>
      </c>
      <c r="H282" s="74" t="inlineStr">
        <is>
          <t>Lagos</t>
        </is>
      </c>
      <c r="I282" s="202" t="inlineStr">
        <is>
          <t>Benin City</t>
        </is>
      </c>
      <c r="J282" s="202" t="inlineStr">
        <is>
          <t>Edo</t>
        </is>
      </c>
      <c r="K282" s="201" t="n">
        <v>312</v>
      </c>
      <c r="L282" s="201" t="n">
        <v>624</v>
      </c>
      <c r="M282" s="198" t="n">
        <v>378</v>
      </c>
      <c r="N282" s="194" t="n">
        <v>14976</v>
      </c>
      <c r="O282" s="198" t="n">
        <v>394806.5987221971</v>
      </c>
    </row>
    <row r="283">
      <c r="A283" s="23" t="inlineStr">
        <is>
          <t>YEKINI</t>
        </is>
      </c>
      <c r="B283">
        <f>CONCATENATE(E283,"-",F283,"-",D283)</f>
        <v/>
      </c>
      <c r="C283" s="25">
        <f>CONCATENATE(G283,"-",F283,"-",D283)</f>
        <v/>
      </c>
      <c r="D283" s="23" t="inlineStr">
        <is>
          <t>Upcountry</t>
        </is>
      </c>
      <c r="E283" s="25" t="inlineStr">
        <is>
          <t>Hiabs Logistics</t>
        </is>
      </c>
      <c r="F283" s="74" t="inlineStr">
        <is>
          <t>10T</t>
        </is>
      </c>
      <c r="G283" s="73" t="inlineStr">
        <is>
          <t>JMG</t>
        </is>
      </c>
      <c r="H283" s="74" t="inlineStr">
        <is>
          <t>Lagos</t>
        </is>
      </c>
      <c r="I283" s="202" t="inlineStr">
        <is>
          <t>Akure</t>
        </is>
      </c>
      <c r="J283" s="202" t="inlineStr">
        <is>
          <t>Ondo</t>
        </is>
      </c>
      <c r="K283" s="201" t="n">
        <v>304</v>
      </c>
      <c r="L283" s="201" t="n">
        <v>608</v>
      </c>
      <c r="M283" s="198" t="n">
        <v>370</v>
      </c>
      <c r="N283" s="194" t="n">
        <v>14592</v>
      </c>
      <c r="O283" s="198" t="n">
        <v>394806.5987221971</v>
      </c>
    </row>
    <row r="284">
      <c r="A284" s="23" t="inlineStr">
        <is>
          <t>YEKINI</t>
        </is>
      </c>
      <c r="B284">
        <f>CONCATENATE(E284,"-",F284,"-",D284)</f>
        <v/>
      </c>
      <c r="C284" s="25">
        <f>CONCATENATE(G284,"-",F284,"-",D284)</f>
        <v/>
      </c>
      <c r="D284" s="23" t="inlineStr">
        <is>
          <t>Upcountry</t>
        </is>
      </c>
      <c r="E284" s="25" t="inlineStr">
        <is>
          <t>Hiabs Logistics</t>
        </is>
      </c>
      <c r="F284" s="74" t="inlineStr">
        <is>
          <t>10T</t>
        </is>
      </c>
      <c r="G284" s="73" t="inlineStr">
        <is>
          <t>JMG</t>
        </is>
      </c>
      <c r="H284" s="74" t="inlineStr">
        <is>
          <t>Lagos</t>
        </is>
      </c>
      <c r="I284" s="202" t="inlineStr">
        <is>
          <t>Ilorin</t>
        </is>
      </c>
      <c r="J284" s="202" t="inlineStr">
        <is>
          <t>Kwara</t>
        </is>
      </c>
      <c r="K284" s="201" t="n">
        <v>297.5</v>
      </c>
      <c r="L284" s="201" t="n">
        <v>595</v>
      </c>
      <c r="M284" s="198" t="n">
        <v>363</v>
      </c>
      <c r="N284" s="194" t="n">
        <v>14280</v>
      </c>
      <c r="O284" s="198" t="n">
        <v>263204.3991481314</v>
      </c>
    </row>
    <row r="285">
      <c r="A285" s="23" t="inlineStr">
        <is>
          <t>YEKINI</t>
        </is>
      </c>
      <c r="B285">
        <f>CONCATENATE(E285,"-",F285,"-",D285)</f>
        <v/>
      </c>
      <c r="C285" s="25">
        <f>CONCATENATE(G285,"-",F285,"-",D285)</f>
        <v/>
      </c>
      <c r="D285" s="23" t="inlineStr">
        <is>
          <t>Upcountry</t>
        </is>
      </c>
      <c r="E285" s="25" t="inlineStr">
        <is>
          <t>Hiabs Logistics</t>
        </is>
      </c>
      <c r="F285" s="74" t="inlineStr">
        <is>
          <t>10T</t>
        </is>
      </c>
      <c r="G285" s="73" t="inlineStr">
        <is>
          <t>JMG</t>
        </is>
      </c>
      <c r="H285" s="74" t="inlineStr">
        <is>
          <t>Lagos</t>
        </is>
      </c>
      <c r="I285" s="202" t="inlineStr">
        <is>
          <t>Iseyin</t>
        </is>
      </c>
      <c r="J285" s="202" t="inlineStr">
        <is>
          <t>Oyo</t>
        </is>
      </c>
      <c r="K285" s="201" t="n">
        <v>297.5</v>
      </c>
      <c r="L285" s="201" t="n">
        <v>595</v>
      </c>
      <c r="M285" s="198" t="n">
        <v>363</v>
      </c>
      <c r="N285" s="194" t="n">
        <v>14280</v>
      </c>
      <c r="O285" s="198" t="n">
        <v>263204.3991481314</v>
      </c>
    </row>
    <row r="286">
      <c r="A286" s="23" t="inlineStr">
        <is>
          <t>YEKINI</t>
        </is>
      </c>
      <c r="B286">
        <f>CONCATENATE(E286,"-",F286,"-",D286)</f>
        <v/>
      </c>
      <c r="C286" s="25">
        <f>CONCATENATE(G286,"-",F286,"-",D286)</f>
        <v/>
      </c>
      <c r="D286" s="23" t="inlineStr">
        <is>
          <t>Upcountry</t>
        </is>
      </c>
      <c r="E286" s="25" t="inlineStr">
        <is>
          <t>Hiabs Logistics</t>
        </is>
      </c>
      <c r="F286" s="74" t="inlineStr">
        <is>
          <t>10T</t>
        </is>
      </c>
      <c r="G286" s="73" t="inlineStr">
        <is>
          <t>JMG</t>
        </is>
      </c>
      <c r="H286" s="74" t="inlineStr">
        <is>
          <t>Lagos</t>
        </is>
      </c>
      <c r="I286" s="202" t="inlineStr">
        <is>
          <t>Osun</t>
        </is>
      </c>
      <c r="J286" s="202" t="inlineStr">
        <is>
          <t>Osun</t>
        </is>
      </c>
      <c r="K286" s="201" t="n">
        <v>203.5</v>
      </c>
      <c r="L286" s="201" t="n">
        <v>407</v>
      </c>
      <c r="M286" s="198" t="n">
        <v>267</v>
      </c>
      <c r="N286" s="194" t="n">
        <v>9768</v>
      </c>
      <c r="O286" s="198" t="n">
        <v>263204.3991481314</v>
      </c>
    </row>
    <row r="287">
      <c r="A287" s="23" t="inlineStr">
        <is>
          <t>YEKINI</t>
        </is>
      </c>
      <c r="B287">
        <f>CONCATENATE(E287,"-",F287,"-",D287)</f>
        <v/>
      </c>
      <c r="C287" s="25">
        <f>CONCATENATE(G287,"-",F287,"-",D287)</f>
        <v/>
      </c>
      <c r="D287" s="23" t="inlineStr">
        <is>
          <t>Upcountry</t>
        </is>
      </c>
      <c r="E287" s="25" t="inlineStr">
        <is>
          <t>Hiabs Logistics</t>
        </is>
      </c>
      <c r="F287" s="74" t="inlineStr">
        <is>
          <t>10T</t>
        </is>
      </c>
      <c r="G287" s="73" t="inlineStr">
        <is>
          <t>JMG</t>
        </is>
      </c>
      <c r="H287" s="74" t="inlineStr">
        <is>
          <t>Lagos</t>
        </is>
      </c>
      <c r="I287" s="202" t="inlineStr">
        <is>
          <t>Ijebu-Ode</t>
        </is>
      </c>
      <c r="J287" s="202" t="inlineStr">
        <is>
          <t>Ogun</t>
        </is>
      </c>
      <c r="K287" s="201" t="n">
        <v>100</v>
      </c>
      <c r="L287" s="200" t="n">
        <v>200</v>
      </c>
      <c r="M287" s="198" t="n">
        <v>162</v>
      </c>
      <c r="N287" s="194" t="n">
        <v>4800</v>
      </c>
      <c r="O287" s="198" t="n">
        <v>131602.1995740657</v>
      </c>
    </row>
    <row r="288">
      <c r="A288" s="23" t="inlineStr">
        <is>
          <t>YEKINI</t>
        </is>
      </c>
      <c r="B288">
        <f>CONCATENATE(E288,"-",F288,"-",D288)</f>
        <v/>
      </c>
      <c r="C288" s="25">
        <f>CONCATENATE(G288,"-",F288,"-",D288)</f>
        <v/>
      </c>
      <c r="D288" s="23" t="inlineStr">
        <is>
          <t>Upcountry</t>
        </is>
      </c>
      <c r="E288" s="25" t="inlineStr">
        <is>
          <t>Hiabs Logistics</t>
        </is>
      </c>
      <c r="F288" s="74" t="inlineStr">
        <is>
          <t>10T</t>
        </is>
      </c>
      <c r="G288" s="73" t="inlineStr">
        <is>
          <t>JMG</t>
        </is>
      </c>
      <c r="H288" s="74" t="inlineStr">
        <is>
          <t>Lagos</t>
        </is>
      </c>
      <c r="I288" s="202" t="inlineStr">
        <is>
          <t>Ile-Ife</t>
        </is>
      </c>
      <c r="J288" s="202" t="inlineStr">
        <is>
          <t>Osun</t>
        </is>
      </c>
      <c r="K288" s="201" t="n">
        <v>202.5</v>
      </c>
      <c r="L288" s="200" t="n">
        <v>405</v>
      </c>
      <c r="M288" s="198" t="n">
        <v>266</v>
      </c>
      <c r="N288" s="194" t="n">
        <v>9720</v>
      </c>
      <c r="O288" s="198" t="n">
        <v>263204.3991481314</v>
      </c>
    </row>
    <row r="289">
      <c r="A289" s="23" t="inlineStr">
        <is>
          <t>YEKINI</t>
        </is>
      </c>
      <c r="B289">
        <f>CONCATENATE(E289,"-",F289,"-",D289)</f>
        <v/>
      </c>
      <c r="C289" s="25">
        <f>CONCATENATE(G289,"-",F289,"-",D289)</f>
        <v/>
      </c>
      <c r="D289" s="23" t="inlineStr">
        <is>
          <t>Upcountry</t>
        </is>
      </c>
      <c r="E289" s="25" t="inlineStr">
        <is>
          <t>Hiabs Logistics</t>
        </is>
      </c>
      <c r="F289" s="74" t="inlineStr">
        <is>
          <t>10T</t>
        </is>
      </c>
      <c r="G289" s="73" t="inlineStr">
        <is>
          <t>JMG</t>
        </is>
      </c>
      <c r="H289" s="74" t="inlineStr">
        <is>
          <t>Lagos</t>
        </is>
      </c>
      <c r="I289" s="202" t="inlineStr">
        <is>
          <t>Ibadan</t>
        </is>
      </c>
      <c r="J289" s="202" t="inlineStr">
        <is>
          <t>Oyo</t>
        </is>
      </c>
      <c r="K289" s="201" t="n">
        <v>120.5</v>
      </c>
      <c r="L289" s="201" t="n">
        <v>241</v>
      </c>
      <c r="M289" s="198" t="n">
        <v>182</v>
      </c>
      <c r="N289" s="194" t="n">
        <v>5784</v>
      </c>
      <c r="O289" s="198" t="n">
        <v>131602.1995740657</v>
      </c>
    </row>
    <row r="290">
      <c r="A290" s="23" t="inlineStr">
        <is>
          <t>YEKINI</t>
        </is>
      </c>
      <c r="B290">
        <f>CONCATENATE(E290,"-",F290,"-",D290)</f>
        <v/>
      </c>
      <c r="C290" s="25">
        <f>CONCATENATE(G290,"-",F290,"-",D290)</f>
        <v/>
      </c>
      <c r="D290" s="23" t="inlineStr">
        <is>
          <t>Local</t>
        </is>
      </c>
      <c r="E290" s="25" t="inlineStr">
        <is>
          <t>Hiabs Logistics</t>
        </is>
      </c>
      <c r="F290" s="74" t="inlineStr">
        <is>
          <t>10T</t>
        </is>
      </c>
      <c r="G290" s="73" t="inlineStr">
        <is>
          <t>JMG</t>
        </is>
      </c>
      <c r="H290" s="74" t="inlineStr">
        <is>
          <t>Lagos</t>
        </is>
      </c>
      <c r="I290" s="202" t="inlineStr">
        <is>
          <t>Abeokuta</t>
        </is>
      </c>
      <c r="J290" s="202" t="inlineStr">
        <is>
          <t>Ogun</t>
        </is>
      </c>
      <c r="K290" s="201" t="n">
        <v>99.5</v>
      </c>
      <c r="L290" s="201" t="n">
        <v>199</v>
      </c>
      <c r="M290" s="198" t="n">
        <v>161</v>
      </c>
      <c r="N290" s="194" t="n">
        <v>4776</v>
      </c>
      <c r="O290" s="198" t="n">
        <v>131602.1995740657</v>
      </c>
    </row>
    <row r="291">
      <c r="A291" s="23" t="inlineStr">
        <is>
          <t>YEKINI</t>
        </is>
      </c>
      <c r="B291">
        <f>CONCATENATE(E291,"-",F291,"-",D291)</f>
        <v/>
      </c>
      <c r="C291" s="25">
        <f>CONCATENATE(G291,"-",F291,"-",D291)</f>
        <v/>
      </c>
      <c r="D291" s="23" t="inlineStr">
        <is>
          <t>Local</t>
        </is>
      </c>
      <c r="E291" s="25" t="inlineStr">
        <is>
          <t>Hiabs Logistics</t>
        </is>
      </c>
      <c r="F291" s="74" t="inlineStr">
        <is>
          <t>10T</t>
        </is>
      </c>
      <c r="G291" s="73" t="inlineStr">
        <is>
          <t>JMG</t>
        </is>
      </c>
      <c r="H291" s="74" t="inlineStr">
        <is>
          <t>Lagos</t>
        </is>
      </c>
      <c r="I291" s="202" t="inlineStr">
        <is>
          <t>Sagamu</t>
        </is>
      </c>
      <c r="J291" s="202" t="inlineStr">
        <is>
          <t>Ogun</t>
        </is>
      </c>
      <c r="K291" s="201" t="n">
        <v>70</v>
      </c>
      <c r="L291" s="201" t="n">
        <v>140</v>
      </c>
      <c r="M291" s="198" t="n">
        <v>131</v>
      </c>
      <c r="N291" s="194" t="n">
        <v>3360</v>
      </c>
      <c r="O291" s="198" t="n">
        <v>131602.1995740657</v>
      </c>
    </row>
    <row r="292">
      <c r="A292" s="23" t="inlineStr">
        <is>
          <t>YEKINI</t>
        </is>
      </c>
      <c r="B292">
        <f>CONCATENATE(E292,"-",F292,"-",D292)</f>
        <v/>
      </c>
      <c r="C292" s="25">
        <f>CONCATENATE(G292,"-",F292,"-",D292)</f>
        <v/>
      </c>
      <c r="D292" s="23" t="inlineStr">
        <is>
          <t>Local</t>
        </is>
      </c>
      <c r="E292" s="25" t="inlineStr">
        <is>
          <t>Hiabs Logistics</t>
        </is>
      </c>
      <c r="F292" s="74" t="inlineStr">
        <is>
          <t>10T</t>
        </is>
      </c>
      <c r="G292" s="73" t="inlineStr">
        <is>
          <t>JMG</t>
        </is>
      </c>
      <c r="H292" s="74" t="inlineStr">
        <is>
          <t>Lagos</t>
        </is>
      </c>
      <c r="I292" s="202" t="inlineStr">
        <is>
          <t>Ogun</t>
        </is>
      </c>
      <c r="J292" s="202" t="inlineStr">
        <is>
          <t>Ogun</t>
        </is>
      </c>
      <c r="K292" s="201" t="n">
        <v>58</v>
      </c>
      <c r="L292" s="201" t="n">
        <v>116</v>
      </c>
      <c r="M292" s="198" t="n">
        <v>119</v>
      </c>
      <c r="N292" s="194" t="n">
        <v>2784</v>
      </c>
      <c r="O292" s="198" t="n">
        <v>131602.1995740657</v>
      </c>
    </row>
    <row r="293">
      <c r="A293" s="23" t="inlineStr">
        <is>
          <t>YEKINI</t>
        </is>
      </c>
      <c r="B293">
        <f>CONCATENATE(E293,"-",F293,"-",D293)</f>
        <v/>
      </c>
      <c r="C293" s="25">
        <f>CONCATENATE(G293,"-",F293,"-",D293)</f>
        <v/>
      </c>
      <c r="D293" s="23" t="inlineStr">
        <is>
          <t>Local</t>
        </is>
      </c>
      <c r="E293" s="25" t="inlineStr">
        <is>
          <t>Hiabs Logistics</t>
        </is>
      </c>
      <c r="F293" s="74" t="inlineStr">
        <is>
          <t>10T</t>
        </is>
      </c>
      <c r="G293" s="73" t="inlineStr">
        <is>
          <t>JMG</t>
        </is>
      </c>
      <c r="H293" s="74" t="inlineStr">
        <is>
          <t>Lagos</t>
        </is>
      </c>
      <c r="I293" s="202" t="inlineStr">
        <is>
          <t>Ajah</t>
        </is>
      </c>
      <c r="J293" s="202" t="inlineStr">
        <is>
          <t>Lagos</t>
        </is>
      </c>
      <c r="K293" s="201" t="n">
        <v>39.65</v>
      </c>
      <c r="L293" s="201" t="n">
        <v>79.3</v>
      </c>
      <c r="M293" s="198" t="n">
        <v>100</v>
      </c>
      <c r="N293" s="194" t="n">
        <v>1903.2</v>
      </c>
      <c r="O293" s="198" t="n">
        <v>131602.1995740657</v>
      </c>
    </row>
    <row r="294">
      <c r="A294" s="23" t="inlineStr">
        <is>
          <t>YEKINI</t>
        </is>
      </c>
      <c r="B294">
        <f>CONCATENATE(E294,"-",F294,"-",D294)</f>
        <v/>
      </c>
      <c r="C294" s="25">
        <f>CONCATENATE(G294,"-",F294,"-",D294)</f>
        <v/>
      </c>
      <c r="D294" s="23" t="inlineStr">
        <is>
          <t>Local</t>
        </is>
      </c>
      <c r="E294" s="25" t="inlineStr">
        <is>
          <t>Hiabs Logistics</t>
        </is>
      </c>
      <c r="F294" s="74" t="inlineStr">
        <is>
          <t>10T</t>
        </is>
      </c>
      <c r="G294" s="73" t="inlineStr">
        <is>
          <t>JMG</t>
        </is>
      </c>
      <c r="H294" s="74" t="inlineStr">
        <is>
          <t>Lagos</t>
        </is>
      </c>
      <c r="I294" s="202" t="inlineStr">
        <is>
          <t>Alaba</t>
        </is>
      </c>
      <c r="J294" s="202" t="inlineStr">
        <is>
          <t>Lagos</t>
        </is>
      </c>
      <c r="K294" s="201" t="n">
        <v>39</v>
      </c>
      <c r="L294" s="201" t="n">
        <v>78</v>
      </c>
      <c r="M294" s="198" t="n">
        <v>99</v>
      </c>
      <c r="N294" s="194" t="n">
        <v>1872</v>
      </c>
      <c r="O294" s="198" t="n">
        <v>131602.1995740657</v>
      </c>
    </row>
    <row r="295">
      <c r="A295" s="23" t="inlineStr">
        <is>
          <t>YEKINI</t>
        </is>
      </c>
      <c r="B295">
        <f>CONCATENATE(E295,"-",F295,"-",D295)</f>
        <v/>
      </c>
      <c r="C295" s="25">
        <f>CONCATENATE(G295,"-",F295,"-",D295)</f>
        <v/>
      </c>
      <c r="D295" s="23" t="inlineStr">
        <is>
          <t>Local</t>
        </is>
      </c>
      <c r="E295" s="25" t="inlineStr">
        <is>
          <t>Hiabs Logistics</t>
        </is>
      </c>
      <c r="F295" s="74" t="inlineStr">
        <is>
          <t>10T</t>
        </is>
      </c>
      <c r="G295" s="73" t="inlineStr">
        <is>
          <t>JMG</t>
        </is>
      </c>
      <c r="H295" s="74" t="inlineStr">
        <is>
          <t>Lagos</t>
        </is>
      </c>
      <c r="I295" s="202" t="inlineStr">
        <is>
          <t>Okokomaiko</t>
        </is>
      </c>
      <c r="J295" s="202" t="inlineStr">
        <is>
          <t>Lagos</t>
        </is>
      </c>
      <c r="K295" s="201" t="n">
        <v>38.15</v>
      </c>
      <c r="L295" s="200" t="n">
        <v>76.3</v>
      </c>
      <c r="M295" s="198" t="n">
        <v>98</v>
      </c>
      <c r="N295" s="194" t="n">
        <v>1831.2</v>
      </c>
      <c r="O295" s="198" t="n">
        <v>131602.1995740657</v>
      </c>
    </row>
    <row r="296">
      <c r="A296" s="23" t="inlineStr">
        <is>
          <t>YEKINI</t>
        </is>
      </c>
      <c r="B296">
        <f>CONCATENATE(E296,"-",F296,"-",D296)</f>
        <v/>
      </c>
      <c r="C296" s="25">
        <f>CONCATENATE(G296,"-",F296,"-",D296)</f>
        <v/>
      </c>
      <c r="D296" s="23" t="inlineStr">
        <is>
          <t>Local</t>
        </is>
      </c>
      <c r="E296" s="25" t="inlineStr">
        <is>
          <t>Hiabs Logistics</t>
        </is>
      </c>
      <c r="F296" s="74" t="inlineStr">
        <is>
          <t>10T</t>
        </is>
      </c>
      <c r="G296" s="73" t="inlineStr">
        <is>
          <t>JMG</t>
        </is>
      </c>
      <c r="H296" s="74" t="inlineStr">
        <is>
          <t>Lagos</t>
        </is>
      </c>
      <c r="I296" s="202" t="inlineStr">
        <is>
          <t>Mowe</t>
        </is>
      </c>
      <c r="J296" s="202" t="inlineStr">
        <is>
          <t>Ogun</t>
        </is>
      </c>
      <c r="K296" s="201" t="n">
        <v>37.6</v>
      </c>
      <c r="L296" s="200" t="n">
        <v>75.2</v>
      </c>
      <c r="M296" s="198" t="n">
        <v>98</v>
      </c>
      <c r="N296" s="194" t="n">
        <v>1804.8</v>
      </c>
      <c r="O296" s="198" t="n">
        <v>131602.1995740657</v>
      </c>
    </row>
    <row r="297">
      <c r="A297" s="23" t="inlineStr">
        <is>
          <t>YEKINI</t>
        </is>
      </c>
      <c r="B297">
        <f>CONCATENATE(E297,"-",F297,"-",D297)</f>
        <v/>
      </c>
      <c r="C297" s="25">
        <f>CONCATENATE(G297,"-",F297,"-",D297)</f>
        <v/>
      </c>
      <c r="D297" s="23" t="inlineStr">
        <is>
          <t>Local</t>
        </is>
      </c>
      <c r="E297" s="25" t="inlineStr">
        <is>
          <t>Hiabs Logistics</t>
        </is>
      </c>
      <c r="F297" s="74" t="inlineStr">
        <is>
          <t>10T</t>
        </is>
      </c>
      <c r="G297" s="73" t="inlineStr">
        <is>
          <t>JMG</t>
        </is>
      </c>
      <c r="H297" s="74" t="inlineStr">
        <is>
          <t>Lagos</t>
        </is>
      </c>
      <c r="I297" s="202" t="inlineStr">
        <is>
          <t>Magboro</t>
        </is>
      </c>
      <c r="J297" s="202" t="inlineStr">
        <is>
          <t>Ogun</t>
        </is>
      </c>
      <c r="K297" s="201" t="n">
        <v>33</v>
      </c>
      <c r="L297" s="200" t="n">
        <v>66</v>
      </c>
      <c r="M297" s="198" t="n">
        <v>93</v>
      </c>
      <c r="N297" s="194" t="n">
        <v>1584</v>
      </c>
      <c r="O297" s="198" t="n">
        <v>131602.1995740657</v>
      </c>
    </row>
    <row r="298">
      <c r="A298" s="23" t="inlineStr">
        <is>
          <t>YEKINI</t>
        </is>
      </c>
      <c r="B298">
        <f>CONCATENATE(E298,"-",F298,"-",D298)</f>
        <v/>
      </c>
      <c r="C298" s="25">
        <f>CONCATENATE(G298,"-",F298,"-",D298)</f>
        <v/>
      </c>
      <c r="D298" s="23" t="inlineStr">
        <is>
          <t>Local</t>
        </is>
      </c>
      <c r="E298" s="25" t="inlineStr">
        <is>
          <t>Hiabs Logistics</t>
        </is>
      </c>
      <c r="F298" s="74" t="inlineStr">
        <is>
          <t>10T</t>
        </is>
      </c>
      <c r="G298" s="73" t="inlineStr">
        <is>
          <t>JMG</t>
        </is>
      </c>
      <c r="H298" s="74" t="inlineStr">
        <is>
          <t>Lagos</t>
        </is>
      </c>
      <c r="I298" s="202" t="inlineStr">
        <is>
          <t>Trade Fair</t>
        </is>
      </c>
      <c r="J298" s="202" t="inlineStr">
        <is>
          <t>Lagos</t>
        </is>
      </c>
      <c r="K298" s="201" t="n">
        <v>29.5</v>
      </c>
      <c r="L298" s="200" t="n">
        <v>59</v>
      </c>
      <c r="M298" s="198" t="n">
        <v>90</v>
      </c>
      <c r="N298" s="194" t="n">
        <v>1416</v>
      </c>
      <c r="O298" s="198" t="n">
        <v>131602.1995740657</v>
      </c>
    </row>
    <row r="299">
      <c r="A299" s="23" t="inlineStr">
        <is>
          <t>YEKINI</t>
        </is>
      </c>
      <c r="B299">
        <f>CONCATENATE(E299,"-",F299,"-",D299)</f>
        <v/>
      </c>
      <c r="C299" s="25">
        <f>CONCATENATE(G299,"-",F299,"-",D299)</f>
        <v/>
      </c>
      <c r="D299" s="23" t="inlineStr">
        <is>
          <t>Local</t>
        </is>
      </c>
      <c r="E299" s="25" t="inlineStr">
        <is>
          <t>Hiabs Logistics</t>
        </is>
      </c>
      <c r="F299" s="74" t="inlineStr">
        <is>
          <t>10T</t>
        </is>
      </c>
      <c r="G299" s="73" t="inlineStr">
        <is>
          <t>JMG</t>
        </is>
      </c>
      <c r="H299" s="74" t="inlineStr">
        <is>
          <t>Lagos</t>
        </is>
      </c>
      <c r="I299" s="202" t="inlineStr">
        <is>
          <t>Sango-Ota</t>
        </is>
      </c>
      <c r="J299" s="202" t="inlineStr">
        <is>
          <t>Ogun</t>
        </is>
      </c>
      <c r="K299" s="201" t="n">
        <v>28.4</v>
      </c>
      <c r="L299" s="200" t="n">
        <v>56.8</v>
      </c>
      <c r="M299" s="198" t="n">
        <v>88</v>
      </c>
      <c r="N299" s="194" t="n">
        <v>1363.2</v>
      </c>
      <c r="O299" s="198" t="n">
        <v>131602.1995740657</v>
      </c>
    </row>
    <row r="300">
      <c r="A300" s="23" t="inlineStr">
        <is>
          <t>YEKINI</t>
        </is>
      </c>
      <c r="B300">
        <f>CONCATENATE(E300,"-",F300,"-",D300)</f>
        <v/>
      </c>
      <c r="C300" s="25">
        <f>CONCATENATE(G300,"-",F300,"-",D300)</f>
        <v/>
      </c>
      <c r="D300" s="23" t="inlineStr">
        <is>
          <t>Local</t>
        </is>
      </c>
      <c r="E300" s="25" t="inlineStr">
        <is>
          <t>Hiabs Logistics</t>
        </is>
      </c>
      <c r="F300" s="74" t="inlineStr">
        <is>
          <t>10T</t>
        </is>
      </c>
      <c r="G300" s="73" t="inlineStr">
        <is>
          <t>JMG</t>
        </is>
      </c>
      <c r="H300" s="74" t="inlineStr">
        <is>
          <t>Lagos</t>
        </is>
      </c>
      <c r="I300" s="202" t="inlineStr">
        <is>
          <t>Lekki</t>
        </is>
      </c>
      <c r="J300" s="202" t="inlineStr">
        <is>
          <t>Lagos</t>
        </is>
      </c>
      <c r="K300" s="201" t="n">
        <v>26.05</v>
      </c>
      <c r="L300" s="201" t="n">
        <v>52.1</v>
      </c>
      <c r="M300" s="198" t="n">
        <v>86</v>
      </c>
      <c r="N300" s="194" t="n">
        <v>1250.4</v>
      </c>
      <c r="O300" s="198" t="n">
        <v>131602.1995740657</v>
      </c>
    </row>
    <row r="301">
      <c r="A301" s="23" t="inlineStr">
        <is>
          <t>YEKINI</t>
        </is>
      </c>
      <c r="B301">
        <f>CONCATENATE(E301,"-",F301,"-",D301)</f>
        <v/>
      </c>
      <c r="C301" s="25">
        <f>CONCATENATE(G301,"-",F301,"-",D301)</f>
        <v/>
      </c>
      <c r="D301" s="23" t="inlineStr">
        <is>
          <t>Local</t>
        </is>
      </c>
      <c r="E301" s="25" t="inlineStr">
        <is>
          <t>Hiabs Logistics</t>
        </is>
      </c>
      <c r="F301" s="74" t="inlineStr">
        <is>
          <t>10T</t>
        </is>
      </c>
      <c r="G301" s="73" t="inlineStr">
        <is>
          <t>JMG</t>
        </is>
      </c>
      <c r="H301" s="74" t="inlineStr">
        <is>
          <t>Lagos</t>
        </is>
      </c>
      <c r="I301" s="202" t="inlineStr">
        <is>
          <t>Festac</t>
        </is>
      </c>
      <c r="J301" s="202" t="inlineStr">
        <is>
          <t>Lagos</t>
        </is>
      </c>
      <c r="K301" s="201" t="n">
        <v>24.6</v>
      </c>
      <c r="L301" s="200" t="n">
        <v>49.2</v>
      </c>
      <c r="M301" s="198" t="n">
        <v>85</v>
      </c>
      <c r="N301" s="194" t="n">
        <v>1180.8</v>
      </c>
      <c r="O301" s="198" t="n">
        <v>131602.1995740657</v>
      </c>
    </row>
    <row r="302">
      <c r="A302" s="23" t="inlineStr">
        <is>
          <t>YEKINI</t>
        </is>
      </c>
      <c r="B302">
        <f>CONCATENATE(E302,"-",F302,"-",D302)</f>
        <v/>
      </c>
      <c r="C302" s="25">
        <f>CONCATENATE(G302,"-",F302,"-",D302)</f>
        <v/>
      </c>
      <c r="D302" s="23" t="inlineStr">
        <is>
          <t>Local</t>
        </is>
      </c>
      <c r="E302" s="25" t="inlineStr">
        <is>
          <t>Hiabs Logistics</t>
        </is>
      </c>
      <c r="F302" s="74" t="inlineStr">
        <is>
          <t>10T</t>
        </is>
      </c>
      <c r="G302" s="73" t="inlineStr">
        <is>
          <t>JMG</t>
        </is>
      </c>
      <c r="H302" s="74" t="inlineStr">
        <is>
          <t>Lagos</t>
        </is>
      </c>
      <c r="I302" s="121" t="inlineStr">
        <is>
          <t>Ikorodu</t>
        </is>
      </c>
      <c r="J302" s="121" t="inlineStr">
        <is>
          <t>Lagos</t>
        </is>
      </c>
      <c r="K302" s="201" t="n">
        <v>24.25</v>
      </c>
      <c r="L302" s="200" t="n">
        <v>48.5</v>
      </c>
      <c r="M302" s="198" t="n">
        <v>84</v>
      </c>
      <c r="N302" s="194" t="n">
        <v>1164</v>
      </c>
      <c r="O302" s="198" t="n">
        <v>131602.1995740657</v>
      </c>
    </row>
    <row r="303">
      <c r="A303" s="23" t="inlineStr">
        <is>
          <t>YEKINI</t>
        </is>
      </c>
      <c r="B303">
        <f>CONCATENATE(E303,"-",F303,"-",D303)</f>
        <v/>
      </c>
      <c r="C303" s="25">
        <f>CONCATENATE(G303,"-",F303,"-",D303)</f>
        <v/>
      </c>
      <c r="D303" s="23" t="inlineStr">
        <is>
          <t>Local</t>
        </is>
      </c>
      <c r="E303" s="25" t="inlineStr">
        <is>
          <t>Hiabs Logistics</t>
        </is>
      </c>
      <c r="F303" s="74" t="inlineStr">
        <is>
          <t>10T</t>
        </is>
      </c>
      <c r="G303" s="73" t="inlineStr">
        <is>
          <t>JMG</t>
        </is>
      </c>
      <c r="H303" s="74" t="inlineStr">
        <is>
          <t>Lagos</t>
        </is>
      </c>
      <c r="I303" s="202" t="inlineStr">
        <is>
          <t>Victoria Island</t>
        </is>
      </c>
      <c r="J303" s="202" t="inlineStr">
        <is>
          <t>Lagos</t>
        </is>
      </c>
      <c r="K303" s="201" t="n">
        <v>24</v>
      </c>
      <c r="L303" s="201" t="n">
        <v>48</v>
      </c>
      <c r="M303" s="198" t="n">
        <v>84</v>
      </c>
      <c r="N303" s="194" t="n">
        <v>1152</v>
      </c>
      <c r="O303" s="198" t="n">
        <v>131602.1995740657</v>
      </c>
    </row>
    <row r="304">
      <c r="A304" s="23" t="inlineStr">
        <is>
          <t>YEKINI</t>
        </is>
      </c>
      <c r="B304">
        <f>CONCATENATE(E304,"-",F304,"-",D304)</f>
        <v/>
      </c>
      <c r="C304" s="25">
        <f>CONCATENATE(G304,"-",F304,"-",D304)</f>
        <v/>
      </c>
      <c r="D304" s="23" t="inlineStr">
        <is>
          <t>Local</t>
        </is>
      </c>
      <c r="E304" s="25" t="inlineStr">
        <is>
          <t>Hiabs Logistics</t>
        </is>
      </c>
      <c r="F304" s="74" t="inlineStr">
        <is>
          <t>10T</t>
        </is>
      </c>
      <c r="G304" s="73" t="inlineStr">
        <is>
          <t>JMG</t>
        </is>
      </c>
      <c r="H304" s="74" t="inlineStr">
        <is>
          <t>Lagos</t>
        </is>
      </c>
      <c r="I304" s="202" t="inlineStr">
        <is>
          <t>Oniru</t>
        </is>
      </c>
      <c r="J304" s="202" t="inlineStr">
        <is>
          <t>Lagos</t>
        </is>
      </c>
      <c r="K304" s="201" t="n">
        <v>23.1</v>
      </c>
      <c r="L304" s="201" t="n">
        <v>46.2</v>
      </c>
      <c r="M304" s="198" t="n">
        <v>83</v>
      </c>
      <c r="N304" s="194" t="n">
        <v>1108.8</v>
      </c>
      <c r="O304" s="198" t="n">
        <v>131602.1995740657</v>
      </c>
    </row>
    <row r="305">
      <c r="A305" s="23" t="inlineStr">
        <is>
          <t>YEKINI</t>
        </is>
      </c>
      <c r="B305">
        <f>CONCATENATE(E305,"-",F305,"-",D305)</f>
        <v/>
      </c>
      <c r="C305" s="25">
        <f>CONCATENATE(G305,"-",F305,"-",D305)</f>
        <v/>
      </c>
      <c r="D305" s="23" t="inlineStr">
        <is>
          <t>Local</t>
        </is>
      </c>
      <c r="E305" s="25" t="inlineStr">
        <is>
          <t>Hiabs Logistics</t>
        </is>
      </c>
      <c r="F305" s="74" t="inlineStr">
        <is>
          <t>10T</t>
        </is>
      </c>
      <c r="G305" s="73" t="inlineStr">
        <is>
          <t>JMG</t>
        </is>
      </c>
      <c r="H305" s="74" t="inlineStr">
        <is>
          <t>Lagos</t>
        </is>
      </c>
      <c r="I305" s="202" t="inlineStr">
        <is>
          <t>Lagos Island</t>
        </is>
      </c>
      <c r="J305" s="202" t="inlineStr">
        <is>
          <t>Lagos</t>
        </is>
      </c>
      <c r="K305" s="201" t="n">
        <v>23</v>
      </c>
      <c r="L305" s="201" t="n">
        <v>46</v>
      </c>
      <c r="M305" s="198" t="n">
        <v>83</v>
      </c>
      <c r="N305" s="194" t="n">
        <v>1104</v>
      </c>
      <c r="O305" s="198" t="n">
        <v>131602.1995740657</v>
      </c>
    </row>
    <row r="306">
      <c r="A306" s="23" t="inlineStr">
        <is>
          <t>YEKINI</t>
        </is>
      </c>
      <c r="B306">
        <f>CONCATENATE(E306,"-",F306,"-",D306)</f>
        <v/>
      </c>
      <c r="C306" s="25">
        <f>CONCATENATE(G306,"-",F306,"-",D306)</f>
        <v/>
      </c>
      <c r="D306" s="23" t="inlineStr">
        <is>
          <t>Local</t>
        </is>
      </c>
      <c r="E306" s="25" t="inlineStr">
        <is>
          <t>Hiabs Logistics</t>
        </is>
      </c>
      <c r="F306" s="74" t="inlineStr">
        <is>
          <t>10T</t>
        </is>
      </c>
      <c r="G306" s="73" t="inlineStr">
        <is>
          <t>JMG</t>
        </is>
      </c>
      <c r="H306" s="74" t="inlineStr">
        <is>
          <t>Lagos</t>
        </is>
      </c>
      <c r="I306" s="202" t="inlineStr">
        <is>
          <t>Abule Egba</t>
        </is>
      </c>
      <c r="J306" s="202" t="inlineStr">
        <is>
          <t>Lagos</t>
        </is>
      </c>
      <c r="K306" s="201" t="n">
        <v>22.25</v>
      </c>
      <c r="L306" s="200" t="n">
        <v>44.5</v>
      </c>
      <c r="M306" s="198" t="n">
        <v>82</v>
      </c>
      <c r="N306" s="194" t="n">
        <v>1068</v>
      </c>
      <c r="O306" s="198" t="n">
        <v>131602.1995740657</v>
      </c>
    </row>
    <row r="307">
      <c r="A307" s="23" t="inlineStr">
        <is>
          <t>YEKINI</t>
        </is>
      </c>
      <c r="B307">
        <f>CONCATENATE(E307,"-",F307,"-",D307)</f>
        <v/>
      </c>
      <c r="C307" s="25">
        <f>CONCATENATE(G307,"-",F307,"-",D307)</f>
        <v/>
      </c>
      <c r="D307" s="23" t="inlineStr">
        <is>
          <t>Local</t>
        </is>
      </c>
      <c r="E307" s="25" t="inlineStr">
        <is>
          <t>Hiabs Logistics</t>
        </is>
      </c>
      <c r="F307" s="74" t="inlineStr">
        <is>
          <t>10T</t>
        </is>
      </c>
      <c r="G307" s="73" t="inlineStr">
        <is>
          <t>JMG</t>
        </is>
      </c>
      <c r="H307" s="74" t="inlineStr">
        <is>
          <t>Lagos</t>
        </is>
      </c>
      <c r="I307" s="202" t="inlineStr">
        <is>
          <t>Bar Beach</t>
        </is>
      </c>
      <c r="J307" s="202" t="inlineStr">
        <is>
          <t>Lagos</t>
        </is>
      </c>
      <c r="K307" s="201" t="n">
        <v>21.9</v>
      </c>
      <c r="L307" s="200" t="n">
        <v>43.8</v>
      </c>
      <c r="M307" s="198" t="n">
        <v>82</v>
      </c>
      <c r="N307" s="194" t="n">
        <v>1051.2</v>
      </c>
      <c r="O307" s="198" t="n">
        <v>131602.1995740657</v>
      </c>
    </row>
    <row r="308">
      <c r="A308" s="23" t="inlineStr">
        <is>
          <t>YEKINI</t>
        </is>
      </c>
      <c r="B308">
        <f>CONCATENATE(E308,"-",F308,"-",D308)</f>
        <v/>
      </c>
      <c r="C308" s="25">
        <f>CONCATENATE(G308,"-",F308,"-",D308)</f>
        <v/>
      </c>
      <c r="D308" s="23" t="inlineStr">
        <is>
          <t>Local</t>
        </is>
      </c>
      <c r="E308" s="25" t="inlineStr">
        <is>
          <t>Hiabs Logistics</t>
        </is>
      </c>
      <c r="F308" s="74" t="inlineStr">
        <is>
          <t>10T</t>
        </is>
      </c>
      <c r="G308" s="73" t="inlineStr">
        <is>
          <t>JMG</t>
        </is>
      </c>
      <c r="H308" s="74" t="inlineStr">
        <is>
          <t>Lagos</t>
        </is>
      </c>
      <c r="I308" s="202" t="inlineStr">
        <is>
          <t>Adeola Odeku</t>
        </is>
      </c>
      <c r="J308" s="202" t="inlineStr">
        <is>
          <t>Lagos</t>
        </is>
      </c>
      <c r="K308" s="201" t="n">
        <v>21.6</v>
      </c>
      <c r="L308" s="200" t="n">
        <v>43.2</v>
      </c>
      <c r="M308" s="198" t="n">
        <v>82</v>
      </c>
      <c r="N308" s="194" t="n">
        <v>1036.8</v>
      </c>
      <c r="O308" s="198" t="n">
        <v>131602.1995740657</v>
      </c>
    </row>
    <row r="309">
      <c r="A309" s="23" t="inlineStr">
        <is>
          <t>YEKINI</t>
        </is>
      </c>
      <c r="B309">
        <f>CONCATENATE(E309,"-",F309,"-",D309)</f>
        <v/>
      </c>
      <c r="C309" s="25">
        <f>CONCATENATE(G309,"-",F309,"-",D309)</f>
        <v/>
      </c>
      <c r="D309" s="23" t="inlineStr">
        <is>
          <t>Local</t>
        </is>
      </c>
      <c r="E309" s="25" t="inlineStr">
        <is>
          <t>Hiabs Logistics</t>
        </is>
      </c>
      <c r="F309" s="74" t="inlineStr">
        <is>
          <t>10T</t>
        </is>
      </c>
      <c r="G309" s="73" t="inlineStr">
        <is>
          <t>JMG</t>
        </is>
      </c>
      <c r="H309" s="74" t="inlineStr">
        <is>
          <t>Lagos</t>
        </is>
      </c>
      <c r="I309" s="121" t="inlineStr">
        <is>
          <t>Mushin</t>
        </is>
      </c>
      <c r="J309" s="121" t="inlineStr">
        <is>
          <t>Lagos</t>
        </is>
      </c>
      <c r="K309" s="201" t="n">
        <v>21.5</v>
      </c>
      <c r="L309" s="200" t="n">
        <v>43</v>
      </c>
      <c r="M309" s="198" t="n">
        <v>81</v>
      </c>
      <c r="N309" s="194" t="n">
        <v>1032</v>
      </c>
      <c r="O309" s="198" t="n">
        <v>131602.1995740657</v>
      </c>
    </row>
    <row r="310">
      <c r="A310" s="23" t="inlineStr">
        <is>
          <t>YEKINI</t>
        </is>
      </c>
      <c r="B310">
        <f>CONCATENATE(E310,"-",F310,"-",D310)</f>
        <v/>
      </c>
      <c r="C310" s="25">
        <f>CONCATENATE(G310,"-",F310,"-",D310)</f>
        <v/>
      </c>
      <c r="D310" s="23" t="inlineStr">
        <is>
          <t>Local</t>
        </is>
      </c>
      <c r="E310" s="25" t="inlineStr">
        <is>
          <t>Hiabs Logistics</t>
        </is>
      </c>
      <c r="F310" s="74" t="inlineStr">
        <is>
          <t>10T</t>
        </is>
      </c>
      <c r="G310" s="73" t="inlineStr">
        <is>
          <t>JMG</t>
        </is>
      </c>
      <c r="H310" s="74" t="inlineStr">
        <is>
          <t>Lagos</t>
        </is>
      </c>
      <c r="I310" s="202" t="inlineStr">
        <is>
          <t>Agbado</t>
        </is>
      </c>
      <c r="J310" s="202" t="inlineStr">
        <is>
          <t>Lagos</t>
        </is>
      </c>
      <c r="K310" s="201" t="n">
        <v>21.2</v>
      </c>
      <c r="L310" s="200" t="n">
        <v>42.4</v>
      </c>
      <c r="M310" s="198" t="n">
        <v>81</v>
      </c>
      <c r="N310" s="194" t="n">
        <v>1017.6</v>
      </c>
      <c r="O310" s="198" t="n">
        <v>131602.1995740657</v>
      </c>
    </row>
    <row r="311">
      <c r="A311" s="23" t="inlineStr">
        <is>
          <t>YEKINI</t>
        </is>
      </c>
      <c r="B311">
        <f>CONCATENATE(E311,"-",F311,"-",D311)</f>
        <v/>
      </c>
      <c r="C311" s="25">
        <f>CONCATENATE(G311,"-",F311,"-",D311)</f>
        <v/>
      </c>
      <c r="D311" s="23" t="inlineStr">
        <is>
          <t>Local</t>
        </is>
      </c>
      <c r="E311" s="25" t="inlineStr">
        <is>
          <t>Hiabs Logistics</t>
        </is>
      </c>
      <c r="F311" s="74" t="inlineStr">
        <is>
          <t>10T</t>
        </is>
      </c>
      <c r="G311" s="73" t="inlineStr">
        <is>
          <t>JMG</t>
        </is>
      </c>
      <c r="H311" s="74" t="inlineStr">
        <is>
          <t>Lagos</t>
        </is>
      </c>
      <c r="I311" s="202" t="inlineStr">
        <is>
          <t>Akute</t>
        </is>
      </c>
      <c r="J311" s="202" t="inlineStr">
        <is>
          <t>Ogun</t>
        </is>
      </c>
      <c r="K311" s="201" t="n">
        <v>20.5</v>
      </c>
      <c r="L311" s="200" t="n">
        <v>41</v>
      </c>
      <c r="M311" s="198" t="n">
        <v>80</v>
      </c>
      <c r="N311" s="194" t="n">
        <v>984</v>
      </c>
      <c r="O311" s="198" t="n">
        <v>131602.1995740657</v>
      </c>
    </row>
    <row r="312">
      <c r="A312" s="23" t="inlineStr">
        <is>
          <t>YEKINI</t>
        </is>
      </c>
      <c r="B312">
        <f>CONCATENATE(E312,"-",F312,"-",D312)</f>
        <v/>
      </c>
      <c r="C312" s="25">
        <f>CONCATENATE(G312,"-",F312,"-",D312)</f>
        <v/>
      </c>
      <c r="D312" s="23" t="inlineStr">
        <is>
          <t>Local</t>
        </is>
      </c>
      <c r="E312" s="25" t="inlineStr">
        <is>
          <t>Hiabs Logistics</t>
        </is>
      </c>
      <c r="F312" s="74" t="inlineStr">
        <is>
          <t>10T</t>
        </is>
      </c>
      <c r="G312" s="73" t="inlineStr">
        <is>
          <t>JMG</t>
        </is>
      </c>
      <c r="H312" s="74" t="inlineStr">
        <is>
          <t>Lagos</t>
        </is>
      </c>
      <c r="I312" s="202" t="inlineStr">
        <is>
          <t>IKM</t>
        </is>
      </c>
      <c r="J312" s="202" t="inlineStr">
        <is>
          <t>Lagos</t>
        </is>
      </c>
      <c r="K312" s="201" t="n">
        <v>19.5</v>
      </c>
      <c r="L312" s="201" t="n">
        <v>39</v>
      </c>
      <c r="M312" s="198" t="n">
        <v>79</v>
      </c>
      <c r="N312" s="194" t="n">
        <v>936</v>
      </c>
      <c r="O312" s="198" t="n">
        <v>131602.1995740657</v>
      </c>
    </row>
    <row r="313">
      <c r="A313" s="23" t="inlineStr">
        <is>
          <t>YEKINI</t>
        </is>
      </c>
      <c r="B313">
        <f>CONCATENATE(E313,"-",F313,"-",D313)</f>
        <v/>
      </c>
      <c r="C313" s="25">
        <f>CONCATENATE(G313,"-",F313,"-",D313)</f>
        <v/>
      </c>
      <c r="D313" s="23" t="inlineStr">
        <is>
          <t>Local</t>
        </is>
      </c>
      <c r="E313" s="25" t="inlineStr">
        <is>
          <t>Hiabs Logistics</t>
        </is>
      </c>
      <c r="F313" s="74" t="inlineStr">
        <is>
          <t>10T</t>
        </is>
      </c>
      <c r="G313" s="73" t="inlineStr">
        <is>
          <t>JMG</t>
        </is>
      </c>
      <c r="H313" s="74" t="inlineStr">
        <is>
          <t>Lagos</t>
        </is>
      </c>
      <c r="I313" s="202" t="inlineStr">
        <is>
          <t>Tejuosho</t>
        </is>
      </c>
      <c r="J313" s="202" t="inlineStr">
        <is>
          <t>Lagos</t>
        </is>
      </c>
      <c r="K313" s="201" t="n">
        <v>19</v>
      </c>
      <c r="L313" s="201" t="n">
        <v>38</v>
      </c>
      <c r="M313" s="198" t="n">
        <v>79</v>
      </c>
      <c r="N313" s="194" t="n">
        <v>912</v>
      </c>
      <c r="O313" s="198" t="n">
        <v>131602.1995740657</v>
      </c>
    </row>
    <row r="314">
      <c r="A314" s="23" t="inlineStr">
        <is>
          <t>YEKINI</t>
        </is>
      </c>
      <c r="B314">
        <f>CONCATENATE(E314,"-",F314,"-",D314)</f>
        <v/>
      </c>
      <c r="C314" s="25">
        <f>CONCATENATE(G314,"-",F314,"-",D314)</f>
        <v/>
      </c>
      <c r="D314" s="23" t="inlineStr">
        <is>
          <t>Local</t>
        </is>
      </c>
      <c r="E314" s="25" t="inlineStr">
        <is>
          <t>Hiabs Logistics</t>
        </is>
      </c>
      <c r="F314" s="74" t="inlineStr">
        <is>
          <t>10T</t>
        </is>
      </c>
      <c r="G314" s="73" t="inlineStr">
        <is>
          <t>JMG</t>
        </is>
      </c>
      <c r="H314" s="74" t="inlineStr">
        <is>
          <t>Lagos</t>
        </is>
      </c>
      <c r="I314" s="202" t="inlineStr">
        <is>
          <t>Dembal</t>
        </is>
      </c>
      <c r="J314" s="202" t="inlineStr">
        <is>
          <t>Lagos</t>
        </is>
      </c>
      <c r="K314" s="201" t="n">
        <v>19</v>
      </c>
      <c r="L314" s="201" t="n">
        <v>38</v>
      </c>
      <c r="M314" s="198" t="n">
        <v>79</v>
      </c>
      <c r="N314" s="194" t="n">
        <v>912</v>
      </c>
      <c r="O314" s="198" t="n">
        <v>131602.1995740657</v>
      </c>
    </row>
    <row r="315">
      <c r="A315" s="23" t="inlineStr">
        <is>
          <t>YEKINI</t>
        </is>
      </c>
      <c r="B315">
        <f>CONCATENATE(E315,"-",F315,"-",D315)</f>
        <v/>
      </c>
      <c r="C315" s="25">
        <f>CONCATENATE(G315,"-",F315,"-",D315)</f>
        <v/>
      </c>
      <c r="D315" s="23" t="inlineStr">
        <is>
          <t>Local</t>
        </is>
      </c>
      <c r="E315" s="25" t="inlineStr">
        <is>
          <t>Hiabs Logistics</t>
        </is>
      </c>
      <c r="F315" s="74" t="inlineStr">
        <is>
          <t>10T</t>
        </is>
      </c>
      <c r="G315" s="73" t="inlineStr">
        <is>
          <t>JMG</t>
        </is>
      </c>
      <c r="H315" s="74" t="inlineStr">
        <is>
          <t>Lagos</t>
        </is>
      </c>
      <c r="I315" s="202" t="inlineStr">
        <is>
          <t>Mile 2</t>
        </is>
      </c>
      <c r="J315" s="202" t="inlineStr">
        <is>
          <t>Lagos</t>
        </is>
      </c>
      <c r="K315" s="201" t="n">
        <v>18.4</v>
      </c>
      <c r="L315" s="200" t="n">
        <v>36.8</v>
      </c>
      <c r="M315" s="198" t="n">
        <v>78</v>
      </c>
      <c r="N315" s="194" t="n">
        <v>883.1999999999999</v>
      </c>
      <c r="O315" s="198" t="n">
        <v>131602.1995740657</v>
      </c>
    </row>
    <row r="316">
      <c r="A316" s="23" t="inlineStr">
        <is>
          <t>YEKINI</t>
        </is>
      </c>
      <c r="B316">
        <f>CONCATENATE(E316,"-",F316,"-",D316)</f>
        <v/>
      </c>
      <c r="C316" s="25">
        <f>CONCATENATE(G316,"-",F316,"-",D316)</f>
        <v/>
      </c>
      <c r="D316" s="23" t="inlineStr">
        <is>
          <t>Local</t>
        </is>
      </c>
      <c r="E316" s="25" t="inlineStr">
        <is>
          <t>Hiabs Logistics</t>
        </is>
      </c>
      <c r="F316" s="74" t="inlineStr">
        <is>
          <t>10T</t>
        </is>
      </c>
      <c r="G316" s="73" t="inlineStr">
        <is>
          <t>JMG</t>
        </is>
      </c>
      <c r="H316" s="74" t="inlineStr">
        <is>
          <t>Lagos</t>
        </is>
      </c>
      <c r="I316" s="202" t="inlineStr">
        <is>
          <t>Marina</t>
        </is>
      </c>
      <c r="J316" s="202" t="inlineStr">
        <is>
          <t>Lagos</t>
        </is>
      </c>
      <c r="K316" s="201" t="n">
        <v>18.05</v>
      </c>
      <c r="L316" s="200" t="n">
        <v>36.1</v>
      </c>
      <c r="M316" s="198" t="n">
        <v>78</v>
      </c>
      <c r="N316" s="194" t="n">
        <v>866.4000000000001</v>
      </c>
      <c r="O316" s="198" t="n">
        <v>131602.1995740657</v>
      </c>
    </row>
    <row r="317">
      <c r="A317" s="23" t="inlineStr">
        <is>
          <t>YEKINI</t>
        </is>
      </c>
      <c r="B317">
        <f>CONCATENATE(E317,"-",F317,"-",D317)</f>
        <v/>
      </c>
      <c r="C317" s="25">
        <f>CONCATENATE(G317,"-",F317,"-",D317)</f>
        <v/>
      </c>
      <c r="D317" s="23" t="inlineStr">
        <is>
          <t>Local</t>
        </is>
      </c>
      <c r="E317" s="25" t="inlineStr">
        <is>
          <t>Hiabs Logistics</t>
        </is>
      </c>
      <c r="F317" s="74" t="inlineStr">
        <is>
          <t>10T</t>
        </is>
      </c>
      <c r="G317" s="73" t="inlineStr">
        <is>
          <t>JMG</t>
        </is>
      </c>
      <c r="H317" s="74" t="inlineStr">
        <is>
          <t>Lagos</t>
        </is>
      </c>
      <c r="I317" s="202" t="inlineStr">
        <is>
          <t>Okota</t>
        </is>
      </c>
      <c r="J317" s="202" t="inlineStr">
        <is>
          <t>Lagos</t>
        </is>
      </c>
      <c r="K317" s="201" t="n">
        <v>17.85</v>
      </c>
      <c r="L317" s="200" t="n">
        <v>35.7</v>
      </c>
      <c r="M317" s="198" t="n">
        <v>78</v>
      </c>
      <c r="N317" s="194" t="n">
        <v>856.8000000000001</v>
      </c>
      <c r="O317" s="198" t="n">
        <v>131602.1995740657</v>
      </c>
    </row>
    <row r="318">
      <c r="A318" s="23" t="inlineStr">
        <is>
          <t>YEKINI</t>
        </is>
      </c>
      <c r="B318">
        <f>CONCATENATE(E318,"-",F318,"-",D318)</f>
        <v/>
      </c>
      <c r="C318" s="25">
        <f>CONCATENATE(G318,"-",F318,"-",D318)</f>
        <v/>
      </c>
      <c r="D318" s="23" t="inlineStr">
        <is>
          <t>Local</t>
        </is>
      </c>
      <c r="E318" s="25" t="inlineStr">
        <is>
          <t>Hiabs Logistics</t>
        </is>
      </c>
      <c r="F318" s="74" t="inlineStr">
        <is>
          <t>10T</t>
        </is>
      </c>
      <c r="G318" s="73" t="inlineStr">
        <is>
          <t>JMG</t>
        </is>
      </c>
      <c r="H318" s="74" t="inlineStr">
        <is>
          <t>Lagos</t>
        </is>
      </c>
      <c r="I318" s="202" t="inlineStr">
        <is>
          <t>Iyana Ipaja</t>
        </is>
      </c>
      <c r="J318" s="202" t="inlineStr">
        <is>
          <t>Lagos</t>
        </is>
      </c>
      <c r="K318" s="201" t="n">
        <v>16.8</v>
      </c>
      <c r="L318" s="200" t="n">
        <v>33.6</v>
      </c>
      <c r="M318" s="198" t="n">
        <v>77</v>
      </c>
      <c r="N318" s="194" t="n">
        <v>806.4000000000001</v>
      </c>
      <c r="O318" s="198" t="n">
        <v>131602.1995740657</v>
      </c>
    </row>
    <row r="319">
      <c r="A319" s="23" t="inlineStr">
        <is>
          <t>YEKINI</t>
        </is>
      </c>
      <c r="B319">
        <f>CONCATENATE(E319,"-",F319,"-",D319)</f>
        <v/>
      </c>
      <c r="C319" s="25">
        <f>CONCATENATE(G319,"-",F319,"-",D319)</f>
        <v/>
      </c>
      <c r="D319" s="23" t="inlineStr">
        <is>
          <t>Local</t>
        </is>
      </c>
      <c r="E319" s="25" t="inlineStr">
        <is>
          <t>Hiabs Logistics</t>
        </is>
      </c>
      <c r="F319" s="74" t="inlineStr">
        <is>
          <t>10T</t>
        </is>
      </c>
      <c r="G319" s="73" t="inlineStr">
        <is>
          <t>JMG</t>
        </is>
      </c>
      <c r="H319" s="74" t="inlineStr">
        <is>
          <t>Lagos</t>
        </is>
      </c>
      <c r="I319" s="202" t="inlineStr">
        <is>
          <t>Jankara</t>
        </is>
      </c>
      <c r="J319" s="202" t="inlineStr">
        <is>
          <t>Lagos</t>
        </is>
      </c>
      <c r="K319" s="201" t="n">
        <v>16.2</v>
      </c>
      <c r="L319" s="200" t="n">
        <v>32.4</v>
      </c>
      <c r="M319" s="198" t="n">
        <v>76</v>
      </c>
      <c r="N319" s="194" t="n">
        <v>777.5999999999999</v>
      </c>
      <c r="O319" s="198" t="n">
        <v>131602.1995740657</v>
      </c>
    </row>
    <row r="320">
      <c r="A320" s="23" t="inlineStr">
        <is>
          <t>YEKINI</t>
        </is>
      </c>
      <c r="B320">
        <f>CONCATENATE(E320,"-",F320,"-",D320)</f>
        <v/>
      </c>
      <c r="C320" s="25">
        <f>CONCATENATE(G320,"-",F320,"-",D320)</f>
        <v/>
      </c>
      <c r="D320" s="23" t="inlineStr">
        <is>
          <t>Local</t>
        </is>
      </c>
      <c r="E320" s="25" t="inlineStr">
        <is>
          <t>Hiabs Logistics</t>
        </is>
      </c>
      <c r="F320" s="74" t="inlineStr">
        <is>
          <t>10T</t>
        </is>
      </c>
      <c r="G320" s="73" t="inlineStr">
        <is>
          <t>JMG</t>
        </is>
      </c>
      <c r="H320" s="74" t="inlineStr">
        <is>
          <t>Lagos</t>
        </is>
      </c>
      <c r="I320" s="202" t="inlineStr">
        <is>
          <t>Orile</t>
        </is>
      </c>
      <c r="J320" s="202" t="inlineStr">
        <is>
          <t>Lagos</t>
        </is>
      </c>
      <c r="K320" s="201" t="n">
        <v>16.05</v>
      </c>
      <c r="L320" s="200" t="n">
        <v>32.1</v>
      </c>
      <c r="M320" s="198" t="n">
        <v>76</v>
      </c>
      <c r="N320" s="194" t="n">
        <v>770.4000000000001</v>
      </c>
      <c r="O320" s="198" t="n">
        <v>131602.1995740657</v>
      </c>
    </row>
    <row r="321">
      <c r="A321" s="23" t="inlineStr">
        <is>
          <t>YEKINI</t>
        </is>
      </c>
      <c r="B321">
        <f>CONCATENATE(E321,"-",F321,"-",D321)</f>
        <v/>
      </c>
      <c r="C321" s="25">
        <f>CONCATENATE(G321,"-",F321,"-",D321)</f>
        <v/>
      </c>
      <c r="D321" s="23" t="inlineStr">
        <is>
          <t>Local</t>
        </is>
      </c>
      <c r="E321" s="25" t="inlineStr">
        <is>
          <t>Hiabs Logistics</t>
        </is>
      </c>
      <c r="F321" s="74" t="inlineStr">
        <is>
          <t>10T</t>
        </is>
      </c>
      <c r="G321" s="73" t="inlineStr">
        <is>
          <t>JMG</t>
        </is>
      </c>
      <c r="H321" s="74" t="inlineStr">
        <is>
          <t>Lagos</t>
        </is>
      </c>
      <c r="I321" s="202" t="inlineStr">
        <is>
          <t>Apapa</t>
        </is>
      </c>
      <c r="J321" s="202" t="inlineStr">
        <is>
          <t>Lagos</t>
        </is>
      </c>
      <c r="K321" s="201" t="n">
        <v>16</v>
      </c>
      <c r="L321" s="201" t="n">
        <v>32</v>
      </c>
      <c r="M321" s="198" t="n">
        <v>76</v>
      </c>
      <c r="N321" s="194" t="n">
        <v>768</v>
      </c>
      <c r="O321" s="198" t="n">
        <v>131602.1995740657</v>
      </c>
    </row>
    <row r="322">
      <c r="A322" s="23" t="inlineStr">
        <is>
          <t>YEKINI</t>
        </is>
      </c>
      <c r="B322">
        <f>CONCATENATE(E322,"-",F322,"-",D322)</f>
        <v/>
      </c>
      <c r="C322" s="25">
        <f>CONCATENATE(G322,"-",F322,"-",D322)</f>
        <v/>
      </c>
      <c r="D322" s="23" t="inlineStr">
        <is>
          <t>Local</t>
        </is>
      </c>
      <c r="E322" s="25" t="inlineStr">
        <is>
          <t>Hiabs Logistics</t>
        </is>
      </c>
      <c r="F322" s="74" t="inlineStr">
        <is>
          <t>10T</t>
        </is>
      </c>
      <c r="G322" s="73" t="inlineStr">
        <is>
          <t>JMG</t>
        </is>
      </c>
      <c r="H322" s="74" t="inlineStr">
        <is>
          <t>Lagos</t>
        </is>
      </c>
      <c r="I322" s="202" t="inlineStr">
        <is>
          <t>Ejigbo</t>
        </is>
      </c>
      <c r="J322" s="202" t="inlineStr">
        <is>
          <t>Lagos</t>
        </is>
      </c>
      <c r="K322" s="201" t="n">
        <v>15.75</v>
      </c>
      <c r="L322" s="200" t="n">
        <v>31.5</v>
      </c>
      <c r="M322" s="198" t="n">
        <v>76</v>
      </c>
      <c r="N322" s="194" t="n">
        <v>756</v>
      </c>
      <c r="O322" s="198" t="n">
        <v>131602.1995740657</v>
      </c>
    </row>
    <row r="323">
      <c r="A323" s="23" t="inlineStr">
        <is>
          <t>YEKINI</t>
        </is>
      </c>
      <c r="B323">
        <f>CONCATENATE(E323,"-",F323,"-",D323)</f>
        <v/>
      </c>
      <c r="C323" s="25">
        <f>CONCATENATE(G323,"-",F323,"-",D323)</f>
        <v/>
      </c>
      <c r="D323" s="23" t="inlineStr">
        <is>
          <t>Local</t>
        </is>
      </c>
      <c r="E323" s="25" t="inlineStr">
        <is>
          <t>Hiabs Logistics</t>
        </is>
      </c>
      <c r="F323" s="74" t="inlineStr">
        <is>
          <t>10T</t>
        </is>
      </c>
      <c r="G323" s="73" t="inlineStr">
        <is>
          <t>JMG</t>
        </is>
      </c>
      <c r="H323" s="74" t="inlineStr">
        <is>
          <t>Lagos</t>
        </is>
      </c>
      <c r="I323" s="202" t="inlineStr">
        <is>
          <t>Ojodu</t>
        </is>
      </c>
      <c r="J323" s="202" t="inlineStr">
        <is>
          <t>Lagos</t>
        </is>
      </c>
      <c r="K323" s="201" t="n">
        <v>14.95</v>
      </c>
      <c r="L323" s="200" t="n">
        <v>29.9</v>
      </c>
      <c r="M323" s="198" t="n">
        <v>75</v>
      </c>
      <c r="N323" s="194" t="n">
        <v>717.5999999999999</v>
      </c>
      <c r="O323" s="198" t="n">
        <v>131602.1995740657</v>
      </c>
    </row>
    <row r="324">
      <c r="A324" s="23" t="inlineStr">
        <is>
          <t>YEKINI</t>
        </is>
      </c>
      <c r="B324">
        <f>CONCATENATE(E324,"-",F324,"-",D324)</f>
        <v/>
      </c>
      <c r="C324" s="25">
        <f>CONCATENATE(G324,"-",F324,"-",D324)</f>
        <v/>
      </c>
      <c r="D324" s="23" t="inlineStr">
        <is>
          <t>Local</t>
        </is>
      </c>
      <c r="E324" s="25" t="inlineStr">
        <is>
          <t>Hiabs Logistics</t>
        </is>
      </c>
      <c r="F324" s="74" t="inlineStr">
        <is>
          <t>10T</t>
        </is>
      </c>
      <c r="G324" s="73" t="inlineStr">
        <is>
          <t>JMG</t>
        </is>
      </c>
      <c r="H324" s="74" t="inlineStr">
        <is>
          <t>Lagos</t>
        </is>
      </c>
      <c r="I324" s="202" t="inlineStr">
        <is>
          <t>Agege</t>
        </is>
      </c>
      <c r="J324" s="202" t="inlineStr">
        <is>
          <t>Lagos</t>
        </is>
      </c>
      <c r="K324" s="201" t="n">
        <v>13.85</v>
      </c>
      <c r="L324" s="200" t="n">
        <v>27.7</v>
      </c>
      <c r="M324" s="198" t="n">
        <v>74</v>
      </c>
      <c r="N324" s="194" t="n">
        <v>664.8</v>
      </c>
      <c r="O324" s="198" t="n">
        <v>131602.1995740657</v>
      </c>
    </row>
    <row r="325">
      <c r="A325" s="23" t="inlineStr">
        <is>
          <t>YEKINI</t>
        </is>
      </c>
      <c r="B325">
        <f>CONCATENATE(E325,"-",F325,"-",D325)</f>
        <v/>
      </c>
      <c r="C325" s="25">
        <f>CONCATENATE(G325,"-",F325,"-",D325)</f>
        <v/>
      </c>
      <c r="D325" s="23" t="inlineStr">
        <is>
          <t>Local</t>
        </is>
      </c>
      <c r="E325" s="25" t="inlineStr">
        <is>
          <t>Hiabs Logistics</t>
        </is>
      </c>
      <c r="F325" s="74" t="inlineStr">
        <is>
          <t>10T</t>
        </is>
      </c>
      <c r="G325" s="73" t="inlineStr">
        <is>
          <t>JMG</t>
        </is>
      </c>
      <c r="H325" s="74" t="inlineStr">
        <is>
          <t>Lagos</t>
        </is>
      </c>
      <c r="I325" s="202" t="inlineStr">
        <is>
          <t>Ijaiye</t>
        </is>
      </c>
      <c r="J325" s="202" t="inlineStr">
        <is>
          <t>Lagos</t>
        </is>
      </c>
      <c r="K325" s="201" t="n">
        <v>14.35</v>
      </c>
      <c r="L325" s="200" t="n">
        <v>28.7</v>
      </c>
      <c r="M325" s="198" t="n">
        <v>74</v>
      </c>
      <c r="N325" s="194" t="n">
        <v>688.8</v>
      </c>
      <c r="O325" s="198" t="n">
        <v>131602.1995740657</v>
      </c>
    </row>
    <row r="326">
      <c r="A326" s="23" t="inlineStr">
        <is>
          <t>YEKINI</t>
        </is>
      </c>
      <c r="B326">
        <f>CONCATENATE(E326,"-",F326,"-",D326)</f>
        <v/>
      </c>
      <c r="C326" s="25">
        <f>CONCATENATE(G326,"-",F326,"-",D326)</f>
        <v/>
      </c>
      <c r="D326" s="23" t="inlineStr">
        <is>
          <t>Local</t>
        </is>
      </c>
      <c r="E326" s="25" t="inlineStr">
        <is>
          <t>Hiabs Logistics</t>
        </is>
      </c>
      <c r="F326" s="74" t="inlineStr">
        <is>
          <t>10T</t>
        </is>
      </c>
      <c r="G326" s="73" t="inlineStr">
        <is>
          <t>JMG</t>
        </is>
      </c>
      <c r="H326" s="74" t="inlineStr">
        <is>
          <t>Lagos</t>
        </is>
      </c>
      <c r="I326" s="202" t="inlineStr">
        <is>
          <t>Ogba</t>
        </is>
      </c>
      <c r="J326" s="202" t="inlineStr">
        <is>
          <t>Lagos</t>
        </is>
      </c>
      <c r="K326" s="201" t="n">
        <v>13.05</v>
      </c>
      <c r="L326" s="200" t="n">
        <v>26.1</v>
      </c>
      <c r="M326" s="198" t="n">
        <v>73</v>
      </c>
      <c r="N326" s="194" t="n">
        <v>626.4000000000001</v>
      </c>
      <c r="O326" s="198" t="n">
        <v>131602.1995740657</v>
      </c>
    </row>
    <row r="327">
      <c r="A327" s="23" t="inlineStr">
        <is>
          <t>YEKINI</t>
        </is>
      </c>
      <c r="B327">
        <f>CONCATENATE(E327,"-",F327,"-",D327)</f>
        <v/>
      </c>
      <c r="C327" s="25">
        <f>CONCATENATE(G327,"-",F327,"-",D327)</f>
        <v/>
      </c>
      <c r="D327" s="23" t="inlineStr">
        <is>
          <t>Local</t>
        </is>
      </c>
      <c r="E327" s="25" t="inlineStr">
        <is>
          <t>Hiabs Logistics</t>
        </is>
      </c>
      <c r="F327" s="74" t="inlineStr">
        <is>
          <t>10T</t>
        </is>
      </c>
      <c r="G327" s="73" t="inlineStr">
        <is>
          <t>JMG</t>
        </is>
      </c>
      <c r="H327" s="74" t="inlineStr">
        <is>
          <t>Lagos</t>
        </is>
      </c>
      <c r="I327" s="202" t="inlineStr">
        <is>
          <t>Ikeja</t>
        </is>
      </c>
      <c r="J327" s="202" t="inlineStr">
        <is>
          <t>Lagos</t>
        </is>
      </c>
      <c r="K327" s="201" t="n">
        <v>13</v>
      </c>
      <c r="L327" s="201" t="n">
        <v>26</v>
      </c>
      <c r="M327" s="198" t="n">
        <v>73</v>
      </c>
      <c r="N327" s="194" t="n">
        <v>624</v>
      </c>
      <c r="O327" s="198" t="n">
        <v>131602.1995740657</v>
      </c>
    </row>
    <row r="328">
      <c r="A328" s="23" t="inlineStr">
        <is>
          <t>YEKINI</t>
        </is>
      </c>
      <c r="B328">
        <f>CONCATENATE(E328,"-",F328,"-",D328)</f>
        <v/>
      </c>
      <c r="C328" s="25">
        <f>CONCATENATE(G328,"-",F328,"-",D328)</f>
        <v/>
      </c>
      <c r="D328" s="23" t="inlineStr">
        <is>
          <t>Local</t>
        </is>
      </c>
      <c r="E328" s="25" t="inlineStr">
        <is>
          <t>Hiabs Logistics</t>
        </is>
      </c>
      <c r="F328" s="74" t="inlineStr">
        <is>
          <t>10T</t>
        </is>
      </c>
      <c r="G328" s="73" t="inlineStr">
        <is>
          <t>JMG</t>
        </is>
      </c>
      <c r="H328" s="74" t="inlineStr">
        <is>
          <t>Lagos</t>
        </is>
      </c>
      <c r="I328" s="122" t="inlineStr">
        <is>
          <t>Ebute Metta</t>
        </is>
      </c>
      <c r="J328" s="122" t="inlineStr">
        <is>
          <t>Lagos</t>
        </is>
      </c>
      <c r="K328" s="201" t="n">
        <v>12.7</v>
      </c>
      <c r="L328" s="201" t="n">
        <v>25.4</v>
      </c>
      <c r="M328" s="198" t="n">
        <v>72</v>
      </c>
      <c r="N328" s="194" t="n">
        <v>609.5999999999999</v>
      </c>
      <c r="O328" s="198" t="n">
        <v>131602.1995740657</v>
      </c>
    </row>
    <row r="329">
      <c r="A329" s="23" t="inlineStr">
        <is>
          <t>YEKINI</t>
        </is>
      </c>
      <c r="B329">
        <f>CONCATENATE(E329,"-",F329,"-",D329)</f>
        <v/>
      </c>
      <c r="C329" s="25">
        <f>CONCATENATE(G329,"-",F329,"-",D329)</f>
        <v/>
      </c>
      <c r="D329" s="23" t="inlineStr">
        <is>
          <t>Local</t>
        </is>
      </c>
      <c r="E329" s="25" t="inlineStr">
        <is>
          <t>Hiabs Logistics</t>
        </is>
      </c>
      <c r="F329" s="74" t="inlineStr">
        <is>
          <t>10T</t>
        </is>
      </c>
      <c r="G329" s="73" t="inlineStr">
        <is>
          <t>JMG</t>
        </is>
      </c>
      <c r="H329" s="74" t="inlineStr">
        <is>
          <t>Lagos</t>
        </is>
      </c>
      <c r="I329" s="202" t="inlineStr">
        <is>
          <t>Surulere</t>
        </is>
      </c>
      <c r="J329" s="202" t="inlineStr">
        <is>
          <t>Lagos</t>
        </is>
      </c>
      <c r="K329" s="201" t="n">
        <v>12.3</v>
      </c>
      <c r="L329" s="200" t="n">
        <v>24.6</v>
      </c>
      <c r="M329" s="198" t="n">
        <v>72</v>
      </c>
      <c r="N329" s="194" t="n">
        <v>590.4000000000001</v>
      </c>
      <c r="O329" s="198" t="n">
        <v>131602.1995740657</v>
      </c>
    </row>
    <row r="330">
      <c r="A330" s="23" t="inlineStr">
        <is>
          <t>YEKINI</t>
        </is>
      </c>
      <c r="B330">
        <f>CONCATENATE(E330,"-",F330,"-",D330)</f>
        <v/>
      </c>
      <c r="C330" s="25">
        <f>CONCATENATE(G330,"-",F330,"-",D330)</f>
        <v/>
      </c>
      <c r="D330" s="23" t="inlineStr">
        <is>
          <t>Local</t>
        </is>
      </c>
      <c r="E330" s="25" t="inlineStr">
        <is>
          <t>Hiabs Logistics</t>
        </is>
      </c>
      <c r="F330" s="74" t="inlineStr">
        <is>
          <t>10T</t>
        </is>
      </c>
      <c r="G330" s="73" t="inlineStr">
        <is>
          <t>JMG</t>
        </is>
      </c>
      <c r="H330" s="74" t="inlineStr">
        <is>
          <t>Lagos</t>
        </is>
      </c>
      <c r="I330" s="202" t="inlineStr">
        <is>
          <t>Isolo</t>
        </is>
      </c>
      <c r="J330" s="202" t="inlineStr">
        <is>
          <t>Lagos</t>
        </is>
      </c>
      <c r="K330" s="201" t="n">
        <v>12.1</v>
      </c>
      <c r="L330" s="200" t="n">
        <v>24.2</v>
      </c>
      <c r="M330" s="198" t="n">
        <v>72</v>
      </c>
      <c r="N330" s="194" t="n">
        <v>580.8</v>
      </c>
      <c r="O330" s="198" t="n">
        <v>131602.1995740657</v>
      </c>
    </row>
    <row r="331">
      <c r="A331" s="23" t="inlineStr">
        <is>
          <t>YEKINI</t>
        </is>
      </c>
      <c r="B331">
        <f>CONCATENATE(E331,"-",F331,"-",D331)</f>
        <v/>
      </c>
      <c r="C331" s="25">
        <f>CONCATENATE(G331,"-",F331,"-",D331)</f>
        <v/>
      </c>
      <c r="D331" s="23" t="inlineStr">
        <is>
          <t>Local</t>
        </is>
      </c>
      <c r="E331" s="25" t="inlineStr">
        <is>
          <t>Hiabs Logistics</t>
        </is>
      </c>
      <c r="F331" s="74" t="inlineStr">
        <is>
          <t>10T</t>
        </is>
      </c>
      <c r="G331" s="73" t="inlineStr">
        <is>
          <t>JMG</t>
        </is>
      </c>
      <c r="H331" s="74" t="inlineStr">
        <is>
          <t>Lagos</t>
        </is>
      </c>
      <c r="I331" s="202" t="inlineStr">
        <is>
          <t>Nigerian Gas</t>
        </is>
      </c>
      <c r="J331" s="202" t="inlineStr">
        <is>
          <t>Lagos</t>
        </is>
      </c>
      <c r="K331" s="201" t="n">
        <v>10.85</v>
      </c>
      <c r="L331" s="201" t="n">
        <v>21.7</v>
      </c>
      <c r="M331" s="198" t="n">
        <v>71</v>
      </c>
      <c r="N331" s="194" t="n">
        <v>520.8</v>
      </c>
      <c r="O331" s="198" t="n">
        <v>131602.1995740657</v>
      </c>
    </row>
    <row r="332">
      <c r="A332" s="23" t="inlineStr">
        <is>
          <t>YEKINI</t>
        </is>
      </c>
      <c r="B332">
        <f>CONCATENATE(E332,"-",F332,"-",D332)</f>
        <v/>
      </c>
      <c r="C332" s="25">
        <f>CONCATENATE(G332,"-",F332,"-",D332)</f>
        <v/>
      </c>
      <c r="D332" s="23" t="inlineStr">
        <is>
          <t>Local</t>
        </is>
      </c>
      <c r="E332" s="25" t="inlineStr">
        <is>
          <t>Hiabs Logistics</t>
        </is>
      </c>
      <c r="F332" s="74" t="inlineStr">
        <is>
          <t>10T</t>
        </is>
      </c>
      <c r="G332" s="73" t="inlineStr">
        <is>
          <t>JMG</t>
        </is>
      </c>
      <c r="H332" s="74" t="inlineStr">
        <is>
          <t>Lagos</t>
        </is>
      </c>
      <c r="I332" s="202" t="inlineStr">
        <is>
          <t>Ikeja Branch</t>
        </is>
      </c>
      <c r="J332" s="202" t="inlineStr">
        <is>
          <t>Lagos</t>
        </is>
      </c>
      <c r="K332" s="201" t="n">
        <v>10.85</v>
      </c>
      <c r="L332" s="201" t="n">
        <v>21.7</v>
      </c>
      <c r="M332" s="198" t="n">
        <v>71</v>
      </c>
      <c r="N332" s="194" t="n">
        <v>520.8</v>
      </c>
      <c r="O332" s="198" t="n">
        <v>131602.1995740657</v>
      </c>
    </row>
    <row r="333">
      <c r="A333" s="23" t="inlineStr">
        <is>
          <t>YEKINI</t>
        </is>
      </c>
      <c r="B333">
        <f>CONCATENATE(E333,"-",F333,"-",D333)</f>
        <v/>
      </c>
      <c r="C333" s="25">
        <f>CONCATENATE(G333,"-",F333,"-",D333)</f>
        <v/>
      </c>
      <c r="D333" s="23" t="inlineStr">
        <is>
          <t>Local</t>
        </is>
      </c>
      <c r="E333" s="25" t="inlineStr">
        <is>
          <t>Hiabs Logistics</t>
        </is>
      </c>
      <c r="F333" s="74" t="inlineStr">
        <is>
          <t>10T</t>
        </is>
      </c>
      <c r="G333" s="73" t="inlineStr">
        <is>
          <t>JMG</t>
        </is>
      </c>
      <c r="H333" s="74" t="inlineStr">
        <is>
          <t>Lagos</t>
        </is>
      </c>
      <c r="I333" s="202" t="inlineStr">
        <is>
          <t>Alapere</t>
        </is>
      </c>
      <c r="J333" s="202" t="inlineStr">
        <is>
          <t>Lagos</t>
        </is>
      </c>
      <c r="K333" s="201" t="n">
        <v>10.3</v>
      </c>
      <c r="L333" s="200" t="n">
        <v>20.6</v>
      </c>
      <c r="M333" s="198" t="n">
        <v>70</v>
      </c>
      <c r="N333" s="194" t="n">
        <v>494.4</v>
      </c>
      <c r="O333" s="198" t="n">
        <v>131602.1995740657</v>
      </c>
    </row>
    <row r="334">
      <c r="A334" s="23" t="inlineStr">
        <is>
          <t>YEKINI</t>
        </is>
      </c>
      <c r="B334">
        <f>CONCATENATE(E334,"-",F334,"-",D334)</f>
        <v/>
      </c>
      <c r="C334" s="25">
        <f>CONCATENATE(G334,"-",F334,"-",D334)</f>
        <v/>
      </c>
      <c r="D334" s="23" t="inlineStr">
        <is>
          <t>Local</t>
        </is>
      </c>
      <c r="E334" s="25" t="inlineStr">
        <is>
          <t>Hiabs Logistics</t>
        </is>
      </c>
      <c r="F334" s="74" t="inlineStr">
        <is>
          <t>10T</t>
        </is>
      </c>
      <c r="G334" s="73" t="inlineStr">
        <is>
          <t>JMG</t>
        </is>
      </c>
      <c r="H334" s="74" t="inlineStr">
        <is>
          <t>Lagos</t>
        </is>
      </c>
      <c r="I334" s="202" t="inlineStr">
        <is>
          <t>Kodesoh</t>
        </is>
      </c>
      <c r="J334" s="202" t="inlineStr">
        <is>
          <t>Lagos</t>
        </is>
      </c>
      <c r="K334" s="201" t="n">
        <v>9.800000000000001</v>
      </c>
      <c r="L334" s="200" t="n">
        <v>19.6</v>
      </c>
      <c r="M334" s="198" t="n">
        <v>69</v>
      </c>
      <c r="N334" s="194" t="n">
        <v>470.4</v>
      </c>
      <c r="O334" s="198" t="n">
        <v>131602.1995740657</v>
      </c>
    </row>
    <row r="335">
      <c r="A335" s="23" t="inlineStr">
        <is>
          <t>YEKINI</t>
        </is>
      </c>
      <c r="B335">
        <f>CONCATENATE(E335,"-",F335,"-",D335)</f>
        <v/>
      </c>
      <c r="C335" s="25">
        <f>CONCATENATE(G335,"-",F335,"-",D335)</f>
        <v/>
      </c>
      <c r="D335" s="23" t="inlineStr">
        <is>
          <t>Local</t>
        </is>
      </c>
      <c r="E335" s="25" t="inlineStr">
        <is>
          <t>Hiabs Logistics</t>
        </is>
      </c>
      <c r="F335" s="74" t="inlineStr">
        <is>
          <t>10T</t>
        </is>
      </c>
      <c r="G335" s="73" t="inlineStr">
        <is>
          <t>JMG</t>
        </is>
      </c>
      <c r="H335" s="74" t="inlineStr">
        <is>
          <t>Lagos</t>
        </is>
      </c>
      <c r="I335" s="202" t="inlineStr">
        <is>
          <t>Yaba</t>
        </is>
      </c>
      <c r="J335" s="202" t="inlineStr">
        <is>
          <t>Lagos</t>
        </is>
      </c>
      <c r="K335" s="201" t="n">
        <v>9.6</v>
      </c>
      <c r="L335" s="200" t="n">
        <v>19.2</v>
      </c>
      <c r="M335" s="198" t="n">
        <v>69</v>
      </c>
      <c r="N335" s="194" t="n">
        <v>460.8</v>
      </c>
      <c r="O335" s="198" t="n">
        <v>131602.1995740657</v>
      </c>
    </row>
    <row r="336">
      <c r="A336" s="23" t="inlineStr">
        <is>
          <t>YEKINI</t>
        </is>
      </c>
      <c r="B336">
        <f>CONCATENATE(E336,"-",F336,"-",D336)</f>
        <v/>
      </c>
      <c r="C336" s="25">
        <f>CONCATENATE(G336,"-",F336,"-",D336)</f>
        <v/>
      </c>
      <c r="D336" s="23" t="inlineStr">
        <is>
          <t>Local</t>
        </is>
      </c>
      <c r="E336" s="25" t="inlineStr">
        <is>
          <t>Hiabs Logistics</t>
        </is>
      </c>
      <c r="F336" s="74" t="inlineStr">
        <is>
          <t>10T</t>
        </is>
      </c>
      <c r="G336" s="73" t="inlineStr">
        <is>
          <t>JMG</t>
        </is>
      </c>
      <c r="H336" s="74" t="inlineStr">
        <is>
          <t>Lagos</t>
        </is>
      </c>
      <c r="I336" s="202" t="inlineStr">
        <is>
          <t>Oshodi</t>
        </is>
      </c>
      <c r="J336" s="202" t="inlineStr">
        <is>
          <t>Lagos</t>
        </is>
      </c>
      <c r="K336" s="201" t="n">
        <v>9.300000000000001</v>
      </c>
      <c r="L336" s="200" t="n">
        <v>18.6</v>
      </c>
      <c r="M336" s="198" t="n">
        <v>69</v>
      </c>
      <c r="N336" s="194" t="n">
        <v>446.4</v>
      </c>
      <c r="O336" s="198" t="n">
        <v>131602.1995740657</v>
      </c>
    </row>
    <row r="337">
      <c r="A337" s="23" t="inlineStr">
        <is>
          <t>YEKINI</t>
        </is>
      </c>
      <c r="B337">
        <f>CONCATENATE(E337,"-",F337,"-",D337)</f>
        <v/>
      </c>
      <c r="C337" s="25">
        <f>CONCATENATE(G337,"-",F337,"-",D337)</f>
        <v/>
      </c>
      <c r="D337" s="23" t="inlineStr">
        <is>
          <t>Local</t>
        </is>
      </c>
      <c r="E337" s="25" t="inlineStr">
        <is>
          <t>Hiabs Logistics</t>
        </is>
      </c>
      <c r="F337" s="74" t="inlineStr">
        <is>
          <t>10T</t>
        </is>
      </c>
      <c r="G337" s="73" t="inlineStr">
        <is>
          <t>JMG</t>
        </is>
      </c>
      <c r="H337" s="74" t="inlineStr">
        <is>
          <t>Lagos</t>
        </is>
      </c>
      <c r="I337" s="202" t="inlineStr">
        <is>
          <t>Matori</t>
        </is>
      </c>
      <c r="J337" s="202" t="inlineStr">
        <is>
          <t>Lagos</t>
        </is>
      </c>
      <c r="K337" s="201" t="n">
        <v>8.15</v>
      </c>
      <c r="L337" s="200" t="n">
        <v>16.3</v>
      </c>
      <c r="M337" s="198" t="n">
        <v>68</v>
      </c>
      <c r="N337" s="194" t="n">
        <v>391.2</v>
      </c>
      <c r="O337" s="198" t="n">
        <v>131602.1995740657</v>
      </c>
    </row>
    <row r="338">
      <c r="A338" s="23" t="inlineStr">
        <is>
          <t>YEKINI</t>
        </is>
      </c>
      <c r="B338">
        <f>CONCATENATE(E338,"-",F338,"-",D338)</f>
        <v/>
      </c>
      <c r="C338" s="25">
        <f>CONCATENATE(G338,"-",F338,"-",D338)</f>
        <v/>
      </c>
      <c r="D338" s="23" t="inlineStr">
        <is>
          <t>Local</t>
        </is>
      </c>
      <c r="E338" s="25" t="inlineStr">
        <is>
          <t>Hiabs Logistics</t>
        </is>
      </c>
      <c r="F338" s="74" t="inlineStr">
        <is>
          <t>10T</t>
        </is>
      </c>
      <c r="G338" s="73" t="inlineStr">
        <is>
          <t>JMG</t>
        </is>
      </c>
      <c r="H338" s="74" t="inlineStr">
        <is>
          <t>Lagos</t>
        </is>
      </c>
      <c r="I338" s="202" t="inlineStr">
        <is>
          <t>Bariga</t>
        </is>
      </c>
      <c r="J338" s="202" t="inlineStr">
        <is>
          <t>Lagos</t>
        </is>
      </c>
      <c r="K338" s="201" t="n">
        <v>5.75</v>
      </c>
      <c r="L338" s="200" t="n">
        <v>11.5</v>
      </c>
      <c r="M338" s="198" t="n">
        <v>65</v>
      </c>
      <c r="N338" s="194" t="n">
        <v>276</v>
      </c>
      <c r="O338" s="198" t="n">
        <v>131602.1995740657</v>
      </c>
    </row>
    <row r="339">
      <c r="A339" s="23" t="inlineStr">
        <is>
          <t>YEKINI</t>
        </is>
      </c>
      <c r="B339">
        <f>CONCATENATE(E339,"-",F339,"-",D339)</f>
        <v/>
      </c>
      <c r="C339" s="25">
        <f>CONCATENATE(G339,"-",F339,"-",D339)</f>
        <v/>
      </c>
      <c r="D339" s="23" t="inlineStr">
        <is>
          <t>Upcountry</t>
        </is>
      </c>
      <c r="E339" s="25" t="inlineStr">
        <is>
          <t>Hiabs Logistics</t>
        </is>
      </c>
      <c r="F339" s="74" t="inlineStr">
        <is>
          <t>8T</t>
        </is>
      </c>
      <c r="G339" s="73" t="inlineStr">
        <is>
          <t>JMG</t>
        </is>
      </c>
      <c r="H339" s="74" t="inlineStr">
        <is>
          <t>Lagos</t>
        </is>
      </c>
      <c r="I339" s="202" t="inlineStr">
        <is>
          <t>Kano</t>
        </is>
      </c>
      <c r="J339" s="202" t="inlineStr">
        <is>
          <t>Kano</t>
        </is>
      </c>
      <c r="K339" s="199" t="n">
        <v>1250</v>
      </c>
      <c r="L339" s="201" t="n">
        <v>2500</v>
      </c>
      <c r="M339" s="198" t="n">
        <v>1335</v>
      </c>
      <c r="N339" s="194" t="n">
        <v>60000</v>
      </c>
      <c r="O339" s="198" t="n">
        <v>1184419.796166591</v>
      </c>
    </row>
    <row r="340">
      <c r="A340" s="23" t="inlineStr">
        <is>
          <t>YEKINI</t>
        </is>
      </c>
      <c r="B340">
        <f>CONCATENATE(E340,"-",F340,"-",D340)</f>
        <v/>
      </c>
      <c r="C340" s="25">
        <f>CONCATENATE(G340,"-",F340,"-",D340)</f>
        <v/>
      </c>
      <c r="D340" s="23" t="inlineStr">
        <is>
          <t>Upcountry</t>
        </is>
      </c>
      <c r="E340" s="25" t="inlineStr">
        <is>
          <t>Hiabs Logistics</t>
        </is>
      </c>
      <c r="F340" s="74" t="inlineStr">
        <is>
          <t>8T</t>
        </is>
      </c>
      <c r="G340" s="73" t="inlineStr">
        <is>
          <t>JMG</t>
        </is>
      </c>
      <c r="H340" s="74" t="inlineStr">
        <is>
          <t>Lagos</t>
        </is>
      </c>
      <c r="I340" s="202" t="inlineStr">
        <is>
          <t>Kaduna</t>
        </is>
      </c>
      <c r="J340" s="202" t="inlineStr">
        <is>
          <t>Kaduna</t>
        </is>
      </c>
      <c r="K340" s="199" t="n">
        <v>950</v>
      </c>
      <c r="L340" s="201" t="n">
        <v>1900</v>
      </c>
      <c r="M340" s="198" t="n">
        <v>1029</v>
      </c>
      <c r="N340" s="194" t="n">
        <v>45600</v>
      </c>
      <c r="O340" s="198" t="n">
        <v>921215.3970184599</v>
      </c>
    </row>
    <row r="341">
      <c r="A341" s="23" t="inlineStr">
        <is>
          <t>YEKINI</t>
        </is>
      </c>
      <c r="B341">
        <f>CONCATENATE(E341,"-",F341,"-",D341)</f>
        <v/>
      </c>
      <c r="C341" s="25">
        <f>CONCATENATE(G341,"-",F341,"-",D341)</f>
        <v/>
      </c>
      <c r="D341" s="23" t="inlineStr">
        <is>
          <t>Upcountry</t>
        </is>
      </c>
      <c r="E341" s="25" t="inlineStr">
        <is>
          <t>Hiabs Logistics</t>
        </is>
      </c>
      <c r="F341" s="74" t="inlineStr">
        <is>
          <t>8T</t>
        </is>
      </c>
      <c r="G341" s="73" t="inlineStr">
        <is>
          <t>JMG</t>
        </is>
      </c>
      <c r="H341" s="74" t="inlineStr">
        <is>
          <t>Lagos</t>
        </is>
      </c>
      <c r="I341" s="202" t="inlineStr">
        <is>
          <t>Abuja</t>
        </is>
      </c>
      <c r="J341" s="202" t="inlineStr">
        <is>
          <t>FCT</t>
        </is>
      </c>
      <c r="K341" s="199" t="n">
        <v>755</v>
      </c>
      <c r="L341" s="201" t="n">
        <v>1510</v>
      </c>
      <c r="M341" s="198" t="n">
        <v>830</v>
      </c>
      <c r="N341" s="194" t="n">
        <v>36240</v>
      </c>
      <c r="O341" s="198" t="n">
        <v>789613.1974443941</v>
      </c>
    </row>
    <row r="342">
      <c r="A342" s="23" t="inlineStr">
        <is>
          <t>YEKINI</t>
        </is>
      </c>
      <c r="B342">
        <f>CONCATENATE(E342,"-",F342,"-",D342)</f>
        <v/>
      </c>
      <c r="C342" s="25">
        <f>CONCATENATE(G342,"-",F342,"-",D342)</f>
        <v/>
      </c>
      <c r="D342" s="23" t="inlineStr">
        <is>
          <t>Upcountry</t>
        </is>
      </c>
      <c r="E342" s="25" t="inlineStr">
        <is>
          <t>Hiabs Logistics</t>
        </is>
      </c>
      <c r="F342" s="74" t="inlineStr">
        <is>
          <t>8T</t>
        </is>
      </c>
      <c r="G342" s="73" t="inlineStr">
        <is>
          <t>JMG</t>
        </is>
      </c>
      <c r="H342" s="74" t="inlineStr">
        <is>
          <t>Lagos</t>
        </is>
      </c>
      <c r="I342" s="202" t="inlineStr">
        <is>
          <t>Akwa Ibom</t>
        </is>
      </c>
      <c r="J342" s="202" t="inlineStr">
        <is>
          <t>Akwa Ibom</t>
        </is>
      </c>
      <c r="K342" s="199" t="n">
        <v>725</v>
      </c>
      <c r="L342" s="201" t="n">
        <v>1450</v>
      </c>
      <c r="M342" s="198" t="n">
        <v>799</v>
      </c>
      <c r="N342" s="194" t="n">
        <v>34800</v>
      </c>
      <c r="O342" s="198" t="n">
        <v>658010.9978703284</v>
      </c>
    </row>
    <row r="343">
      <c r="A343" s="23" t="inlineStr">
        <is>
          <t>YEKINI</t>
        </is>
      </c>
      <c r="B343">
        <f>CONCATENATE(E343,"-",F343,"-",D343)</f>
        <v/>
      </c>
      <c r="C343" s="25">
        <f>CONCATENATE(G343,"-",F343,"-",D343)</f>
        <v/>
      </c>
      <c r="D343" s="23" t="inlineStr">
        <is>
          <t>Upcountry</t>
        </is>
      </c>
      <c r="E343" s="25" t="inlineStr">
        <is>
          <t>Hiabs Logistics</t>
        </is>
      </c>
      <c r="F343" s="74" t="inlineStr">
        <is>
          <t>8T</t>
        </is>
      </c>
      <c r="G343" s="73" t="inlineStr">
        <is>
          <t>JMG</t>
        </is>
      </c>
      <c r="H343" s="74" t="inlineStr">
        <is>
          <t>Lagos</t>
        </is>
      </c>
      <c r="I343" s="202" t="inlineStr">
        <is>
          <t>Port Harcourt</t>
        </is>
      </c>
      <c r="J343" s="202" t="inlineStr">
        <is>
          <t>Rivers</t>
        </is>
      </c>
      <c r="K343" s="201" t="n">
        <v>617</v>
      </c>
      <c r="L343" s="201" t="n">
        <v>1234</v>
      </c>
      <c r="M343" s="198" t="n">
        <v>689</v>
      </c>
      <c r="N343" s="194" t="n">
        <v>29616</v>
      </c>
      <c r="O343" s="198" t="n">
        <v>658010.9978703284</v>
      </c>
    </row>
    <row r="344">
      <c r="A344" s="23" t="inlineStr">
        <is>
          <t>YEKINI</t>
        </is>
      </c>
      <c r="B344">
        <f>CONCATENATE(E344,"-",F344,"-",D344)</f>
        <v/>
      </c>
      <c r="C344" s="25">
        <f>CONCATENATE(G344,"-",F344,"-",D344)</f>
        <v/>
      </c>
      <c r="D344" s="23" t="inlineStr">
        <is>
          <t>Upcountry</t>
        </is>
      </c>
      <c r="E344" s="25" t="inlineStr">
        <is>
          <t>Hiabs Logistics</t>
        </is>
      </c>
      <c r="F344" s="74" t="inlineStr">
        <is>
          <t>8T</t>
        </is>
      </c>
      <c r="G344" s="73" t="inlineStr">
        <is>
          <t>JMG</t>
        </is>
      </c>
      <c r="H344" s="74" t="inlineStr">
        <is>
          <t>Lagos</t>
        </is>
      </c>
      <c r="I344" s="202" t="inlineStr">
        <is>
          <t>Anambra</t>
        </is>
      </c>
      <c r="J344" s="202" t="inlineStr">
        <is>
          <t>Anambra</t>
        </is>
      </c>
      <c r="K344" s="201" t="n">
        <v>675</v>
      </c>
      <c r="L344" s="201" t="n">
        <v>1350</v>
      </c>
      <c r="M344" s="198" t="n">
        <v>748</v>
      </c>
      <c r="N344" s="194" t="n">
        <v>32400</v>
      </c>
      <c r="O344" s="198" t="n">
        <v>658010.9978703284</v>
      </c>
    </row>
    <row r="345">
      <c r="A345" s="23" t="inlineStr">
        <is>
          <t>YEKINI</t>
        </is>
      </c>
      <c r="B345">
        <f>CONCATENATE(E345,"-",F345,"-",D345)</f>
        <v/>
      </c>
      <c r="C345" s="25">
        <f>CONCATENATE(G345,"-",F345,"-",D345)</f>
        <v/>
      </c>
      <c r="D345" s="23" t="inlineStr">
        <is>
          <t>Upcountry</t>
        </is>
      </c>
      <c r="E345" s="25" t="inlineStr">
        <is>
          <t>Hiabs Logistics</t>
        </is>
      </c>
      <c r="F345" s="74" t="inlineStr">
        <is>
          <t>8T</t>
        </is>
      </c>
      <c r="G345" s="73" t="inlineStr">
        <is>
          <t>JMG</t>
        </is>
      </c>
      <c r="H345" s="74" t="inlineStr">
        <is>
          <t>Lagos</t>
        </is>
      </c>
      <c r="I345" s="202" t="inlineStr">
        <is>
          <t>Onitsha</t>
        </is>
      </c>
      <c r="J345" s="202" t="inlineStr">
        <is>
          <t>Anambra</t>
        </is>
      </c>
      <c r="K345" s="201" t="n">
        <v>575</v>
      </c>
      <c r="L345" s="201" t="n">
        <v>1150</v>
      </c>
      <c r="M345" s="198" t="n">
        <v>646</v>
      </c>
      <c r="N345" s="194" t="n">
        <v>27600</v>
      </c>
      <c r="O345" s="198" t="n">
        <v>526408.7982962627</v>
      </c>
    </row>
    <row r="346" ht="15" customHeight="1" thickBot="1">
      <c r="A346" s="23" t="inlineStr">
        <is>
          <t>YEKINI</t>
        </is>
      </c>
      <c r="B346">
        <f>CONCATENATE(E346,"-",F346,"-",D346)</f>
        <v/>
      </c>
      <c r="C346" s="25">
        <f>CONCATENATE(G346,"-",F346,"-",D346)</f>
        <v/>
      </c>
      <c r="D346" s="23" t="inlineStr">
        <is>
          <t>Upcountry</t>
        </is>
      </c>
      <c r="E346" s="25" t="inlineStr">
        <is>
          <t>Hiabs Logistics</t>
        </is>
      </c>
      <c r="F346" s="74" t="inlineStr">
        <is>
          <t>8T</t>
        </is>
      </c>
      <c r="G346" s="73" t="inlineStr">
        <is>
          <t>JMG</t>
        </is>
      </c>
      <c r="H346" s="74" t="inlineStr">
        <is>
          <t>Lagos</t>
        </is>
      </c>
      <c r="I346" s="202" t="inlineStr">
        <is>
          <t>Warri</t>
        </is>
      </c>
      <c r="J346" s="202" t="inlineStr">
        <is>
          <t>Delta</t>
        </is>
      </c>
      <c r="K346" s="201" t="n">
        <v>375</v>
      </c>
      <c r="L346" s="201" t="n">
        <v>750</v>
      </c>
      <c r="M346" s="203" t="n">
        <v>442</v>
      </c>
      <c r="N346" s="194" t="n">
        <v>18000</v>
      </c>
      <c r="O346" s="198" t="n">
        <v>394806.5987221971</v>
      </c>
    </row>
    <row r="347">
      <c r="A347" s="23" t="inlineStr">
        <is>
          <t>YEKINI</t>
        </is>
      </c>
      <c r="B347">
        <f>CONCATENATE(E347,"-",F347,"-",D347)</f>
        <v/>
      </c>
      <c r="C347" s="25">
        <f>CONCATENATE(G347,"-",F347,"-",D347)</f>
        <v/>
      </c>
      <c r="D347" s="23" t="inlineStr">
        <is>
          <t>Upcountry</t>
        </is>
      </c>
      <c r="E347" s="25" t="inlineStr">
        <is>
          <t>Hiabs Logistics</t>
        </is>
      </c>
      <c r="F347" s="74" t="inlineStr">
        <is>
          <t>8T</t>
        </is>
      </c>
      <c r="G347" s="73" t="inlineStr">
        <is>
          <t>JMG</t>
        </is>
      </c>
      <c r="H347" s="74" t="inlineStr">
        <is>
          <t>Lagos</t>
        </is>
      </c>
      <c r="I347" s="121" t="inlineStr">
        <is>
          <t>Ado-Ekiti</t>
        </is>
      </c>
      <c r="J347" s="121" t="inlineStr">
        <is>
          <t>Ekiti</t>
        </is>
      </c>
      <c r="K347" s="201" t="n">
        <v>376.5</v>
      </c>
      <c r="L347" s="201" t="n">
        <v>753</v>
      </c>
      <c r="M347" s="198" t="n">
        <v>444</v>
      </c>
      <c r="N347" s="194" t="n">
        <v>18072</v>
      </c>
      <c r="O347" s="198" t="n">
        <v>394806.5987221971</v>
      </c>
    </row>
    <row r="348">
      <c r="A348" s="23" t="inlineStr">
        <is>
          <t>YEKINI</t>
        </is>
      </c>
      <c r="B348">
        <f>CONCATENATE(E348,"-",F348,"-",D348)</f>
        <v/>
      </c>
      <c r="C348" s="25">
        <f>CONCATENATE(G348,"-",F348,"-",D348)</f>
        <v/>
      </c>
      <c r="D348" s="23" t="inlineStr">
        <is>
          <t>Upcountry</t>
        </is>
      </c>
      <c r="E348" s="25" t="inlineStr">
        <is>
          <t>Hiabs Logistics</t>
        </is>
      </c>
      <c r="F348" s="74" t="inlineStr">
        <is>
          <t>8T</t>
        </is>
      </c>
      <c r="G348" s="73" t="inlineStr">
        <is>
          <t>JMG</t>
        </is>
      </c>
      <c r="H348" s="74" t="inlineStr">
        <is>
          <t>Lagos</t>
        </is>
      </c>
      <c r="I348" s="202" t="inlineStr">
        <is>
          <t>Benin City</t>
        </is>
      </c>
      <c r="J348" s="202" t="inlineStr">
        <is>
          <t>Edo</t>
        </is>
      </c>
      <c r="K348" s="201" t="n">
        <v>312</v>
      </c>
      <c r="L348" s="201" t="n">
        <v>624</v>
      </c>
      <c r="M348" s="198" t="n">
        <v>378</v>
      </c>
      <c r="N348" s="194" t="n">
        <v>14976</v>
      </c>
      <c r="O348" s="198" t="n">
        <v>394806.5987221971</v>
      </c>
    </row>
    <row r="349">
      <c r="A349" s="23" t="inlineStr">
        <is>
          <t>YEKINI</t>
        </is>
      </c>
      <c r="B349">
        <f>CONCATENATE(E349,"-",F349,"-",D349)</f>
        <v/>
      </c>
      <c r="C349" s="25">
        <f>CONCATENATE(G349,"-",F349,"-",D349)</f>
        <v/>
      </c>
      <c r="D349" s="23" t="inlineStr">
        <is>
          <t>Upcountry</t>
        </is>
      </c>
      <c r="E349" s="25" t="inlineStr">
        <is>
          <t>Hiabs Logistics</t>
        </is>
      </c>
      <c r="F349" s="74" t="inlineStr">
        <is>
          <t>8T</t>
        </is>
      </c>
      <c r="G349" s="73" t="inlineStr">
        <is>
          <t>JMG</t>
        </is>
      </c>
      <c r="H349" s="74" t="inlineStr">
        <is>
          <t>Lagos</t>
        </is>
      </c>
      <c r="I349" s="202" t="inlineStr">
        <is>
          <t>Akure</t>
        </is>
      </c>
      <c r="J349" s="202" t="inlineStr">
        <is>
          <t>Ondo</t>
        </is>
      </c>
      <c r="K349" s="201" t="n">
        <v>304</v>
      </c>
      <c r="L349" s="201" t="n">
        <v>608</v>
      </c>
      <c r="M349" s="198" t="n">
        <v>370</v>
      </c>
      <c r="N349" s="194" t="n">
        <v>14592</v>
      </c>
      <c r="O349" s="198" t="n">
        <v>394806.5987221971</v>
      </c>
    </row>
    <row r="350">
      <c r="A350" s="23" t="inlineStr">
        <is>
          <t>YEKINI</t>
        </is>
      </c>
      <c r="B350">
        <f>CONCATENATE(E350,"-",F350,"-",D350)</f>
        <v/>
      </c>
      <c r="C350" s="25">
        <f>CONCATENATE(G350,"-",F350,"-",D350)</f>
        <v/>
      </c>
      <c r="D350" s="23" t="inlineStr">
        <is>
          <t>Upcountry</t>
        </is>
      </c>
      <c r="E350" s="25" t="inlineStr">
        <is>
          <t>Hiabs Logistics</t>
        </is>
      </c>
      <c r="F350" s="74" t="inlineStr">
        <is>
          <t>8T</t>
        </is>
      </c>
      <c r="G350" s="73" t="inlineStr">
        <is>
          <t>JMG</t>
        </is>
      </c>
      <c r="H350" s="74" t="inlineStr">
        <is>
          <t>Lagos</t>
        </is>
      </c>
      <c r="I350" s="202" t="inlineStr">
        <is>
          <t>Ilorin</t>
        </is>
      </c>
      <c r="J350" s="202" t="inlineStr">
        <is>
          <t>Kwara</t>
        </is>
      </c>
      <c r="K350" s="201" t="n">
        <v>297.5</v>
      </c>
      <c r="L350" s="201" t="n">
        <v>595</v>
      </c>
      <c r="M350" s="198" t="n">
        <v>363</v>
      </c>
      <c r="N350" s="194" t="n">
        <v>14280</v>
      </c>
      <c r="O350" s="198" t="n">
        <v>263204.3991481314</v>
      </c>
    </row>
    <row r="351">
      <c r="A351" s="23" t="inlineStr">
        <is>
          <t>YEKINI</t>
        </is>
      </c>
      <c r="B351">
        <f>CONCATENATE(E351,"-",F351,"-",D351)</f>
        <v/>
      </c>
      <c r="C351" s="25">
        <f>CONCATENATE(G351,"-",F351,"-",D351)</f>
        <v/>
      </c>
      <c r="D351" s="23" t="inlineStr">
        <is>
          <t>Upcountry</t>
        </is>
      </c>
      <c r="E351" s="25" t="inlineStr">
        <is>
          <t>Hiabs Logistics</t>
        </is>
      </c>
      <c r="F351" s="74" t="inlineStr">
        <is>
          <t>8T</t>
        </is>
      </c>
      <c r="G351" s="73" t="inlineStr">
        <is>
          <t>JMG</t>
        </is>
      </c>
      <c r="H351" s="74" t="inlineStr">
        <is>
          <t>Lagos</t>
        </is>
      </c>
      <c r="I351" s="202" t="inlineStr">
        <is>
          <t>Iseyin</t>
        </is>
      </c>
      <c r="J351" s="202" t="inlineStr">
        <is>
          <t>Oyo</t>
        </is>
      </c>
      <c r="K351" s="201" t="n">
        <v>297.5</v>
      </c>
      <c r="L351" s="201" t="n">
        <v>595</v>
      </c>
      <c r="M351" s="198" t="n">
        <v>363</v>
      </c>
      <c r="N351" s="194" t="n">
        <v>14280</v>
      </c>
      <c r="O351" s="198" t="n">
        <v>263204.3991481314</v>
      </c>
    </row>
    <row r="352">
      <c r="A352" s="23" t="inlineStr">
        <is>
          <t>YEKINI</t>
        </is>
      </c>
      <c r="B352">
        <f>CONCATENATE(E352,"-",F352,"-",D352)</f>
        <v/>
      </c>
      <c r="C352" s="25">
        <f>CONCATENATE(G352,"-",F352,"-",D352)</f>
        <v/>
      </c>
      <c r="D352" s="23" t="inlineStr">
        <is>
          <t>Upcountry</t>
        </is>
      </c>
      <c r="E352" s="25" t="inlineStr">
        <is>
          <t>Hiabs Logistics</t>
        </is>
      </c>
      <c r="F352" s="74" t="inlineStr">
        <is>
          <t>8T</t>
        </is>
      </c>
      <c r="G352" s="73" t="inlineStr">
        <is>
          <t>JMG</t>
        </is>
      </c>
      <c r="H352" s="74" t="inlineStr">
        <is>
          <t>Lagos</t>
        </is>
      </c>
      <c r="I352" s="202" t="inlineStr">
        <is>
          <t>Osun</t>
        </is>
      </c>
      <c r="J352" s="202" t="inlineStr">
        <is>
          <t>Osun</t>
        </is>
      </c>
      <c r="K352" s="201" t="n">
        <v>203.5</v>
      </c>
      <c r="L352" s="201" t="n">
        <v>407</v>
      </c>
      <c r="M352" s="198" t="n">
        <v>267</v>
      </c>
      <c r="N352" s="194" t="n">
        <v>9768</v>
      </c>
      <c r="O352" s="198" t="n">
        <v>263204.3991481314</v>
      </c>
    </row>
    <row r="353">
      <c r="A353" s="23" t="inlineStr">
        <is>
          <t>YEKINI</t>
        </is>
      </c>
      <c r="B353">
        <f>CONCATENATE(E353,"-",F353,"-",D353)</f>
        <v/>
      </c>
      <c r="C353" s="25">
        <f>CONCATENATE(G353,"-",F353,"-",D353)</f>
        <v/>
      </c>
      <c r="D353" s="23" t="inlineStr">
        <is>
          <t>Upcountry</t>
        </is>
      </c>
      <c r="E353" s="25" t="inlineStr">
        <is>
          <t>Hiabs Logistics</t>
        </is>
      </c>
      <c r="F353" s="74" t="inlineStr">
        <is>
          <t>8T</t>
        </is>
      </c>
      <c r="G353" s="73" t="inlineStr">
        <is>
          <t>JMG</t>
        </is>
      </c>
      <c r="H353" s="74" t="inlineStr">
        <is>
          <t>Lagos</t>
        </is>
      </c>
      <c r="I353" s="202" t="inlineStr">
        <is>
          <t>Ijebu-Ode</t>
        </is>
      </c>
      <c r="J353" s="202" t="inlineStr">
        <is>
          <t>Ogun</t>
        </is>
      </c>
      <c r="K353" s="201" t="n">
        <v>100</v>
      </c>
      <c r="L353" s="200" t="n">
        <v>200</v>
      </c>
      <c r="M353" s="198" t="n">
        <v>162</v>
      </c>
      <c r="N353" s="194" t="n">
        <v>4800</v>
      </c>
      <c r="O353" s="198" t="n">
        <v>131602.1995740657</v>
      </c>
    </row>
    <row r="354">
      <c r="A354" s="23" t="inlineStr">
        <is>
          <t>YEKINI</t>
        </is>
      </c>
      <c r="B354">
        <f>CONCATENATE(E354,"-",F354,"-",D354)</f>
        <v/>
      </c>
      <c r="C354" s="25">
        <f>CONCATENATE(G354,"-",F354,"-",D354)</f>
        <v/>
      </c>
      <c r="D354" s="23" t="inlineStr">
        <is>
          <t>Upcountry</t>
        </is>
      </c>
      <c r="E354" s="25" t="inlineStr">
        <is>
          <t>Hiabs Logistics</t>
        </is>
      </c>
      <c r="F354" s="74" t="inlineStr">
        <is>
          <t>8T</t>
        </is>
      </c>
      <c r="G354" s="73" t="inlineStr">
        <is>
          <t>JMG</t>
        </is>
      </c>
      <c r="H354" s="74" t="inlineStr">
        <is>
          <t>Lagos</t>
        </is>
      </c>
      <c r="I354" s="202" t="inlineStr">
        <is>
          <t>Ile-Ife</t>
        </is>
      </c>
      <c r="J354" s="202" t="inlineStr">
        <is>
          <t>Osun</t>
        </is>
      </c>
      <c r="K354" s="201" t="n">
        <v>202.5</v>
      </c>
      <c r="L354" s="200" t="n">
        <v>405</v>
      </c>
      <c r="M354" s="198" t="n">
        <v>266</v>
      </c>
      <c r="N354" s="194" t="n">
        <v>9720</v>
      </c>
      <c r="O354" s="198" t="n">
        <v>263204.3991481314</v>
      </c>
    </row>
    <row r="355">
      <c r="A355" s="23" t="inlineStr">
        <is>
          <t>YEKINI</t>
        </is>
      </c>
      <c r="B355">
        <f>CONCATENATE(E355,"-",F355,"-",D355)</f>
        <v/>
      </c>
      <c r="C355" s="25">
        <f>CONCATENATE(G355,"-",F355,"-",D355)</f>
        <v/>
      </c>
      <c r="D355" s="23" t="inlineStr">
        <is>
          <t>Upcountry</t>
        </is>
      </c>
      <c r="E355" s="25" t="inlineStr">
        <is>
          <t>Hiabs Logistics</t>
        </is>
      </c>
      <c r="F355" s="74" t="inlineStr">
        <is>
          <t>8T</t>
        </is>
      </c>
      <c r="G355" s="73" t="inlineStr">
        <is>
          <t>JMG</t>
        </is>
      </c>
      <c r="H355" s="74" t="inlineStr">
        <is>
          <t>Lagos</t>
        </is>
      </c>
      <c r="I355" s="202" t="inlineStr">
        <is>
          <t>Ibadan</t>
        </is>
      </c>
      <c r="J355" s="202" t="inlineStr">
        <is>
          <t>Oyo</t>
        </is>
      </c>
      <c r="K355" s="201" t="n">
        <v>120.5</v>
      </c>
      <c r="L355" s="201" t="n">
        <v>241</v>
      </c>
      <c r="M355" s="198" t="n">
        <v>182</v>
      </c>
      <c r="N355" s="194" t="n">
        <v>5784</v>
      </c>
      <c r="O355" s="198" t="n">
        <v>131602.1995740657</v>
      </c>
    </row>
    <row r="356">
      <c r="A356" s="23" t="inlineStr">
        <is>
          <t>YEKINI</t>
        </is>
      </c>
      <c r="B356">
        <f>CONCATENATE(E356,"-",F356,"-",D356)</f>
        <v/>
      </c>
      <c r="C356" s="25">
        <f>CONCATENATE(G356,"-",F356,"-",D356)</f>
        <v/>
      </c>
      <c r="D356" s="23" t="inlineStr">
        <is>
          <t>Upcountry</t>
        </is>
      </c>
      <c r="E356" s="25" t="inlineStr">
        <is>
          <t>Hiabs Logistics</t>
        </is>
      </c>
      <c r="F356" s="74" t="inlineStr">
        <is>
          <t>8T</t>
        </is>
      </c>
      <c r="G356" s="73" t="inlineStr">
        <is>
          <t>JMG</t>
        </is>
      </c>
      <c r="H356" s="74" t="inlineStr">
        <is>
          <t>Lagos</t>
        </is>
      </c>
      <c r="I356" s="202" t="inlineStr">
        <is>
          <t>Abeokuta</t>
        </is>
      </c>
      <c r="J356" s="202" t="inlineStr">
        <is>
          <t>Ogun</t>
        </is>
      </c>
      <c r="K356" s="201" t="n">
        <v>99.5</v>
      </c>
      <c r="L356" s="201" t="n">
        <v>199</v>
      </c>
      <c r="M356" s="198" t="n">
        <v>161</v>
      </c>
      <c r="N356" s="194" t="n">
        <v>4776</v>
      </c>
      <c r="O356" s="198" t="n">
        <v>131602.1995740657</v>
      </c>
    </row>
    <row r="357">
      <c r="A357" s="23" t="inlineStr">
        <is>
          <t>YEKINI</t>
        </is>
      </c>
      <c r="B357">
        <f>CONCATENATE(E357,"-",F357,"-",D357)</f>
        <v/>
      </c>
      <c r="C357" s="25">
        <f>CONCATENATE(G357,"-",F357,"-",D357)</f>
        <v/>
      </c>
      <c r="D357" s="23" t="inlineStr">
        <is>
          <t>Upcountry</t>
        </is>
      </c>
      <c r="E357" s="25" t="inlineStr">
        <is>
          <t>Hiabs Logistics</t>
        </is>
      </c>
      <c r="F357" s="74" t="inlineStr">
        <is>
          <t>8T</t>
        </is>
      </c>
      <c r="G357" s="73" t="inlineStr">
        <is>
          <t>JMG</t>
        </is>
      </c>
      <c r="H357" s="74" t="inlineStr">
        <is>
          <t>Lagos</t>
        </is>
      </c>
      <c r="I357" s="202" t="inlineStr">
        <is>
          <t>Sagamu</t>
        </is>
      </c>
      <c r="J357" s="202" t="inlineStr">
        <is>
          <t>Ogun</t>
        </is>
      </c>
      <c r="K357" s="201" t="n">
        <v>70</v>
      </c>
      <c r="L357" s="201" t="n">
        <v>140</v>
      </c>
      <c r="M357" s="198" t="n">
        <v>131</v>
      </c>
      <c r="N357" s="194" t="n">
        <v>3360</v>
      </c>
      <c r="O357" s="198" t="n">
        <v>131602.1995740657</v>
      </c>
    </row>
    <row r="358">
      <c r="A358" s="23" t="inlineStr">
        <is>
          <t>YEKINI</t>
        </is>
      </c>
      <c r="B358">
        <f>CONCATENATE(E358,"-",F358,"-",D358)</f>
        <v/>
      </c>
      <c r="C358" s="25">
        <f>CONCATENATE(G358,"-",F358,"-",D358)</f>
        <v/>
      </c>
      <c r="D358" s="23" t="inlineStr">
        <is>
          <t>Upcountry</t>
        </is>
      </c>
      <c r="E358" s="25" t="inlineStr">
        <is>
          <t>Hiabs Logistics</t>
        </is>
      </c>
      <c r="F358" s="74" t="inlineStr">
        <is>
          <t>8T</t>
        </is>
      </c>
      <c r="G358" s="73" t="inlineStr">
        <is>
          <t>JMG</t>
        </is>
      </c>
      <c r="H358" s="74" t="inlineStr">
        <is>
          <t>Lagos</t>
        </is>
      </c>
      <c r="I358" s="202" t="inlineStr">
        <is>
          <t>Ogun</t>
        </is>
      </c>
      <c r="J358" s="202" t="inlineStr">
        <is>
          <t>Ogun</t>
        </is>
      </c>
      <c r="K358" s="201" t="n">
        <v>58</v>
      </c>
      <c r="L358" s="201" t="n">
        <v>116</v>
      </c>
      <c r="M358" s="198" t="n">
        <v>119</v>
      </c>
      <c r="N358" s="194" t="n">
        <v>2784</v>
      </c>
      <c r="O358" s="198" t="n">
        <v>131602.1995740657</v>
      </c>
    </row>
    <row r="359">
      <c r="A359" s="23" t="inlineStr">
        <is>
          <t>YEKINI</t>
        </is>
      </c>
      <c r="B359">
        <f>CONCATENATE(E359,"-",F359,"-",D359)</f>
        <v/>
      </c>
      <c r="C359" s="25">
        <f>CONCATENATE(G359,"-",F359,"-",D359)</f>
        <v/>
      </c>
      <c r="D359" s="23" t="inlineStr">
        <is>
          <t>Local</t>
        </is>
      </c>
      <c r="E359" s="25" t="inlineStr">
        <is>
          <t>Hiabs Logistics</t>
        </is>
      </c>
      <c r="F359" s="74" t="inlineStr">
        <is>
          <t>8T</t>
        </is>
      </c>
      <c r="G359" s="73" t="inlineStr">
        <is>
          <t>JMG</t>
        </is>
      </c>
      <c r="H359" s="74" t="inlineStr">
        <is>
          <t>Lagos</t>
        </is>
      </c>
      <c r="I359" s="202" t="inlineStr">
        <is>
          <t>Ajah</t>
        </is>
      </c>
      <c r="J359" s="202" t="inlineStr">
        <is>
          <t>Lagos</t>
        </is>
      </c>
      <c r="K359" s="201" t="n">
        <v>39.65</v>
      </c>
      <c r="L359" s="201" t="n">
        <v>79.3</v>
      </c>
      <c r="M359" s="198" t="n">
        <v>100</v>
      </c>
      <c r="N359" s="194" t="n">
        <v>1903.2</v>
      </c>
      <c r="O359" s="198" t="n">
        <v>131602.1995740657</v>
      </c>
    </row>
    <row r="360">
      <c r="A360" s="23" t="inlineStr">
        <is>
          <t>YEKINI</t>
        </is>
      </c>
      <c r="B360">
        <f>CONCATENATE(E360,"-",F360,"-",D360)</f>
        <v/>
      </c>
      <c r="C360" s="25">
        <f>CONCATENATE(G360,"-",F360,"-",D360)</f>
        <v/>
      </c>
      <c r="D360" s="23" t="inlineStr">
        <is>
          <t>Local</t>
        </is>
      </c>
      <c r="E360" s="25" t="inlineStr">
        <is>
          <t>Hiabs Logistics</t>
        </is>
      </c>
      <c r="F360" s="74" t="inlineStr">
        <is>
          <t>8T</t>
        </is>
      </c>
      <c r="G360" s="73" t="inlineStr">
        <is>
          <t>JMG</t>
        </is>
      </c>
      <c r="H360" s="74" t="inlineStr">
        <is>
          <t>Lagos</t>
        </is>
      </c>
      <c r="I360" s="202" t="inlineStr">
        <is>
          <t>Alaba</t>
        </is>
      </c>
      <c r="J360" s="202" t="inlineStr">
        <is>
          <t>Lagos</t>
        </is>
      </c>
      <c r="K360" s="201" t="n">
        <v>39</v>
      </c>
      <c r="L360" s="201" t="n">
        <v>78</v>
      </c>
      <c r="M360" s="198" t="n">
        <v>99</v>
      </c>
      <c r="N360" s="194" t="n">
        <v>1872</v>
      </c>
      <c r="O360" s="198" t="n">
        <v>131602.1995740657</v>
      </c>
    </row>
    <row r="361">
      <c r="A361" s="23" t="inlineStr">
        <is>
          <t>YEKINI</t>
        </is>
      </c>
      <c r="B361">
        <f>CONCATENATE(E361,"-",F361,"-",D361)</f>
        <v/>
      </c>
      <c r="C361" s="25">
        <f>CONCATENATE(G361,"-",F361,"-",D361)</f>
        <v/>
      </c>
      <c r="D361" s="23" t="inlineStr">
        <is>
          <t>Local</t>
        </is>
      </c>
      <c r="E361" s="25" t="inlineStr">
        <is>
          <t>Hiabs Logistics</t>
        </is>
      </c>
      <c r="F361" s="74" t="inlineStr">
        <is>
          <t>8T</t>
        </is>
      </c>
      <c r="G361" s="73" t="inlineStr">
        <is>
          <t>JMG</t>
        </is>
      </c>
      <c r="H361" s="74" t="inlineStr">
        <is>
          <t>Lagos</t>
        </is>
      </c>
      <c r="I361" s="202" t="inlineStr">
        <is>
          <t>Okokomaiko</t>
        </is>
      </c>
      <c r="J361" s="202" t="inlineStr">
        <is>
          <t>Lagos</t>
        </is>
      </c>
      <c r="K361" s="201" t="n">
        <v>38.15</v>
      </c>
      <c r="L361" s="200" t="n">
        <v>76.3</v>
      </c>
      <c r="M361" s="198" t="n">
        <v>98</v>
      </c>
      <c r="N361" s="194" t="n">
        <v>1831.2</v>
      </c>
      <c r="O361" s="198" t="n">
        <v>131602.1995740657</v>
      </c>
    </row>
    <row r="362">
      <c r="A362" s="23" t="inlineStr">
        <is>
          <t>YEKINI</t>
        </is>
      </c>
      <c r="B362">
        <f>CONCATENATE(E362,"-",F362,"-",D362)</f>
        <v/>
      </c>
      <c r="C362" s="25">
        <f>CONCATENATE(G362,"-",F362,"-",D362)</f>
        <v/>
      </c>
      <c r="D362" s="23" t="inlineStr">
        <is>
          <t>Local</t>
        </is>
      </c>
      <c r="E362" s="25" t="inlineStr">
        <is>
          <t>Hiabs Logistics</t>
        </is>
      </c>
      <c r="F362" s="74" t="inlineStr">
        <is>
          <t>8T</t>
        </is>
      </c>
      <c r="G362" s="73" t="inlineStr">
        <is>
          <t>JMG</t>
        </is>
      </c>
      <c r="H362" s="74" t="inlineStr">
        <is>
          <t>Lagos</t>
        </is>
      </c>
      <c r="I362" s="202" t="inlineStr">
        <is>
          <t>Mowe</t>
        </is>
      </c>
      <c r="J362" s="202" t="inlineStr">
        <is>
          <t>Ogun</t>
        </is>
      </c>
      <c r="K362" s="201" t="n">
        <v>37.6</v>
      </c>
      <c r="L362" s="200" t="n">
        <v>75.2</v>
      </c>
      <c r="M362" s="198" t="n">
        <v>98</v>
      </c>
      <c r="N362" s="194" t="n">
        <v>1804.8</v>
      </c>
      <c r="O362" s="198" t="n">
        <v>131602.1995740657</v>
      </c>
    </row>
    <row r="363">
      <c r="A363" s="23" t="inlineStr">
        <is>
          <t>YEKINI</t>
        </is>
      </c>
      <c r="B363">
        <f>CONCATENATE(E363,"-",F363,"-",D363)</f>
        <v/>
      </c>
      <c r="C363" s="25">
        <f>CONCATENATE(G363,"-",F363,"-",D363)</f>
        <v/>
      </c>
      <c r="D363" s="23" t="inlineStr">
        <is>
          <t>Local</t>
        </is>
      </c>
      <c r="E363" s="25" t="inlineStr">
        <is>
          <t>Hiabs Logistics</t>
        </is>
      </c>
      <c r="F363" s="74" t="inlineStr">
        <is>
          <t>8T</t>
        </is>
      </c>
      <c r="G363" s="73" t="inlineStr">
        <is>
          <t>JMG</t>
        </is>
      </c>
      <c r="H363" s="74" t="inlineStr">
        <is>
          <t>Lagos</t>
        </is>
      </c>
      <c r="I363" s="202" t="inlineStr">
        <is>
          <t>Magboro</t>
        </is>
      </c>
      <c r="J363" s="202" t="inlineStr">
        <is>
          <t>Ogun</t>
        </is>
      </c>
      <c r="K363" s="201" t="n">
        <v>33</v>
      </c>
      <c r="L363" s="200" t="n">
        <v>66</v>
      </c>
      <c r="M363" s="198" t="n">
        <v>93</v>
      </c>
      <c r="N363" s="194" t="n">
        <v>1584</v>
      </c>
      <c r="O363" s="198" t="n">
        <v>131602.1995740657</v>
      </c>
    </row>
    <row r="364">
      <c r="A364" s="23" t="inlineStr">
        <is>
          <t>YEKINI</t>
        </is>
      </c>
      <c r="B364">
        <f>CONCATENATE(E364,"-",F364,"-",D364)</f>
        <v/>
      </c>
      <c r="C364" s="25">
        <f>CONCATENATE(G364,"-",F364,"-",D364)</f>
        <v/>
      </c>
      <c r="D364" s="23" t="inlineStr">
        <is>
          <t>Local</t>
        </is>
      </c>
      <c r="E364" s="25" t="inlineStr">
        <is>
          <t>Hiabs Logistics</t>
        </is>
      </c>
      <c r="F364" s="74" t="inlineStr">
        <is>
          <t>8T</t>
        </is>
      </c>
      <c r="G364" s="73" t="inlineStr">
        <is>
          <t>JMG</t>
        </is>
      </c>
      <c r="H364" s="74" t="inlineStr">
        <is>
          <t>Lagos</t>
        </is>
      </c>
      <c r="I364" s="202" t="inlineStr">
        <is>
          <t>Trade Fair</t>
        </is>
      </c>
      <c r="J364" s="202" t="inlineStr">
        <is>
          <t>Lagos</t>
        </is>
      </c>
      <c r="K364" s="201" t="n">
        <v>29.5</v>
      </c>
      <c r="L364" s="200" t="n">
        <v>59</v>
      </c>
      <c r="M364" s="198" t="n">
        <v>90</v>
      </c>
      <c r="N364" s="194" t="n">
        <v>1416</v>
      </c>
      <c r="O364" s="198" t="n">
        <v>131602.1995740657</v>
      </c>
    </row>
    <row r="365">
      <c r="A365" s="23" t="inlineStr">
        <is>
          <t>YEKINI</t>
        </is>
      </c>
      <c r="B365">
        <f>CONCATENATE(E365,"-",F365,"-",D365)</f>
        <v/>
      </c>
      <c r="C365" s="25">
        <f>CONCATENATE(G365,"-",F365,"-",D365)</f>
        <v/>
      </c>
      <c r="D365" s="23" t="inlineStr">
        <is>
          <t>Local</t>
        </is>
      </c>
      <c r="E365" s="25" t="inlineStr">
        <is>
          <t>Hiabs Logistics</t>
        </is>
      </c>
      <c r="F365" s="74" t="inlineStr">
        <is>
          <t>8T</t>
        </is>
      </c>
      <c r="G365" s="73" t="inlineStr">
        <is>
          <t>JMG</t>
        </is>
      </c>
      <c r="H365" s="74" t="inlineStr">
        <is>
          <t>Lagos</t>
        </is>
      </c>
      <c r="I365" s="202" t="inlineStr">
        <is>
          <t>Sango-Ota</t>
        </is>
      </c>
      <c r="J365" s="202" t="inlineStr">
        <is>
          <t>Ogun</t>
        </is>
      </c>
      <c r="K365" s="201" t="n">
        <v>28.4</v>
      </c>
      <c r="L365" s="200" t="n">
        <v>56.8</v>
      </c>
      <c r="M365" s="198" t="n">
        <v>88</v>
      </c>
      <c r="N365" s="194" t="n">
        <v>1363.2</v>
      </c>
      <c r="O365" s="198" t="n">
        <v>131602.1995740657</v>
      </c>
    </row>
    <row r="366">
      <c r="A366" s="23" t="inlineStr">
        <is>
          <t>YEKINI</t>
        </is>
      </c>
      <c r="B366">
        <f>CONCATENATE(E366,"-",F366,"-",D366)</f>
        <v/>
      </c>
      <c r="C366" s="25">
        <f>CONCATENATE(G366,"-",F366,"-",D366)</f>
        <v/>
      </c>
      <c r="D366" s="23" t="inlineStr">
        <is>
          <t>Local</t>
        </is>
      </c>
      <c r="E366" s="25" t="inlineStr">
        <is>
          <t>Hiabs Logistics</t>
        </is>
      </c>
      <c r="F366" s="74" t="inlineStr">
        <is>
          <t>8T</t>
        </is>
      </c>
      <c r="G366" s="73" t="inlineStr">
        <is>
          <t>JMG</t>
        </is>
      </c>
      <c r="H366" s="74" t="inlineStr">
        <is>
          <t>Lagos</t>
        </is>
      </c>
      <c r="I366" s="202" t="inlineStr">
        <is>
          <t>Lekki</t>
        </is>
      </c>
      <c r="J366" s="202" t="inlineStr">
        <is>
          <t>Lagos</t>
        </is>
      </c>
      <c r="K366" s="201" t="n">
        <v>26.05</v>
      </c>
      <c r="L366" s="201" t="n">
        <v>52.1</v>
      </c>
      <c r="M366" s="198" t="n">
        <v>86</v>
      </c>
      <c r="N366" s="194" t="n">
        <v>1250.4</v>
      </c>
      <c r="O366" s="198" t="n">
        <v>131602.1995740657</v>
      </c>
    </row>
    <row r="367">
      <c r="A367" s="23" t="inlineStr">
        <is>
          <t>YEKINI</t>
        </is>
      </c>
      <c r="B367">
        <f>CONCATENATE(E367,"-",F367,"-",D367)</f>
        <v/>
      </c>
      <c r="C367" s="25">
        <f>CONCATENATE(G367,"-",F367,"-",D367)</f>
        <v/>
      </c>
      <c r="D367" s="23" t="inlineStr">
        <is>
          <t>Local</t>
        </is>
      </c>
      <c r="E367" s="25" t="inlineStr">
        <is>
          <t>Hiabs Logistics</t>
        </is>
      </c>
      <c r="F367" s="74" t="inlineStr">
        <is>
          <t>8T</t>
        </is>
      </c>
      <c r="G367" s="73" t="inlineStr">
        <is>
          <t>JMG</t>
        </is>
      </c>
      <c r="H367" s="74" t="inlineStr">
        <is>
          <t>Lagos</t>
        </is>
      </c>
      <c r="I367" s="202" t="inlineStr">
        <is>
          <t>Festac</t>
        </is>
      </c>
      <c r="J367" s="202" t="inlineStr">
        <is>
          <t>Lagos</t>
        </is>
      </c>
      <c r="K367" s="201" t="n">
        <v>24.6</v>
      </c>
      <c r="L367" s="200" t="n">
        <v>49.2</v>
      </c>
      <c r="M367" s="198" t="n">
        <v>85</v>
      </c>
      <c r="N367" s="194" t="n">
        <v>1180.8</v>
      </c>
      <c r="O367" s="198" t="n">
        <v>131602.1995740657</v>
      </c>
    </row>
    <row r="368">
      <c r="A368" s="23" t="inlineStr">
        <is>
          <t>YEKINI</t>
        </is>
      </c>
      <c r="B368">
        <f>CONCATENATE(E368,"-",F368,"-",D368)</f>
        <v/>
      </c>
      <c r="C368" s="25">
        <f>CONCATENATE(G368,"-",F368,"-",D368)</f>
        <v/>
      </c>
      <c r="D368" s="23" t="inlineStr">
        <is>
          <t>Local</t>
        </is>
      </c>
      <c r="E368" s="25" t="inlineStr">
        <is>
          <t>Hiabs Logistics</t>
        </is>
      </c>
      <c r="F368" s="74" t="inlineStr">
        <is>
          <t>8T</t>
        </is>
      </c>
      <c r="G368" s="73" t="inlineStr">
        <is>
          <t>JMG</t>
        </is>
      </c>
      <c r="H368" s="74" t="inlineStr">
        <is>
          <t>Lagos</t>
        </is>
      </c>
      <c r="I368" s="121" t="inlineStr">
        <is>
          <t>Ikorodu</t>
        </is>
      </c>
      <c r="J368" s="121" t="inlineStr">
        <is>
          <t>Lagos</t>
        </is>
      </c>
      <c r="K368" s="201" t="n">
        <v>24.25</v>
      </c>
      <c r="L368" s="200" t="n">
        <v>48.5</v>
      </c>
      <c r="M368" s="198" t="n">
        <v>84</v>
      </c>
      <c r="N368" s="194" t="n">
        <v>1164</v>
      </c>
      <c r="O368" s="198" t="n">
        <v>131602.1995740657</v>
      </c>
    </row>
    <row r="369">
      <c r="A369" s="23" t="inlineStr">
        <is>
          <t>YEKINI</t>
        </is>
      </c>
      <c r="B369">
        <f>CONCATENATE(E369,"-",F369,"-",D369)</f>
        <v/>
      </c>
      <c r="C369" s="25">
        <f>CONCATENATE(G369,"-",F369,"-",D369)</f>
        <v/>
      </c>
      <c r="D369" s="23" t="inlineStr">
        <is>
          <t>Local</t>
        </is>
      </c>
      <c r="E369" s="25" t="inlineStr">
        <is>
          <t>Hiabs Logistics</t>
        </is>
      </c>
      <c r="F369" s="74" t="inlineStr">
        <is>
          <t>8T</t>
        </is>
      </c>
      <c r="G369" s="73" t="inlineStr">
        <is>
          <t>JMG</t>
        </is>
      </c>
      <c r="H369" s="74" t="inlineStr">
        <is>
          <t>Lagos</t>
        </is>
      </c>
      <c r="I369" s="202" t="inlineStr">
        <is>
          <t>Victoria Island</t>
        </is>
      </c>
      <c r="J369" s="202" t="inlineStr">
        <is>
          <t>Lagos</t>
        </is>
      </c>
      <c r="K369" s="201" t="n">
        <v>24</v>
      </c>
      <c r="L369" s="201" t="n">
        <v>48</v>
      </c>
      <c r="M369" s="198" t="n">
        <v>84</v>
      </c>
      <c r="N369" s="194" t="n">
        <v>1152</v>
      </c>
      <c r="O369" s="198" t="n">
        <v>131602.1995740657</v>
      </c>
    </row>
    <row r="370">
      <c r="A370" s="23" t="inlineStr">
        <is>
          <t>YEKINI</t>
        </is>
      </c>
      <c r="B370">
        <f>CONCATENATE(E370,"-",F370,"-",D370)</f>
        <v/>
      </c>
      <c r="C370" s="25">
        <f>CONCATENATE(G370,"-",F370,"-",D370)</f>
        <v/>
      </c>
      <c r="D370" s="23" t="inlineStr">
        <is>
          <t>Local</t>
        </is>
      </c>
      <c r="E370" s="25" t="inlineStr">
        <is>
          <t>Hiabs Logistics</t>
        </is>
      </c>
      <c r="F370" s="74" t="inlineStr">
        <is>
          <t>8T</t>
        </is>
      </c>
      <c r="G370" s="73" t="inlineStr">
        <is>
          <t>JMG</t>
        </is>
      </c>
      <c r="H370" s="74" t="inlineStr">
        <is>
          <t>Lagos</t>
        </is>
      </c>
      <c r="I370" s="202" t="inlineStr">
        <is>
          <t>Oniru</t>
        </is>
      </c>
      <c r="J370" s="202" t="inlineStr">
        <is>
          <t>Lagos</t>
        </is>
      </c>
      <c r="K370" s="201" t="n">
        <v>23.1</v>
      </c>
      <c r="L370" s="201" t="n">
        <v>46.2</v>
      </c>
      <c r="M370" s="198" t="n">
        <v>83</v>
      </c>
      <c r="N370" s="194" t="n">
        <v>1108.8</v>
      </c>
      <c r="O370" s="198" t="n">
        <v>131602.1995740657</v>
      </c>
    </row>
    <row r="371">
      <c r="A371" s="23" t="inlineStr">
        <is>
          <t>YEKINI</t>
        </is>
      </c>
      <c r="B371">
        <f>CONCATENATE(E371,"-",F371,"-",D371)</f>
        <v/>
      </c>
      <c r="C371" s="25">
        <f>CONCATENATE(G371,"-",F371,"-",D371)</f>
        <v/>
      </c>
      <c r="D371" s="23" t="inlineStr">
        <is>
          <t>Local</t>
        </is>
      </c>
      <c r="E371" s="25" t="inlineStr">
        <is>
          <t>Hiabs Logistics</t>
        </is>
      </c>
      <c r="F371" s="74" t="inlineStr">
        <is>
          <t>8T</t>
        </is>
      </c>
      <c r="G371" s="73" t="inlineStr">
        <is>
          <t>JMG</t>
        </is>
      </c>
      <c r="H371" s="74" t="inlineStr">
        <is>
          <t>Lagos</t>
        </is>
      </c>
      <c r="I371" s="202" t="inlineStr">
        <is>
          <t>Lagos Island</t>
        </is>
      </c>
      <c r="J371" s="202" t="inlineStr">
        <is>
          <t>Lagos</t>
        </is>
      </c>
      <c r="K371" s="201" t="n">
        <v>23</v>
      </c>
      <c r="L371" s="201" t="n">
        <v>46</v>
      </c>
      <c r="M371" s="198" t="n">
        <v>83</v>
      </c>
      <c r="N371" s="194" t="n">
        <v>1104</v>
      </c>
      <c r="O371" s="198" t="n">
        <v>131602.1995740657</v>
      </c>
    </row>
    <row r="372">
      <c r="A372" s="23" t="inlineStr">
        <is>
          <t>YEKINI</t>
        </is>
      </c>
      <c r="B372">
        <f>CONCATENATE(E372,"-",F372,"-",D372)</f>
        <v/>
      </c>
      <c r="C372" s="25">
        <f>CONCATENATE(G372,"-",F372,"-",D372)</f>
        <v/>
      </c>
      <c r="D372" s="23" t="inlineStr">
        <is>
          <t>Local</t>
        </is>
      </c>
      <c r="E372" s="25" t="inlineStr">
        <is>
          <t>Hiabs Logistics</t>
        </is>
      </c>
      <c r="F372" s="74" t="inlineStr">
        <is>
          <t>8T</t>
        </is>
      </c>
      <c r="G372" s="73" t="inlineStr">
        <is>
          <t>JMG</t>
        </is>
      </c>
      <c r="H372" s="74" t="inlineStr">
        <is>
          <t>Lagos</t>
        </is>
      </c>
      <c r="I372" s="202" t="inlineStr">
        <is>
          <t>Abule Egba</t>
        </is>
      </c>
      <c r="J372" s="202" t="inlineStr">
        <is>
          <t>Lagos</t>
        </is>
      </c>
      <c r="K372" s="201" t="n">
        <v>22.25</v>
      </c>
      <c r="L372" s="200" t="n">
        <v>44.5</v>
      </c>
      <c r="M372" s="198" t="n">
        <v>82</v>
      </c>
      <c r="N372" s="194" t="n">
        <v>1068</v>
      </c>
      <c r="O372" s="198" t="n">
        <v>131602.1995740657</v>
      </c>
    </row>
    <row r="373">
      <c r="A373" s="23" t="inlineStr">
        <is>
          <t>YEKINI</t>
        </is>
      </c>
      <c r="B373">
        <f>CONCATENATE(E373,"-",F373,"-",D373)</f>
        <v/>
      </c>
      <c r="C373" s="25">
        <f>CONCATENATE(G373,"-",F373,"-",D373)</f>
        <v/>
      </c>
      <c r="D373" s="23" t="inlineStr">
        <is>
          <t>Local</t>
        </is>
      </c>
      <c r="E373" s="25" t="inlineStr">
        <is>
          <t>Hiabs Logistics</t>
        </is>
      </c>
      <c r="F373" s="74" t="inlineStr">
        <is>
          <t>8T</t>
        </is>
      </c>
      <c r="G373" s="73" t="inlineStr">
        <is>
          <t>JMG</t>
        </is>
      </c>
      <c r="H373" s="74" t="inlineStr">
        <is>
          <t>Lagos</t>
        </is>
      </c>
      <c r="I373" s="202" t="inlineStr">
        <is>
          <t>Bar Beach</t>
        </is>
      </c>
      <c r="J373" s="202" t="inlineStr">
        <is>
          <t>Lagos</t>
        </is>
      </c>
      <c r="K373" s="201" t="n">
        <v>21.9</v>
      </c>
      <c r="L373" s="200" t="n">
        <v>43.8</v>
      </c>
      <c r="M373" s="198" t="n">
        <v>82</v>
      </c>
      <c r="N373" s="194" t="n">
        <v>1051.2</v>
      </c>
      <c r="O373" s="198" t="n">
        <v>131602.1995740657</v>
      </c>
    </row>
    <row r="374">
      <c r="A374" s="23" t="inlineStr">
        <is>
          <t>YEKINI</t>
        </is>
      </c>
      <c r="B374">
        <f>CONCATENATE(E374,"-",F374,"-",D374)</f>
        <v/>
      </c>
      <c r="C374" s="25">
        <f>CONCATENATE(G374,"-",F374,"-",D374)</f>
        <v/>
      </c>
      <c r="D374" s="23" t="inlineStr">
        <is>
          <t>Local</t>
        </is>
      </c>
      <c r="E374" s="25" t="inlineStr">
        <is>
          <t>Hiabs Logistics</t>
        </is>
      </c>
      <c r="F374" s="74" t="inlineStr">
        <is>
          <t>8T</t>
        </is>
      </c>
      <c r="G374" s="73" t="inlineStr">
        <is>
          <t>JMG</t>
        </is>
      </c>
      <c r="H374" s="74" t="inlineStr">
        <is>
          <t>Lagos</t>
        </is>
      </c>
      <c r="I374" s="202" t="inlineStr">
        <is>
          <t>Adeola Odeku</t>
        </is>
      </c>
      <c r="J374" s="202" t="inlineStr">
        <is>
          <t>Lagos</t>
        </is>
      </c>
      <c r="K374" s="201" t="n">
        <v>21.6</v>
      </c>
      <c r="L374" s="200" t="n">
        <v>43.2</v>
      </c>
      <c r="M374" s="198" t="n">
        <v>82</v>
      </c>
      <c r="N374" s="194" t="n">
        <v>1036.8</v>
      </c>
      <c r="O374" s="198" t="n">
        <v>131602.1995740657</v>
      </c>
    </row>
    <row r="375">
      <c r="A375" s="23" t="inlineStr">
        <is>
          <t>YEKINI</t>
        </is>
      </c>
      <c r="B375">
        <f>CONCATENATE(E375,"-",F375,"-",D375)</f>
        <v/>
      </c>
      <c r="C375" s="25">
        <f>CONCATENATE(G375,"-",F375,"-",D375)</f>
        <v/>
      </c>
      <c r="D375" s="23" t="inlineStr">
        <is>
          <t>Local</t>
        </is>
      </c>
      <c r="E375" s="25" t="inlineStr">
        <is>
          <t>Hiabs Logistics</t>
        </is>
      </c>
      <c r="F375" s="74" t="inlineStr">
        <is>
          <t>8T</t>
        </is>
      </c>
      <c r="G375" s="73" t="inlineStr">
        <is>
          <t>JMG</t>
        </is>
      </c>
      <c r="H375" s="74" t="inlineStr">
        <is>
          <t>Lagos</t>
        </is>
      </c>
      <c r="I375" s="121" t="inlineStr">
        <is>
          <t>Mushin</t>
        </is>
      </c>
      <c r="J375" s="121" t="inlineStr">
        <is>
          <t>Lagos</t>
        </is>
      </c>
      <c r="K375" s="201" t="n">
        <v>21.5</v>
      </c>
      <c r="L375" s="200" t="n">
        <v>43</v>
      </c>
      <c r="M375" s="198" t="n">
        <v>81</v>
      </c>
      <c r="N375" s="194" t="n">
        <v>1032</v>
      </c>
      <c r="O375" s="198" t="n">
        <v>131602.1995740657</v>
      </c>
    </row>
    <row r="376">
      <c r="A376" s="23" t="inlineStr">
        <is>
          <t>YEKINI</t>
        </is>
      </c>
      <c r="B376">
        <f>CONCATENATE(E376,"-",F376,"-",D376)</f>
        <v/>
      </c>
      <c r="C376" s="25">
        <f>CONCATENATE(G376,"-",F376,"-",D376)</f>
        <v/>
      </c>
      <c r="D376" s="23" t="inlineStr">
        <is>
          <t>Local</t>
        </is>
      </c>
      <c r="E376" s="25" t="inlineStr">
        <is>
          <t>Hiabs Logistics</t>
        </is>
      </c>
      <c r="F376" s="74" t="inlineStr">
        <is>
          <t>8T</t>
        </is>
      </c>
      <c r="G376" s="73" t="inlineStr">
        <is>
          <t>JMG</t>
        </is>
      </c>
      <c r="H376" s="74" t="inlineStr">
        <is>
          <t>Lagos</t>
        </is>
      </c>
      <c r="I376" s="202" t="inlineStr">
        <is>
          <t>Agbado</t>
        </is>
      </c>
      <c r="J376" s="202" t="inlineStr">
        <is>
          <t>Lagos</t>
        </is>
      </c>
      <c r="K376" s="201" t="n">
        <v>21.2</v>
      </c>
      <c r="L376" s="200" t="n">
        <v>42.4</v>
      </c>
      <c r="M376" s="198" t="n">
        <v>81</v>
      </c>
      <c r="N376" s="194" t="n">
        <v>1017.6</v>
      </c>
      <c r="O376" s="198" t="n">
        <v>131602.1995740657</v>
      </c>
    </row>
    <row r="377">
      <c r="A377" s="23" t="inlineStr">
        <is>
          <t>YEKINI</t>
        </is>
      </c>
      <c r="B377">
        <f>CONCATENATE(E377,"-",F377,"-",D377)</f>
        <v/>
      </c>
      <c r="C377" s="25">
        <f>CONCATENATE(G377,"-",F377,"-",D377)</f>
        <v/>
      </c>
      <c r="D377" s="23" t="inlineStr">
        <is>
          <t>Local</t>
        </is>
      </c>
      <c r="E377" s="25" t="inlineStr">
        <is>
          <t>Hiabs Logistics</t>
        </is>
      </c>
      <c r="F377" s="74" t="inlineStr">
        <is>
          <t>8T</t>
        </is>
      </c>
      <c r="G377" s="73" t="inlineStr">
        <is>
          <t>JMG</t>
        </is>
      </c>
      <c r="H377" s="74" t="inlineStr">
        <is>
          <t>Lagos</t>
        </is>
      </c>
      <c r="I377" s="202" t="inlineStr">
        <is>
          <t>Akute</t>
        </is>
      </c>
      <c r="J377" s="202" t="inlineStr">
        <is>
          <t>Ogun</t>
        </is>
      </c>
      <c r="K377" s="201" t="n">
        <v>20.5</v>
      </c>
      <c r="L377" s="200" t="n">
        <v>41</v>
      </c>
      <c r="M377" s="198" t="n">
        <v>80</v>
      </c>
      <c r="N377" s="194" t="n">
        <v>984</v>
      </c>
      <c r="O377" s="198" t="n">
        <v>131602.1995740657</v>
      </c>
    </row>
    <row r="378">
      <c r="A378" s="23" t="inlineStr">
        <is>
          <t>YEKINI</t>
        </is>
      </c>
      <c r="B378">
        <f>CONCATENATE(E378,"-",F378,"-",D378)</f>
        <v/>
      </c>
      <c r="C378" s="25">
        <f>CONCATENATE(G378,"-",F378,"-",D378)</f>
        <v/>
      </c>
      <c r="D378" s="23" t="inlineStr">
        <is>
          <t>Local</t>
        </is>
      </c>
      <c r="E378" s="25" t="inlineStr">
        <is>
          <t>Hiabs Logistics</t>
        </is>
      </c>
      <c r="F378" s="74" t="inlineStr">
        <is>
          <t>8T</t>
        </is>
      </c>
      <c r="G378" s="73" t="inlineStr">
        <is>
          <t>JMG</t>
        </is>
      </c>
      <c r="H378" s="74" t="inlineStr">
        <is>
          <t>Lagos</t>
        </is>
      </c>
      <c r="I378" s="202" t="inlineStr">
        <is>
          <t>IKM</t>
        </is>
      </c>
      <c r="J378" s="202" t="inlineStr">
        <is>
          <t>Lagos</t>
        </is>
      </c>
      <c r="K378" s="201" t="n">
        <v>19.5</v>
      </c>
      <c r="L378" s="201" t="n">
        <v>39</v>
      </c>
      <c r="M378" s="198" t="n">
        <v>79</v>
      </c>
      <c r="N378" s="194" t="n">
        <v>936</v>
      </c>
      <c r="O378" s="198" t="n">
        <v>131602.1995740657</v>
      </c>
    </row>
    <row r="379">
      <c r="A379" s="23" t="inlineStr">
        <is>
          <t>YEKINI</t>
        </is>
      </c>
      <c r="B379">
        <f>CONCATENATE(E379,"-",F379,"-",D379)</f>
        <v/>
      </c>
      <c r="C379" s="25">
        <f>CONCATENATE(G379,"-",F379,"-",D379)</f>
        <v/>
      </c>
      <c r="D379" s="23" t="inlineStr">
        <is>
          <t>Local</t>
        </is>
      </c>
      <c r="E379" s="25" t="inlineStr">
        <is>
          <t>Hiabs Logistics</t>
        </is>
      </c>
      <c r="F379" s="74" t="inlineStr">
        <is>
          <t>8T</t>
        </is>
      </c>
      <c r="G379" s="73" t="inlineStr">
        <is>
          <t>JMG</t>
        </is>
      </c>
      <c r="H379" s="74" t="inlineStr">
        <is>
          <t>Lagos</t>
        </is>
      </c>
      <c r="I379" s="202" t="inlineStr">
        <is>
          <t>Tejuosho</t>
        </is>
      </c>
      <c r="J379" s="202" t="inlineStr">
        <is>
          <t>Lagos</t>
        </is>
      </c>
      <c r="K379" s="201" t="n">
        <v>19</v>
      </c>
      <c r="L379" s="201" t="n">
        <v>38</v>
      </c>
      <c r="M379" s="198" t="n">
        <v>79</v>
      </c>
      <c r="N379" s="194" t="n">
        <v>912</v>
      </c>
      <c r="O379" s="198" t="n">
        <v>131602.1995740657</v>
      </c>
    </row>
    <row r="380">
      <c r="A380" s="23" t="inlineStr">
        <is>
          <t>YEKINI</t>
        </is>
      </c>
      <c r="B380">
        <f>CONCATENATE(E380,"-",F380,"-",D380)</f>
        <v/>
      </c>
      <c r="C380" s="25">
        <f>CONCATENATE(G380,"-",F380,"-",D380)</f>
        <v/>
      </c>
      <c r="D380" s="23" t="inlineStr">
        <is>
          <t>Local</t>
        </is>
      </c>
      <c r="E380" s="25" t="inlineStr">
        <is>
          <t>Hiabs Logistics</t>
        </is>
      </c>
      <c r="F380" s="74" t="inlineStr">
        <is>
          <t>8T</t>
        </is>
      </c>
      <c r="G380" s="73" t="inlineStr">
        <is>
          <t>JMG</t>
        </is>
      </c>
      <c r="H380" s="74" t="inlineStr">
        <is>
          <t>Lagos</t>
        </is>
      </c>
      <c r="I380" s="202" t="inlineStr">
        <is>
          <t>Dembal</t>
        </is>
      </c>
      <c r="J380" s="202" t="inlineStr">
        <is>
          <t>Lagos</t>
        </is>
      </c>
      <c r="K380" s="201" t="n">
        <v>19</v>
      </c>
      <c r="L380" s="201" t="n">
        <v>38</v>
      </c>
      <c r="M380" s="198" t="n">
        <v>79</v>
      </c>
      <c r="N380" s="194" t="n">
        <v>912</v>
      </c>
      <c r="O380" s="198" t="n">
        <v>131602.1995740657</v>
      </c>
    </row>
    <row r="381">
      <c r="A381" s="23" t="inlineStr">
        <is>
          <t>YEKINI</t>
        </is>
      </c>
      <c r="B381">
        <f>CONCATENATE(E381,"-",F381,"-",D381)</f>
        <v/>
      </c>
      <c r="C381" s="25">
        <f>CONCATENATE(G381,"-",F381,"-",D381)</f>
        <v/>
      </c>
      <c r="D381" s="23" t="inlineStr">
        <is>
          <t>Local</t>
        </is>
      </c>
      <c r="E381" s="25" t="inlineStr">
        <is>
          <t>Hiabs Logistics</t>
        </is>
      </c>
      <c r="F381" s="74" t="inlineStr">
        <is>
          <t>8T</t>
        </is>
      </c>
      <c r="G381" s="73" t="inlineStr">
        <is>
          <t>JMG</t>
        </is>
      </c>
      <c r="H381" s="74" t="inlineStr">
        <is>
          <t>Lagos</t>
        </is>
      </c>
      <c r="I381" s="202" t="inlineStr">
        <is>
          <t>Mile 2</t>
        </is>
      </c>
      <c r="J381" s="202" t="inlineStr">
        <is>
          <t>Lagos</t>
        </is>
      </c>
      <c r="K381" s="201" t="n">
        <v>18.4</v>
      </c>
      <c r="L381" s="200" t="n">
        <v>36.8</v>
      </c>
      <c r="M381" s="198" t="n">
        <v>78</v>
      </c>
      <c r="N381" s="194" t="n">
        <v>883.1999999999999</v>
      </c>
      <c r="O381" s="198" t="n">
        <v>131602.1995740657</v>
      </c>
    </row>
    <row r="382">
      <c r="A382" s="23" t="inlineStr">
        <is>
          <t>YEKINI</t>
        </is>
      </c>
      <c r="B382">
        <f>CONCATENATE(E382,"-",F382,"-",D382)</f>
        <v/>
      </c>
      <c r="C382" s="25">
        <f>CONCATENATE(G382,"-",F382,"-",D382)</f>
        <v/>
      </c>
      <c r="D382" s="23" t="inlineStr">
        <is>
          <t>Local</t>
        </is>
      </c>
      <c r="E382" s="25" t="inlineStr">
        <is>
          <t>Hiabs Logistics</t>
        </is>
      </c>
      <c r="F382" s="74" t="inlineStr">
        <is>
          <t>8T</t>
        </is>
      </c>
      <c r="G382" s="73" t="inlineStr">
        <is>
          <t>JMG</t>
        </is>
      </c>
      <c r="H382" s="74" t="inlineStr">
        <is>
          <t>Lagos</t>
        </is>
      </c>
      <c r="I382" s="202" t="inlineStr">
        <is>
          <t>Marina</t>
        </is>
      </c>
      <c r="J382" s="202" t="inlineStr">
        <is>
          <t>Lagos</t>
        </is>
      </c>
      <c r="K382" s="201" t="n">
        <v>18.05</v>
      </c>
      <c r="L382" s="200" t="n">
        <v>36.1</v>
      </c>
      <c r="M382" s="198" t="n">
        <v>78</v>
      </c>
      <c r="N382" s="194" t="n">
        <v>866.4000000000001</v>
      </c>
      <c r="O382" s="198" t="n">
        <v>131602.1995740657</v>
      </c>
    </row>
    <row r="383">
      <c r="A383" s="23" t="inlineStr">
        <is>
          <t>YEKINI</t>
        </is>
      </c>
      <c r="B383">
        <f>CONCATENATE(E383,"-",F383,"-",D383)</f>
        <v/>
      </c>
      <c r="C383" s="25">
        <f>CONCATENATE(G383,"-",F383,"-",D383)</f>
        <v/>
      </c>
      <c r="D383" s="23" t="inlineStr">
        <is>
          <t>Local</t>
        </is>
      </c>
      <c r="E383" s="25" t="inlineStr">
        <is>
          <t>Hiabs Logistics</t>
        </is>
      </c>
      <c r="F383" s="74" t="inlineStr">
        <is>
          <t>8T</t>
        </is>
      </c>
      <c r="G383" s="73" t="inlineStr">
        <is>
          <t>JMG</t>
        </is>
      </c>
      <c r="H383" s="74" t="inlineStr">
        <is>
          <t>Lagos</t>
        </is>
      </c>
      <c r="I383" s="202" t="inlineStr">
        <is>
          <t>Okota</t>
        </is>
      </c>
      <c r="J383" s="202" t="inlineStr">
        <is>
          <t>Lagos</t>
        </is>
      </c>
      <c r="K383" s="201" t="n">
        <v>17.85</v>
      </c>
      <c r="L383" s="200" t="n">
        <v>35.7</v>
      </c>
      <c r="M383" s="198" t="n">
        <v>78</v>
      </c>
      <c r="N383" s="194" t="n">
        <v>856.8000000000001</v>
      </c>
      <c r="O383" s="198" t="n">
        <v>131602.1995740657</v>
      </c>
    </row>
    <row r="384">
      <c r="A384" s="23" t="inlineStr">
        <is>
          <t>YEKINI</t>
        </is>
      </c>
      <c r="B384">
        <f>CONCATENATE(E384,"-",F384,"-",D384)</f>
        <v/>
      </c>
      <c r="C384" s="25">
        <f>CONCATENATE(G384,"-",F384,"-",D384)</f>
        <v/>
      </c>
      <c r="D384" s="23" t="inlineStr">
        <is>
          <t>Local</t>
        </is>
      </c>
      <c r="E384" s="25" t="inlineStr">
        <is>
          <t>Hiabs Logistics</t>
        </is>
      </c>
      <c r="F384" s="74" t="inlineStr">
        <is>
          <t>8T</t>
        </is>
      </c>
      <c r="G384" s="73" t="inlineStr">
        <is>
          <t>JMG</t>
        </is>
      </c>
      <c r="H384" s="74" t="inlineStr">
        <is>
          <t>Lagos</t>
        </is>
      </c>
      <c r="I384" s="202" t="inlineStr">
        <is>
          <t>Iyana Ipaja</t>
        </is>
      </c>
      <c r="J384" s="202" t="inlineStr">
        <is>
          <t>Lagos</t>
        </is>
      </c>
      <c r="K384" s="201" t="n">
        <v>16.8</v>
      </c>
      <c r="L384" s="200" t="n">
        <v>33.6</v>
      </c>
      <c r="M384" s="198" t="n">
        <v>77</v>
      </c>
      <c r="N384" s="194" t="n">
        <v>806.4000000000001</v>
      </c>
      <c r="O384" s="198" t="n">
        <v>131602.1995740657</v>
      </c>
    </row>
    <row r="385">
      <c r="A385" s="23" t="inlineStr">
        <is>
          <t>YEKINI</t>
        </is>
      </c>
      <c r="B385">
        <f>CONCATENATE(E385,"-",F385,"-",D385)</f>
        <v/>
      </c>
      <c r="C385" s="25">
        <f>CONCATENATE(G385,"-",F385,"-",D385)</f>
        <v/>
      </c>
      <c r="D385" s="23" t="inlineStr">
        <is>
          <t>Local</t>
        </is>
      </c>
      <c r="E385" s="25" t="inlineStr">
        <is>
          <t>Hiabs Logistics</t>
        </is>
      </c>
      <c r="F385" s="74" t="inlineStr">
        <is>
          <t>8T</t>
        </is>
      </c>
      <c r="G385" s="73" t="inlineStr">
        <is>
          <t>JMG</t>
        </is>
      </c>
      <c r="H385" s="74" t="inlineStr">
        <is>
          <t>Lagos</t>
        </is>
      </c>
      <c r="I385" s="202" t="inlineStr">
        <is>
          <t>Jankara</t>
        </is>
      </c>
      <c r="J385" s="202" t="inlineStr">
        <is>
          <t>Lagos</t>
        </is>
      </c>
      <c r="K385" s="201" t="n">
        <v>16.2</v>
      </c>
      <c r="L385" s="200" t="n">
        <v>32.4</v>
      </c>
      <c r="M385" s="198" t="n">
        <v>76</v>
      </c>
      <c r="N385" s="194" t="n">
        <v>777.5999999999999</v>
      </c>
      <c r="O385" s="198" t="n">
        <v>131602.1995740657</v>
      </c>
    </row>
    <row r="386">
      <c r="A386" s="23" t="inlineStr">
        <is>
          <t>YEKINI</t>
        </is>
      </c>
      <c r="B386">
        <f>CONCATENATE(E386,"-",F386,"-",D386)</f>
        <v/>
      </c>
      <c r="C386" s="25">
        <f>CONCATENATE(G386,"-",F386,"-",D386)</f>
        <v/>
      </c>
      <c r="D386" s="23" t="inlineStr">
        <is>
          <t>Local</t>
        </is>
      </c>
      <c r="E386" s="25" t="inlineStr">
        <is>
          <t>Hiabs Logistics</t>
        </is>
      </c>
      <c r="F386" s="74" t="inlineStr">
        <is>
          <t>8T</t>
        </is>
      </c>
      <c r="G386" s="73" t="inlineStr">
        <is>
          <t>JMG</t>
        </is>
      </c>
      <c r="H386" s="74" t="inlineStr">
        <is>
          <t>Lagos</t>
        </is>
      </c>
      <c r="I386" s="202" t="inlineStr">
        <is>
          <t>Orile</t>
        </is>
      </c>
      <c r="J386" s="202" t="inlineStr">
        <is>
          <t>Lagos</t>
        </is>
      </c>
      <c r="K386" s="201" t="n">
        <v>16.05</v>
      </c>
      <c r="L386" s="200" t="n">
        <v>32.1</v>
      </c>
      <c r="M386" s="198" t="n">
        <v>76</v>
      </c>
      <c r="N386" s="194" t="n">
        <v>770.4000000000001</v>
      </c>
      <c r="O386" s="198" t="n">
        <v>131602.1995740657</v>
      </c>
    </row>
    <row r="387">
      <c r="A387" s="23" t="inlineStr">
        <is>
          <t>YEKINI</t>
        </is>
      </c>
      <c r="B387">
        <f>CONCATENATE(E387,"-",F387,"-",D387)</f>
        <v/>
      </c>
      <c r="C387" s="25">
        <f>CONCATENATE(G387,"-",F387,"-",D387)</f>
        <v/>
      </c>
      <c r="D387" s="23" t="inlineStr">
        <is>
          <t>Local</t>
        </is>
      </c>
      <c r="E387" s="25" t="inlineStr">
        <is>
          <t>Hiabs Logistics</t>
        </is>
      </c>
      <c r="F387" s="74" t="inlineStr">
        <is>
          <t>8T</t>
        </is>
      </c>
      <c r="G387" s="73" t="inlineStr">
        <is>
          <t>JMG</t>
        </is>
      </c>
      <c r="H387" s="74" t="inlineStr">
        <is>
          <t>Lagos</t>
        </is>
      </c>
      <c r="I387" s="202" t="inlineStr">
        <is>
          <t>Apapa</t>
        </is>
      </c>
      <c r="J387" s="202" t="inlineStr">
        <is>
          <t>Lagos</t>
        </is>
      </c>
      <c r="K387" s="201" t="n">
        <v>16</v>
      </c>
      <c r="L387" s="201" t="n">
        <v>32</v>
      </c>
      <c r="M387" s="198" t="n">
        <v>76</v>
      </c>
      <c r="N387" s="194" t="n">
        <v>768</v>
      </c>
      <c r="O387" s="198" t="n">
        <v>131602.1995740657</v>
      </c>
    </row>
    <row r="388">
      <c r="A388" s="23" t="inlineStr">
        <is>
          <t>YEKINI</t>
        </is>
      </c>
      <c r="B388">
        <f>CONCATENATE(E388,"-",F388,"-",D388)</f>
        <v/>
      </c>
      <c r="C388" s="25">
        <f>CONCATENATE(G388,"-",F388,"-",D388)</f>
        <v/>
      </c>
      <c r="D388" s="23" t="inlineStr">
        <is>
          <t>Local</t>
        </is>
      </c>
      <c r="E388" s="25" t="inlineStr">
        <is>
          <t>Hiabs Logistics</t>
        </is>
      </c>
      <c r="F388" s="74" t="inlineStr">
        <is>
          <t>8T</t>
        </is>
      </c>
      <c r="G388" s="73" t="inlineStr">
        <is>
          <t>JMG</t>
        </is>
      </c>
      <c r="H388" s="74" t="inlineStr">
        <is>
          <t>Lagos</t>
        </is>
      </c>
      <c r="I388" s="202" t="inlineStr">
        <is>
          <t>Ejigbo</t>
        </is>
      </c>
      <c r="J388" s="202" t="inlineStr">
        <is>
          <t>Lagos</t>
        </is>
      </c>
      <c r="K388" s="201" t="n">
        <v>15.75</v>
      </c>
      <c r="L388" s="200" t="n">
        <v>31.5</v>
      </c>
      <c r="M388" s="198" t="n">
        <v>76</v>
      </c>
      <c r="N388" s="194" t="n">
        <v>756</v>
      </c>
      <c r="O388" s="198" t="n">
        <v>131602.1995740657</v>
      </c>
    </row>
    <row r="389">
      <c r="A389" s="23" t="inlineStr">
        <is>
          <t>YEKINI</t>
        </is>
      </c>
      <c r="B389">
        <f>CONCATENATE(E389,"-",F389,"-",D389)</f>
        <v/>
      </c>
      <c r="C389" s="25">
        <f>CONCATENATE(G389,"-",F389,"-",D389)</f>
        <v/>
      </c>
      <c r="D389" s="23" t="inlineStr">
        <is>
          <t>Local</t>
        </is>
      </c>
      <c r="E389" s="25" t="inlineStr">
        <is>
          <t>Hiabs Logistics</t>
        </is>
      </c>
      <c r="F389" s="74" t="inlineStr">
        <is>
          <t>8T</t>
        </is>
      </c>
      <c r="G389" s="73" t="inlineStr">
        <is>
          <t>JMG</t>
        </is>
      </c>
      <c r="H389" s="74" t="inlineStr">
        <is>
          <t>Lagos</t>
        </is>
      </c>
      <c r="I389" s="202" t="inlineStr">
        <is>
          <t>Ojodu</t>
        </is>
      </c>
      <c r="J389" s="202" t="inlineStr">
        <is>
          <t>Lagos</t>
        </is>
      </c>
      <c r="K389" s="201" t="n">
        <v>14.95</v>
      </c>
      <c r="L389" s="200" t="n">
        <v>29.9</v>
      </c>
      <c r="M389" s="198" t="n">
        <v>75</v>
      </c>
      <c r="N389" s="194" t="n">
        <v>717.5999999999999</v>
      </c>
      <c r="O389" s="198" t="n">
        <v>131602.1995740657</v>
      </c>
    </row>
    <row r="390">
      <c r="A390" s="23" t="inlineStr">
        <is>
          <t>YEKINI</t>
        </is>
      </c>
      <c r="B390">
        <f>CONCATENATE(E390,"-",F390,"-",D390)</f>
        <v/>
      </c>
      <c r="C390" s="25">
        <f>CONCATENATE(G390,"-",F390,"-",D390)</f>
        <v/>
      </c>
      <c r="D390" s="23" t="inlineStr">
        <is>
          <t>Local</t>
        </is>
      </c>
      <c r="E390" s="25" t="inlineStr">
        <is>
          <t>Hiabs Logistics</t>
        </is>
      </c>
      <c r="F390" s="74" t="inlineStr">
        <is>
          <t>8T</t>
        </is>
      </c>
      <c r="G390" s="73" t="inlineStr">
        <is>
          <t>JMG</t>
        </is>
      </c>
      <c r="H390" s="74" t="inlineStr">
        <is>
          <t>Lagos</t>
        </is>
      </c>
      <c r="I390" s="202" t="inlineStr">
        <is>
          <t>Agege</t>
        </is>
      </c>
      <c r="J390" s="202" t="inlineStr">
        <is>
          <t>Lagos</t>
        </is>
      </c>
      <c r="K390" s="201" t="n">
        <v>13.85</v>
      </c>
      <c r="L390" s="200" t="n">
        <v>27.7</v>
      </c>
      <c r="M390" s="198" t="n">
        <v>74</v>
      </c>
      <c r="N390" s="194" t="n">
        <v>664.8</v>
      </c>
      <c r="O390" s="198" t="n">
        <v>131602.1995740657</v>
      </c>
    </row>
    <row r="391">
      <c r="A391" s="23" t="inlineStr">
        <is>
          <t>YEKINI</t>
        </is>
      </c>
      <c r="B391">
        <f>CONCATENATE(E391,"-",F391,"-",D391)</f>
        <v/>
      </c>
      <c r="C391" s="25">
        <f>CONCATENATE(G391,"-",F391,"-",D391)</f>
        <v/>
      </c>
      <c r="D391" s="23" t="inlineStr">
        <is>
          <t>Local</t>
        </is>
      </c>
      <c r="E391" s="25" t="inlineStr">
        <is>
          <t>Hiabs Logistics</t>
        </is>
      </c>
      <c r="F391" s="74" t="inlineStr">
        <is>
          <t>8T</t>
        </is>
      </c>
      <c r="G391" s="73" t="inlineStr">
        <is>
          <t>JMG</t>
        </is>
      </c>
      <c r="H391" s="74" t="inlineStr">
        <is>
          <t>Lagos</t>
        </is>
      </c>
      <c r="I391" s="202" t="inlineStr">
        <is>
          <t>Ijaiye</t>
        </is>
      </c>
      <c r="J391" s="202" t="inlineStr">
        <is>
          <t>Lagos</t>
        </is>
      </c>
      <c r="K391" s="201" t="n">
        <v>14.35</v>
      </c>
      <c r="L391" s="200" t="n">
        <v>28.7</v>
      </c>
      <c r="M391" s="198" t="n">
        <v>74</v>
      </c>
      <c r="N391" s="194" t="n">
        <v>688.8</v>
      </c>
      <c r="O391" s="198" t="n">
        <v>131602.1995740657</v>
      </c>
    </row>
    <row r="392">
      <c r="A392" s="23" t="inlineStr">
        <is>
          <t>YEKINI</t>
        </is>
      </c>
      <c r="B392">
        <f>CONCATENATE(E392,"-",F392,"-",D392)</f>
        <v/>
      </c>
      <c r="C392" s="25">
        <f>CONCATENATE(G392,"-",F392,"-",D392)</f>
        <v/>
      </c>
      <c r="D392" s="23" t="inlineStr">
        <is>
          <t>Local</t>
        </is>
      </c>
      <c r="E392" s="25" t="inlineStr">
        <is>
          <t>Hiabs Logistics</t>
        </is>
      </c>
      <c r="F392" s="74" t="inlineStr">
        <is>
          <t>8T</t>
        </is>
      </c>
      <c r="G392" s="73" t="inlineStr">
        <is>
          <t>JMG</t>
        </is>
      </c>
      <c r="H392" s="74" t="inlineStr">
        <is>
          <t>Lagos</t>
        </is>
      </c>
      <c r="I392" s="202" t="inlineStr">
        <is>
          <t>Ogba</t>
        </is>
      </c>
      <c r="J392" s="202" t="inlineStr">
        <is>
          <t>Lagos</t>
        </is>
      </c>
      <c r="K392" s="201" t="n">
        <v>13.05</v>
      </c>
      <c r="L392" s="200" t="n">
        <v>26.1</v>
      </c>
      <c r="M392" s="198" t="n">
        <v>73</v>
      </c>
      <c r="N392" s="194" t="n">
        <v>626.4000000000001</v>
      </c>
      <c r="O392" s="198" t="n">
        <v>131602.1995740657</v>
      </c>
    </row>
    <row r="393">
      <c r="A393" s="23" t="inlineStr">
        <is>
          <t>YEKINI</t>
        </is>
      </c>
      <c r="B393">
        <f>CONCATENATE(E393,"-",F393,"-",D393)</f>
        <v/>
      </c>
      <c r="C393" s="25">
        <f>CONCATENATE(G393,"-",F393,"-",D393)</f>
        <v/>
      </c>
      <c r="D393" s="23" t="inlineStr">
        <is>
          <t>Local</t>
        </is>
      </c>
      <c r="E393" s="25" t="inlineStr">
        <is>
          <t>Hiabs Logistics</t>
        </is>
      </c>
      <c r="F393" s="74" t="inlineStr">
        <is>
          <t>8T</t>
        </is>
      </c>
      <c r="G393" s="73" t="inlineStr">
        <is>
          <t>JMG</t>
        </is>
      </c>
      <c r="H393" s="74" t="inlineStr">
        <is>
          <t>Lagos</t>
        </is>
      </c>
      <c r="I393" s="202" t="inlineStr">
        <is>
          <t>Ikeja</t>
        </is>
      </c>
      <c r="J393" s="202" t="inlineStr">
        <is>
          <t>Lagos</t>
        </is>
      </c>
      <c r="K393" s="201" t="n">
        <v>13</v>
      </c>
      <c r="L393" s="201" t="n">
        <v>26</v>
      </c>
      <c r="M393" s="198" t="n">
        <v>73</v>
      </c>
      <c r="N393" s="194" t="n">
        <v>624</v>
      </c>
      <c r="O393" s="198" t="n">
        <v>131602.1995740657</v>
      </c>
    </row>
    <row r="394">
      <c r="A394" s="23" t="inlineStr">
        <is>
          <t>YEKINI</t>
        </is>
      </c>
      <c r="B394">
        <f>CONCATENATE(E394,"-",F394,"-",D394)</f>
        <v/>
      </c>
      <c r="C394" s="25">
        <f>CONCATENATE(G394,"-",F394,"-",D394)</f>
        <v/>
      </c>
      <c r="D394" s="23" t="inlineStr">
        <is>
          <t>Local</t>
        </is>
      </c>
      <c r="E394" s="25" t="inlineStr">
        <is>
          <t>Hiabs Logistics</t>
        </is>
      </c>
      <c r="F394" s="74" t="inlineStr">
        <is>
          <t>8T</t>
        </is>
      </c>
      <c r="G394" s="73" t="inlineStr">
        <is>
          <t>JMG</t>
        </is>
      </c>
      <c r="H394" s="74" t="inlineStr">
        <is>
          <t>Lagos</t>
        </is>
      </c>
      <c r="I394" s="122" t="inlineStr">
        <is>
          <t>Ebute Metta</t>
        </is>
      </c>
      <c r="J394" s="122" t="inlineStr">
        <is>
          <t>Lagos</t>
        </is>
      </c>
      <c r="K394" s="201" t="n">
        <v>12.7</v>
      </c>
      <c r="L394" s="201" t="n">
        <v>25.4</v>
      </c>
      <c r="M394" s="198" t="n">
        <v>72</v>
      </c>
      <c r="N394" s="194" t="n">
        <v>609.5999999999999</v>
      </c>
      <c r="O394" s="198" t="n">
        <v>131602.1995740657</v>
      </c>
    </row>
    <row r="395">
      <c r="A395" s="23" t="inlineStr">
        <is>
          <t>YEKINI</t>
        </is>
      </c>
      <c r="B395">
        <f>CONCATENATE(E395,"-",F395,"-",D395)</f>
        <v/>
      </c>
      <c r="C395" s="25">
        <f>CONCATENATE(G395,"-",F395,"-",D395)</f>
        <v/>
      </c>
      <c r="D395" s="23" t="inlineStr">
        <is>
          <t>Local</t>
        </is>
      </c>
      <c r="E395" s="25" t="inlineStr">
        <is>
          <t>Hiabs Logistics</t>
        </is>
      </c>
      <c r="F395" s="74" t="inlineStr">
        <is>
          <t>8T</t>
        </is>
      </c>
      <c r="G395" s="73" t="inlineStr">
        <is>
          <t>JMG</t>
        </is>
      </c>
      <c r="H395" s="74" t="inlineStr">
        <is>
          <t>Lagos</t>
        </is>
      </c>
      <c r="I395" s="202" t="inlineStr">
        <is>
          <t>Surulere</t>
        </is>
      </c>
      <c r="J395" s="202" t="inlineStr">
        <is>
          <t>Lagos</t>
        </is>
      </c>
      <c r="K395" s="201" t="n">
        <v>12.3</v>
      </c>
      <c r="L395" s="200" t="n">
        <v>24.6</v>
      </c>
      <c r="M395" s="198" t="n">
        <v>72</v>
      </c>
      <c r="N395" s="194" t="n">
        <v>590.4000000000001</v>
      </c>
      <c r="O395" s="198" t="n">
        <v>131602.1995740657</v>
      </c>
    </row>
    <row r="396">
      <c r="A396" s="23" t="inlineStr">
        <is>
          <t>YEKINI</t>
        </is>
      </c>
      <c r="B396">
        <f>CONCATENATE(E396,"-",F396,"-",D396)</f>
        <v/>
      </c>
      <c r="C396" s="25">
        <f>CONCATENATE(G396,"-",F396,"-",D396)</f>
        <v/>
      </c>
      <c r="D396" s="23" t="inlineStr">
        <is>
          <t>Local</t>
        </is>
      </c>
      <c r="E396" s="25" t="inlineStr">
        <is>
          <t>Hiabs Logistics</t>
        </is>
      </c>
      <c r="F396" s="74" t="inlineStr">
        <is>
          <t>8T</t>
        </is>
      </c>
      <c r="G396" s="73" t="inlineStr">
        <is>
          <t>JMG</t>
        </is>
      </c>
      <c r="H396" s="74" t="inlineStr">
        <is>
          <t>Lagos</t>
        </is>
      </c>
      <c r="I396" s="202" t="inlineStr">
        <is>
          <t>Isolo</t>
        </is>
      </c>
      <c r="J396" s="202" t="inlineStr">
        <is>
          <t>Lagos</t>
        </is>
      </c>
      <c r="K396" s="201" t="n">
        <v>12.1</v>
      </c>
      <c r="L396" s="200" t="n">
        <v>24.2</v>
      </c>
      <c r="M396" s="198" t="n">
        <v>72</v>
      </c>
      <c r="N396" s="194" t="n">
        <v>580.8</v>
      </c>
      <c r="O396" s="198" t="n">
        <v>131602.1995740657</v>
      </c>
    </row>
    <row r="397">
      <c r="A397" s="23" t="inlineStr">
        <is>
          <t>YEKINI</t>
        </is>
      </c>
      <c r="B397">
        <f>CONCATENATE(E397,"-",F397,"-",D397)</f>
        <v/>
      </c>
      <c r="C397" s="25">
        <f>CONCATENATE(G397,"-",F397,"-",D397)</f>
        <v/>
      </c>
      <c r="D397" s="23" t="inlineStr">
        <is>
          <t>Local</t>
        </is>
      </c>
      <c r="E397" s="25" t="inlineStr">
        <is>
          <t>Hiabs Logistics</t>
        </is>
      </c>
      <c r="F397" s="74" t="inlineStr">
        <is>
          <t>8T</t>
        </is>
      </c>
      <c r="G397" s="73" t="inlineStr">
        <is>
          <t>JMG</t>
        </is>
      </c>
      <c r="H397" s="74" t="inlineStr">
        <is>
          <t>Lagos</t>
        </is>
      </c>
      <c r="I397" s="202" t="inlineStr">
        <is>
          <t>Nigerian Gas</t>
        </is>
      </c>
      <c r="J397" s="202" t="inlineStr">
        <is>
          <t>Lagos</t>
        </is>
      </c>
      <c r="K397" s="201" t="n">
        <v>10.85</v>
      </c>
      <c r="L397" s="201" t="n">
        <v>21.7</v>
      </c>
      <c r="M397" s="198" t="n">
        <v>71</v>
      </c>
      <c r="N397" s="194" t="n">
        <v>520.8</v>
      </c>
      <c r="O397" s="198" t="n">
        <v>131602.1995740657</v>
      </c>
    </row>
    <row r="398">
      <c r="A398" s="23" t="inlineStr">
        <is>
          <t>YEKINI</t>
        </is>
      </c>
      <c r="B398">
        <f>CONCATENATE(E398,"-",F398,"-",D398)</f>
        <v/>
      </c>
      <c r="C398" s="25">
        <f>CONCATENATE(G398,"-",F398,"-",D398)</f>
        <v/>
      </c>
      <c r="D398" s="23" t="inlineStr">
        <is>
          <t>Local</t>
        </is>
      </c>
      <c r="E398" s="25" t="inlineStr">
        <is>
          <t>Hiabs Logistics</t>
        </is>
      </c>
      <c r="F398" s="74" t="inlineStr">
        <is>
          <t>8T</t>
        </is>
      </c>
      <c r="G398" s="73" t="inlineStr">
        <is>
          <t>JMG</t>
        </is>
      </c>
      <c r="H398" s="74" t="inlineStr">
        <is>
          <t>Lagos</t>
        </is>
      </c>
      <c r="I398" s="202" t="inlineStr">
        <is>
          <t>Ikeja Branch</t>
        </is>
      </c>
      <c r="J398" s="202" t="inlineStr">
        <is>
          <t>Lagos</t>
        </is>
      </c>
      <c r="K398" s="201" t="n">
        <v>10.85</v>
      </c>
      <c r="L398" s="201" t="n">
        <v>21.7</v>
      </c>
      <c r="M398" s="198" t="n">
        <v>71</v>
      </c>
      <c r="N398" s="194" t="n">
        <v>520.8</v>
      </c>
      <c r="O398" s="198" t="n">
        <v>131602.1995740657</v>
      </c>
    </row>
    <row r="399">
      <c r="A399" s="23" t="inlineStr">
        <is>
          <t>YEKINI</t>
        </is>
      </c>
      <c r="B399">
        <f>CONCATENATE(E399,"-",F399,"-",D399)</f>
        <v/>
      </c>
      <c r="C399" s="25">
        <f>CONCATENATE(G399,"-",F399,"-",D399)</f>
        <v/>
      </c>
      <c r="D399" s="23" t="inlineStr">
        <is>
          <t>Local</t>
        </is>
      </c>
      <c r="E399" s="25" t="inlineStr">
        <is>
          <t>Hiabs Logistics</t>
        </is>
      </c>
      <c r="F399" s="74" t="inlineStr">
        <is>
          <t>8T</t>
        </is>
      </c>
      <c r="G399" s="73" t="inlineStr">
        <is>
          <t>JMG</t>
        </is>
      </c>
      <c r="H399" s="74" t="inlineStr">
        <is>
          <t>Lagos</t>
        </is>
      </c>
      <c r="I399" s="202" t="inlineStr">
        <is>
          <t>Alapere</t>
        </is>
      </c>
      <c r="J399" s="202" t="inlineStr">
        <is>
          <t>Lagos</t>
        </is>
      </c>
      <c r="K399" s="201" t="n">
        <v>10.3</v>
      </c>
      <c r="L399" s="200" t="n">
        <v>20.6</v>
      </c>
      <c r="M399" s="198" t="n">
        <v>70</v>
      </c>
      <c r="N399" s="194" t="n">
        <v>494.4</v>
      </c>
      <c r="O399" s="198" t="n">
        <v>131602.1995740657</v>
      </c>
    </row>
    <row r="400">
      <c r="A400" s="23" t="inlineStr">
        <is>
          <t>YEKINI</t>
        </is>
      </c>
      <c r="B400">
        <f>CONCATENATE(E400,"-",F400,"-",D400)</f>
        <v/>
      </c>
      <c r="C400" s="25">
        <f>CONCATENATE(G400,"-",F400,"-",D400)</f>
        <v/>
      </c>
      <c r="D400" s="23" t="inlineStr">
        <is>
          <t>Local</t>
        </is>
      </c>
      <c r="E400" s="25" t="inlineStr">
        <is>
          <t>Hiabs Logistics</t>
        </is>
      </c>
      <c r="F400" s="74" t="inlineStr">
        <is>
          <t>8T</t>
        </is>
      </c>
      <c r="G400" s="73" t="inlineStr">
        <is>
          <t>JMG</t>
        </is>
      </c>
      <c r="H400" s="74" t="inlineStr">
        <is>
          <t>Lagos</t>
        </is>
      </c>
      <c r="I400" s="202" t="inlineStr">
        <is>
          <t>Kodesoh</t>
        </is>
      </c>
      <c r="J400" s="202" t="inlineStr">
        <is>
          <t>Lagos</t>
        </is>
      </c>
      <c r="K400" s="201" t="n">
        <v>9.800000000000001</v>
      </c>
      <c r="L400" s="200" t="n">
        <v>19.6</v>
      </c>
      <c r="M400" s="198" t="n">
        <v>69</v>
      </c>
      <c r="N400" s="194" t="n">
        <v>470.4</v>
      </c>
      <c r="O400" s="198" t="n">
        <v>131602.1995740657</v>
      </c>
    </row>
    <row r="401">
      <c r="A401" s="23" t="inlineStr">
        <is>
          <t>YEKINI</t>
        </is>
      </c>
      <c r="B401">
        <f>CONCATENATE(E401,"-",F401,"-",D401)</f>
        <v/>
      </c>
      <c r="C401" s="25">
        <f>CONCATENATE(G401,"-",F401,"-",D401)</f>
        <v/>
      </c>
      <c r="D401" s="23" t="inlineStr">
        <is>
          <t>Local</t>
        </is>
      </c>
      <c r="E401" s="25" t="inlineStr">
        <is>
          <t>Hiabs Logistics</t>
        </is>
      </c>
      <c r="F401" s="74" t="inlineStr">
        <is>
          <t>8T</t>
        </is>
      </c>
      <c r="G401" s="73" t="inlineStr">
        <is>
          <t>JMG</t>
        </is>
      </c>
      <c r="H401" s="74" t="inlineStr">
        <is>
          <t>Lagos</t>
        </is>
      </c>
      <c r="I401" s="202" t="inlineStr">
        <is>
          <t>Yaba</t>
        </is>
      </c>
      <c r="J401" s="202" t="inlineStr">
        <is>
          <t>Lagos</t>
        </is>
      </c>
      <c r="K401" s="201" t="n">
        <v>9.6</v>
      </c>
      <c r="L401" s="200" t="n">
        <v>19.2</v>
      </c>
      <c r="M401" s="198" t="n">
        <v>69</v>
      </c>
      <c r="N401" s="194" t="n">
        <v>460.8</v>
      </c>
      <c r="O401" s="198" t="n">
        <v>131602.1995740657</v>
      </c>
    </row>
    <row r="402">
      <c r="A402" s="23" t="inlineStr">
        <is>
          <t>YEKINI</t>
        </is>
      </c>
      <c r="B402">
        <f>CONCATENATE(E402,"-",F402,"-",D402)</f>
        <v/>
      </c>
      <c r="C402" s="25">
        <f>CONCATENATE(G402,"-",F402,"-",D402)</f>
        <v/>
      </c>
      <c r="D402" s="23" t="inlineStr">
        <is>
          <t>Local</t>
        </is>
      </c>
      <c r="E402" s="25" t="inlineStr">
        <is>
          <t>Hiabs Logistics</t>
        </is>
      </c>
      <c r="F402" s="74" t="inlineStr">
        <is>
          <t>8T</t>
        </is>
      </c>
      <c r="G402" s="73" t="inlineStr">
        <is>
          <t>JMG</t>
        </is>
      </c>
      <c r="H402" s="74" t="inlineStr">
        <is>
          <t>Lagos</t>
        </is>
      </c>
      <c r="I402" s="202" t="inlineStr">
        <is>
          <t>Oshodi</t>
        </is>
      </c>
      <c r="J402" s="202" t="inlineStr">
        <is>
          <t>Lagos</t>
        </is>
      </c>
      <c r="K402" s="201" t="n">
        <v>9.300000000000001</v>
      </c>
      <c r="L402" s="200" t="n">
        <v>18.6</v>
      </c>
      <c r="M402" s="198" t="n">
        <v>69</v>
      </c>
      <c r="N402" s="194" t="n">
        <v>446.4</v>
      </c>
      <c r="O402" s="198" t="n">
        <v>131602.1995740657</v>
      </c>
    </row>
    <row r="403">
      <c r="A403" s="23" t="inlineStr">
        <is>
          <t>YEKINI</t>
        </is>
      </c>
      <c r="B403">
        <f>CONCATENATE(E403,"-",F403,"-",D403)</f>
        <v/>
      </c>
      <c r="C403" s="25">
        <f>CONCATENATE(G403,"-",F403,"-",D403)</f>
        <v/>
      </c>
      <c r="D403" s="23" t="inlineStr">
        <is>
          <t>Local</t>
        </is>
      </c>
      <c r="E403" s="25" t="inlineStr">
        <is>
          <t>Hiabs Logistics</t>
        </is>
      </c>
      <c r="F403" s="74" t="inlineStr">
        <is>
          <t>8T</t>
        </is>
      </c>
      <c r="G403" s="73" t="inlineStr">
        <is>
          <t>JMG</t>
        </is>
      </c>
      <c r="H403" s="74" t="inlineStr">
        <is>
          <t>Lagos</t>
        </is>
      </c>
      <c r="I403" s="202" t="inlineStr">
        <is>
          <t>Matori</t>
        </is>
      </c>
      <c r="J403" s="202" t="inlineStr">
        <is>
          <t>Lagos</t>
        </is>
      </c>
      <c r="K403" s="201" t="n">
        <v>8.15</v>
      </c>
      <c r="L403" s="200" t="n">
        <v>16.3</v>
      </c>
      <c r="M403" s="198" t="n">
        <v>68</v>
      </c>
      <c r="N403" s="194" t="n">
        <v>391.2</v>
      </c>
      <c r="O403" s="198" t="n">
        <v>131602.1995740657</v>
      </c>
    </row>
    <row r="404">
      <c r="A404" s="23" t="inlineStr">
        <is>
          <t>YEKINI</t>
        </is>
      </c>
      <c r="B404">
        <f>CONCATENATE(E404,"-",F404,"-",D404)</f>
        <v/>
      </c>
      <c r="C404" s="25">
        <f>CONCATENATE(G404,"-",F404,"-",D404)</f>
        <v/>
      </c>
      <c r="D404" s="23" t="inlineStr">
        <is>
          <t>Local</t>
        </is>
      </c>
      <c r="E404" s="25" t="inlineStr">
        <is>
          <t>Hiabs Logistics</t>
        </is>
      </c>
      <c r="F404" s="74" t="inlineStr">
        <is>
          <t>8T</t>
        </is>
      </c>
      <c r="G404" s="73" t="inlineStr">
        <is>
          <t>JMG</t>
        </is>
      </c>
      <c r="H404" s="74" t="inlineStr">
        <is>
          <t>Lagos</t>
        </is>
      </c>
      <c r="I404" s="202" t="inlineStr">
        <is>
          <t>Bariga</t>
        </is>
      </c>
      <c r="J404" s="202" t="inlineStr">
        <is>
          <t>Lagos</t>
        </is>
      </c>
      <c r="K404" s="201" t="n">
        <v>5.75</v>
      </c>
      <c r="L404" s="200" t="n">
        <v>11.5</v>
      </c>
      <c r="M404" s="198" t="n">
        <v>65</v>
      </c>
      <c r="N404" s="194" t="n">
        <v>276</v>
      </c>
      <c r="O404" s="198" t="n">
        <v>131602.1995740657</v>
      </c>
    </row>
    <row r="405">
      <c r="A405" t="inlineStr">
        <is>
          <t>AFEEZ AJIBADE/Ebenezer</t>
        </is>
      </c>
      <c r="B405">
        <f>CONCATENATE(,"-",F405,"-",D405)</f>
        <v/>
      </c>
      <c r="C405" s="25">
        <f>CONCATENATE(G405,"-",F405,"-",D405)</f>
        <v/>
      </c>
      <c r="D405" s="25" t="inlineStr">
        <is>
          <t>JUMBO</t>
        </is>
      </c>
      <c r="E405" s="25" t="inlineStr">
        <is>
          <t>NBL-DSL</t>
        </is>
      </c>
      <c r="F405" s="63" t="inlineStr">
        <is>
          <t>45T</t>
        </is>
      </c>
      <c r="G405" s="204" t="inlineStr">
        <is>
          <t>JAT</t>
        </is>
      </c>
      <c r="H405" s="205" t="inlineStr">
        <is>
          <t>Ibadan</t>
        </is>
      </c>
      <c r="I405" s="205" t="inlineStr">
        <is>
          <t>Kano</t>
        </is>
      </c>
      <c r="J405" s="205" t="inlineStr">
        <is>
          <t>Kano</t>
        </is>
      </c>
      <c r="K405" s="206" t="n">
        <v>952</v>
      </c>
      <c r="L405" s="207">
        <f>K405*2</f>
        <v/>
      </c>
      <c r="M405" s="208">
        <f>ROUNDDOWN(L405*0.7,)</f>
        <v/>
      </c>
      <c r="N405" s="194" t="n">
        <v>45696</v>
      </c>
      <c r="O405" s="208" t="n">
        <v>3329729.72972973</v>
      </c>
    </row>
    <row r="406">
      <c r="A406" t="inlineStr">
        <is>
          <t>AFEEZ AJIBADE/Ebenezer</t>
        </is>
      </c>
      <c r="B406">
        <f>CONCATENATE(E406,"-",F406,"-",D406)</f>
        <v/>
      </c>
      <c r="C406" s="25">
        <f>CONCATENATE(G406,"-",F406,"-",D406)</f>
        <v/>
      </c>
      <c r="D406" s="25" t="inlineStr">
        <is>
          <t>JUMBO</t>
        </is>
      </c>
      <c r="E406" s="25" t="inlineStr">
        <is>
          <t>NBL-DSL</t>
        </is>
      </c>
      <c r="F406" s="79" t="inlineStr">
        <is>
          <t>45T</t>
        </is>
      </c>
      <c r="G406" s="209" t="inlineStr">
        <is>
          <t>ABBA SALEH</t>
        </is>
      </c>
      <c r="H406" s="210" t="inlineStr">
        <is>
          <t>Keffi</t>
        </is>
      </c>
      <c r="I406" s="210" t="inlineStr">
        <is>
          <t>Ogere</t>
        </is>
      </c>
      <c r="J406" s="210" t="inlineStr">
        <is>
          <t>Ogun</t>
        </is>
      </c>
      <c r="K406" s="211">
        <f>745/2</f>
        <v/>
      </c>
      <c r="L406" s="212">
        <f>K406*2</f>
        <v/>
      </c>
      <c r="M406" s="208">
        <f>ROUNDDOWN(L406*0.7,)</f>
        <v/>
      </c>
      <c r="N406" s="194" t="n">
        <v>17880</v>
      </c>
      <c r="O406" s="213" t="n">
        <v>1650000</v>
      </c>
    </row>
    <row r="407">
      <c r="A407" t="inlineStr">
        <is>
          <t>AFEEZ AJIBADE/Ebenezer</t>
        </is>
      </c>
      <c r="B407">
        <f>CONCATENATE(E407,"-",F407,"-",D407)</f>
        <v/>
      </c>
      <c r="C407" s="25">
        <f>CONCATENATE(G407,"-",F407,"-",D407)</f>
        <v/>
      </c>
      <c r="D407" s="25" t="inlineStr">
        <is>
          <t>JUMBO</t>
        </is>
      </c>
      <c r="E407" s="25" t="inlineStr">
        <is>
          <t>NBL-DSL</t>
        </is>
      </c>
      <c r="F407" s="79" t="inlineStr">
        <is>
          <t>30T</t>
        </is>
      </c>
      <c r="G407" s="209" t="inlineStr">
        <is>
          <t>ABBA SALEH</t>
        </is>
      </c>
      <c r="H407" s="210" t="inlineStr">
        <is>
          <t>Keffi</t>
        </is>
      </c>
      <c r="I407" s="210" t="inlineStr">
        <is>
          <t>Ogere</t>
        </is>
      </c>
      <c r="J407" s="210" t="inlineStr">
        <is>
          <t>Ogun</t>
        </is>
      </c>
      <c r="K407" s="211">
        <f>745/2</f>
        <v/>
      </c>
      <c r="L407" s="212">
        <f>K407*2</f>
        <v/>
      </c>
      <c r="M407" s="208">
        <f>ROUNDDOWN(L407*0.7,)</f>
        <v/>
      </c>
      <c r="N407" s="194" t="n">
        <v>17880</v>
      </c>
      <c r="O407" s="213" t="n">
        <v>1100000</v>
      </c>
    </row>
    <row r="408">
      <c r="A408" t="inlineStr">
        <is>
          <t>AFEEZ AJIBADE/Ebenezer</t>
        </is>
      </c>
      <c r="B408">
        <f>CONCATENATE(E408,"-",F408,"-",D408)</f>
        <v/>
      </c>
      <c r="C408" s="25">
        <f>CONCATENATE(G408,"-",F408,"-",D408)</f>
        <v/>
      </c>
      <c r="D408" s="25" t="inlineStr">
        <is>
          <t>JUMBO</t>
        </is>
      </c>
      <c r="E408" s="25" t="inlineStr">
        <is>
          <t>NBL-DSL</t>
        </is>
      </c>
      <c r="F408" s="63" t="inlineStr">
        <is>
          <t>45T</t>
        </is>
      </c>
      <c r="G408" s="204" t="inlineStr">
        <is>
          <t>JAT</t>
        </is>
      </c>
      <c r="H408" s="205" t="inlineStr">
        <is>
          <t>Ibadan</t>
        </is>
      </c>
      <c r="I408" s="204" t="inlineStr">
        <is>
          <t>Abuja</t>
        </is>
      </c>
      <c r="J408" s="204" t="inlineStr">
        <is>
          <t>FCT</t>
        </is>
      </c>
      <c r="K408" s="214" t="n">
        <v>650</v>
      </c>
      <c r="L408" s="215">
        <f>K408*2</f>
        <v/>
      </c>
      <c r="M408" s="208">
        <f>ROUNDDOWN(L408*0.7,)</f>
        <v/>
      </c>
      <c r="N408" s="194" t="n">
        <v>31200</v>
      </c>
      <c r="O408" s="208" t="n">
        <v>2724324.324324324</v>
      </c>
    </row>
    <row r="409">
      <c r="A409" t="inlineStr">
        <is>
          <t>AFEEZ AJIBADE/Ebenezer</t>
        </is>
      </c>
      <c r="B409">
        <f>CONCATENATE(E409,"-",F409,"-",D409)</f>
        <v/>
      </c>
      <c r="C409" s="25">
        <f>CONCATENATE(G409,"-",F409,"-",D409)</f>
        <v/>
      </c>
      <c r="D409" s="25" t="inlineStr">
        <is>
          <t>JUMBO</t>
        </is>
      </c>
      <c r="E409" s="25" t="inlineStr">
        <is>
          <t>NBL-DSL</t>
        </is>
      </c>
      <c r="F409" s="63" t="inlineStr">
        <is>
          <t>45T</t>
        </is>
      </c>
      <c r="G409" s="204" t="inlineStr">
        <is>
          <t>JAT</t>
        </is>
      </c>
      <c r="H409" s="205" t="inlineStr">
        <is>
          <t>Ibadan</t>
        </is>
      </c>
      <c r="I409" s="204" t="inlineStr">
        <is>
          <t>Suleja</t>
        </is>
      </c>
      <c r="J409" s="204" t="inlineStr">
        <is>
          <t>Niger</t>
        </is>
      </c>
      <c r="K409" s="214" t="n">
        <v>650</v>
      </c>
      <c r="L409" s="215">
        <f>K409*2</f>
        <v/>
      </c>
      <c r="M409" s="208">
        <f>ROUNDDOWN(L409*0.7,)</f>
        <v/>
      </c>
      <c r="N409" s="194" t="n">
        <v>31200</v>
      </c>
      <c r="O409" s="208" t="n">
        <v>2648648.648648649</v>
      </c>
    </row>
    <row r="410">
      <c r="A410" t="inlineStr">
        <is>
          <t>AFEEZ AJIBADE/Ebenezer</t>
        </is>
      </c>
      <c r="B410">
        <f>CONCATENATE(E410,"-",F410,"-",D410)</f>
        <v/>
      </c>
      <c r="C410" s="25">
        <f>CONCATENATE(G410,"-",F410,"-",D410)</f>
        <v/>
      </c>
      <c r="D410" s="25" t="inlineStr">
        <is>
          <t>JUMBO</t>
        </is>
      </c>
      <c r="E410" s="25" t="inlineStr">
        <is>
          <t>NBL-DSL</t>
        </is>
      </c>
      <c r="F410" s="63" t="inlineStr">
        <is>
          <t>45T</t>
        </is>
      </c>
      <c r="G410" s="204" t="inlineStr">
        <is>
          <t>JAT</t>
        </is>
      </c>
      <c r="H410" s="205" t="inlineStr">
        <is>
          <t>Ibadan</t>
        </is>
      </c>
      <c r="I410" s="204" t="inlineStr">
        <is>
          <t>Sokoto</t>
        </is>
      </c>
      <c r="J410" s="204" t="inlineStr">
        <is>
          <t>Sokoto</t>
        </is>
      </c>
      <c r="K410" s="214" t="n">
        <v>863.5</v>
      </c>
      <c r="L410" s="215">
        <f>K410*2</f>
        <v/>
      </c>
      <c r="M410" s="208">
        <f>ROUNDDOWN(L410*0.7,)</f>
        <v/>
      </c>
      <c r="N410" s="194" t="n">
        <v>41448</v>
      </c>
      <c r="O410" s="208" t="n">
        <v>3935135.135135135</v>
      </c>
    </row>
    <row r="411">
      <c r="A411" t="inlineStr">
        <is>
          <t>AFEEZ AJIBADE/Ebenezer</t>
        </is>
      </c>
      <c r="B411">
        <f>CONCATENATE(E411,"-",F411,"-",D411)</f>
        <v/>
      </c>
      <c r="C411" s="25">
        <f>CONCATENATE(G411,"-",F411,"-",D411)</f>
        <v/>
      </c>
      <c r="D411" s="25" t="inlineStr">
        <is>
          <t>JUMBO</t>
        </is>
      </c>
      <c r="E411" s="25" t="inlineStr">
        <is>
          <t>NBL-DSL</t>
        </is>
      </c>
      <c r="F411" s="63" t="inlineStr">
        <is>
          <t>45T</t>
        </is>
      </c>
      <c r="G411" s="204" t="inlineStr">
        <is>
          <t>JAT</t>
        </is>
      </c>
      <c r="H411" s="205" t="inlineStr">
        <is>
          <t>Ibadan</t>
        </is>
      </c>
      <c r="I411" s="204" t="inlineStr">
        <is>
          <t>Wukari</t>
        </is>
      </c>
      <c r="J411" s="204" t="inlineStr">
        <is>
          <t>Taraba</t>
        </is>
      </c>
      <c r="K411" s="214" t="n">
        <v>910</v>
      </c>
      <c r="L411" s="215">
        <f>K411*2</f>
        <v/>
      </c>
      <c r="M411" s="208">
        <f>ROUNDDOWN(L411*0.7,)</f>
        <v/>
      </c>
      <c r="N411" s="194" t="n">
        <v>43680</v>
      </c>
      <c r="O411" s="208" t="n">
        <v>4540540.540540541</v>
      </c>
    </row>
    <row r="412">
      <c r="A412" t="inlineStr">
        <is>
          <t>AFEEZ AJIBADE/Ebenezer</t>
        </is>
      </c>
      <c r="B412">
        <f>CONCATENATE(E412,"-",F412,"-",D412)</f>
        <v/>
      </c>
      <c r="C412" s="25">
        <f>CONCATENATE(G412,"-",F412,"-",D412)</f>
        <v/>
      </c>
      <c r="D412" s="25" t="inlineStr">
        <is>
          <t>JUMBO</t>
        </is>
      </c>
      <c r="E412" s="25" t="inlineStr">
        <is>
          <t>NBL-DSL</t>
        </is>
      </c>
      <c r="F412" s="63" t="inlineStr">
        <is>
          <t>45T</t>
        </is>
      </c>
      <c r="G412" s="204" t="inlineStr">
        <is>
          <t>JAT</t>
        </is>
      </c>
      <c r="H412" s="205" t="inlineStr">
        <is>
          <t>Ibadan</t>
        </is>
      </c>
      <c r="I412" s="204" t="inlineStr">
        <is>
          <t>Jalingo</t>
        </is>
      </c>
      <c r="J412" s="204" t="inlineStr">
        <is>
          <t>Taraba</t>
        </is>
      </c>
      <c r="K412" s="214" t="n">
        <v>1350</v>
      </c>
      <c r="L412" s="215">
        <f>K412*2</f>
        <v/>
      </c>
      <c r="M412" s="208">
        <f>ROUNDDOWN(L412*0.7,)</f>
        <v/>
      </c>
      <c r="N412" s="194" t="n">
        <v>64800</v>
      </c>
      <c r="O412" s="208" t="n">
        <v>4540540.540540541</v>
      </c>
    </row>
    <row r="413">
      <c r="A413" t="inlineStr">
        <is>
          <t>AFEEZ AJIBADE/Ebenezer</t>
        </is>
      </c>
      <c r="B413">
        <f>CONCATENATE(E413,"-",F413,"-",D413)</f>
        <v/>
      </c>
      <c r="C413" s="25">
        <f>CONCATENATE(G413,"-",F413,"-",D413)</f>
        <v/>
      </c>
      <c r="D413" s="25" t="inlineStr">
        <is>
          <t>JUMBO</t>
        </is>
      </c>
      <c r="E413" s="25" t="inlineStr">
        <is>
          <t>NBL-DSL</t>
        </is>
      </c>
      <c r="F413" s="63" t="inlineStr">
        <is>
          <t>45T</t>
        </is>
      </c>
      <c r="G413" s="204" t="inlineStr">
        <is>
          <t>JAT</t>
        </is>
      </c>
      <c r="H413" s="205" t="inlineStr">
        <is>
          <t>Ibadan</t>
        </is>
      </c>
      <c r="I413" s="204" t="inlineStr">
        <is>
          <t>Kontagora</t>
        </is>
      </c>
      <c r="J413" s="204" t="inlineStr">
        <is>
          <t>Niger</t>
        </is>
      </c>
      <c r="K413" s="214" t="n">
        <v>470</v>
      </c>
      <c r="L413" s="215">
        <f>K413*2</f>
        <v/>
      </c>
      <c r="M413" s="208">
        <f>ROUNDDOWN(L413*0.7,)</f>
        <v/>
      </c>
      <c r="N413" s="194" t="n">
        <v>22560</v>
      </c>
      <c r="O413" s="208" t="n">
        <v>2724324.324324324</v>
      </c>
    </row>
    <row r="414">
      <c r="A414" t="inlineStr">
        <is>
          <t>AFEEZ AJIBADE/Ebenezer</t>
        </is>
      </c>
      <c r="B414">
        <f>CONCATENATE(E414,"-",F414,"-",D414)</f>
        <v/>
      </c>
      <c r="C414" s="25">
        <f>CONCATENATE(G414,"-",F414,"-",D414)</f>
        <v/>
      </c>
      <c r="D414" s="25" t="inlineStr">
        <is>
          <t>JUMBO</t>
        </is>
      </c>
      <c r="E414" s="25" t="inlineStr">
        <is>
          <t>NBL-DSL</t>
        </is>
      </c>
      <c r="F414" s="63" t="inlineStr">
        <is>
          <t>45T</t>
        </is>
      </c>
      <c r="G414" s="204" t="inlineStr">
        <is>
          <t>JAT</t>
        </is>
      </c>
      <c r="H414" s="205" t="inlineStr">
        <is>
          <t>Ibadan</t>
        </is>
      </c>
      <c r="I414" s="204" t="inlineStr">
        <is>
          <t>Gombe</t>
        </is>
      </c>
      <c r="J414" s="204" t="inlineStr">
        <is>
          <t>Gombe</t>
        </is>
      </c>
      <c r="K414" s="214" t="n">
        <v>1110.5</v>
      </c>
      <c r="L414" s="215">
        <f>K414*2</f>
        <v/>
      </c>
      <c r="M414" s="208">
        <f>ROUNDDOWN(L414*0.7,)</f>
        <v/>
      </c>
      <c r="N414" s="194" t="n">
        <v>53304</v>
      </c>
      <c r="O414" s="208" t="n">
        <v>4273000</v>
      </c>
    </row>
    <row r="415">
      <c r="A415" t="inlineStr">
        <is>
          <t>AFEEZ AJIBADE/Ebenezer</t>
        </is>
      </c>
      <c r="B415">
        <f>CONCATENATE(E415,"-",F415,"-",D415)</f>
        <v/>
      </c>
      <c r="C415" s="25">
        <f>CONCATENATE(G415,"-",F415,"-",D415)</f>
        <v/>
      </c>
      <c r="D415" s="25" t="inlineStr">
        <is>
          <t>JUMBO</t>
        </is>
      </c>
      <c r="E415" s="25" t="inlineStr">
        <is>
          <t>NBL-DSL</t>
        </is>
      </c>
      <c r="F415" s="63" t="inlineStr">
        <is>
          <t>45T</t>
        </is>
      </c>
      <c r="G415" s="204" t="inlineStr">
        <is>
          <t>JAT</t>
        </is>
      </c>
      <c r="H415" s="205" t="inlineStr">
        <is>
          <t>Ibadan</t>
        </is>
      </c>
      <c r="I415" s="204" t="inlineStr">
        <is>
          <t>Minna</t>
        </is>
      </c>
      <c r="J415" s="204" t="inlineStr">
        <is>
          <t>Niger</t>
        </is>
      </c>
      <c r="K415" s="214" t="n">
        <v>499</v>
      </c>
      <c r="L415" s="215">
        <f>K415*2</f>
        <v/>
      </c>
      <c r="M415" s="208">
        <f>ROUNDDOWN(L415*0.7,)</f>
        <v/>
      </c>
      <c r="N415" s="194" t="n">
        <v>23952</v>
      </c>
      <c r="O415" s="208" t="n">
        <v>2875676</v>
      </c>
    </row>
    <row r="416">
      <c r="A416" t="inlineStr">
        <is>
          <t>AFEEZ AJIBADE/Ebenezer</t>
        </is>
      </c>
      <c r="B416">
        <f>CONCATENATE(E416,"-",F416,"-",D416)</f>
        <v/>
      </c>
      <c r="C416" s="25">
        <f>CONCATENATE(G416,"-",F416,"-",D416)</f>
        <v/>
      </c>
      <c r="D416" s="25" t="inlineStr">
        <is>
          <t>JUMBO</t>
        </is>
      </c>
      <c r="E416" s="25" t="inlineStr">
        <is>
          <t>NBL-DSL</t>
        </is>
      </c>
      <c r="F416" s="63" t="inlineStr">
        <is>
          <t>45T</t>
        </is>
      </c>
      <c r="G416" s="204" t="inlineStr">
        <is>
          <t>JAT</t>
        </is>
      </c>
      <c r="H416" s="205" t="inlineStr">
        <is>
          <t>Ibadan</t>
        </is>
      </c>
      <c r="I416" s="204" t="inlineStr">
        <is>
          <t>Zaria</t>
        </is>
      </c>
      <c r="J416" s="204" t="inlineStr">
        <is>
          <t>Kaduna</t>
        </is>
      </c>
      <c r="K416" s="214" t="n">
        <v>797.5</v>
      </c>
      <c r="L416" s="215">
        <f>K416*2</f>
        <v/>
      </c>
      <c r="M416" s="208">
        <f>ROUNDDOWN(L416*0.7,)</f>
        <v/>
      </c>
      <c r="N416" s="194" t="n">
        <v>38280</v>
      </c>
      <c r="O416" s="208" t="n">
        <v>3178378.378378379</v>
      </c>
    </row>
    <row r="417">
      <c r="A417" t="inlineStr">
        <is>
          <t>AFEEZ AJIBADE/Ebenezer</t>
        </is>
      </c>
      <c r="B417">
        <f>CONCATENATE(E417,"-",F417,"-",D417)</f>
        <v/>
      </c>
      <c r="C417" s="25">
        <f>CONCATENATE(G417,"-",F417,"-",D417)</f>
        <v/>
      </c>
      <c r="D417" s="25" t="inlineStr">
        <is>
          <t>JUMBO</t>
        </is>
      </c>
      <c r="E417" s="25" t="inlineStr">
        <is>
          <t>NBL-DSL</t>
        </is>
      </c>
      <c r="F417" s="63" t="inlineStr">
        <is>
          <t>45T</t>
        </is>
      </c>
      <c r="G417" s="204" t="inlineStr">
        <is>
          <t>JAT</t>
        </is>
      </c>
      <c r="H417" s="205" t="inlineStr">
        <is>
          <t>Ibadan</t>
        </is>
      </c>
      <c r="I417" s="216" t="inlineStr">
        <is>
          <t>Funtua</t>
        </is>
      </c>
      <c r="J417" s="216" t="inlineStr">
        <is>
          <t>Katsina</t>
        </is>
      </c>
      <c r="K417" s="214" t="n">
        <v>681.5</v>
      </c>
      <c r="L417" s="215">
        <f>K417*2</f>
        <v/>
      </c>
      <c r="M417" s="208">
        <f>ROUNDDOWN(L417*0.7,)</f>
        <v/>
      </c>
      <c r="N417" s="194" t="n">
        <v>32712</v>
      </c>
      <c r="O417" s="208" t="n">
        <v>3254054.054054054</v>
      </c>
    </row>
    <row r="418">
      <c r="A418" t="inlineStr">
        <is>
          <t>AFEEZ AJIBADE/Ebenezer</t>
        </is>
      </c>
      <c r="B418">
        <f>CONCATENATE(E418,"-",F418,"-",D418)</f>
        <v/>
      </c>
      <c r="C418" s="25">
        <f>CONCATENATE(G418,"-",F418,"-",D418)</f>
        <v/>
      </c>
      <c r="D418" s="25" t="inlineStr">
        <is>
          <t>JUMBO</t>
        </is>
      </c>
      <c r="E418" s="25" t="inlineStr">
        <is>
          <t>NBL-DSL</t>
        </is>
      </c>
      <c r="F418" s="63" t="inlineStr">
        <is>
          <t>45T</t>
        </is>
      </c>
      <c r="G418" s="204" t="inlineStr">
        <is>
          <t>JAT</t>
        </is>
      </c>
      <c r="H418" s="205" t="inlineStr">
        <is>
          <t>Ibadan</t>
        </is>
      </c>
      <c r="I418" s="204" t="inlineStr">
        <is>
          <t>Bauchi</t>
        </is>
      </c>
      <c r="J418" s="204" t="inlineStr">
        <is>
          <t>Bauchi</t>
        </is>
      </c>
      <c r="K418" s="214" t="n">
        <v>955.5</v>
      </c>
      <c r="L418" s="215">
        <f>K418*2</f>
        <v/>
      </c>
      <c r="M418" s="208">
        <f>ROUNDDOWN(L418*0.7,)</f>
        <v/>
      </c>
      <c r="N418" s="194" t="n">
        <v>45864</v>
      </c>
      <c r="O418" s="208" t="n">
        <v>3783783.783783784</v>
      </c>
    </row>
    <row r="419">
      <c r="A419" t="inlineStr">
        <is>
          <t>AFEEZ AJIBADE/Ebenezer</t>
        </is>
      </c>
      <c r="B419">
        <f>CONCATENATE(E419,"-",F419,"-",D419)</f>
        <v/>
      </c>
      <c r="C419" s="25">
        <f>CONCATENATE(G419,"-",F419,"-",D419)</f>
        <v/>
      </c>
      <c r="D419" s="25" t="inlineStr">
        <is>
          <t>JUMBO</t>
        </is>
      </c>
      <c r="E419" s="25" t="inlineStr">
        <is>
          <t>NBL-DSL</t>
        </is>
      </c>
      <c r="F419" s="63" t="inlineStr">
        <is>
          <t>45T</t>
        </is>
      </c>
      <c r="G419" s="204" t="inlineStr">
        <is>
          <t>JAT</t>
        </is>
      </c>
      <c r="H419" s="205" t="inlineStr">
        <is>
          <t>Ibadan</t>
        </is>
      </c>
      <c r="I419" s="204" t="inlineStr">
        <is>
          <t>Yola</t>
        </is>
      </c>
      <c r="J419" s="204" t="inlineStr">
        <is>
          <t>Adamawa</t>
        </is>
      </c>
      <c r="K419" s="214" t="n">
        <v>1450</v>
      </c>
      <c r="L419" s="215">
        <f>K419*2</f>
        <v/>
      </c>
      <c r="M419" s="208">
        <f>ROUNDDOWN(L419*0.7,)</f>
        <v/>
      </c>
      <c r="N419" s="194" t="n">
        <v>69600</v>
      </c>
      <c r="O419" s="208">
        <f>#REF!</f>
        <v/>
      </c>
    </row>
    <row r="420">
      <c r="A420" t="inlineStr">
        <is>
          <t>AFEEZ AJIBADE/Ebenezer</t>
        </is>
      </c>
      <c r="B420">
        <f>CONCATENATE(E420,"-",F420,"-",D420)</f>
        <v/>
      </c>
      <c r="C420" s="25">
        <f>CONCATENATE(G420,"-",F420,"-",D420)</f>
        <v/>
      </c>
      <c r="D420" s="25" t="inlineStr">
        <is>
          <t>JUMBO</t>
        </is>
      </c>
      <c r="E420" s="25" t="inlineStr">
        <is>
          <t>NBL-DSL</t>
        </is>
      </c>
      <c r="F420" s="63" t="inlineStr">
        <is>
          <t>45T</t>
        </is>
      </c>
      <c r="G420" s="204" t="inlineStr">
        <is>
          <t>JAT</t>
        </is>
      </c>
      <c r="H420" s="205" t="inlineStr">
        <is>
          <t>Ibadan</t>
        </is>
      </c>
      <c r="I420" s="204" t="inlineStr">
        <is>
          <t>Kaduna</t>
        </is>
      </c>
      <c r="J420" s="204" t="inlineStr">
        <is>
          <t>Kaduna</t>
        </is>
      </c>
      <c r="K420" s="214" t="n">
        <v>719</v>
      </c>
      <c r="L420" s="215">
        <f>K420*2</f>
        <v/>
      </c>
      <c r="M420" s="208">
        <f>ROUNDDOWN(L420*0.7,)</f>
        <v/>
      </c>
      <c r="N420" s="194" t="n">
        <v>34512</v>
      </c>
      <c r="O420" s="208" t="n">
        <v>3178378.378378379</v>
      </c>
    </row>
    <row r="421">
      <c r="A421" t="inlineStr">
        <is>
          <t>AFEEZ AJIBADE/Ebenezer</t>
        </is>
      </c>
      <c r="B421">
        <f>CONCATENATE(E421,"-",F421,"-",D421)</f>
        <v/>
      </c>
      <c r="C421" s="25">
        <f>CONCATENATE(G421,"-",F421,"-",D421)</f>
        <v/>
      </c>
      <c r="D421" s="25" t="inlineStr">
        <is>
          <t>JUMBO</t>
        </is>
      </c>
      <c r="E421" s="25" t="inlineStr">
        <is>
          <t>NBL-DSL</t>
        </is>
      </c>
      <c r="F421" s="63" t="inlineStr">
        <is>
          <t>45T</t>
        </is>
      </c>
      <c r="G421" s="204" t="inlineStr">
        <is>
          <t>JAT</t>
        </is>
      </c>
      <c r="H421" s="205" t="inlineStr">
        <is>
          <t>Ibadan</t>
        </is>
      </c>
      <c r="I421" s="204" t="inlineStr">
        <is>
          <t>Jos</t>
        </is>
      </c>
      <c r="J421" s="204" t="inlineStr">
        <is>
          <t>Plateau</t>
        </is>
      </c>
      <c r="K421" s="214" t="n">
        <v>829</v>
      </c>
      <c r="L421" s="215">
        <f>K421*2</f>
        <v/>
      </c>
      <c r="M421" s="208">
        <f>ROUNDDOWN(L421*0.7,)</f>
        <v/>
      </c>
      <c r="N421" s="194" t="n">
        <v>39792</v>
      </c>
      <c r="O421" s="208" t="n">
        <v>3632432.432432432</v>
      </c>
    </row>
    <row r="422">
      <c r="A422" t="inlineStr">
        <is>
          <t>AFEEZ AJIBADE/Ebenezer</t>
        </is>
      </c>
      <c r="B422">
        <f>CONCATENATE(E422,"-",F422,"-",D422)</f>
        <v/>
      </c>
      <c r="C422" s="25">
        <f>CONCATENATE(G422,"-",F422,"-",D422)</f>
        <v/>
      </c>
      <c r="D422" s="25" t="inlineStr">
        <is>
          <t>JUMBO</t>
        </is>
      </c>
      <c r="E422" s="25" t="inlineStr">
        <is>
          <t>NBL-DSL</t>
        </is>
      </c>
      <c r="F422" s="63" t="inlineStr">
        <is>
          <t>45T</t>
        </is>
      </c>
      <c r="G422" s="204" t="inlineStr">
        <is>
          <t>JAT</t>
        </is>
      </c>
      <c r="H422" s="205" t="inlineStr">
        <is>
          <t>Ibadan</t>
        </is>
      </c>
      <c r="I422" s="204" t="inlineStr">
        <is>
          <t>Saminaka</t>
        </is>
      </c>
      <c r="J422" s="204" t="inlineStr">
        <is>
          <t>Kaduna</t>
        </is>
      </c>
      <c r="K422" s="214" t="n">
        <v>950</v>
      </c>
      <c r="L422" s="215">
        <f>K422*2</f>
        <v/>
      </c>
      <c r="M422" s="208">
        <f>ROUNDDOWN(L422*0.7,)</f>
        <v/>
      </c>
      <c r="N422" s="194" t="n">
        <v>45600</v>
      </c>
      <c r="O422" s="208" t="n">
        <v>3178378.378378379</v>
      </c>
    </row>
    <row r="423">
      <c r="A423" t="inlineStr">
        <is>
          <t>AFEEZ AJIBADE/Ebenezer</t>
        </is>
      </c>
      <c r="B423">
        <f>CONCATENATE(E423,"-",F423,"-",D423)</f>
        <v/>
      </c>
      <c r="C423" s="25">
        <f>CONCATENATE(G423,"-",F423,"-",D423)</f>
        <v/>
      </c>
      <c r="D423" s="25" t="inlineStr">
        <is>
          <t>JUMBO</t>
        </is>
      </c>
      <c r="E423" s="25" t="inlineStr">
        <is>
          <t>NBL-DSL</t>
        </is>
      </c>
      <c r="F423" s="63" t="inlineStr">
        <is>
          <t>45T</t>
        </is>
      </c>
      <c r="G423" s="204" t="inlineStr">
        <is>
          <t>JAT</t>
        </is>
      </c>
      <c r="H423" s="205" t="inlineStr">
        <is>
          <t>Ibadan</t>
        </is>
      </c>
      <c r="I423" s="204" t="inlineStr">
        <is>
          <t>Makurdi</t>
        </is>
      </c>
      <c r="J423" s="204" t="inlineStr">
        <is>
          <t>Benue</t>
        </is>
      </c>
      <c r="K423" s="214" t="n">
        <v>624.5</v>
      </c>
      <c r="L423" s="215">
        <f>K423*2</f>
        <v/>
      </c>
      <c r="M423" s="208">
        <f>ROUNDDOWN(L423*0.7,)</f>
        <v/>
      </c>
      <c r="N423" s="194" t="n">
        <v>29976</v>
      </c>
      <c r="O423" s="208" t="n">
        <v>3632432.432432432</v>
      </c>
    </row>
    <row r="424">
      <c r="A424" t="inlineStr">
        <is>
          <t>AFEEZ AJIBADE/Ebenezer</t>
        </is>
      </c>
      <c r="B424">
        <f>CONCATENATE(E424,"-",F424,"-",D424)</f>
        <v/>
      </c>
      <c r="C424" s="25">
        <f>CONCATENATE(G424,"-",F424,"-",D424)</f>
        <v/>
      </c>
      <c r="D424" s="25" t="inlineStr">
        <is>
          <t>JUMBO</t>
        </is>
      </c>
      <c r="E424" s="25" t="inlineStr">
        <is>
          <t>NBL-DSL</t>
        </is>
      </c>
      <c r="F424" s="63" t="inlineStr">
        <is>
          <t>45T</t>
        </is>
      </c>
      <c r="G424" s="204" t="inlineStr">
        <is>
          <t>JAT</t>
        </is>
      </c>
      <c r="H424" s="205" t="inlineStr">
        <is>
          <t>Ibadan</t>
        </is>
      </c>
      <c r="I424" s="204" t="inlineStr">
        <is>
          <t>Lafia</t>
        </is>
      </c>
      <c r="J424" s="204" t="inlineStr">
        <is>
          <t>Nasarawa</t>
        </is>
      </c>
      <c r="K424" s="214" t="n">
        <v>850</v>
      </c>
      <c r="L424" s="215">
        <f>K424*2</f>
        <v/>
      </c>
      <c r="M424" s="208">
        <f>ROUNDDOWN(L424*0.7,)</f>
        <v/>
      </c>
      <c r="N424" s="194" t="n">
        <v>40800</v>
      </c>
      <c r="O424" s="213" t="n">
        <v>3329729.72972973</v>
      </c>
    </row>
    <row r="425">
      <c r="A425" t="inlineStr">
        <is>
          <t>AFEEZ AJIBADE/Ebenezer</t>
        </is>
      </c>
      <c r="B425">
        <f>CONCATENATE(E425,"-",F425,"-",D425)</f>
        <v/>
      </c>
      <c r="C425" s="25">
        <f>CONCATENATE(G425,"-",F425,"-",D425)</f>
        <v/>
      </c>
      <c r="D425" s="25" t="inlineStr">
        <is>
          <t>JUMBO</t>
        </is>
      </c>
      <c r="E425" s="25" t="inlineStr">
        <is>
          <t>NBL-DSL</t>
        </is>
      </c>
      <c r="F425" s="63" t="inlineStr">
        <is>
          <t>45T</t>
        </is>
      </c>
      <c r="G425" s="204" t="inlineStr">
        <is>
          <t>JAT</t>
        </is>
      </c>
      <c r="H425" s="205" t="inlineStr">
        <is>
          <t>Ibadan</t>
        </is>
      </c>
      <c r="I425" s="204" t="inlineStr">
        <is>
          <t>Keffi</t>
        </is>
      </c>
      <c r="J425" s="204" t="inlineStr">
        <is>
          <t>Nasarawa</t>
        </is>
      </c>
      <c r="K425" s="214" t="n">
        <v>736</v>
      </c>
      <c r="L425" s="215">
        <f>K425*2</f>
        <v/>
      </c>
      <c r="M425" s="208">
        <f>ROUNDDOWN(L425*0.7,)</f>
        <v/>
      </c>
      <c r="N425" s="194" t="n">
        <v>35328</v>
      </c>
      <c r="O425" s="208" t="n">
        <v>3329729.72972973</v>
      </c>
    </row>
    <row r="426">
      <c r="A426" t="inlineStr">
        <is>
          <t>AFEEZ AJIBADE/Ebenezer</t>
        </is>
      </c>
      <c r="B426">
        <f>CONCATENATE(E426,"-",F426,"-",D426)</f>
        <v/>
      </c>
      <c r="C426" s="25">
        <f>CONCATENATE(G426,"-",F426,"-",D426)</f>
        <v/>
      </c>
      <c r="D426" s="25" t="inlineStr">
        <is>
          <t>JUMBO</t>
        </is>
      </c>
      <c r="E426" s="25" t="inlineStr">
        <is>
          <t>NBL-DSL</t>
        </is>
      </c>
      <c r="F426" s="63" t="inlineStr">
        <is>
          <t>45T</t>
        </is>
      </c>
      <c r="G426" s="204" t="inlineStr">
        <is>
          <t>JAT</t>
        </is>
      </c>
      <c r="H426" s="205" t="inlineStr">
        <is>
          <t>Ibadan</t>
        </is>
      </c>
      <c r="I426" s="204" t="inlineStr">
        <is>
          <t>Bida</t>
        </is>
      </c>
      <c r="J426" s="204" t="inlineStr">
        <is>
          <t>Niger</t>
        </is>
      </c>
      <c r="K426" s="214" t="n">
        <v>412.5</v>
      </c>
      <c r="L426" s="215">
        <f>K426*2</f>
        <v/>
      </c>
      <c r="M426" s="208">
        <f>ROUNDDOWN(L426*0.7,)</f>
        <v/>
      </c>
      <c r="N426" s="194" t="n">
        <v>19800</v>
      </c>
      <c r="O426" s="208" t="n">
        <v>1891892</v>
      </c>
    </row>
    <row r="427">
      <c r="A427" t="inlineStr">
        <is>
          <t>AFEEZ AJIBADE/Ebenezer</t>
        </is>
      </c>
      <c r="B427">
        <f>CONCATENATE(E427,"-",F427,"-",D427)</f>
        <v/>
      </c>
      <c r="C427" s="25">
        <f>CONCATENATE(G427,"-",F427,"-",D427)</f>
        <v/>
      </c>
      <c r="D427" s="25" t="inlineStr">
        <is>
          <t>JUMBO</t>
        </is>
      </c>
      <c r="E427" s="25" t="inlineStr">
        <is>
          <t>NBL-DSL</t>
        </is>
      </c>
      <c r="F427" s="63" t="inlineStr">
        <is>
          <t>45T</t>
        </is>
      </c>
      <c r="G427" s="204" t="inlineStr">
        <is>
          <t>JAT</t>
        </is>
      </c>
      <c r="H427" s="205" t="inlineStr">
        <is>
          <t>Ibadan</t>
        </is>
      </c>
      <c r="I427" s="204" t="inlineStr">
        <is>
          <t>Idah</t>
        </is>
      </c>
      <c r="J427" s="204" t="inlineStr">
        <is>
          <t>Kogi</t>
        </is>
      </c>
      <c r="K427" s="214" t="n">
        <v>501</v>
      </c>
      <c r="L427" s="215">
        <f>K427*2</f>
        <v/>
      </c>
      <c r="M427" s="208">
        <f>ROUNDDOWN(L427*0.7,)</f>
        <v/>
      </c>
      <c r="N427" s="194" t="n">
        <v>24048</v>
      </c>
      <c r="O427" s="208" t="n">
        <v>2270270.27027027</v>
      </c>
    </row>
    <row r="428">
      <c r="A428" t="inlineStr">
        <is>
          <t>AFEEZ AJIBADE/Ebenezer</t>
        </is>
      </c>
      <c r="B428">
        <f>CONCATENATE(E428,"-",F428,"-",D428)</f>
        <v/>
      </c>
      <c r="C428" s="25">
        <f>CONCATENATE(G428,"-",F428,"-",D428)</f>
        <v/>
      </c>
      <c r="D428" s="25" t="inlineStr">
        <is>
          <t>JUMBO</t>
        </is>
      </c>
      <c r="E428" s="25" t="inlineStr">
        <is>
          <t>NBL-DSL</t>
        </is>
      </c>
      <c r="F428" s="63" t="inlineStr">
        <is>
          <t>45T</t>
        </is>
      </c>
      <c r="G428" s="204" t="inlineStr">
        <is>
          <t>JAT</t>
        </is>
      </c>
      <c r="H428" s="205" t="inlineStr">
        <is>
          <t>Ibadan</t>
        </is>
      </c>
      <c r="I428" s="204" t="inlineStr">
        <is>
          <t>Gusau</t>
        </is>
      </c>
      <c r="J428" s="204" t="inlineStr">
        <is>
          <t>Zamfara</t>
        </is>
      </c>
      <c r="K428" s="214" t="n">
        <v>833</v>
      </c>
      <c r="L428" s="215">
        <f>K428*2</f>
        <v/>
      </c>
      <c r="M428" s="208">
        <f>ROUNDDOWN(L428*0.7,)</f>
        <v/>
      </c>
      <c r="N428" s="194" t="n">
        <v>39984</v>
      </c>
      <c r="O428" s="208" t="n">
        <v>3935135.135135135</v>
      </c>
    </row>
    <row r="429">
      <c r="A429" t="inlineStr">
        <is>
          <t>AFEEZ AJIBADE/Ebenezer</t>
        </is>
      </c>
      <c r="B429">
        <f>CONCATENATE(E429,"-",F429,"-",D429)</f>
        <v/>
      </c>
      <c r="C429" s="25">
        <f>CONCATENATE(G429,"-",F429,"-",D429)</f>
        <v/>
      </c>
      <c r="D429" s="25" t="inlineStr">
        <is>
          <t>JUMBO</t>
        </is>
      </c>
      <c r="E429" s="25" t="inlineStr">
        <is>
          <t>NBL-DSL</t>
        </is>
      </c>
      <c r="F429" s="63" t="inlineStr">
        <is>
          <t>45T</t>
        </is>
      </c>
      <c r="G429" s="204" t="inlineStr">
        <is>
          <t>JAT</t>
        </is>
      </c>
      <c r="H429" s="205" t="inlineStr">
        <is>
          <t>Ibadan</t>
        </is>
      </c>
      <c r="I429" s="216" t="inlineStr">
        <is>
          <t>Kabba</t>
        </is>
      </c>
      <c r="J429" s="216" t="inlineStr">
        <is>
          <t>Kogi</t>
        </is>
      </c>
      <c r="K429" s="214" t="n">
        <v>300</v>
      </c>
      <c r="L429" s="215">
        <f>K429*2</f>
        <v/>
      </c>
      <c r="M429" s="208">
        <f>ROUNDDOWN(L429*0.7,)</f>
        <v/>
      </c>
      <c r="N429" s="194" t="n">
        <v>14400</v>
      </c>
      <c r="O429" s="208" t="n">
        <v>2270270.27027027</v>
      </c>
    </row>
    <row r="430">
      <c r="A430" t="inlineStr">
        <is>
          <t>AFEEZ AJIBADE/Ebenezer</t>
        </is>
      </c>
      <c r="B430">
        <f>CONCATENATE(E430,"-",F430,"-",D430)</f>
        <v/>
      </c>
      <c r="C430" s="25">
        <f>CONCATENATE(G430,"-",F430,"-",D430)</f>
        <v/>
      </c>
      <c r="D430" s="25" t="inlineStr">
        <is>
          <t>JUMBO</t>
        </is>
      </c>
      <c r="E430" s="25" t="inlineStr">
        <is>
          <t>NBL-DSL</t>
        </is>
      </c>
      <c r="F430" s="63" t="inlineStr">
        <is>
          <t>45T</t>
        </is>
      </c>
      <c r="G430" s="204" t="inlineStr">
        <is>
          <t>JAT</t>
        </is>
      </c>
      <c r="H430" s="205" t="inlineStr">
        <is>
          <t>Ibadan</t>
        </is>
      </c>
      <c r="I430" s="205" t="inlineStr">
        <is>
          <t>Takum</t>
        </is>
      </c>
      <c r="J430" s="205" t="inlineStr">
        <is>
          <t>Taraba</t>
        </is>
      </c>
      <c r="K430" s="217" t="n">
        <v>883</v>
      </c>
      <c r="L430" s="218">
        <f>K430*2</f>
        <v/>
      </c>
      <c r="M430" s="208">
        <f>ROUNDDOWN(L430*0.7,)</f>
        <v/>
      </c>
      <c r="N430" s="194" t="n">
        <v>42384</v>
      </c>
      <c r="O430" s="208" t="n">
        <v>4540540.540540541</v>
      </c>
    </row>
    <row r="431">
      <c r="A431" t="inlineStr">
        <is>
          <t>AFEEZ AJIBADE/Ebenezer</t>
        </is>
      </c>
      <c r="B431">
        <f>CONCATENATE(E431,"-",F431,"-",D431)</f>
        <v/>
      </c>
      <c r="C431" s="25">
        <f>CONCATENATE(G431,"-",F431,"-",D431)</f>
        <v/>
      </c>
      <c r="D431" s="25" t="inlineStr">
        <is>
          <t>JUMBO</t>
        </is>
      </c>
      <c r="E431" s="25" t="inlineStr">
        <is>
          <t>NBL-DSL</t>
        </is>
      </c>
      <c r="F431" s="63" t="inlineStr">
        <is>
          <t>45T</t>
        </is>
      </c>
      <c r="G431" s="204" t="inlineStr">
        <is>
          <t>JAT</t>
        </is>
      </c>
      <c r="H431" s="205" t="inlineStr">
        <is>
          <t>Ibadan</t>
        </is>
      </c>
      <c r="I431" s="204" t="inlineStr">
        <is>
          <t>Lokoja</t>
        </is>
      </c>
      <c r="J431" s="204" t="inlineStr">
        <is>
          <t>Kogi</t>
        </is>
      </c>
      <c r="K431" s="214" t="n">
        <v>500</v>
      </c>
      <c r="L431" s="215">
        <f>K431*2</f>
        <v/>
      </c>
      <c r="M431" s="208">
        <f>ROUNDDOWN(L431*0.7,)</f>
        <v/>
      </c>
      <c r="N431" s="194" t="n">
        <v>24000</v>
      </c>
      <c r="O431" s="208" t="n">
        <v>2270270.27027027</v>
      </c>
    </row>
    <row r="432">
      <c r="A432" t="inlineStr">
        <is>
          <t>AFEEZ AJIBADE/Ebenezer</t>
        </is>
      </c>
      <c r="B432">
        <f>CONCATENATE(E432,"-",F432,"-",D432)</f>
        <v/>
      </c>
      <c r="C432" s="25">
        <f>CONCATENATE(G432,"-",F432,"-",D432)</f>
        <v/>
      </c>
      <c r="D432" s="25" t="inlineStr">
        <is>
          <t>JUMBO</t>
        </is>
      </c>
      <c r="E432" s="25" t="inlineStr">
        <is>
          <t>NBL-DSL</t>
        </is>
      </c>
      <c r="F432" s="63" t="inlineStr">
        <is>
          <t>45T</t>
        </is>
      </c>
      <c r="G432" s="204" t="inlineStr">
        <is>
          <t>JAT</t>
        </is>
      </c>
      <c r="H432" s="205" t="inlineStr">
        <is>
          <t>Ibadan</t>
        </is>
      </c>
      <c r="I432" s="216" t="inlineStr">
        <is>
          <t>Ayangba</t>
        </is>
      </c>
      <c r="J432" s="216" t="inlineStr">
        <is>
          <t>Kogi</t>
        </is>
      </c>
      <c r="K432" s="214" t="n">
        <v>451.5</v>
      </c>
      <c r="L432" s="215">
        <f>K432*2</f>
        <v/>
      </c>
      <c r="M432" s="208">
        <f>ROUNDDOWN(L432*0.7,)</f>
        <v/>
      </c>
      <c r="N432" s="194" t="n">
        <v>21672</v>
      </c>
      <c r="O432" s="208" t="n">
        <v>2270270.27027027</v>
      </c>
    </row>
    <row r="433">
      <c r="A433" t="inlineStr">
        <is>
          <t>AFEEZ AJIBADE/Ebenezer</t>
        </is>
      </c>
      <c r="B433">
        <f>CONCATENATE(E433,"-",F433,"-",D433)</f>
        <v/>
      </c>
      <c r="C433" s="25">
        <f>CONCATENATE(G433,"-",F433,"-",D433)</f>
        <v/>
      </c>
      <c r="D433" s="25" t="inlineStr">
        <is>
          <t>JUMBO</t>
        </is>
      </c>
      <c r="E433" s="25" t="inlineStr">
        <is>
          <t>NBL-DSL</t>
        </is>
      </c>
      <c r="F433" s="63" t="inlineStr">
        <is>
          <t>45T</t>
        </is>
      </c>
      <c r="G433" s="204" t="inlineStr">
        <is>
          <t>JAT</t>
        </is>
      </c>
      <c r="H433" s="205" t="inlineStr">
        <is>
          <t>Ibadan</t>
        </is>
      </c>
      <c r="I433" s="216" t="inlineStr">
        <is>
          <t>Yauri</t>
        </is>
      </c>
      <c r="J433" s="216" t="inlineStr">
        <is>
          <t>Kebbi</t>
        </is>
      </c>
      <c r="K433" s="214" t="n">
        <v>727.5</v>
      </c>
      <c r="L433" s="215">
        <f>K433*2</f>
        <v/>
      </c>
      <c r="M433" s="208">
        <f>ROUNDDOWN(L433*0.7,)</f>
        <v/>
      </c>
      <c r="N433" s="194" t="n">
        <v>34920</v>
      </c>
      <c r="O433" s="208" t="n">
        <v>2951351.351351351</v>
      </c>
    </row>
    <row r="434">
      <c r="A434" t="inlineStr">
        <is>
          <t>AFEEZ AJIBADE/Ebenezer</t>
        </is>
      </c>
      <c r="B434">
        <f>CONCATENATE(E434,"-",F434,"-",D434)</f>
        <v/>
      </c>
      <c r="C434" s="25">
        <f>CONCATENATE(G434,"-",F434,"-",D434)</f>
        <v/>
      </c>
      <c r="D434" s="25" t="inlineStr">
        <is>
          <t>JUMBO</t>
        </is>
      </c>
      <c r="E434" s="25" t="inlineStr">
        <is>
          <t>NBL-DSL</t>
        </is>
      </c>
      <c r="F434" s="63" t="inlineStr">
        <is>
          <t>45T</t>
        </is>
      </c>
      <c r="G434" s="204" t="inlineStr">
        <is>
          <t>JAT</t>
        </is>
      </c>
      <c r="H434" s="205" t="inlineStr">
        <is>
          <t>Ibadan</t>
        </is>
      </c>
      <c r="I434" s="216" t="inlineStr">
        <is>
          <t>Ganye</t>
        </is>
      </c>
      <c r="J434" s="216" t="inlineStr">
        <is>
          <t>Adamawa</t>
        </is>
      </c>
      <c r="K434" s="214" t="n">
        <v>1270</v>
      </c>
      <c r="L434" s="215">
        <f>K434*2</f>
        <v/>
      </c>
      <c r="M434" s="208">
        <f>ROUNDDOWN(L434*0.7,)</f>
        <v/>
      </c>
      <c r="N434" s="194" t="n">
        <v>60960</v>
      </c>
      <c r="O434" s="208" t="n">
        <v>4389189.189189189</v>
      </c>
    </row>
    <row r="435">
      <c r="A435" t="inlineStr">
        <is>
          <t>AFEEZ AJIBADE/Ebenezer</t>
        </is>
      </c>
      <c r="B435">
        <f>CONCATENATE(E435,"-",F435,"-",D435)</f>
        <v/>
      </c>
      <c r="C435" s="25">
        <f>CONCATENATE(G435,"-",F435,"-",D435)</f>
        <v/>
      </c>
      <c r="D435" s="25" t="inlineStr">
        <is>
          <t>JUMBO</t>
        </is>
      </c>
      <c r="E435" s="25" t="inlineStr">
        <is>
          <t>NBL-DSL</t>
        </is>
      </c>
      <c r="F435" s="63" t="inlineStr">
        <is>
          <t>45T</t>
        </is>
      </c>
      <c r="G435" s="204" t="inlineStr">
        <is>
          <t>JAT</t>
        </is>
      </c>
      <c r="H435" s="205" t="inlineStr">
        <is>
          <t>Ibadan</t>
        </is>
      </c>
      <c r="I435" s="205" t="inlineStr">
        <is>
          <t>Gboko</t>
        </is>
      </c>
      <c r="J435" s="205" t="inlineStr">
        <is>
          <t>Benue</t>
        </is>
      </c>
      <c r="K435" s="217" t="n">
        <v>685</v>
      </c>
      <c r="L435" s="218">
        <f>K435*2</f>
        <v/>
      </c>
      <c r="M435" s="208">
        <f>ROUNDDOWN(L435*0.7,)</f>
        <v/>
      </c>
      <c r="N435" s="194" t="n">
        <v>32880</v>
      </c>
      <c r="O435" s="208" t="n">
        <v>3632432.432432432</v>
      </c>
    </row>
    <row r="436">
      <c r="A436" t="inlineStr">
        <is>
          <t>AFEEZ AJIBADE/Ebenezer</t>
        </is>
      </c>
      <c r="B436">
        <f>CONCATENATE(E436,"-",F436,"-",D436)</f>
        <v/>
      </c>
      <c r="C436" s="25">
        <f>CONCATENATE(G436,"-",F436,"-",D436)</f>
        <v/>
      </c>
      <c r="D436" s="25" t="inlineStr">
        <is>
          <t>JUMBO</t>
        </is>
      </c>
      <c r="E436" s="25" t="inlineStr">
        <is>
          <t>NBL-DSL</t>
        </is>
      </c>
      <c r="F436" s="63" t="inlineStr">
        <is>
          <t>45T</t>
        </is>
      </c>
      <c r="G436" s="204" t="inlineStr">
        <is>
          <t>JAT</t>
        </is>
      </c>
      <c r="H436" s="205" t="inlineStr">
        <is>
          <t>Ibadan</t>
        </is>
      </c>
      <c r="I436" s="216" t="inlineStr">
        <is>
          <t>Potiskum</t>
        </is>
      </c>
      <c r="J436" s="216" t="inlineStr">
        <is>
          <t>Yobe</t>
        </is>
      </c>
      <c r="K436" s="214" t="n">
        <v>1174.5</v>
      </c>
      <c r="L436" s="215">
        <f>K436*2</f>
        <v/>
      </c>
      <c r="M436" s="208">
        <f>ROUNDDOWN(L436*0.7,)</f>
        <v/>
      </c>
      <c r="N436" s="194" t="n">
        <v>56376</v>
      </c>
      <c r="O436" s="208" t="n">
        <v>4086486.486486486</v>
      </c>
    </row>
    <row r="437">
      <c r="A437" t="inlineStr">
        <is>
          <t>AFEEZ AJIBADE/Ebenezer</t>
        </is>
      </c>
      <c r="B437">
        <f>CONCATENATE(E437,"-",F437,"-",D437)</f>
        <v/>
      </c>
      <c r="C437" s="25">
        <f>CONCATENATE(G437,"-",F437,"-",D437)</f>
        <v/>
      </c>
      <c r="D437" s="25" t="inlineStr">
        <is>
          <t>JUMBO</t>
        </is>
      </c>
      <c r="E437" s="25" t="inlineStr">
        <is>
          <t>NBL-DSL</t>
        </is>
      </c>
      <c r="F437" s="63" t="inlineStr">
        <is>
          <t>45T</t>
        </is>
      </c>
      <c r="G437" s="204" t="inlineStr">
        <is>
          <t>JAT</t>
        </is>
      </c>
      <c r="H437" s="205" t="inlineStr">
        <is>
          <t>Ibadan</t>
        </is>
      </c>
      <c r="I437" s="204" t="inlineStr">
        <is>
          <t>Mubi</t>
        </is>
      </c>
      <c r="J437" s="204" t="inlineStr">
        <is>
          <t>Adamawa</t>
        </is>
      </c>
      <c r="K437" s="214" t="n">
        <v>1443</v>
      </c>
      <c r="L437" s="215">
        <f>K437*2</f>
        <v/>
      </c>
      <c r="M437" s="208">
        <f>ROUNDDOWN(L437*0.7,)</f>
        <v/>
      </c>
      <c r="N437" s="194" t="n">
        <v>69264</v>
      </c>
      <c r="O437" s="208" t="n">
        <v>4389189.189189189</v>
      </c>
    </row>
    <row r="438">
      <c r="A438" t="inlineStr">
        <is>
          <t>AFEEZ AJIBADE/Ebenezer</t>
        </is>
      </c>
      <c r="B438">
        <f>CONCATENATE(E438,"-",F438,"-",D438)</f>
        <v/>
      </c>
      <c r="C438" s="25">
        <f>CONCATENATE(G438,"-",F438,"-",D438)</f>
        <v/>
      </c>
      <c r="D438" s="25" t="inlineStr">
        <is>
          <t>JUMBO</t>
        </is>
      </c>
      <c r="E438" s="25" t="inlineStr">
        <is>
          <t>NBL-DSL</t>
        </is>
      </c>
      <c r="F438" s="63" t="inlineStr">
        <is>
          <t>45T</t>
        </is>
      </c>
      <c r="G438" s="204" t="inlineStr">
        <is>
          <t>JAT</t>
        </is>
      </c>
      <c r="H438" s="205" t="inlineStr">
        <is>
          <t>Ibadan</t>
        </is>
      </c>
      <c r="I438" s="205" t="inlineStr">
        <is>
          <t>Abaji</t>
        </is>
      </c>
      <c r="J438" s="205" t="inlineStr">
        <is>
          <t>FCT</t>
        </is>
      </c>
      <c r="K438" s="217" t="n">
        <v>469.5</v>
      </c>
      <c r="L438" s="218">
        <f>K438*2</f>
        <v/>
      </c>
      <c r="M438" s="208">
        <f>ROUNDDOWN(L438*0.7,)</f>
        <v/>
      </c>
      <c r="N438" s="194" t="n">
        <v>22536</v>
      </c>
      <c r="O438" s="208" t="n">
        <v>2724324.324324324</v>
      </c>
    </row>
    <row r="439">
      <c r="A439" t="inlineStr">
        <is>
          <t>AFEEZ AJIBADE/Ebenezer</t>
        </is>
      </c>
      <c r="B439">
        <f>CONCATENATE(E439,"-",F439,"-",D439)</f>
        <v/>
      </c>
      <c r="C439" s="25">
        <f>CONCATENATE(G439,"-",F439,"-",D439)</f>
        <v/>
      </c>
      <c r="D439" s="25" t="inlineStr">
        <is>
          <t>JUMBO</t>
        </is>
      </c>
      <c r="E439" s="25" t="inlineStr">
        <is>
          <t>NBL-DSL</t>
        </is>
      </c>
      <c r="F439" s="63" t="inlineStr">
        <is>
          <t>45T</t>
        </is>
      </c>
      <c r="G439" s="204" t="inlineStr">
        <is>
          <t>JAT</t>
        </is>
      </c>
      <c r="H439" s="205" t="inlineStr">
        <is>
          <t>Ibadan</t>
        </is>
      </c>
      <c r="I439" s="205" t="inlineStr">
        <is>
          <t>Tegina</t>
        </is>
      </c>
      <c r="J439" s="205" t="inlineStr">
        <is>
          <t>Niger</t>
        </is>
      </c>
      <c r="K439" s="217" t="n">
        <v>500</v>
      </c>
      <c r="L439" s="218">
        <f>K439*2</f>
        <v/>
      </c>
      <c r="M439" s="208">
        <f>ROUNDDOWN(L439*0.7,)</f>
        <v/>
      </c>
      <c r="N439" s="194" t="n">
        <v>24000</v>
      </c>
      <c r="O439" s="208" t="n">
        <v>2724324.324324324</v>
      </c>
    </row>
    <row r="440">
      <c r="A440" t="inlineStr">
        <is>
          <t>AFEEZ AJIBADE/Ebenezer</t>
        </is>
      </c>
      <c r="B440">
        <f>CONCATENATE(E440,"-",F440,"-",D440)</f>
        <v/>
      </c>
      <c r="C440" s="25">
        <f>CONCATENATE(G440,"-",F440,"-",D440)</f>
        <v/>
      </c>
      <c r="D440" s="25" t="inlineStr">
        <is>
          <t>JUMBO</t>
        </is>
      </c>
      <c r="E440" s="25" t="inlineStr">
        <is>
          <t>NBL-DSL</t>
        </is>
      </c>
      <c r="F440" s="63" t="inlineStr">
        <is>
          <t>45T</t>
        </is>
      </c>
      <c r="G440" s="204" t="inlineStr">
        <is>
          <t>JAT</t>
        </is>
      </c>
      <c r="H440" s="205" t="inlineStr">
        <is>
          <t>Ibadan</t>
        </is>
      </c>
      <c r="I440" s="204" t="inlineStr">
        <is>
          <t>Maiduguri</t>
        </is>
      </c>
      <c r="J440" s="204" t="inlineStr">
        <is>
          <t>Borno</t>
        </is>
      </c>
      <c r="K440" s="214" t="n">
        <v>1404</v>
      </c>
      <c r="L440" s="215">
        <f>K440*2</f>
        <v/>
      </c>
      <c r="M440" s="208">
        <f>ROUNDDOWN(L440*0.7,)</f>
        <v/>
      </c>
      <c r="N440" s="194" t="n">
        <v>67392</v>
      </c>
      <c r="O440" s="208" t="n">
        <v>5000000</v>
      </c>
    </row>
    <row r="441">
      <c r="A441" t="inlineStr">
        <is>
          <t>AFEEZ AJIBADE/Ebenezer</t>
        </is>
      </c>
      <c r="B441">
        <f>CONCATENATE(E441,"-",F441,"-",D441)</f>
        <v/>
      </c>
      <c r="C441" s="25">
        <f>CONCATENATE(G441,"-",F441,"-",D441)</f>
        <v/>
      </c>
      <c r="D441" s="25" t="inlineStr">
        <is>
          <t>JUMBO</t>
        </is>
      </c>
      <c r="E441" s="25" t="inlineStr">
        <is>
          <t>NBL-DSL</t>
        </is>
      </c>
      <c r="F441" s="63" t="inlineStr">
        <is>
          <t>45T</t>
        </is>
      </c>
      <c r="G441" s="204" t="inlineStr">
        <is>
          <t>JAT</t>
        </is>
      </c>
      <c r="H441" s="205" t="inlineStr">
        <is>
          <t>Ibadan</t>
        </is>
      </c>
      <c r="I441" s="205" t="inlineStr">
        <is>
          <t>Shendam</t>
        </is>
      </c>
      <c r="J441" s="205" t="inlineStr">
        <is>
          <t>Plateau</t>
        </is>
      </c>
      <c r="K441" s="214" t="n">
        <v>899</v>
      </c>
      <c r="L441" s="215">
        <f>K441*2</f>
        <v/>
      </c>
      <c r="M441" s="208">
        <f>ROUNDDOWN(L441*0.7,)</f>
        <v/>
      </c>
      <c r="N441" s="194" t="n">
        <v>43152</v>
      </c>
      <c r="O441" s="208" t="n">
        <v>3632432.432432432</v>
      </c>
    </row>
    <row r="442">
      <c r="A442" t="inlineStr">
        <is>
          <t>AFEEZ AJIBADE/Ebenezer</t>
        </is>
      </c>
      <c r="B442">
        <f>CONCATENATE(E442,"-",F442,"-",D442)</f>
        <v/>
      </c>
      <c r="C442" s="25">
        <f>CONCATENATE(G442,"-",F442,"-",D442)</f>
        <v/>
      </c>
      <c r="D442" s="25" t="inlineStr">
        <is>
          <t>JUMBO</t>
        </is>
      </c>
      <c r="E442" s="25" t="inlineStr">
        <is>
          <t>NBL-DSL</t>
        </is>
      </c>
      <c r="F442" s="63" t="inlineStr">
        <is>
          <t>45T</t>
        </is>
      </c>
      <c r="G442" s="204" t="inlineStr">
        <is>
          <t>JAT</t>
        </is>
      </c>
      <c r="H442" s="205" t="inlineStr">
        <is>
          <t>Ibadan</t>
        </is>
      </c>
      <c r="I442" s="205" t="inlineStr">
        <is>
          <t>Koko</t>
        </is>
      </c>
      <c r="J442" s="205" t="inlineStr">
        <is>
          <t>Kebbi</t>
        </is>
      </c>
      <c r="K442" s="214" t="n">
        <v>660</v>
      </c>
      <c r="L442" s="215">
        <f>K442*2</f>
        <v/>
      </c>
      <c r="M442" s="208">
        <f>ROUNDDOWN(L442*0.7,)</f>
        <v/>
      </c>
      <c r="N442" s="194" t="n">
        <v>31680</v>
      </c>
      <c r="O442" s="208" t="n">
        <v>3027027.027027027</v>
      </c>
    </row>
    <row r="443">
      <c r="A443" t="inlineStr">
        <is>
          <t>AFEEZ AJIBADE/Ebenezer</t>
        </is>
      </c>
      <c r="B443">
        <f>CONCATENATE(E443,"-",F443,"-",D443)</f>
        <v/>
      </c>
      <c r="C443" s="25">
        <f>CONCATENATE(G443,"-",F443,"-",D443)</f>
        <v/>
      </c>
      <c r="D443" s="25" t="inlineStr">
        <is>
          <t>JUMBO</t>
        </is>
      </c>
      <c r="E443" s="25" t="inlineStr">
        <is>
          <t>NBL-DSL</t>
        </is>
      </c>
      <c r="F443" s="63" t="inlineStr">
        <is>
          <t>45T</t>
        </is>
      </c>
      <c r="G443" s="204" t="inlineStr">
        <is>
          <t>JAT</t>
        </is>
      </c>
      <c r="H443" s="205" t="inlineStr">
        <is>
          <t>Ibadan</t>
        </is>
      </c>
      <c r="I443" s="205" t="inlineStr">
        <is>
          <t>Ibadan</t>
        </is>
      </c>
      <c r="J443" s="205" t="inlineStr">
        <is>
          <t>Oyo</t>
        </is>
      </c>
      <c r="K443" s="217" t="n">
        <v>285</v>
      </c>
      <c r="L443" s="218">
        <f>K443*2</f>
        <v/>
      </c>
      <c r="M443" s="208">
        <f>ROUNDDOWN(L443*0.7,)</f>
        <v/>
      </c>
      <c r="N443" s="194" t="n">
        <v>13680</v>
      </c>
      <c r="O443" s="208" t="n">
        <v>1664864.864864865</v>
      </c>
    </row>
    <row r="444">
      <c r="A444" t="inlineStr">
        <is>
          <t>AFEEZ AJIBADE/Ebenezer</t>
        </is>
      </c>
      <c r="B444">
        <f>CONCATENATE(E444,"-",F444,"-",D444)</f>
        <v/>
      </c>
      <c r="C444" s="25">
        <f>CONCATENATE(G444,"-",F444,"-",D444)</f>
        <v/>
      </c>
      <c r="D444" s="25" t="inlineStr">
        <is>
          <t>JUMBO</t>
        </is>
      </c>
      <c r="E444" s="25" t="inlineStr">
        <is>
          <t>NBL-DSL</t>
        </is>
      </c>
      <c r="F444" s="63" t="inlineStr">
        <is>
          <t>45T</t>
        </is>
      </c>
      <c r="G444" s="204" t="inlineStr">
        <is>
          <t>JAT</t>
        </is>
      </c>
      <c r="H444" s="205" t="inlineStr">
        <is>
          <t>Ibadan</t>
        </is>
      </c>
      <c r="I444" s="205" t="inlineStr">
        <is>
          <t>Ekpoma</t>
        </is>
      </c>
      <c r="J444" s="205" t="inlineStr">
        <is>
          <t>Edo</t>
        </is>
      </c>
      <c r="K444" s="217" t="n">
        <v>346</v>
      </c>
      <c r="L444" s="218">
        <f>K444*2</f>
        <v/>
      </c>
      <c r="M444" s="208">
        <f>ROUNDDOWN(L444*0.7,)</f>
        <v/>
      </c>
      <c r="N444" s="194" t="n">
        <v>16608</v>
      </c>
      <c r="O444" s="208" t="n">
        <v>2118918.918918919</v>
      </c>
    </row>
    <row r="445">
      <c r="A445" t="inlineStr">
        <is>
          <t>AFEEZ AJIBADE/Ebenezer</t>
        </is>
      </c>
      <c r="B445">
        <f>CONCATENATE(E445,"-",F445,"-",D445)</f>
        <v/>
      </c>
      <c r="C445" s="25">
        <f>CONCATENATE(G445,"-",F445,"-",D445)</f>
        <v/>
      </c>
      <c r="D445" s="25" t="inlineStr">
        <is>
          <t>JUMBO</t>
        </is>
      </c>
      <c r="E445" s="25" t="inlineStr">
        <is>
          <t>NBL-DSL</t>
        </is>
      </c>
      <c r="F445" s="63" t="inlineStr">
        <is>
          <t>45T</t>
        </is>
      </c>
      <c r="G445" s="204" t="inlineStr">
        <is>
          <t>JAT</t>
        </is>
      </c>
      <c r="H445" s="205" t="inlineStr">
        <is>
          <t>Ibadan</t>
        </is>
      </c>
      <c r="I445" s="205" t="inlineStr">
        <is>
          <t>Aba</t>
        </is>
      </c>
      <c r="J445" s="205" t="inlineStr">
        <is>
          <t>Abia</t>
        </is>
      </c>
      <c r="K445" s="217" t="n">
        <v>573</v>
      </c>
      <c r="L445" s="218">
        <f>K445*2</f>
        <v/>
      </c>
      <c r="M445" s="208">
        <f>ROUNDDOWN(L445*0.7,)</f>
        <v/>
      </c>
      <c r="N445" s="194" t="n">
        <v>27504</v>
      </c>
      <c r="O445" s="208" t="n">
        <v>2800000</v>
      </c>
    </row>
    <row r="446">
      <c r="A446" t="inlineStr">
        <is>
          <t>AFEEZ AJIBADE/Ebenezer</t>
        </is>
      </c>
      <c r="B446">
        <f>CONCATENATE(E446,"-",F446,"-",D446)</f>
        <v/>
      </c>
      <c r="C446" s="25">
        <f>CONCATENATE(G446,"-",F446,"-",D446)</f>
        <v/>
      </c>
      <c r="D446" s="25" t="inlineStr">
        <is>
          <t>JUMBO</t>
        </is>
      </c>
      <c r="E446" s="25" t="inlineStr">
        <is>
          <t>NBL-DSL</t>
        </is>
      </c>
      <c r="F446" s="63" t="inlineStr">
        <is>
          <t>45T</t>
        </is>
      </c>
      <c r="G446" s="204" t="inlineStr">
        <is>
          <t>JAT</t>
        </is>
      </c>
      <c r="H446" s="205" t="inlineStr">
        <is>
          <t>Ibadan</t>
        </is>
      </c>
      <c r="I446" s="205" t="inlineStr">
        <is>
          <t>Agbor</t>
        </is>
      </c>
      <c r="J446" s="205" t="inlineStr">
        <is>
          <t>Delta</t>
        </is>
      </c>
      <c r="K446" s="217" t="n">
        <v>350</v>
      </c>
      <c r="L446" s="218">
        <f>K446*2</f>
        <v/>
      </c>
      <c r="M446" s="208">
        <f>ROUNDDOWN(L446*0.7,)</f>
        <v/>
      </c>
      <c r="N446" s="194" t="n">
        <v>16800</v>
      </c>
      <c r="O446" s="208" t="n">
        <v>2118918.918918919</v>
      </c>
    </row>
    <row r="447">
      <c r="A447" t="inlineStr">
        <is>
          <t>AFEEZ AJIBADE/Ebenezer</t>
        </is>
      </c>
      <c r="B447">
        <f>CONCATENATE(E447,"-",F447,"-",D447)</f>
        <v/>
      </c>
      <c r="C447" s="25">
        <f>CONCATENATE(G447,"-",F447,"-",D447)</f>
        <v/>
      </c>
      <c r="D447" s="25" t="inlineStr">
        <is>
          <t>JUMBO</t>
        </is>
      </c>
      <c r="E447" s="25" t="inlineStr">
        <is>
          <t>NBL-DSL</t>
        </is>
      </c>
      <c r="F447" s="63" t="inlineStr">
        <is>
          <t>45T</t>
        </is>
      </c>
      <c r="G447" s="204" t="inlineStr">
        <is>
          <t>JAT</t>
        </is>
      </c>
      <c r="H447" s="205" t="inlineStr">
        <is>
          <t>Ibadan</t>
        </is>
      </c>
      <c r="I447" s="205" t="inlineStr">
        <is>
          <t>Onitsha</t>
        </is>
      </c>
      <c r="J447" s="205" t="inlineStr">
        <is>
          <t>Anambra</t>
        </is>
      </c>
      <c r="K447" s="214" t="n">
        <v>471</v>
      </c>
      <c r="L447" s="218">
        <f>K447*2</f>
        <v/>
      </c>
      <c r="M447" s="208">
        <f>ROUNDDOWN(L447*0.7,)</f>
        <v/>
      </c>
      <c r="N447" s="194" t="n">
        <v>22608</v>
      </c>
      <c r="O447" s="208" t="n">
        <v>2270270.27027027</v>
      </c>
    </row>
    <row r="448">
      <c r="A448" t="inlineStr">
        <is>
          <t>AFEEZ AJIBADE/Ebenezer</t>
        </is>
      </c>
      <c r="B448">
        <f>CONCATENATE(E448,"-",F448,"-",D448)</f>
        <v/>
      </c>
      <c r="C448" s="25">
        <f>CONCATENATE(G448,"-",F448,"-",D448)</f>
        <v/>
      </c>
      <c r="D448" s="25" t="inlineStr">
        <is>
          <t>JUMBO</t>
        </is>
      </c>
      <c r="E448" s="25" t="inlineStr">
        <is>
          <t>NBL-DSL</t>
        </is>
      </c>
      <c r="F448" s="63" t="inlineStr">
        <is>
          <t>45T</t>
        </is>
      </c>
      <c r="G448" s="204" t="inlineStr">
        <is>
          <t>JAT</t>
        </is>
      </c>
      <c r="H448" s="205" t="inlineStr">
        <is>
          <t>Ibadan</t>
        </is>
      </c>
      <c r="I448" s="205" t="inlineStr">
        <is>
          <t>Abakaliki</t>
        </is>
      </c>
      <c r="J448" s="205" t="inlineStr">
        <is>
          <t>Ebonyi</t>
        </is>
      </c>
      <c r="K448" s="217" t="n">
        <v>627</v>
      </c>
      <c r="L448" s="218">
        <f>K448*2</f>
        <v/>
      </c>
      <c r="M448" s="208">
        <f>ROUNDDOWN(L448*0.7,)</f>
        <v/>
      </c>
      <c r="N448" s="194" t="n">
        <v>30096</v>
      </c>
      <c r="O448" s="208" t="n">
        <v>2800000</v>
      </c>
    </row>
    <row r="449">
      <c r="A449" t="inlineStr">
        <is>
          <t>AFEEZ AJIBADE/Ebenezer</t>
        </is>
      </c>
      <c r="B449">
        <f>CONCATENATE(E449,"-",F449,"-",D449)</f>
        <v/>
      </c>
      <c r="C449" s="25">
        <f>CONCATENATE(G449,"-",F449,"-",D449)</f>
        <v/>
      </c>
      <c r="D449" s="25" t="inlineStr">
        <is>
          <t>JUMBO</t>
        </is>
      </c>
      <c r="E449" s="25" t="inlineStr">
        <is>
          <t>NBL-DSL</t>
        </is>
      </c>
      <c r="F449" s="63" t="inlineStr">
        <is>
          <t>45T</t>
        </is>
      </c>
      <c r="G449" s="204" t="inlineStr">
        <is>
          <t>JAT</t>
        </is>
      </c>
      <c r="H449" s="205" t="inlineStr">
        <is>
          <t>Ibadan</t>
        </is>
      </c>
      <c r="I449" s="205" t="inlineStr">
        <is>
          <t>Otukpo</t>
        </is>
      </c>
      <c r="J449" s="205" t="inlineStr">
        <is>
          <t>Benue</t>
        </is>
      </c>
      <c r="K449" s="219" t="n">
        <v>574</v>
      </c>
      <c r="L449" s="215">
        <f>K449*2</f>
        <v/>
      </c>
      <c r="M449" s="208">
        <f>ROUNDDOWN(L449*0.7,)</f>
        <v/>
      </c>
      <c r="N449" s="194" t="n">
        <v>27552</v>
      </c>
      <c r="O449" s="208" t="n">
        <v>3632432.432432432</v>
      </c>
    </row>
    <row r="450">
      <c r="A450" t="inlineStr">
        <is>
          <t>AFEEZ AJIBADE/Ebenezer</t>
        </is>
      </c>
      <c r="B450">
        <f>CONCATENATE(E450,"-",F450,"-",D450)</f>
        <v/>
      </c>
      <c r="C450" s="25">
        <f>CONCATENATE(G450,"-",F450,"-",D450)</f>
        <v/>
      </c>
      <c r="D450" s="25" t="inlineStr">
        <is>
          <t>JUMBO</t>
        </is>
      </c>
      <c r="E450" s="25" t="inlineStr">
        <is>
          <t>NBL-DSL</t>
        </is>
      </c>
      <c r="F450" s="63" t="inlineStr">
        <is>
          <t>45T</t>
        </is>
      </c>
      <c r="G450" s="204" t="inlineStr">
        <is>
          <t>Givanas</t>
        </is>
      </c>
      <c r="H450" s="204" t="inlineStr">
        <is>
          <t>Lagos</t>
        </is>
      </c>
      <c r="I450" s="205" t="inlineStr">
        <is>
          <t>Onitsha</t>
        </is>
      </c>
      <c r="J450" s="205" t="inlineStr">
        <is>
          <t>Anambra</t>
        </is>
      </c>
      <c r="K450" s="214" t="n">
        <v>450</v>
      </c>
      <c r="L450" s="218">
        <f>K450*2</f>
        <v/>
      </c>
      <c r="M450" s="208">
        <f>ROUNDDOWN(L450*0.7,)</f>
        <v/>
      </c>
      <c r="N450" s="194" t="n">
        <v>21600</v>
      </c>
      <c r="O450" s="220" t="n">
        <v>2000000</v>
      </c>
    </row>
    <row r="451">
      <c r="A451" t="inlineStr">
        <is>
          <t>AFEEZ AJIBADE/Ebenezer</t>
        </is>
      </c>
      <c r="B451">
        <f>CONCATENATE(E451,"-",F451,"-",D451)</f>
        <v/>
      </c>
      <c r="C451" s="25">
        <f>CONCATENATE(G451,"-",F451,"-",D451)</f>
        <v/>
      </c>
      <c r="D451" s="25" t="inlineStr">
        <is>
          <t>JUMBO</t>
        </is>
      </c>
      <c r="E451" s="25" t="inlineStr">
        <is>
          <t>NBL-DSL</t>
        </is>
      </c>
      <c r="F451" s="63" t="inlineStr">
        <is>
          <t>45T</t>
        </is>
      </c>
      <c r="G451" s="204" t="inlineStr">
        <is>
          <t>Givanas</t>
        </is>
      </c>
      <c r="H451" s="204" t="inlineStr">
        <is>
          <t>Lagos</t>
        </is>
      </c>
      <c r="I451" s="205" t="inlineStr">
        <is>
          <t>Kano</t>
        </is>
      </c>
      <c r="J451" s="205" t="inlineStr">
        <is>
          <t>Kano</t>
        </is>
      </c>
      <c r="K451" s="214" t="n">
        <v>1100</v>
      </c>
      <c r="L451" s="218">
        <f>K451*2</f>
        <v/>
      </c>
      <c r="M451" s="208">
        <f>ROUNDDOWN(L451*0.7,)</f>
        <v/>
      </c>
      <c r="N451" s="194" t="n">
        <v>52800</v>
      </c>
      <c r="O451" s="220" t="n">
        <v>4450000</v>
      </c>
    </row>
    <row r="452">
      <c r="A452" t="inlineStr">
        <is>
          <t>AFEEZ AJIBADE/Ebenezer</t>
        </is>
      </c>
      <c r="B452">
        <f>CONCATENATE(E452,"-",F452,"-",D452)</f>
        <v/>
      </c>
      <c r="C452" s="25">
        <f>CONCATENATE(G452,"-",F452,"-",D452)</f>
        <v/>
      </c>
      <c r="D452" s="25" t="inlineStr">
        <is>
          <t>JUMBO</t>
        </is>
      </c>
      <c r="E452" s="25" t="inlineStr">
        <is>
          <t>NBL-DSL</t>
        </is>
      </c>
      <c r="F452" s="63" t="inlineStr">
        <is>
          <t>30T</t>
        </is>
      </c>
      <c r="G452" s="204" t="inlineStr">
        <is>
          <t>JAMARA</t>
        </is>
      </c>
      <c r="H452" s="204" t="inlineStr">
        <is>
          <t>Lagos</t>
        </is>
      </c>
      <c r="I452" s="204" t="inlineStr">
        <is>
          <t>Port Harcourt</t>
        </is>
      </c>
      <c r="J452" s="204" t="inlineStr">
        <is>
          <t>Rivers</t>
        </is>
      </c>
      <c r="K452" s="214" t="n">
        <v>630</v>
      </c>
      <c r="L452" s="215">
        <f>K452*2</f>
        <v/>
      </c>
      <c r="M452" s="208">
        <f>ROUNDDOWN(L452*0.7,)</f>
        <v/>
      </c>
      <c r="N452" s="194" t="n">
        <v>30240</v>
      </c>
      <c r="O452" s="220" t="n">
        <v>2630000</v>
      </c>
    </row>
    <row r="453">
      <c r="A453" t="inlineStr">
        <is>
          <t>AFEEZ AJIBADE/Ebenezer</t>
        </is>
      </c>
      <c r="B453">
        <f>CONCATENATE(E453,"-",F453,"-",D453)</f>
        <v/>
      </c>
      <c r="C453" s="25">
        <f>CONCATENATE(G453,"-",F453,"-",D453)</f>
        <v/>
      </c>
      <c r="D453" s="25" t="inlineStr">
        <is>
          <t>JUMBO</t>
        </is>
      </c>
      <c r="E453" s="25" t="inlineStr">
        <is>
          <t>NBL-DSL</t>
        </is>
      </c>
      <c r="F453" s="63" t="inlineStr">
        <is>
          <t>30T</t>
        </is>
      </c>
      <c r="G453" s="204" t="inlineStr">
        <is>
          <t>JAMARA</t>
        </is>
      </c>
      <c r="H453" s="204" t="inlineStr">
        <is>
          <t>Lagos</t>
        </is>
      </c>
      <c r="I453" s="204" t="inlineStr">
        <is>
          <t>Abuja</t>
        </is>
      </c>
      <c r="J453" s="204" t="inlineStr">
        <is>
          <t>FCT</t>
        </is>
      </c>
      <c r="K453" s="214" t="n">
        <v>755</v>
      </c>
      <c r="L453" s="215">
        <f>K453*2</f>
        <v/>
      </c>
      <c r="M453" s="208">
        <f>ROUNDDOWN(L453*0.7,)</f>
        <v/>
      </c>
      <c r="N453" s="194" t="n">
        <v>36240</v>
      </c>
      <c r="O453" s="220" t="n">
        <v>2970000</v>
      </c>
    </row>
    <row r="454">
      <c r="A454" t="inlineStr">
        <is>
          <t>AFEEZ AJIBADE/Ebenezer</t>
        </is>
      </c>
      <c r="B454">
        <f>CONCATENATE(E454,"-",F454,"-",D454)</f>
        <v/>
      </c>
      <c r="C454" s="25">
        <f>CONCATENATE(G454,"-",F454,"-",D454)</f>
        <v/>
      </c>
      <c r="D454" s="25" t="inlineStr">
        <is>
          <t>JUMBO</t>
        </is>
      </c>
      <c r="E454" s="25" t="inlineStr">
        <is>
          <t>NBL-DSL</t>
        </is>
      </c>
      <c r="F454" s="63" t="inlineStr">
        <is>
          <t>30T</t>
        </is>
      </c>
      <c r="G454" s="204" t="inlineStr">
        <is>
          <t>JAMARA</t>
        </is>
      </c>
      <c r="H454" s="204" t="inlineStr">
        <is>
          <t>Lagos</t>
        </is>
      </c>
      <c r="I454" s="205" t="inlineStr">
        <is>
          <t>Kano</t>
        </is>
      </c>
      <c r="J454" s="205" t="inlineStr">
        <is>
          <t>Kano</t>
        </is>
      </c>
      <c r="K454" s="214" t="n">
        <v>1100</v>
      </c>
      <c r="L454" s="215">
        <f>K454*2</f>
        <v/>
      </c>
      <c r="M454" s="208">
        <f>ROUNDDOWN(L454*0.7,)</f>
        <v/>
      </c>
      <c r="N454" s="194" t="n">
        <v>52800</v>
      </c>
      <c r="O454" s="220" t="n">
        <v>3950000</v>
      </c>
    </row>
    <row r="455">
      <c r="A455" t="inlineStr">
        <is>
          <t>AFEEZ AJIBADE/Ebenezer</t>
        </is>
      </c>
      <c r="B455">
        <f>CONCATENATE(E455,"-",F455,"-",D455)</f>
        <v/>
      </c>
      <c r="C455" s="25">
        <f>CONCATENATE(G455,"-",F455,"-",D455)</f>
        <v/>
      </c>
      <c r="D455" s="25" t="inlineStr">
        <is>
          <t>JUMBO</t>
        </is>
      </c>
      <c r="E455" s="25" t="inlineStr">
        <is>
          <t>NBL-DSL</t>
        </is>
      </c>
      <c r="F455" s="63" t="inlineStr">
        <is>
          <t>30T</t>
        </is>
      </c>
      <c r="G455" s="204" t="inlineStr">
        <is>
          <t>JAMARA</t>
        </is>
      </c>
      <c r="H455" s="204" t="inlineStr">
        <is>
          <t>Lagos</t>
        </is>
      </c>
      <c r="I455" s="204" t="inlineStr">
        <is>
          <t>Ibadan</t>
        </is>
      </c>
      <c r="J455" s="204" t="inlineStr">
        <is>
          <t>Oyo</t>
        </is>
      </c>
      <c r="K455" s="219" t="n">
        <v>120</v>
      </c>
      <c r="L455" s="215">
        <f>K455*2</f>
        <v/>
      </c>
      <c r="M455" s="208">
        <f>ROUNDDOWN(L455*0.7,)</f>
        <v/>
      </c>
      <c r="N455" s="194" t="n">
        <v>5760</v>
      </c>
      <c r="O455" s="220" t="n">
        <v>750000</v>
      </c>
    </row>
    <row r="456">
      <c r="A456" t="inlineStr">
        <is>
          <t>AFEEZ AJIBADE/Ebenezer</t>
        </is>
      </c>
      <c r="B456">
        <f>CONCATENATE(E456,"-",F456,"-",D456)</f>
        <v/>
      </c>
      <c r="C456" s="25">
        <f>CONCATENATE(G456,"-",F456,"-",D456)</f>
        <v/>
      </c>
      <c r="D456" s="25" t="inlineStr">
        <is>
          <t>FLATBED</t>
        </is>
      </c>
      <c r="E456" s="25" t="inlineStr">
        <is>
          <t>NBL-DSL</t>
        </is>
      </c>
      <c r="F456" s="63" t="inlineStr">
        <is>
          <t>30T</t>
        </is>
      </c>
      <c r="G456" s="204" t="inlineStr">
        <is>
          <t>JMG</t>
        </is>
      </c>
      <c r="H456" s="204" t="inlineStr">
        <is>
          <t>Lagos</t>
        </is>
      </c>
      <c r="I456" s="204" t="inlineStr">
        <is>
          <t>Port Harcourt</t>
        </is>
      </c>
      <c r="J456" s="204" t="inlineStr">
        <is>
          <t>Rivers</t>
        </is>
      </c>
      <c r="K456" s="221" t="n">
        <v>650</v>
      </c>
      <c r="L456" s="207">
        <f>K456*2</f>
        <v/>
      </c>
      <c r="M456" s="208">
        <f>ROUNDDOWN(L456*0.7,)</f>
        <v/>
      </c>
      <c r="N456" s="194" t="n">
        <v>31200</v>
      </c>
      <c r="O456" s="208" t="n">
        <v>2840000</v>
      </c>
    </row>
    <row r="457">
      <c r="A457" t="inlineStr">
        <is>
          <t>AFEEZ AJIBADE/Ebenezer</t>
        </is>
      </c>
      <c r="B457">
        <f>CONCATENATE(E457,"-",F457,"-",D457)</f>
        <v/>
      </c>
      <c r="C457" s="25">
        <f>CONCATENATE(G457,"-",F457,"-",D457)</f>
        <v/>
      </c>
      <c r="D457" s="25" t="inlineStr">
        <is>
          <t>FLATBED</t>
        </is>
      </c>
      <c r="E457" s="25" t="inlineStr">
        <is>
          <t>NBL-DSL</t>
        </is>
      </c>
      <c r="F457" s="63" t="inlineStr">
        <is>
          <t>30T</t>
        </is>
      </c>
      <c r="G457" s="204" t="inlineStr">
        <is>
          <t>JMG</t>
        </is>
      </c>
      <c r="H457" s="204" t="inlineStr">
        <is>
          <t>Lagos</t>
        </is>
      </c>
      <c r="I457" s="204" t="inlineStr">
        <is>
          <t>Abuja</t>
        </is>
      </c>
      <c r="J457" s="204" t="inlineStr">
        <is>
          <t>FCT</t>
        </is>
      </c>
      <c r="K457" s="214" t="n">
        <v>755</v>
      </c>
      <c r="L457" s="215">
        <f>K457*2</f>
        <v/>
      </c>
      <c r="M457" s="208">
        <f>ROUNDDOWN(L457*0.7,)</f>
        <v/>
      </c>
      <c r="N457" s="194" t="n">
        <v>36240</v>
      </c>
      <c r="O457" s="208" t="n">
        <v>3300000</v>
      </c>
    </row>
    <row r="458">
      <c r="A458" t="inlineStr">
        <is>
          <t>AFEEZ AJIBADE/Ebenezer</t>
        </is>
      </c>
      <c r="B458">
        <f>CONCATENATE(E458,"-",F458,"-",D458)</f>
        <v/>
      </c>
      <c r="C458" s="25">
        <f>CONCATENATE(G458,"-",F458,"-",D458)</f>
        <v/>
      </c>
      <c r="D458" s="25" t="inlineStr">
        <is>
          <t>FLATBED</t>
        </is>
      </c>
      <c r="E458" s="25" t="inlineStr">
        <is>
          <t>NBL-DSL</t>
        </is>
      </c>
      <c r="F458" s="63" t="inlineStr">
        <is>
          <t>30T</t>
        </is>
      </c>
      <c r="G458" s="204" t="inlineStr">
        <is>
          <t>JMG</t>
        </is>
      </c>
      <c r="H458" s="204" t="inlineStr">
        <is>
          <t>Lagos</t>
        </is>
      </c>
      <c r="I458" s="205" t="inlineStr">
        <is>
          <t>Kano</t>
        </is>
      </c>
      <c r="J458" s="205" t="inlineStr">
        <is>
          <t>Kano</t>
        </is>
      </c>
      <c r="K458" s="214" t="n">
        <v>1100</v>
      </c>
      <c r="L458" s="215">
        <f>K458*2</f>
        <v/>
      </c>
      <c r="M458" s="208">
        <f>ROUNDDOWN(L458*0.7,)</f>
        <v/>
      </c>
      <c r="N458" s="194" t="n">
        <v>52800</v>
      </c>
      <c r="O458" s="208" t="n">
        <v>4530000</v>
      </c>
    </row>
    <row r="459">
      <c r="A459" t="inlineStr">
        <is>
          <t>AFEEZ AJIBADE/Ebenezer</t>
        </is>
      </c>
      <c r="B459">
        <f>CONCATENATE(E459,"-",F459,"-",D459)</f>
        <v/>
      </c>
      <c r="C459" s="25">
        <f>CONCATENATE(G459,"-",F459,"-",D459)</f>
        <v/>
      </c>
      <c r="D459" s="25" t="inlineStr">
        <is>
          <t>FLATBED</t>
        </is>
      </c>
      <c r="E459" s="25" t="inlineStr">
        <is>
          <t>NBL-DSL</t>
        </is>
      </c>
      <c r="F459" s="63" t="inlineStr">
        <is>
          <t>30T</t>
        </is>
      </c>
      <c r="G459" s="204" t="inlineStr">
        <is>
          <t>JMG</t>
        </is>
      </c>
      <c r="H459" s="204" t="inlineStr">
        <is>
          <t>Lagos</t>
        </is>
      </c>
      <c r="I459" s="204" t="inlineStr">
        <is>
          <t>Ibadan</t>
        </is>
      </c>
      <c r="J459" s="204" t="inlineStr">
        <is>
          <t>Oyo</t>
        </is>
      </c>
      <c r="K459" s="219" t="n">
        <v>120</v>
      </c>
      <c r="L459" s="215">
        <f>K459*2</f>
        <v/>
      </c>
      <c r="M459" s="208">
        <f>ROUNDDOWN(L459*0.7,)</f>
        <v/>
      </c>
      <c r="N459" s="194" t="n">
        <v>5760</v>
      </c>
      <c r="O459" s="208" t="n">
        <v>740000</v>
      </c>
    </row>
    <row r="460">
      <c r="A460" t="inlineStr">
        <is>
          <t>AFEEZ AJIBADE/Ebenezer</t>
        </is>
      </c>
      <c r="B460">
        <f>CONCATENATE(E460,"-",F460,"-",D460)</f>
        <v/>
      </c>
      <c r="C460" s="25">
        <f>CONCATENATE(G460,"-",F460,"-",D460)</f>
        <v/>
      </c>
      <c r="D460" s="25" t="inlineStr">
        <is>
          <t>FLATBED</t>
        </is>
      </c>
      <c r="E460" s="25" t="inlineStr">
        <is>
          <t>NBL-DSL</t>
        </is>
      </c>
      <c r="F460" s="63" t="inlineStr">
        <is>
          <t>30T</t>
        </is>
      </c>
      <c r="G460" s="204" t="inlineStr">
        <is>
          <t>JMG</t>
        </is>
      </c>
      <c r="H460" s="204" t="inlineStr">
        <is>
          <t>Lagos</t>
        </is>
      </c>
      <c r="I460" s="205" t="inlineStr">
        <is>
          <t>Kaduna</t>
        </is>
      </c>
      <c r="J460" s="205" t="inlineStr">
        <is>
          <t>Kaduna</t>
        </is>
      </c>
      <c r="K460" s="214" t="n">
        <v>950</v>
      </c>
      <c r="L460" s="215">
        <f>K460*2</f>
        <v/>
      </c>
      <c r="M460" s="208">
        <f>ROUNDDOWN(L460*0.7,)</f>
        <v/>
      </c>
      <c r="N460" s="194" t="n">
        <v>45600</v>
      </c>
      <c r="O460" s="208" t="n">
        <v>3970000</v>
      </c>
    </row>
    <row r="461">
      <c r="A461" t="inlineStr">
        <is>
          <t>AFEEZ AJIBADE/Ebenezer</t>
        </is>
      </c>
      <c r="B461">
        <f>CONCATENATE(E461,"-",F461,"-",D461)</f>
        <v/>
      </c>
      <c r="C461" s="25">
        <f>CONCATENATE(G461,"-",F461,"-",D461)</f>
        <v/>
      </c>
      <c r="D461" s="25" t="inlineStr">
        <is>
          <t>JUMBO</t>
        </is>
      </c>
      <c r="E461" s="25" t="inlineStr">
        <is>
          <t>NBL-DSL</t>
        </is>
      </c>
      <c r="F461" s="63" t="inlineStr">
        <is>
          <t>30T</t>
        </is>
      </c>
      <c r="G461" s="205" t="inlineStr">
        <is>
          <t>Interstyle</t>
        </is>
      </c>
      <c r="H461" s="204" t="inlineStr">
        <is>
          <t>Abuja</t>
        </is>
      </c>
      <c r="I461" s="204" t="inlineStr">
        <is>
          <t>Abuja</t>
        </is>
      </c>
      <c r="J461" s="204" t="inlineStr">
        <is>
          <t>FCT</t>
        </is>
      </c>
      <c r="K461" s="214" t="n">
        <v>750</v>
      </c>
      <c r="L461" s="215">
        <f>K461*1</f>
        <v/>
      </c>
      <c r="M461" s="208">
        <f>ROUNDDOWN(L461*0.7,)</f>
        <v/>
      </c>
      <c r="N461" s="194" t="n">
        <v>18000</v>
      </c>
      <c r="O461" s="220" t="n">
        <v>1550000</v>
      </c>
    </row>
    <row r="462">
      <c r="A462" t="inlineStr">
        <is>
          <t>AFEEZ AJIBADE/Ebenezer</t>
        </is>
      </c>
      <c r="B462">
        <f>CONCATENATE(E462,"-",F462,"-",D462)</f>
        <v/>
      </c>
      <c r="C462" s="25">
        <f>CONCATENATE(G462,"-",F462,"-",D462)</f>
        <v/>
      </c>
      <c r="D462" s="25" t="inlineStr">
        <is>
          <t>JUMBO</t>
        </is>
      </c>
      <c r="E462" s="25" t="inlineStr">
        <is>
          <t>NBL-DSL</t>
        </is>
      </c>
      <c r="F462" s="63" t="inlineStr">
        <is>
          <t>30T</t>
        </is>
      </c>
      <c r="G462" s="205" t="inlineStr">
        <is>
          <t>Interstyle</t>
        </is>
      </c>
      <c r="H462" s="204" t="inlineStr">
        <is>
          <t>Apapa</t>
        </is>
      </c>
      <c r="I462" s="204" t="inlineStr">
        <is>
          <t>Abuja</t>
        </is>
      </c>
      <c r="J462" s="204" t="inlineStr">
        <is>
          <t>FCT</t>
        </is>
      </c>
      <c r="K462" s="214" t="n">
        <v>750</v>
      </c>
      <c r="L462" s="215">
        <f>K462*2</f>
        <v/>
      </c>
      <c r="M462" s="208">
        <f>ROUNDDOWN(L462*0.7,)</f>
        <v/>
      </c>
      <c r="N462" s="194" t="n">
        <v>36000</v>
      </c>
      <c r="O462" s="220" t="n">
        <v>3300000</v>
      </c>
    </row>
    <row r="463">
      <c r="A463" t="inlineStr">
        <is>
          <t>AFEEZ AJIBADE/Ebenezer</t>
        </is>
      </c>
      <c r="B463">
        <f>CONCATENATE(E463,"-",F463,"-",D463)</f>
        <v/>
      </c>
      <c r="C463" s="25">
        <f>CONCATENATE(G463,"-",F463,"-",D463)</f>
        <v/>
      </c>
      <c r="D463" s="25" t="inlineStr">
        <is>
          <t>JUMBO</t>
        </is>
      </c>
      <c r="E463" s="25" t="inlineStr">
        <is>
          <t>NBL-DSL</t>
        </is>
      </c>
      <c r="F463" s="63" t="inlineStr">
        <is>
          <t>30T</t>
        </is>
      </c>
      <c r="G463" s="205" t="inlineStr">
        <is>
          <t>Interstyle</t>
        </is>
      </c>
      <c r="H463" s="204" t="inlineStr">
        <is>
          <t>Apapa</t>
        </is>
      </c>
      <c r="I463" s="204" t="inlineStr">
        <is>
          <t>Warri</t>
        </is>
      </c>
      <c r="J463" s="204" t="inlineStr">
        <is>
          <t>Delta</t>
        </is>
      </c>
      <c r="K463" s="214" t="n">
        <v>435</v>
      </c>
      <c r="L463" s="215">
        <f>K463*2</f>
        <v/>
      </c>
      <c r="M463" s="208">
        <f>ROUNDDOWN(L463*0.7,)</f>
        <v/>
      </c>
      <c r="N463" s="194" t="n">
        <v>20880</v>
      </c>
      <c r="O463" s="220" t="n">
        <v>2300000</v>
      </c>
    </row>
    <row r="464">
      <c r="A464" t="inlineStr">
        <is>
          <t>AFEEZ AJIBADE/Ebenezer</t>
        </is>
      </c>
      <c r="B464">
        <f>CONCATENATE(E464,"-",F464,"-",D464)</f>
        <v/>
      </c>
      <c r="C464" s="25">
        <f>CONCATENATE(G464,"-",F464,"-",D464)</f>
        <v/>
      </c>
      <c r="D464" s="25" t="inlineStr">
        <is>
          <t>JUMBO</t>
        </is>
      </c>
      <c r="E464" s="25" t="inlineStr">
        <is>
          <t>NBL-DSL</t>
        </is>
      </c>
      <c r="F464" s="63" t="inlineStr">
        <is>
          <t>45T</t>
        </is>
      </c>
      <c r="G464" s="204" t="inlineStr">
        <is>
          <t>Mega Manu</t>
        </is>
      </c>
      <c r="H464" s="204" t="inlineStr">
        <is>
          <t>Lagos</t>
        </is>
      </c>
      <c r="I464" s="204" t="inlineStr">
        <is>
          <t>Onitsha</t>
        </is>
      </c>
      <c r="J464" s="204" t="inlineStr">
        <is>
          <t>Anambra</t>
        </is>
      </c>
      <c r="K464" s="214" t="n">
        <v>460</v>
      </c>
      <c r="L464" s="218">
        <f>K464*2</f>
        <v/>
      </c>
      <c r="M464" s="208">
        <f>ROUNDDOWN(L464*0.7,)</f>
        <v/>
      </c>
      <c r="N464" s="194" t="n">
        <v>22080</v>
      </c>
      <c r="O464" s="220" t="n">
        <v>2020000</v>
      </c>
    </row>
    <row r="465">
      <c r="A465" t="inlineStr">
        <is>
          <t>AFEEZ AJIBADE/Ebenezer</t>
        </is>
      </c>
      <c r="B465">
        <f>CONCATENATE(E465,"-",F465,"-",D465)</f>
        <v/>
      </c>
      <c r="C465" s="25">
        <f>CONCATENATE(G465,"-",F465,"-",D465)</f>
        <v/>
      </c>
      <c r="D465" s="25" t="inlineStr">
        <is>
          <t>JUMBO</t>
        </is>
      </c>
      <c r="E465" s="25" t="inlineStr">
        <is>
          <t>NBL-DSL</t>
        </is>
      </c>
      <c r="F465" s="63" t="inlineStr">
        <is>
          <t>45T</t>
        </is>
      </c>
      <c r="G465" s="204" t="inlineStr">
        <is>
          <t>Mega Manu</t>
        </is>
      </c>
      <c r="H465" s="204" t="inlineStr">
        <is>
          <t>Lagos</t>
        </is>
      </c>
      <c r="I465" s="204" t="inlineStr">
        <is>
          <t>Aba</t>
        </is>
      </c>
      <c r="J465" s="204" t="inlineStr">
        <is>
          <t>Abia</t>
        </is>
      </c>
      <c r="K465" s="214" t="n">
        <v>620</v>
      </c>
      <c r="L465" s="218">
        <f>K465*2</f>
        <v/>
      </c>
      <c r="M465" s="208">
        <f>ROUNDDOWN(L465*0.7,)</f>
        <v/>
      </c>
      <c r="N465" s="194" t="n">
        <v>29760</v>
      </c>
      <c r="O465" s="220" t="n">
        <v>2700000</v>
      </c>
    </row>
    <row r="466">
      <c r="A466" t="inlineStr">
        <is>
          <t>AFEEZ AJIBADE/Ebenezer</t>
        </is>
      </c>
      <c r="B466">
        <f>CONCATENATE(E466,"-",F466,"-",D466)</f>
        <v/>
      </c>
      <c r="C466" s="25">
        <f>CONCATENATE(G466,"-",F466,"-",D466)</f>
        <v/>
      </c>
      <c r="D466" s="25" t="inlineStr">
        <is>
          <t>JUMBO</t>
        </is>
      </c>
      <c r="E466" s="25" t="inlineStr">
        <is>
          <t>NBL-DSL</t>
        </is>
      </c>
      <c r="F466" s="63" t="inlineStr">
        <is>
          <t>45T</t>
        </is>
      </c>
      <c r="G466" s="204" t="inlineStr">
        <is>
          <t>Mega Manu</t>
        </is>
      </c>
      <c r="H466" s="204" t="inlineStr">
        <is>
          <t>Lagos</t>
        </is>
      </c>
      <c r="I466" s="205" t="inlineStr">
        <is>
          <t>Kano</t>
        </is>
      </c>
      <c r="J466" s="205" t="inlineStr">
        <is>
          <t>Kano</t>
        </is>
      </c>
      <c r="K466" s="214" t="n">
        <v>1100</v>
      </c>
      <c r="L466" s="215">
        <f>K466*2</f>
        <v/>
      </c>
      <c r="M466" s="208">
        <f>ROUNDDOWN(L466*0.7,)</f>
        <v/>
      </c>
      <c r="N466" s="194" t="n">
        <v>52800</v>
      </c>
      <c r="O466" s="220" t="n">
        <v>4450000</v>
      </c>
    </row>
    <row r="467">
      <c r="A467" t="inlineStr">
        <is>
          <t>AFEEZ AJIBADE/Ebenezer</t>
        </is>
      </c>
      <c r="B467">
        <f>CONCATENATE(E467,"-",F467,"-",D467)</f>
        <v/>
      </c>
      <c r="C467" s="25">
        <f>CONCATENATE(G467,"-",F467,"-",D467)</f>
        <v/>
      </c>
      <c r="D467" s="25" t="inlineStr">
        <is>
          <t>JUMBO</t>
        </is>
      </c>
      <c r="E467" s="25" t="inlineStr">
        <is>
          <t>NBL-DSL</t>
        </is>
      </c>
      <c r="F467" s="63" t="inlineStr">
        <is>
          <t>45T</t>
        </is>
      </c>
      <c r="G467" s="204" t="inlineStr">
        <is>
          <t>Mega Manu</t>
        </is>
      </c>
      <c r="H467" s="204" t="inlineStr">
        <is>
          <t>Lagos</t>
        </is>
      </c>
      <c r="I467" s="204" t="inlineStr">
        <is>
          <t>Abuja</t>
        </is>
      </c>
      <c r="J467" s="204" t="inlineStr">
        <is>
          <t>FCT</t>
        </is>
      </c>
      <c r="K467" s="217" t="n">
        <v>751</v>
      </c>
      <c r="L467" s="218">
        <f>K467*2</f>
        <v/>
      </c>
      <c r="M467" s="208">
        <f>ROUNDDOWN(L467*0.7,)</f>
        <v/>
      </c>
      <c r="N467" s="194" t="n">
        <v>36048</v>
      </c>
      <c r="O467" s="220" t="n">
        <v>3310000</v>
      </c>
    </row>
    <row r="468">
      <c r="A468" t="inlineStr">
        <is>
          <t>AFEEZ AJIBADE/Ebenezer</t>
        </is>
      </c>
      <c r="B468">
        <f>CONCATENATE(E468,"-",F468,"-",D468)</f>
        <v/>
      </c>
      <c r="C468" s="25">
        <f>CONCATENATE(G468,"-",F468,"-",D468)</f>
        <v/>
      </c>
      <c r="D468" s="25" t="inlineStr">
        <is>
          <t>JUMBO</t>
        </is>
      </c>
      <c r="E468" s="25" t="inlineStr">
        <is>
          <t>NBL-DSL</t>
        </is>
      </c>
      <c r="F468" s="63" t="inlineStr">
        <is>
          <t>45T</t>
        </is>
      </c>
      <c r="G468" s="204" t="inlineStr">
        <is>
          <t>Mega Manu</t>
        </is>
      </c>
      <c r="H468" s="204" t="inlineStr">
        <is>
          <t>Lagos</t>
        </is>
      </c>
      <c r="I468" s="204" t="inlineStr">
        <is>
          <t>Ibadan</t>
        </is>
      </c>
      <c r="J468" s="204" t="inlineStr">
        <is>
          <t>Oyo</t>
        </is>
      </c>
      <c r="K468" s="217" t="n">
        <v>124</v>
      </c>
      <c r="L468" s="218">
        <f>K468*2</f>
        <v/>
      </c>
      <c r="M468" s="208">
        <f>ROUNDDOWN(L468*0.7,)</f>
        <v/>
      </c>
      <c r="N468" s="194" t="n">
        <v>5952</v>
      </c>
      <c r="O468" s="220" t="n">
        <v>850000</v>
      </c>
    </row>
    <row r="469">
      <c r="A469" t="inlineStr">
        <is>
          <t>AFEEZ AJIBADE/Ebenezer</t>
        </is>
      </c>
      <c r="B469">
        <f>CONCATENATE(E469,"-",F469,"-",D469)</f>
        <v/>
      </c>
      <c r="C469" s="25">
        <f>CONCATENATE(G469,"-",F469,"-",D469)</f>
        <v/>
      </c>
      <c r="D469" s="25" t="inlineStr">
        <is>
          <t>JUMBO</t>
        </is>
      </c>
      <c r="E469" s="25" t="inlineStr">
        <is>
          <t>NBL-DSL</t>
        </is>
      </c>
      <c r="F469" s="79" t="inlineStr">
        <is>
          <t>45T</t>
        </is>
      </c>
      <c r="G469" s="209" t="inlineStr">
        <is>
          <t>Mega Manu</t>
        </is>
      </c>
      <c r="H469" s="209" t="inlineStr">
        <is>
          <t>Lagos</t>
        </is>
      </c>
      <c r="I469" s="209" t="inlineStr">
        <is>
          <t>Kaduna</t>
        </is>
      </c>
      <c r="J469" s="209" t="inlineStr">
        <is>
          <t>Kaduna</t>
        </is>
      </c>
      <c r="K469" s="222" t="n">
        <v>950</v>
      </c>
      <c r="L469" s="223">
        <f>K469*2</f>
        <v/>
      </c>
      <c r="M469" s="208">
        <f>ROUNDDOWN(L469*0.7,)</f>
        <v/>
      </c>
      <c r="N469" s="194" t="n">
        <v>45600</v>
      </c>
      <c r="O469" s="220" t="n">
        <v>4140000</v>
      </c>
    </row>
    <row r="470">
      <c r="A470" t="inlineStr">
        <is>
          <t>AFEEZ AJIBADE/Ebenezer</t>
        </is>
      </c>
      <c r="B470">
        <f>CONCATENATE(E470,"-",F470,"-",D470)</f>
        <v/>
      </c>
      <c r="C470" s="25">
        <f>CONCATENATE(G470,"-",F470,"-",D470)</f>
        <v/>
      </c>
      <c r="D470" s="25" t="inlineStr">
        <is>
          <t>JUMBO</t>
        </is>
      </c>
      <c r="E470" s="25" t="inlineStr">
        <is>
          <t>NBL-DSL</t>
        </is>
      </c>
      <c r="F470" s="79" t="inlineStr">
        <is>
          <t>30T</t>
        </is>
      </c>
      <c r="G470" s="209" t="inlineStr">
        <is>
          <t>Mega Manu-Local</t>
        </is>
      </c>
      <c r="H470" s="209" t="inlineStr">
        <is>
          <t>Lagos</t>
        </is>
      </c>
      <c r="I470" s="224" t="inlineStr">
        <is>
          <t>Agbara</t>
        </is>
      </c>
      <c r="J470" s="224" t="inlineStr">
        <is>
          <t>Ogun</t>
        </is>
      </c>
      <c r="K470" s="225" t="n">
        <v>38.1</v>
      </c>
      <c r="L470" s="226" t="n">
        <v>86.59999999999999</v>
      </c>
      <c r="M470" s="208">
        <f>ROUNDDOWN(L470*0.7,)</f>
        <v/>
      </c>
      <c r="N470" s="194" t="n">
        <v>2078.4</v>
      </c>
      <c r="O470" s="189" t="n">
        <v>540000</v>
      </c>
    </row>
    <row r="471">
      <c r="A471" t="inlineStr">
        <is>
          <t>AFEEZ AJIBADE/Ebenezer</t>
        </is>
      </c>
      <c r="B471">
        <f>CONCATENATE(E471,"-",F471,"-",D471)</f>
        <v/>
      </c>
      <c r="C471" s="25">
        <f>CONCATENATE(G471,"-",F471,"-",D471)</f>
        <v/>
      </c>
      <c r="D471" s="25" t="inlineStr">
        <is>
          <t>JUMBO</t>
        </is>
      </c>
      <c r="E471" s="25" t="inlineStr">
        <is>
          <t>NBL-DSL</t>
        </is>
      </c>
      <c r="F471" s="79" t="inlineStr">
        <is>
          <t>30T</t>
        </is>
      </c>
      <c r="G471" s="209" t="inlineStr">
        <is>
          <t>Mega Manu-Local</t>
        </is>
      </c>
      <c r="H471" s="209" t="inlineStr">
        <is>
          <t>Lagos</t>
        </is>
      </c>
      <c r="I471" s="224" t="inlineStr">
        <is>
          <t>Amuwo Odofin</t>
        </is>
      </c>
      <c r="J471" s="224" t="inlineStr">
        <is>
          <t>Lagos</t>
        </is>
      </c>
      <c r="K471" s="225" t="n">
        <v>9.9</v>
      </c>
      <c r="L471" s="226" t="n">
        <v>31.9</v>
      </c>
      <c r="M471" s="208">
        <f>ROUNDDOWN(L471*0.7,)</f>
        <v/>
      </c>
      <c r="N471" s="194" t="n">
        <v>765.5999999999999</v>
      </c>
      <c r="O471" s="189" t="n">
        <v>517000</v>
      </c>
    </row>
    <row r="472">
      <c r="A472" t="inlineStr">
        <is>
          <t>AFEEZ AJIBADE/Ebenezer</t>
        </is>
      </c>
      <c r="B472">
        <f>CONCATENATE(E472,"-",F472,"-",D472)</f>
        <v/>
      </c>
      <c r="C472" s="25">
        <f>CONCATENATE(G472,"-",F472,"-",D472)</f>
        <v/>
      </c>
      <c r="D472" s="25" t="inlineStr">
        <is>
          <t>JUMBO</t>
        </is>
      </c>
      <c r="E472" s="25" t="inlineStr">
        <is>
          <t>NBL-DSL</t>
        </is>
      </c>
      <c r="F472" s="79" t="inlineStr">
        <is>
          <t>30T</t>
        </is>
      </c>
      <c r="G472" s="209" t="inlineStr">
        <is>
          <t>Mega Manu-Local</t>
        </is>
      </c>
      <c r="H472" s="209" t="inlineStr">
        <is>
          <t>Lagos</t>
        </is>
      </c>
      <c r="I472" s="224" t="inlineStr">
        <is>
          <t>Isolo</t>
        </is>
      </c>
      <c r="J472" s="224" t="inlineStr">
        <is>
          <t>Lagos</t>
        </is>
      </c>
      <c r="K472" s="225" t="n">
        <v>22.9</v>
      </c>
      <c r="L472" s="226" t="n">
        <v>36.8</v>
      </c>
      <c r="M472" s="208">
        <f>ROUNDDOWN(L472*0.7,)</f>
        <v/>
      </c>
      <c r="N472" s="194" t="n">
        <v>883.1999999999999</v>
      </c>
      <c r="O472" s="189" t="n">
        <v>517000</v>
      </c>
    </row>
    <row r="473">
      <c r="A473" t="inlineStr">
        <is>
          <t>AFEEZ AJIBADE/Ebenezer</t>
        </is>
      </c>
      <c r="B473">
        <f>CONCATENATE(E473,"-",F473,"-",D473)</f>
        <v/>
      </c>
      <c r="C473" s="25">
        <f>CONCATENATE(G473,"-",F473,"-",D473)</f>
        <v/>
      </c>
      <c r="D473" s="25" t="inlineStr">
        <is>
          <t>JUMBO</t>
        </is>
      </c>
      <c r="E473" s="25" t="inlineStr">
        <is>
          <t>NBL-DSL</t>
        </is>
      </c>
      <c r="F473" s="79" t="inlineStr">
        <is>
          <t>30T</t>
        </is>
      </c>
      <c r="G473" s="209" t="inlineStr">
        <is>
          <t>Mega Manu-Local</t>
        </is>
      </c>
      <c r="H473" s="209" t="inlineStr">
        <is>
          <t>Lagos</t>
        </is>
      </c>
      <c r="I473" s="224" t="inlineStr">
        <is>
          <t>Ibadan</t>
        </is>
      </c>
      <c r="J473" s="224" t="inlineStr">
        <is>
          <t>Oyo</t>
        </is>
      </c>
      <c r="K473" s="225" t="n">
        <v>120</v>
      </c>
      <c r="L473" s="226">
        <f>K473*2</f>
        <v/>
      </c>
      <c r="M473" s="208">
        <f>ROUNDDOWN(L473*0.7,)</f>
        <v/>
      </c>
      <c r="N473" s="194" t="n">
        <v>5760</v>
      </c>
      <c r="O473" s="189" t="n">
        <v>672000</v>
      </c>
    </row>
    <row r="474">
      <c r="A474" t="inlineStr">
        <is>
          <t>AFEEZ AJIBADE/Ebenezer</t>
        </is>
      </c>
      <c r="B474">
        <f>CONCATENATE(E474,"-",F474,"-",D474)</f>
        <v/>
      </c>
      <c r="C474" s="25">
        <f>CONCATENATE(G474,"-",F474,"-",D474)</f>
        <v/>
      </c>
      <c r="D474" s="25" t="inlineStr">
        <is>
          <t>JUMBO</t>
        </is>
      </c>
      <c r="E474" s="25" t="inlineStr">
        <is>
          <t>NBL-DSL</t>
        </is>
      </c>
      <c r="F474" s="79" t="inlineStr">
        <is>
          <t>30T</t>
        </is>
      </c>
      <c r="G474" s="209" t="inlineStr">
        <is>
          <t>Mega Manu-Local</t>
        </is>
      </c>
      <c r="H474" s="209" t="inlineStr">
        <is>
          <t>Lagos</t>
        </is>
      </c>
      <c r="I474" s="224" t="inlineStr">
        <is>
          <t>Sango-Ota</t>
        </is>
      </c>
      <c r="J474" s="224" t="inlineStr">
        <is>
          <t>Ogun</t>
        </is>
      </c>
      <c r="K474" s="225" t="n">
        <v>49.3</v>
      </c>
      <c r="L474" s="226" t="n">
        <v>80.5</v>
      </c>
      <c r="M474" s="208">
        <f>ROUNDDOWN(L474*0.7,)</f>
        <v/>
      </c>
      <c r="N474" s="194" t="n">
        <v>1932</v>
      </c>
      <c r="O474" s="189" t="n">
        <v>540000</v>
      </c>
    </row>
    <row r="475">
      <c r="A475" t="inlineStr">
        <is>
          <t>AFEEZ AJIBADE/Ebenezer</t>
        </is>
      </c>
      <c r="B475">
        <f>CONCATENATE(E475,"-",F475,"-",D475)</f>
        <v/>
      </c>
      <c r="C475" s="25">
        <f>CONCATENATE(G475,"-",F475,"-",D475)</f>
        <v/>
      </c>
      <c r="D475" s="25" t="inlineStr">
        <is>
          <t>JUMBO</t>
        </is>
      </c>
      <c r="E475" s="25" t="inlineStr">
        <is>
          <t>NBL-DSL</t>
        </is>
      </c>
      <c r="F475" s="79" t="inlineStr">
        <is>
          <t>30T</t>
        </is>
      </c>
      <c r="G475" s="209" t="inlineStr">
        <is>
          <t>Mega Manu-Local</t>
        </is>
      </c>
      <c r="H475" s="209" t="inlineStr">
        <is>
          <t>Lagos</t>
        </is>
      </c>
      <c r="I475" s="224" t="inlineStr">
        <is>
          <t>Matori</t>
        </is>
      </c>
      <c r="J475" s="224" t="inlineStr">
        <is>
          <t>Lagos</t>
        </is>
      </c>
      <c r="K475" s="225" t="n">
        <v>19.5</v>
      </c>
      <c r="L475" s="226" t="n">
        <v>29.5</v>
      </c>
      <c r="M475" s="208">
        <f>ROUNDDOWN(L475*0.7,)</f>
        <v/>
      </c>
      <c r="N475" s="194" t="n">
        <v>708</v>
      </c>
      <c r="O475" s="189" t="n">
        <v>517000</v>
      </c>
    </row>
    <row r="476">
      <c r="A476" t="inlineStr">
        <is>
          <t>AFEEZ AJIBADE/Ebenezer</t>
        </is>
      </c>
      <c r="B476">
        <f>CONCATENATE(E476,"-",F476,"-",D476)</f>
        <v/>
      </c>
      <c r="C476" s="25">
        <f>CONCATENATE(G476,"-",F476,"-",D476)</f>
        <v/>
      </c>
      <c r="D476" s="25" t="inlineStr">
        <is>
          <t>JUMBO</t>
        </is>
      </c>
      <c r="E476" s="25" t="inlineStr">
        <is>
          <t>NBL-DSL</t>
        </is>
      </c>
      <c r="F476" s="79" t="inlineStr">
        <is>
          <t>30T</t>
        </is>
      </c>
      <c r="G476" s="209" t="inlineStr">
        <is>
          <t>Mega Manu-Local</t>
        </is>
      </c>
      <c r="H476" s="209" t="inlineStr">
        <is>
          <t>Lagos</t>
        </is>
      </c>
      <c r="I476" s="224" t="inlineStr">
        <is>
          <t>Fatai Atere</t>
        </is>
      </c>
      <c r="J476" s="224" t="inlineStr">
        <is>
          <t>Lagos</t>
        </is>
      </c>
      <c r="K476" s="225" t="n">
        <v>22.6</v>
      </c>
      <c r="L476" s="226" t="n">
        <v>31.9</v>
      </c>
      <c r="M476" s="208">
        <f>ROUNDDOWN(L476*0.7,)</f>
        <v/>
      </c>
      <c r="N476" s="194" t="n">
        <v>765.5999999999999</v>
      </c>
      <c r="O476" s="189" t="n">
        <v>517000</v>
      </c>
    </row>
    <row r="477">
      <c r="A477" t="inlineStr">
        <is>
          <t>AFEEZ AJIBADE/Ebenezer</t>
        </is>
      </c>
      <c r="B477">
        <f>CONCATENATE(E477,"-",F477,"-",D477)</f>
        <v/>
      </c>
      <c r="C477" s="25">
        <f>CONCATENATE(G477,"-",F477,"-",D477)</f>
        <v/>
      </c>
      <c r="D477" s="25" t="inlineStr">
        <is>
          <t>JUMBO</t>
        </is>
      </c>
      <c r="E477" s="25" t="inlineStr">
        <is>
          <t>NBL-DSL</t>
        </is>
      </c>
      <c r="F477" s="79" t="inlineStr">
        <is>
          <t>30T</t>
        </is>
      </c>
      <c r="G477" s="209" t="inlineStr">
        <is>
          <t>Mega Manu-Local</t>
        </is>
      </c>
      <c r="H477" s="209" t="inlineStr">
        <is>
          <t>Lagos</t>
        </is>
      </c>
      <c r="I477" s="224" t="inlineStr">
        <is>
          <t>Igbesa</t>
        </is>
      </c>
      <c r="J477" s="224" t="inlineStr">
        <is>
          <t>Ogun</t>
        </is>
      </c>
      <c r="K477" s="225" t="n">
        <v>54.5</v>
      </c>
      <c r="L477" s="226" t="n">
        <v>91.90000000000001</v>
      </c>
      <c r="M477" s="208">
        <f>ROUNDDOWN(L477*0.7,)</f>
        <v/>
      </c>
      <c r="N477" s="194" t="n">
        <v>2205.6</v>
      </c>
      <c r="O477" s="189" t="n">
        <v>579000</v>
      </c>
    </row>
    <row r="478">
      <c r="A478" t="inlineStr">
        <is>
          <t>AFEEZ AJIBADE/Ebenezer</t>
        </is>
      </c>
      <c r="B478">
        <f>CONCATENATE(E478,"-",F478,"-",D478)</f>
        <v/>
      </c>
      <c r="C478" s="25">
        <f>CONCATENATE(G478,"-",F478,"-",D478)</f>
        <v/>
      </c>
      <c r="D478" s="25" t="inlineStr">
        <is>
          <t>JUMBO</t>
        </is>
      </c>
      <c r="E478" s="25" t="inlineStr">
        <is>
          <t>NBL-DSL</t>
        </is>
      </c>
      <c r="F478" s="79" t="inlineStr">
        <is>
          <t>30T</t>
        </is>
      </c>
      <c r="G478" s="209" t="inlineStr">
        <is>
          <t>Mega Manu-Local</t>
        </is>
      </c>
      <c r="H478" s="209" t="inlineStr">
        <is>
          <t>Lagos</t>
        </is>
      </c>
      <c r="I478" s="224" t="inlineStr">
        <is>
          <t>Ikeja</t>
        </is>
      </c>
      <c r="J478" s="224" t="inlineStr">
        <is>
          <t>Lagos</t>
        </is>
      </c>
      <c r="K478" s="225" t="n">
        <v>22.6</v>
      </c>
      <c r="L478" s="226" t="n">
        <v>35.8</v>
      </c>
      <c r="M478" s="208">
        <f>ROUNDDOWN(L478*0.7,)</f>
        <v/>
      </c>
      <c r="N478" s="194" t="n">
        <v>859.1999999999999</v>
      </c>
      <c r="O478" s="189" t="n">
        <v>529000</v>
      </c>
    </row>
    <row r="479">
      <c r="A479" t="inlineStr">
        <is>
          <t>AFEEZ AJIBADE/Ebenezer</t>
        </is>
      </c>
      <c r="B479">
        <f>CONCATENATE(E479,"-",F479,"-",D479)</f>
        <v/>
      </c>
      <c r="C479" s="25">
        <f>CONCATENATE(G479,"-",F479,"-",D479)</f>
        <v/>
      </c>
      <c r="D479" s="25" t="inlineStr">
        <is>
          <t>JUMBO</t>
        </is>
      </c>
      <c r="E479" s="25" t="inlineStr">
        <is>
          <t>NBL-DSL</t>
        </is>
      </c>
      <c r="F479" s="79" t="inlineStr">
        <is>
          <t>30T</t>
        </is>
      </c>
      <c r="G479" s="209" t="inlineStr">
        <is>
          <t>Mega Manu-Local</t>
        </is>
      </c>
      <c r="H479" s="209" t="inlineStr">
        <is>
          <t>Lagos</t>
        </is>
      </c>
      <c r="I479" s="224" t="inlineStr">
        <is>
          <t>Dopemu</t>
        </is>
      </c>
      <c r="J479" s="224" t="inlineStr">
        <is>
          <t>Lagos</t>
        </is>
      </c>
      <c r="K479" s="225" t="n">
        <v>32.2</v>
      </c>
      <c r="L479" s="226" t="n">
        <v>49</v>
      </c>
      <c r="M479" s="208">
        <f>ROUNDDOWN(L479*0.7,)</f>
        <v/>
      </c>
      <c r="N479" s="194" t="n">
        <v>1176</v>
      </c>
      <c r="O479" s="189" t="n">
        <v>529000</v>
      </c>
    </row>
    <row r="480">
      <c r="A480" t="inlineStr">
        <is>
          <t>AFEEZ AJIBADE/Ebenezer</t>
        </is>
      </c>
      <c r="B480">
        <f>CONCATENATE(E480,"-",F480,"-",D480)</f>
        <v/>
      </c>
      <c r="C480" s="25">
        <f>CONCATENATE(G480,"-",F480,"-",D480)</f>
        <v/>
      </c>
      <c r="D480" s="25" t="inlineStr">
        <is>
          <t>JUMBO</t>
        </is>
      </c>
      <c r="E480" s="25" t="inlineStr">
        <is>
          <t>NBL-DSL</t>
        </is>
      </c>
      <c r="F480" s="79" t="inlineStr">
        <is>
          <t>30T</t>
        </is>
      </c>
      <c r="G480" s="209" t="inlineStr">
        <is>
          <t>Mega Manu-Local</t>
        </is>
      </c>
      <c r="H480" s="209" t="inlineStr">
        <is>
          <t>Lagos</t>
        </is>
      </c>
      <c r="I480" s="224" t="inlineStr">
        <is>
          <t>Sagamu</t>
        </is>
      </c>
      <c r="J480" s="224" t="inlineStr">
        <is>
          <t>Ogun</t>
        </is>
      </c>
      <c r="K480" s="225" t="n">
        <v>76.3</v>
      </c>
      <c r="L480" s="226" t="n">
        <v>140</v>
      </c>
      <c r="M480" s="208">
        <f>ROUNDDOWN(L480*0.7,)</f>
        <v/>
      </c>
      <c r="N480" s="194" t="n">
        <v>3360</v>
      </c>
      <c r="O480" s="189" t="n">
        <v>599000</v>
      </c>
    </row>
    <row r="481">
      <c r="A481" t="inlineStr">
        <is>
          <t>AFEEZ AJIBADE/Ebenezer</t>
        </is>
      </c>
      <c r="B481">
        <f>CONCATENATE(E481,"-",F481,"-",D481)</f>
        <v/>
      </c>
      <c r="C481" s="25">
        <f>CONCATENATE(G481,"-",F481,"-",D481)</f>
        <v/>
      </c>
      <c r="D481" s="25" t="inlineStr">
        <is>
          <t>JUMBO</t>
        </is>
      </c>
      <c r="E481" s="25" t="inlineStr">
        <is>
          <t>NBL-DSL</t>
        </is>
      </c>
      <c r="F481" s="79" t="inlineStr">
        <is>
          <t>30T</t>
        </is>
      </c>
      <c r="G481" s="209" t="inlineStr">
        <is>
          <t>Mega Manu-Local</t>
        </is>
      </c>
      <c r="H481" s="209" t="inlineStr">
        <is>
          <t>Lagos</t>
        </is>
      </c>
      <c r="I481" s="224" t="inlineStr">
        <is>
          <t>Mowe</t>
        </is>
      </c>
      <c r="J481" s="224" t="inlineStr">
        <is>
          <t>Ogun</t>
        </is>
      </c>
      <c r="K481" s="225" t="n">
        <v>59.7</v>
      </c>
      <c r="L481" s="226" t="n">
        <v>86.5</v>
      </c>
      <c r="M481" s="208">
        <f>ROUNDDOWN(L481*0.7,)</f>
        <v/>
      </c>
      <c r="N481" s="194" t="n">
        <v>2076</v>
      </c>
      <c r="O481" s="189" t="n">
        <v>599000</v>
      </c>
    </row>
    <row r="482">
      <c r="A482" t="inlineStr">
        <is>
          <t>AFEEZ AJIBADE/Ebenezer</t>
        </is>
      </c>
      <c r="B482">
        <f>CONCATENATE(E482,"-",F482,"-",D482)</f>
        <v/>
      </c>
      <c r="C482" s="25">
        <f>CONCATENATE(G482,"-",F482,"-",D482)</f>
        <v/>
      </c>
      <c r="D482" s="25" t="inlineStr">
        <is>
          <t>JUMBO</t>
        </is>
      </c>
      <c r="E482" s="25" t="inlineStr">
        <is>
          <t>NBL-DSL</t>
        </is>
      </c>
      <c r="F482" s="79" t="inlineStr">
        <is>
          <t>30T</t>
        </is>
      </c>
      <c r="G482" s="209" t="inlineStr">
        <is>
          <t>Mega Manu-Local</t>
        </is>
      </c>
      <c r="H482" s="209" t="inlineStr">
        <is>
          <t>Lagos</t>
        </is>
      </c>
      <c r="I482" s="224" t="inlineStr">
        <is>
          <t>Ijebu-Ososa</t>
        </is>
      </c>
      <c r="J482" s="224" t="inlineStr">
        <is>
          <t>Ogun</t>
        </is>
      </c>
      <c r="K482" s="225" t="n">
        <v>110</v>
      </c>
      <c r="L482" s="226" t="n">
        <v>208</v>
      </c>
      <c r="M482" s="208">
        <f>ROUNDDOWN(L482*0.7,)</f>
        <v/>
      </c>
      <c r="N482" s="194" t="n">
        <v>4992</v>
      </c>
      <c r="O482" s="189" t="n">
        <v>599000</v>
      </c>
    </row>
    <row r="483">
      <c r="A483" t="inlineStr">
        <is>
          <t>AFEEZ AJIBADE/Ebenezer</t>
        </is>
      </c>
      <c r="B483">
        <f>CONCATENATE(E483,"-",F483,"-",D483)</f>
        <v/>
      </c>
      <c r="C483" s="25">
        <f>CONCATENATE(G483,"-",F483,"-",D483)</f>
        <v/>
      </c>
      <c r="D483" s="25" t="inlineStr">
        <is>
          <t>JUMBO</t>
        </is>
      </c>
      <c r="E483" s="25" t="inlineStr">
        <is>
          <t>NBL-DSL</t>
        </is>
      </c>
      <c r="F483" s="79" t="inlineStr">
        <is>
          <t>30T</t>
        </is>
      </c>
      <c r="G483" s="209" t="inlineStr">
        <is>
          <t>Mega Manu-Local</t>
        </is>
      </c>
      <c r="H483" s="209" t="inlineStr">
        <is>
          <t>Lagos</t>
        </is>
      </c>
      <c r="I483" s="224" t="inlineStr">
        <is>
          <t>Ojota</t>
        </is>
      </c>
      <c r="J483" s="224" t="inlineStr">
        <is>
          <t>Lagos</t>
        </is>
      </c>
      <c r="K483" s="225" t="n">
        <v>19.6</v>
      </c>
      <c r="L483" s="226" t="n">
        <v>27.8</v>
      </c>
      <c r="M483" s="208">
        <f>ROUNDDOWN(L483*0.7,)</f>
        <v/>
      </c>
      <c r="N483" s="194" t="n">
        <v>667.2</v>
      </c>
      <c r="O483" s="189" t="n">
        <v>585000</v>
      </c>
    </row>
    <row r="484">
      <c r="A484" t="inlineStr">
        <is>
          <t>AFEEZ AJIBADE/Ebenezer</t>
        </is>
      </c>
      <c r="B484">
        <f>CONCATENATE(E484,"-",F484,"-",D484)</f>
        <v/>
      </c>
      <c r="C484" s="25">
        <f>CONCATENATE(G484,"-",F484,"-",D484)</f>
        <v/>
      </c>
      <c r="D484" s="25" t="inlineStr">
        <is>
          <t>JUMBO</t>
        </is>
      </c>
      <c r="E484" s="25" t="inlineStr">
        <is>
          <t>NBL-DSL</t>
        </is>
      </c>
      <c r="F484" s="79" t="inlineStr">
        <is>
          <t>30T</t>
        </is>
      </c>
      <c r="G484" s="209" t="inlineStr">
        <is>
          <t>Mega Manu-Local</t>
        </is>
      </c>
      <c r="H484" s="209" t="inlineStr">
        <is>
          <t>Lagos</t>
        </is>
      </c>
      <c r="I484" s="224" t="inlineStr">
        <is>
          <t>Ijebu-Ode</t>
        </is>
      </c>
      <c r="J484" s="224" t="inlineStr">
        <is>
          <t>Ogun</t>
        </is>
      </c>
      <c r="K484" s="225" t="n">
        <v>110</v>
      </c>
      <c r="L484" s="226" t="n">
        <v>208</v>
      </c>
      <c r="M484" s="208">
        <f>ROUNDDOWN(L484*0.7,)</f>
        <v/>
      </c>
      <c r="N484" s="194" t="n">
        <v>4992</v>
      </c>
      <c r="O484" s="189" t="n">
        <v>670000</v>
      </c>
    </row>
    <row r="485">
      <c r="A485" t="inlineStr">
        <is>
          <t>AFEEZ AJIBADE/Ebenezer</t>
        </is>
      </c>
      <c r="B485">
        <f>CONCATENATE(E485,"-",F485,"-",D485)</f>
        <v/>
      </c>
      <c r="C485" s="25">
        <f>CONCATENATE(G485,"-",F485,"-",D485)</f>
        <v/>
      </c>
      <c r="D485" s="25" t="inlineStr">
        <is>
          <t>JUMBO</t>
        </is>
      </c>
      <c r="E485" s="25" t="inlineStr">
        <is>
          <t>NBL-DSL</t>
        </is>
      </c>
      <c r="F485" s="79" t="inlineStr">
        <is>
          <t>30T</t>
        </is>
      </c>
      <c r="G485" s="209" t="inlineStr">
        <is>
          <t>Mega Manu-Local</t>
        </is>
      </c>
      <c r="H485" s="209" t="inlineStr">
        <is>
          <t>Lagos</t>
        </is>
      </c>
      <c r="I485" s="224" t="inlineStr">
        <is>
          <t>Apapa</t>
        </is>
      </c>
      <c r="J485" s="224" t="inlineStr">
        <is>
          <t>Lagos</t>
        </is>
      </c>
      <c r="K485" s="225" t="n">
        <v>3.4</v>
      </c>
      <c r="L485" s="226" t="n">
        <v>22.7</v>
      </c>
      <c r="M485" s="208">
        <f>ROUNDDOWN(L485*0.7,)</f>
        <v/>
      </c>
      <c r="N485" s="194" t="n">
        <v>544.8</v>
      </c>
      <c r="O485" s="189" t="n">
        <v>517000</v>
      </c>
    </row>
    <row r="486">
      <c r="A486" t="inlineStr">
        <is>
          <t>AFEEZ AJIBADE/Ebenezer</t>
        </is>
      </c>
      <c r="B486">
        <f>CONCATENATE(E486,"-",F486,"-",D486)</f>
        <v/>
      </c>
      <c r="C486" s="25">
        <f>CONCATENATE(G486,"-",F486,"-",D486)</f>
        <v/>
      </c>
      <c r="D486" s="25" t="inlineStr">
        <is>
          <t>JUMBO</t>
        </is>
      </c>
      <c r="E486" s="25" t="inlineStr">
        <is>
          <t>NBL-DSL</t>
        </is>
      </c>
      <c r="F486" s="79" t="inlineStr">
        <is>
          <t>30T</t>
        </is>
      </c>
      <c r="G486" s="209" t="inlineStr">
        <is>
          <t>Mega Manu-Local</t>
        </is>
      </c>
      <c r="H486" s="209" t="inlineStr">
        <is>
          <t>Lagos</t>
        </is>
      </c>
      <c r="I486" s="224" t="inlineStr">
        <is>
          <t>Ilupeju</t>
        </is>
      </c>
      <c r="J486" s="224" t="inlineStr">
        <is>
          <t>Lagos</t>
        </is>
      </c>
      <c r="K486" s="225" t="n">
        <v>22.9</v>
      </c>
      <c r="L486" s="226" t="n">
        <v>29.5</v>
      </c>
      <c r="M486" s="208">
        <f>ROUNDDOWN(L486*0.7,)</f>
        <v/>
      </c>
      <c r="N486" s="194" t="n">
        <v>708</v>
      </c>
      <c r="O486" s="189" t="n">
        <v>529000</v>
      </c>
    </row>
    <row r="487">
      <c r="A487" t="inlineStr">
        <is>
          <t>AFEEZ AJIBADE/Ebenezer</t>
        </is>
      </c>
      <c r="B487">
        <f>CONCATENATE(E487,"-",F487,"-",D487)</f>
        <v/>
      </c>
      <c r="C487" s="25">
        <f>CONCATENATE(G487,"-",F487,"-",D487)</f>
        <v/>
      </c>
      <c r="D487" s="25" t="inlineStr">
        <is>
          <t>JUMBO</t>
        </is>
      </c>
      <c r="E487" s="25" t="inlineStr">
        <is>
          <t>NBL-DSL</t>
        </is>
      </c>
      <c r="F487" s="79" t="inlineStr">
        <is>
          <t>30T</t>
        </is>
      </c>
      <c r="G487" s="209" t="inlineStr">
        <is>
          <t>Mega Manu-Local</t>
        </is>
      </c>
      <c r="H487" s="209" t="inlineStr">
        <is>
          <t>Lagos</t>
        </is>
      </c>
      <c r="I487" s="224" t="inlineStr">
        <is>
          <t>Ajao Estate</t>
        </is>
      </c>
      <c r="J487" s="224" t="inlineStr">
        <is>
          <t>Lagos</t>
        </is>
      </c>
      <c r="K487" s="225" t="n">
        <v>24.8</v>
      </c>
      <c r="L487" s="226" t="n">
        <v>34.7</v>
      </c>
      <c r="M487" s="208">
        <f>ROUNDDOWN(L487*0.7,)</f>
        <v/>
      </c>
      <c r="N487" s="194" t="n">
        <v>832.8000000000001</v>
      </c>
      <c r="O487" s="189" t="n">
        <v>529000</v>
      </c>
    </row>
    <row r="488">
      <c r="A488" t="inlineStr">
        <is>
          <t>AFEEZ AJIBADE/Ebenezer</t>
        </is>
      </c>
      <c r="B488">
        <f>CONCATENATE(E488,"-",F488,"-",D488)</f>
        <v/>
      </c>
      <c r="C488" s="25">
        <f>CONCATENATE(G488,"-",F488,"-",D488)</f>
        <v/>
      </c>
      <c r="D488" s="25" t="inlineStr">
        <is>
          <t>JUMBO</t>
        </is>
      </c>
      <c r="E488" s="25" t="inlineStr">
        <is>
          <t>NBL-DSL</t>
        </is>
      </c>
      <c r="F488" s="79" t="inlineStr">
        <is>
          <t>30T</t>
        </is>
      </c>
      <c r="G488" s="209" t="inlineStr">
        <is>
          <t>Mega Manu-Local</t>
        </is>
      </c>
      <c r="H488" s="209" t="inlineStr">
        <is>
          <t>Lagos</t>
        </is>
      </c>
      <c r="I488" s="224" t="inlineStr">
        <is>
          <t>Okota</t>
        </is>
      </c>
      <c r="J488" s="224" t="inlineStr">
        <is>
          <t>Lagos</t>
        </is>
      </c>
      <c r="K488" s="225" t="n">
        <v>17.5</v>
      </c>
      <c r="L488" s="226" t="n">
        <v>33.9</v>
      </c>
      <c r="M488" s="208">
        <f>ROUNDDOWN(L488*0.7,)</f>
        <v/>
      </c>
      <c r="N488" s="194" t="n">
        <v>813.5999999999999</v>
      </c>
      <c r="O488" s="189" t="n">
        <v>517000</v>
      </c>
    </row>
    <row r="489">
      <c r="A489" t="inlineStr">
        <is>
          <t>AFEEZ AJIBADE/Ebenezer</t>
        </is>
      </c>
      <c r="B489">
        <f>CONCATENATE(E489,"-",F489,"-",D489)</f>
        <v/>
      </c>
      <c r="C489" s="25">
        <f>CONCATENATE(G489,"-",F489,"-",D489)</f>
        <v/>
      </c>
      <c r="D489" s="25" t="inlineStr">
        <is>
          <t>JUMBO</t>
        </is>
      </c>
      <c r="E489" s="25" t="inlineStr">
        <is>
          <t>NBL-DSL</t>
        </is>
      </c>
      <c r="F489" s="79" t="inlineStr">
        <is>
          <t>30T</t>
        </is>
      </c>
      <c r="G489" s="209" t="inlineStr">
        <is>
          <t>Mega Manu-Local</t>
        </is>
      </c>
      <c r="H489" s="209" t="inlineStr">
        <is>
          <t>Lagos</t>
        </is>
      </c>
      <c r="I489" s="224" t="inlineStr">
        <is>
          <t>Oshodi</t>
        </is>
      </c>
      <c r="J489" s="224" t="inlineStr">
        <is>
          <t>Lagos</t>
        </is>
      </c>
      <c r="K489" s="225" t="n">
        <v>22.9</v>
      </c>
      <c r="L489" s="226" t="n">
        <v>36.8</v>
      </c>
      <c r="M489" s="208">
        <f>ROUNDDOWN(L489*0.7,)</f>
        <v/>
      </c>
      <c r="N489" s="194" t="n">
        <v>883.1999999999999</v>
      </c>
      <c r="O489" s="189" t="n">
        <v>517000</v>
      </c>
    </row>
    <row r="490">
      <c r="A490" t="inlineStr">
        <is>
          <t>AFEEZ AJIBADE/Ebenezer</t>
        </is>
      </c>
      <c r="B490">
        <f>CONCATENATE(E490,"-",F490,"-",D490)</f>
        <v/>
      </c>
      <c r="C490" s="25">
        <f>CONCATENATE(G490,"-",F490,"-",D490)</f>
        <v/>
      </c>
      <c r="D490" s="25" t="inlineStr">
        <is>
          <t>JUMBO</t>
        </is>
      </c>
      <c r="E490" s="25" t="inlineStr">
        <is>
          <t>NBL-DSL</t>
        </is>
      </c>
      <c r="F490" s="79" t="inlineStr">
        <is>
          <t>30T</t>
        </is>
      </c>
      <c r="G490" s="209" t="inlineStr">
        <is>
          <t>Mega Manu-Local</t>
        </is>
      </c>
      <c r="H490" s="209" t="inlineStr">
        <is>
          <t>Lagos</t>
        </is>
      </c>
      <c r="I490" s="224" t="inlineStr">
        <is>
          <t>Ogere</t>
        </is>
      </c>
      <c r="J490" s="224" t="inlineStr">
        <is>
          <t>Ogun</t>
        </is>
      </c>
      <c r="K490" s="225" t="n">
        <v>80.09999999999999</v>
      </c>
      <c r="L490" s="226" t="n">
        <v>144</v>
      </c>
      <c r="M490" s="208">
        <f>ROUNDDOWN(L490*0.7,)</f>
        <v/>
      </c>
      <c r="N490" s="194" t="n">
        <v>3456</v>
      </c>
      <c r="O490" s="189" t="n">
        <v>630000</v>
      </c>
    </row>
    <row r="491">
      <c r="A491" t="inlineStr">
        <is>
          <t>AFEEZ AJIBADE/Ebenezer</t>
        </is>
      </c>
      <c r="B491">
        <f>CONCATENATE(E491,"-",F491,"-",D491)</f>
        <v/>
      </c>
      <c r="C491" s="25">
        <f>CONCATENATE(G491,"-",F491,"-",D491)</f>
        <v/>
      </c>
      <c r="D491" s="25" t="inlineStr">
        <is>
          <t>JUMBO</t>
        </is>
      </c>
      <c r="E491" s="25" t="inlineStr">
        <is>
          <t>NBL-DSL</t>
        </is>
      </c>
      <c r="F491" s="79" t="inlineStr">
        <is>
          <t>30T</t>
        </is>
      </c>
      <c r="G491" s="209" t="inlineStr">
        <is>
          <t>Mega Manu-Local</t>
        </is>
      </c>
      <c r="H491" s="209" t="inlineStr">
        <is>
          <t>Lagos</t>
        </is>
      </c>
      <c r="I491" s="224" t="inlineStr">
        <is>
          <t>Lekki</t>
        </is>
      </c>
      <c r="J491" s="224" t="inlineStr">
        <is>
          <t>Lagos</t>
        </is>
      </c>
      <c r="K491" s="225" t="n">
        <v>21.1</v>
      </c>
      <c r="L491" s="226" t="n">
        <v>48.7</v>
      </c>
      <c r="M491" s="208">
        <f>ROUNDDOWN(L491*0.7,)</f>
        <v/>
      </c>
      <c r="N491" s="194" t="n">
        <v>1168.8</v>
      </c>
      <c r="O491" s="189" t="n">
        <v>650000</v>
      </c>
    </row>
    <row r="492">
      <c r="A492" t="inlineStr">
        <is>
          <t>AFEEZ AJIBADE/Ebenezer</t>
        </is>
      </c>
      <c r="B492">
        <f>CONCATENATE(E492,"-",F492,"-",D492)</f>
        <v/>
      </c>
      <c r="C492" s="25">
        <f>CONCATENATE(G492,"-",F492,"-",D492)</f>
        <v/>
      </c>
      <c r="D492" s="25" t="inlineStr">
        <is>
          <t>JUMBO</t>
        </is>
      </c>
      <c r="E492" s="25" t="inlineStr">
        <is>
          <t>NBL-DSL</t>
        </is>
      </c>
      <c r="F492" s="79" t="inlineStr">
        <is>
          <t>30T</t>
        </is>
      </c>
      <c r="G492" s="209" t="inlineStr">
        <is>
          <t>Mega Manu-Local</t>
        </is>
      </c>
      <c r="H492" s="209" t="inlineStr">
        <is>
          <t>Lagos</t>
        </is>
      </c>
      <c r="I492" s="224" t="inlineStr">
        <is>
          <t>Ogba</t>
        </is>
      </c>
      <c r="J492" s="224" t="inlineStr">
        <is>
          <t>Lagos</t>
        </is>
      </c>
      <c r="K492" s="225" t="n">
        <v>26</v>
      </c>
      <c r="L492" s="226" t="n">
        <v>39.4</v>
      </c>
      <c r="M492" s="208">
        <f>ROUNDDOWN(L492*0.7,)</f>
        <v/>
      </c>
      <c r="N492" s="194" t="n">
        <v>945.5999999999999</v>
      </c>
      <c r="O492" s="189" t="n">
        <v>529000</v>
      </c>
    </row>
    <row r="493">
      <c r="A493" t="inlineStr">
        <is>
          <t>AFEEZ AJIBADE/Ebenezer</t>
        </is>
      </c>
      <c r="B493">
        <f>CONCATENATE(E493,"-",F493,"-",D493)</f>
        <v/>
      </c>
      <c r="C493" s="25">
        <f>CONCATENATE(G493,"-",F493,"-",D493)</f>
        <v/>
      </c>
      <c r="D493" s="25" t="inlineStr">
        <is>
          <t>JUMBO</t>
        </is>
      </c>
      <c r="E493" s="25" t="inlineStr">
        <is>
          <t>NBL-DSL</t>
        </is>
      </c>
      <c r="F493" s="79" t="inlineStr">
        <is>
          <t>30T</t>
        </is>
      </c>
      <c r="G493" s="209" t="inlineStr">
        <is>
          <t>Mega Manu-Local</t>
        </is>
      </c>
      <c r="H493" s="209" t="inlineStr">
        <is>
          <t>Lagos</t>
        </is>
      </c>
      <c r="I493" s="224" t="inlineStr">
        <is>
          <t>Ilorin</t>
        </is>
      </c>
      <c r="J493" s="224" t="inlineStr">
        <is>
          <t>Kwara</t>
        </is>
      </c>
      <c r="K493" s="225" t="n">
        <v>312</v>
      </c>
      <c r="L493" s="226" t="n">
        <v>607</v>
      </c>
      <c r="M493" s="208">
        <f>ROUNDDOWN(L493*0.7,)</f>
        <v/>
      </c>
      <c r="N493" s="194" t="n">
        <v>14568</v>
      </c>
      <c r="O493" s="189" t="n">
        <v>0</v>
      </c>
    </row>
    <row r="494">
      <c r="A494" t="inlineStr">
        <is>
          <t>AFEEZ AJIBADE/Ebenezer</t>
        </is>
      </c>
      <c r="B494">
        <f>CONCATENATE(E494,"-",F494,"-",D494)</f>
        <v/>
      </c>
      <c r="C494" s="25">
        <f>CONCATENATE(G494,"-",F494,"-",D494)</f>
        <v/>
      </c>
      <c r="D494" s="25" t="inlineStr">
        <is>
          <t>JUMBO</t>
        </is>
      </c>
      <c r="E494" s="25" t="inlineStr">
        <is>
          <t>NBL-DSL</t>
        </is>
      </c>
      <c r="F494" s="79" t="inlineStr">
        <is>
          <t>45T</t>
        </is>
      </c>
      <c r="G494" s="209" t="inlineStr">
        <is>
          <t>Mega Manu-Local</t>
        </is>
      </c>
      <c r="H494" s="209" t="inlineStr">
        <is>
          <t>Lagos</t>
        </is>
      </c>
      <c r="I494" s="224" t="inlineStr">
        <is>
          <t>Agbara</t>
        </is>
      </c>
      <c r="J494" s="224" t="inlineStr">
        <is>
          <t>Ogun</t>
        </is>
      </c>
      <c r="K494" s="225" t="n">
        <v>38.1</v>
      </c>
      <c r="L494" s="226" t="n">
        <v>86.59999999999999</v>
      </c>
      <c r="M494" s="208">
        <f>ROUNDDOWN(L494*0.7,)</f>
        <v/>
      </c>
      <c r="N494" s="194" t="n">
        <v>2078.4</v>
      </c>
      <c r="O494" s="189" t="n">
        <v>666000</v>
      </c>
    </row>
    <row r="495">
      <c r="A495" t="inlineStr">
        <is>
          <t>AFEEZ AJIBADE/Ebenezer</t>
        </is>
      </c>
      <c r="B495">
        <f>CONCATENATE(E495,"-",F495,"-",D495)</f>
        <v/>
      </c>
      <c r="C495" s="25">
        <f>CONCATENATE(G495,"-",F495,"-",D495)</f>
        <v/>
      </c>
      <c r="D495" s="25" t="inlineStr">
        <is>
          <t>JUMBO</t>
        </is>
      </c>
      <c r="E495" s="25" t="inlineStr">
        <is>
          <t>NBL-DSL</t>
        </is>
      </c>
      <c r="F495" s="79" t="inlineStr">
        <is>
          <t>45T</t>
        </is>
      </c>
      <c r="G495" s="209" t="inlineStr">
        <is>
          <t>Mega Manu-Local</t>
        </is>
      </c>
      <c r="H495" s="209" t="inlineStr">
        <is>
          <t>Lagos</t>
        </is>
      </c>
      <c r="I495" s="224" t="inlineStr">
        <is>
          <t>Amuwo Odofin</t>
        </is>
      </c>
      <c r="J495" s="224" t="inlineStr">
        <is>
          <t>Lagos</t>
        </is>
      </c>
      <c r="K495" s="225" t="n">
        <v>9.9</v>
      </c>
      <c r="L495" s="226" t="n">
        <v>31.9</v>
      </c>
      <c r="M495" s="208">
        <f>ROUNDDOWN(L495*0.7,)</f>
        <v/>
      </c>
      <c r="N495" s="194" t="n">
        <v>765.5999999999999</v>
      </c>
      <c r="O495" s="189" t="n">
        <v>637000</v>
      </c>
    </row>
    <row r="496">
      <c r="A496" t="inlineStr">
        <is>
          <t>AFEEZ AJIBADE/Ebenezer</t>
        </is>
      </c>
      <c r="B496">
        <f>CONCATENATE(E496,"-",F496,"-",D496)</f>
        <v/>
      </c>
      <c r="C496" s="25">
        <f>CONCATENATE(G496,"-",F496,"-",D496)</f>
        <v/>
      </c>
      <c r="D496" s="25" t="inlineStr">
        <is>
          <t>JUMBO</t>
        </is>
      </c>
      <c r="E496" s="25" t="inlineStr">
        <is>
          <t>NBL-DSL</t>
        </is>
      </c>
      <c r="F496" s="79" t="inlineStr">
        <is>
          <t>45T</t>
        </is>
      </c>
      <c r="G496" s="209" t="inlineStr">
        <is>
          <t>Mega Manu-Local</t>
        </is>
      </c>
      <c r="H496" s="209" t="inlineStr">
        <is>
          <t>Lagos</t>
        </is>
      </c>
      <c r="I496" s="224" t="inlineStr">
        <is>
          <t>Isolo</t>
        </is>
      </c>
      <c r="J496" s="224" t="inlineStr">
        <is>
          <t>Lagos</t>
        </is>
      </c>
      <c r="K496" s="225" t="n">
        <v>22.9</v>
      </c>
      <c r="L496" s="226" t="n">
        <v>36.8</v>
      </c>
      <c r="M496" s="208">
        <f>ROUNDDOWN(L496*0.7,)</f>
        <v/>
      </c>
      <c r="N496" s="194" t="n">
        <v>883.1999999999999</v>
      </c>
      <c r="O496" s="189" t="n">
        <v>637000</v>
      </c>
    </row>
    <row r="497">
      <c r="A497" t="inlineStr">
        <is>
          <t>AFEEZ AJIBADE/Ebenezer</t>
        </is>
      </c>
      <c r="B497">
        <f>CONCATENATE(E497,"-",F497,"-",D497)</f>
        <v/>
      </c>
      <c r="C497" s="25">
        <f>CONCATENATE(G497,"-",F497,"-",D497)</f>
        <v/>
      </c>
      <c r="D497" s="25" t="inlineStr">
        <is>
          <t>JUMBO</t>
        </is>
      </c>
      <c r="E497" s="25" t="inlineStr">
        <is>
          <t>NBL-DSL</t>
        </is>
      </c>
      <c r="F497" s="79" t="inlineStr">
        <is>
          <t>45T</t>
        </is>
      </c>
      <c r="G497" s="209" t="inlineStr">
        <is>
          <t>Mega Manu-Local</t>
        </is>
      </c>
      <c r="H497" s="209" t="inlineStr">
        <is>
          <t>Lagos</t>
        </is>
      </c>
      <c r="I497" s="224" t="inlineStr">
        <is>
          <t>Ibadan</t>
        </is>
      </c>
      <c r="J497" s="224" t="inlineStr">
        <is>
          <t>Oyo</t>
        </is>
      </c>
      <c r="K497" s="225" t="n">
        <v>144</v>
      </c>
      <c r="L497" s="226" t="n">
        <v>271</v>
      </c>
      <c r="M497" s="208">
        <f>ROUNDDOWN(L497*0.7,)</f>
        <v/>
      </c>
      <c r="N497" s="194" t="n">
        <v>6504</v>
      </c>
      <c r="O497" s="189" t="n">
        <v>828000</v>
      </c>
    </row>
    <row r="498">
      <c r="A498" t="inlineStr">
        <is>
          <t>AFEEZ AJIBADE/Ebenezer</t>
        </is>
      </c>
      <c r="B498">
        <f>CONCATENATE(E498,"-",F498,"-",D498)</f>
        <v/>
      </c>
      <c r="C498" s="25">
        <f>CONCATENATE(G498,"-",F498,"-",D498)</f>
        <v/>
      </c>
      <c r="D498" s="25" t="inlineStr">
        <is>
          <t>JUMBO</t>
        </is>
      </c>
      <c r="E498" s="25" t="inlineStr">
        <is>
          <t>NBL-DSL</t>
        </is>
      </c>
      <c r="F498" s="79" t="inlineStr">
        <is>
          <t>45T</t>
        </is>
      </c>
      <c r="G498" s="209" t="inlineStr">
        <is>
          <t>Mega Manu-Local</t>
        </is>
      </c>
      <c r="H498" s="209" t="inlineStr">
        <is>
          <t>Lagos</t>
        </is>
      </c>
      <c r="I498" s="224" t="inlineStr">
        <is>
          <t>Sango-Ota</t>
        </is>
      </c>
      <c r="J498" s="224" t="inlineStr">
        <is>
          <t>Ogun</t>
        </is>
      </c>
      <c r="K498" s="225" t="n">
        <v>49.3</v>
      </c>
      <c r="L498" s="226" t="n">
        <v>80.5</v>
      </c>
      <c r="M498" s="208">
        <f>ROUNDDOWN(L498*0.7,)</f>
        <v/>
      </c>
      <c r="N498" s="194" t="n">
        <v>1932</v>
      </c>
      <c r="O498" s="189" t="n">
        <v>666000</v>
      </c>
    </row>
    <row r="499">
      <c r="A499" t="inlineStr">
        <is>
          <t>AFEEZ AJIBADE/Ebenezer</t>
        </is>
      </c>
      <c r="B499">
        <f>CONCATENATE(E499,"-",F499,"-",D499)</f>
        <v/>
      </c>
      <c r="C499" s="25">
        <f>CONCATENATE(G499,"-",F499,"-",D499)</f>
        <v/>
      </c>
      <c r="D499" s="25" t="inlineStr">
        <is>
          <t>JUMBO</t>
        </is>
      </c>
      <c r="E499" s="25" t="inlineStr">
        <is>
          <t>NBL-DSL</t>
        </is>
      </c>
      <c r="F499" s="79" t="inlineStr">
        <is>
          <t>45T</t>
        </is>
      </c>
      <c r="G499" s="209" t="inlineStr">
        <is>
          <t>Mega Manu-Local</t>
        </is>
      </c>
      <c r="H499" s="209" t="inlineStr">
        <is>
          <t>Lagos</t>
        </is>
      </c>
      <c r="I499" s="224" t="inlineStr">
        <is>
          <t>Matori</t>
        </is>
      </c>
      <c r="J499" s="224" t="inlineStr">
        <is>
          <t>Lagos</t>
        </is>
      </c>
      <c r="K499" s="225" t="n">
        <v>19.5</v>
      </c>
      <c r="L499" s="226" t="n">
        <v>29.5</v>
      </c>
      <c r="M499" s="208">
        <f>ROUNDDOWN(L499*0.7,)</f>
        <v/>
      </c>
      <c r="N499" s="194" t="n">
        <v>708</v>
      </c>
      <c r="O499" s="189" t="n">
        <v>637000</v>
      </c>
    </row>
    <row r="500">
      <c r="A500" t="inlineStr">
        <is>
          <t>AFEEZ AJIBADE/Ebenezer</t>
        </is>
      </c>
      <c r="B500">
        <f>CONCATENATE(E500,"-",F500,"-",D500)</f>
        <v/>
      </c>
      <c r="C500" s="25">
        <f>CONCATENATE(G500,"-",F500,"-",D500)</f>
        <v/>
      </c>
      <c r="D500" s="25" t="inlineStr">
        <is>
          <t>JUMBO</t>
        </is>
      </c>
      <c r="E500" s="25" t="inlineStr">
        <is>
          <t>NBL-DSL</t>
        </is>
      </c>
      <c r="F500" s="79" t="inlineStr">
        <is>
          <t>45T</t>
        </is>
      </c>
      <c r="G500" s="209" t="inlineStr">
        <is>
          <t>Mega Manu-Local</t>
        </is>
      </c>
      <c r="H500" s="209" t="inlineStr">
        <is>
          <t>Lagos</t>
        </is>
      </c>
      <c r="I500" s="224" t="inlineStr">
        <is>
          <t>Fatai Atere</t>
        </is>
      </c>
      <c r="J500" s="224" t="inlineStr">
        <is>
          <t>Lagos</t>
        </is>
      </c>
      <c r="K500" s="225" t="n">
        <v>22.6</v>
      </c>
      <c r="L500" s="226" t="n">
        <v>31.9</v>
      </c>
      <c r="M500" s="208">
        <f>ROUNDDOWN(L500*0.7,)</f>
        <v/>
      </c>
      <c r="N500" s="194" t="n">
        <v>765.5999999999999</v>
      </c>
      <c r="O500" s="189" t="n">
        <v>637000</v>
      </c>
    </row>
    <row r="501">
      <c r="A501" t="inlineStr">
        <is>
          <t>AFEEZ AJIBADE/Ebenezer</t>
        </is>
      </c>
      <c r="B501">
        <f>CONCATENATE(E501,"-",F501,"-",D501)</f>
        <v/>
      </c>
      <c r="C501" s="25">
        <f>CONCATENATE(G501,"-",F501,"-",D501)</f>
        <v/>
      </c>
      <c r="D501" s="25" t="inlineStr">
        <is>
          <t>JUMBO</t>
        </is>
      </c>
      <c r="E501" s="25" t="inlineStr">
        <is>
          <t>NBL-DSL</t>
        </is>
      </c>
      <c r="F501" s="79" t="inlineStr">
        <is>
          <t>45T</t>
        </is>
      </c>
      <c r="G501" s="209" t="inlineStr">
        <is>
          <t>Mega Manu-Local</t>
        </is>
      </c>
      <c r="H501" s="209" t="inlineStr">
        <is>
          <t>Lagos</t>
        </is>
      </c>
      <c r="I501" s="224" t="inlineStr">
        <is>
          <t>Igbesa</t>
        </is>
      </c>
      <c r="J501" s="224" t="inlineStr">
        <is>
          <t>Ogun</t>
        </is>
      </c>
      <c r="K501" s="225" t="n">
        <v>54.5</v>
      </c>
      <c r="L501" s="226" t="n">
        <v>91.90000000000001</v>
      </c>
      <c r="M501" s="208">
        <f>ROUNDDOWN(L501*0.7,)</f>
        <v/>
      </c>
      <c r="N501" s="194" t="n">
        <v>2205.6</v>
      </c>
      <c r="O501" s="189" t="n">
        <v>714000</v>
      </c>
    </row>
    <row r="502">
      <c r="A502" t="inlineStr">
        <is>
          <t>AFEEZ AJIBADE/Ebenezer</t>
        </is>
      </c>
      <c r="B502">
        <f>CONCATENATE(E502,"-",F502,"-",D502)</f>
        <v/>
      </c>
      <c r="C502" s="25">
        <f>CONCATENATE(G502,"-",F502,"-",D502)</f>
        <v/>
      </c>
      <c r="D502" s="25" t="inlineStr">
        <is>
          <t>JUMBO</t>
        </is>
      </c>
      <c r="E502" s="25" t="inlineStr">
        <is>
          <t>NBL-DSL</t>
        </is>
      </c>
      <c r="F502" s="79" t="inlineStr">
        <is>
          <t>45T</t>
        </is>
      </c>
      <c r="G502" s="209" t="inlineStr">
        <is>
          <t>Mega Manu-Local</t>
        </is>
      </c>
      <c r="H502" s="209" t="inlineStr">
        <is>
          <t>Lagos</t>
        </is>
      </c>
      <c r="I502" s="224" t="inlineStr">
        <is>
          <t>Ikeja</t>
        </is>
      </c>
      <c r="J502" s="224" t="inlineStr">
        <is>
          <t>Lagos</t>
        </is>
      </c>
      <c r="K502" s="225" t="n">
        <v>22.6</v>
      </c>
      <c r="L502" s="226" t="n">
        <v>35.8</v>
      </c>
      <c r="M502" s="208">
        <f>ROUNDDOWN(L502*0.7,)</f>
        <v/>
      </c>
      <c r="N502" s="194" t="n">
        <v>859.1999999999999</v>
      </c>
      <c r="O502" s="189" t="n">
        <v>652000</v>
      </c>
    </row>
    <row r="503">
      <c r="A503" t="inlineStr">
        <is>
          <t>AFEEZ AJIBADE/Ebenezer</t>
        </is>
      </c>
      <c r="B503">
        <f>CONCATENATE(E503,"-",F503,"-",D503)</f>
        <v/>
      </c>
      <c r="C503" s="25">
        <f>CONCATENATE(G503,"-",F503,"-",D503)</f>
        <v/>
      </c>
      <c r="D503" s="25" t="inlineStr">
        <is>
          <t>JUMBO</t>
        </is>
      </c>
      <c r="E503" s="25" t="inlineStr">
        <is>
          <t>NBL-DSL</t>
        </is>
      </c>
      <c r="F503" s="79" t="inlineStr">
        <is>
          <t>45T</t>
        </is>
      </c>
      <c r="G503" s="209" t="inlineStr">
        <is>
          <t>Mega Manu-Local</t>
        </is>
      </c>
      <c r="H503" s="209" t="inlineStr">
        <is>
          <t>Lagos</t>
        </is>
      </c>
      <c r="I503" s="224" t="inlineStr">
        <is>
          <t>Dopemu</t>
        </is>
      </c>
      <c r="J503" s="224" t="inlineStr">
        <is>
          <t>Lagos</t>
        </is>
      </c>
      <c r="K503" s="225" t="n">
        <v>32.2</v>
      </c>
      <c r="L503" s="226" t="n">
        <v>49</v>
      </c>
      <c r="M503" s="208">
        <f>ROUNDDOWN(L503*0.7,)</f>
        <v/>
      </c>
      <c r="N503" s="194" t="n">
        <v>1176</v>
      </c>
      <c r="O503" s="189" t="n">
        <v>652000</v>
      </c>
    </row>
    <row r="504">
      <c r="A504" t="inlineStr">
        <is>
          <t>AFEEZ AJIBADE/Ebenezer</t>
        </is>
      </c>
      <c r="B504">
        <f>CONCATENATE(E504,"-",F504,"-",D504)</f>
        <v/>
      </c>
      <c r="C504" s="25">
        <f>CONCATENATE(G504,"-",F504,"-",D504)</f>
        <v/>
      </c>
      <c r="D504" s="25" t="inlineStr">
        <is>
          <t>JUMBO</t>
        </is>
      </c>
      <c r="E504" s="25" t="inlineStr">
        <is>
          <t>NBL-DSL</t>
        </is>
      </c>
      <c r="F504" s="79" t="inlineStr">
        <is>
          <t>45T</t>
        </is>
      </c>
      <c r="G504" s="209" t="inlineStr">
        <is>
          <t>Mega Manu-Local</t>
        </is>
      </c>
      <c r="H504" s="209" t="inlineStr">
        <is>
          <t>Lagos</t>
        </is>
      </c>
      <c r="I504" s="224" t="inlineStr">
        <is>
          <t>Sagamu</t>
        </is>
      </c>
      <c r="J504" s="224" t="inlineStr">
        <is>
          <t>Ogun</t>
        </is>
      </c>
      <c r="K504" s="225" t="n">
        <v>76.3</v>
      </c>
      <c r="L504" s="226" t="n">
        <v>140</v>
      </c>
      <c r="M504" s="208">
        <f>ROUNDDOWN(L504*0.7,)</f>
        <v/>
      </c>
      <c r="N504" s="194" t="n">
        <v>3360</v>
      </c>
      <c r="O504" s="189" t="n">
        <v>738000</v>
      </c>
    </row>
    <row r="505">
      <c r="A505" t="inlineStr">
        <is>
          <t>AFEEZ AJIBADE/Ebenezer</t>
        </is>
      </c>
      <c r="B505">
        <f>CONCATENATE(E505,"-",F505,"-",D505)</f>
        <v/>
      </c>
      <c r="C505" s="25">
        <f>CONCATENATE(G505,"-",F505,"-",D505)</f>
        <v/>
      </c>
      <c r="D505" s="25" t="inlineStr">
        <is>
          <t>JUMBO</t>
        </is>
      </c>
      <c r="E505" s="25" t="inlineStr">
        <is>
          <t>NBL-DSL</t>
        </is>
      </c>
      <c r="F505" s="79" t="inlineStr">
        <is>
          <t>45T</t>
        </is>
      </c>
      <c r="G505" s="209" t="inlineStr">
        <is>
          <t>Mega Manu-Local</t>
        </is>
      </c>
      <c r="H505" s="209" t="inlineStr">
        <is>
          <t>Lagos</t>
        </is>
      </c>
      <c r="I505" s="224" t="inlineStr">
        <is>
          <t>Mowe</t>
        </is>
      </c>
      <c r="J505" s="224" t="inlineStr">
        <is>
          <t>Ogun</t>
        </is>
      </c>
      <c r="K505" s="225" t="n">
        <v>59.7</v>
      </c>
      <c r="L505" s="226" t="n">
        <v>86.5</v>
      </c>
      <c r="M505" s="208">
        <f>ROUNDDOWN(L505*0.7,)</f>
        <v/>
      </c>
      <c r="N505" s="194" t="n">
        <v>2076</v>
      </c>
      <c r="O505" s="189" t="n">
        <v>738000</v>
      </c>
    </row>
    <row r="506">
      <c r="A506" t="inlineStr">
        <is>
          <t>AFEEZ AJIBADE/Ebenezer</t>
        </is>
      </c>
      <c r="B506">
        <f>CONCATENATE(E506,"-",F506,"-",D506)</f>
        <v/>
      </c>
      <c r="C506" s="25">
        <f>CONCATENATE(G506,"-",F506,"-",D506)</f>
        <v/>
      </c>
      <c r="D506" s="25" t="inlineStr">
        <is>
          <t>JUMBO</t>
        </is>
      </c>
      <c r="E506" s="25" t="inlineStr">
        <is>
          <t>NBL-DSL</t>
        </is>
      </c>
      <c r="F506" s="79" t="inlineStr">
        <is>
          <t>45T</t>
        </is>
      </c>
      <c r="G506" s="209" t="inlineStr">
        <is>
          <t>Mega Manu-Local</t>
        </is>
      </c>
      <c r="H506" s="209" t="inlineStr">
        <is>
          <t>Lagos</t>
        </is>
      </c>
      <c r="I506" s="224" t="inlineStr">
        <is>
          <t>Ijebu-Ososa</t>
        </is>
      </c>
      <c r="J506" s="224" t="inlineStr">
        <is>
          <t>Ogun</t>
        </is>
      </c>
      <c r="K506" s="225" t="n">
        <v>110</v>
      </c>
      <c r="L506" s="226" t="n">
        <v>208</v>
      </c>
      <c r="M506" s="208">
        <f>ROUNDDOWN(L506*0.7,)</f>
        <v/>
      </c>
      <c r="N506" s="194" t="n">
        <v>4992</v>
      </c>
      <c r="O506" s="189" t="n">
        <v>738000</v>
      </c>
    </row>
    <row r="507">
      <c r="A507" t="inlineStr">
        <is>
          <t>AFEEZ AJIBADE/Ebenezer</t>
        </is>
      </c>
      <c r="B507">
        <f>CONCATENATE(E507,"-",F507,"-",D507)</f>
        <v/>
      </c>
      <c r="C507" s="25">
        <f>CONCATENATE(G507,"-",F507,"-",D507)</f>
        <v/>
      </c>
      <c r="D507" s="25" t="inlineStr">
        <is>
          <t>JUMBO</t>
        </is>
      </c>
      <c r="E507" s="25" t="inlineStr">
        <is>
          <t>NBL-DSL</t>
        </is>
      </c>
      <c r="F507" s="79" t="inlineStr">
        <is>
          <t>45T</t>
        </is>
      </c>
      <c r="G507" s="209" t="inlineStr">
        <is>
          <t>Mega Manu-Local</t>
        </is>
      </c>
      <c r="H507" s="209" t="inlineStr">
        <is>
          <t>Lagos</t>
        </is>
      </c>
      <c r="I507" s="224" t="inlineStr">
        <is>
          <t>Ojota</t>
        </is>
      </c>
      <c r="J507" s="224" t="inlineStr">
        <is>
          <t>Lagos</t>
        </is>
      </c>
      <c r="K507" s="225" t="n">
        <v>19.6</v>
      </c>
      <c r="L507" s="226" t="n">
        <v>27.8</v>
      </c>
      <c r="M507" s="208">
        <f>ROUNDDOWN(L507*0.7,)</f>
        <v/>
      </c>
      <c r="N507" s="194" t="n">
        <v>667.2</v>
      </c>
      <c r="O507" s="189" t="n">
        <v>721000</v>
      </c>
    </row>
    <row r="508">
      <c r="A508" t="inlineStr">
        <is>
          <t>AFEEZ AJIBADE/Ebenezer</t>
        </is>
      </c>
      <c r="B508">
        <f>CONCATENATE(E508,"-",F508,"-",D508)</f>
        <v/>
      </c>
      <c r="C508" s="25">
        <f>CONCATENATE(G508,"-",F508,"-",D508)</f>
        <v/>
      </c>
      <c r="D508" s="25" t="inlineStr">
        <is>
          <t>JUMBO</t>
        </is>
      </c>
      <c r="E508" s="25" t="inlineStr">
        <is>
          <t>NBL-DSL</t>
        </is>
      </c>
      <c r="F508" s="79" t="inlineStr">
        <is>
          <t>45T</t>
        </is>
      </c>
      <c r="G508" s="209" t="inlineStr">
        <is>
          <t>Mega Manu-Local</t>
        </is>
      </c>
      <c r="H508" s="209" t="inlineStr">
        <is>
          <t>Lagos</t>
        </is>
      </c>
      <c r="I508" s="224" t="inlineStr">
        <is>
          <t>Ijebu-Ode</t>
        </is>
      </c>
      <c r="J508" s="224" t="inlineStr">
        <is>
          <t>Ogun</t>
        </is>
      </c>
      <c r="K508" s="225" t="n">
        <v>110</v>
      </c>
      <c r="L508" s="226" t="n">
        <v>208</v>
      </c>
      <c r="M508" s="208">
        <f>ROUNDDOWN(L508*0.7,)</f>
        <v/>
      </c>
      <c r="N508" s="194" t="n">
        <v>4992</v>
      </c>
      <c r="O508" s="189" t="n">
        <v>826000</v>
      </c>
    </row>
    <row r="509">
      <c r="A509" t="inlineStr">
        <is>
          <t>AFEEZ AJIBADE/Ebenezer</t>
        </is>
      </c>
      <c r="B509">
        <f>CONCATENATE(E509,"-",F509,"-",D509)</f>
        <v/>
      </c>
      <c r="C509" s="25">
        <f>CONCATENATE(G509,"-",F509,"-",D509)</f>
        <v/>
      </c>
      <c r="D509" s="25" t="inlineStr">
        <is>
          <t>JUMBO</t>
        </is>
      </c>
      <c r="E509" s="25" t="inlineStr">
        <is>
          <t>NBL-DSL</t>
        </is>
      </c>
      <c r="F509" s="79" t="inlineStr">
        <is>
          <t>45T</t>
        </is>
      </c>
      <c r="G509" s="209" t="inlineStr">
        <is>
          <t>Mega Manu-Local</t>
        </is>
      </c>
      <c r="H509" s="209" t="inlineStr">
        <is>
          <t>Lagos</t>
        </is>
      </c>
      <c r="I509" s="224" t="inlineStr">
        <is>
          <t>Apapa</t>
        </is>
      </c>
      <c r="J509" s="224" t="inlineStr">
        <is>
          <t>Lagos</t>
        </is>
      </c>
      <c r="K509" s="225" t="n">
        <v>3.4</v>
      </c>
      <c r="L509" s="226" t="n">
        <v>22.7</v>
      </c>
      <c r="M509" s="208">
        <f>ROUNDDOWN(L509*0.7,)</f>
        <v/>
      </c>
      <c r="N509" s="194" t="n">
        <v>544.8</v>
      </c>
      <c r="O509" s="189" t="n">
        <v>637000</v>
      </c>
    </row>
    <row r="510">
      <c r="A510" t="inlineStr">
        <is>
          <t>AFEEZ AJIBADE/Ebenezer</t>
        </is>
      </c>
      <c r="B510">
        <f>CONCATENATE(E510,"-",F510,"-",D510)</f>
        <v/>
      </c>
      <c r="C510" s="25">
        <f>CONCATENATE(G510,"-",F510,"-",D510)</f>
        <v/>
      </c>
      <c r="D510" s="25" t="inlineStr">
        <is>
          <t>JUMBO</t>
        </is>
      </c>
      <c r="E510" s="25" t="inlineStr">
        <is>
          <t>NBL-DSL</t>
        </is>
      </c>
      <c r="F510" s="79" t="inlineStr">
        <is>
          <t>45T</t>
        </is>
      </c>
      <c r="G510" s="209" t="inlineStr">
        <is>
          <t>Mega Manu-Local</t>
        </is>
      </c>
      <c r="H510" s="209" t="inlineStr">
        <is>
          <t>Lagos</t>
        </is>
      </c>
      <c r="I510" s="224" t="inlineStr">
        <is>
          <t>Ilupeju</t>
        </is>
      </c>
      <c r="J510" s="224" t="inlineStr">
        <is>
          <t>Lagos</t>
        </is>
      </c>
      <c r="K510" s="225" t="n">
        <v>22.9</v>
      </c>
      <c r="L510" s="226" t="n">
        <v>29.5</v>
      </c>
      <c r="M510" s="208">
        <f>ROUNDDOWN(L510*0.7,)</f>
        <v/>
      </c>
      <c r="N510" s="194" t="n">
        <v>708</v>
      </c>
      <c r="O510" s="189" t="n">
        <v>652000</v>
      </c>
    </row>
    <row r="511">
      <c r="A511" t="inlineStr">
        <is>
          <t>AFEEZ AJIBADE/Ebenezer</t>
        </is>
      </c>
      <c r="B511">
        <f>CONCATENATE(E511,"-",F511,"-",D511)</f>
        <v/>
      </c>
      <c r="C511" s="25">
        <f>CONCATENATE(G511,"-",F511,"-",D511)</f>
        <v/>
      </c>
      <c r="D511" s="25" t="inlineStr">
        <is>
          <t>JUMBO</t>
        </is>
      </c>
      <c r="E511" s="25" t="inlineStr">
        <is>
          <t>NBL-DSL</t>
        </is>
      </c>
      <c r="F511" s="79" t="inlineStr">
        <is>
          <t>45T</t>
        </is>
      </c>
      <c r="G511" s="209" t="inlineStr">
        <is>
          <t>Mega Manu-Local</t>
        </is>
      </c>
      <c r="H511" s="209" t="inlineStr">
        <is>
          <t>Lagos</t>
        </is>
      </c>
      <c r="I511" s="224" t="inlineStr">
        <is>
          <t>Ajao Estate</t>
        </is>
      </c>
      <c r="J511" s="224" t="inlineStr">
        <is>
          <t>Lagos</t>
        </is>
      </c>
      <c r="K511" s="225" t="n">
        <v>24.8</v>
      </c>
      <c r="L511" s="226" t="n">
        <v>34.7</v>
      </c>
      <c r="M511" s="208">
        <f>ROUNDDOWN(L511*0.7,)</f>
        <v/>
      </c>
      <c r="N511" s="194" t="n">
        <v>832.8000000000001</v>
      </c>
      <c r="O511" s="189" t="n">
        <v>652000</v>
      </c>
    </row>
    <row r="512">
      <c r="A512" t="inlineStr">
        <is>
          <t>AFEEZ AJIBADE/Ebenezer</t>
        </is>
      </c>
      <c r="B512">
        <f>CONCATENATE(E512,"-",F512,"-",D512)</f>
        <v/>
      </c>
      <c r="C512" s="25">
        <f>CONCATENATE(G512,"-",F512,"-",D512)</f>
        <v/>
      </c>
      <c r="D512" s="25" t="inlineStr">
        <is>
          <t>JUMBO</t>
        </is>
      </c>
      <c r="E512" s="25" t="inlineStr">
        <is>
          <t>NBL-DSL</t>
        </is>
      </c>
      <c r="F512" s="79" t="inlineStr">
        <is>
          <t>45T</t>
        </is>
      </c>
      <c r="G512" s="209" t="inlineStr">
        <is>
          <t>Mega Manu-Local</t>
        </is>
      </c>
      <c r="H512" s="209" t="inlineStr">
        <is>
          <t>Lagos</t>
        </is>
      </c>
      <c r="I512" s="224" t="inlineStr">
        <is>
          <t>Okota</t>
        </is>
      </c>
      <c r="J512" s="224" t="inlineStr">
        <is>
          <t>Lagos</t>
        </is>
      </c>
      <c r="K512" s="225" t="n">
        <v>17.5</v>
      </c>
      <c r="L512" s="226" t="n">
        <v>33.9</v>
      </c>
      <c r="M512" s="208">
        <f>ROUNDDOWN(L512*0.7,)</f>
        <v/>
      </c>
      <c r="N512" s="194" t="n">
        <v>813.5999999999999</v>
      </c>
      <c r="O512" s="189" t="n">
        <v>637000</v>
      </c>
    </row>
    <row r="513">
      <c r="A513" t="inlineStr">
        <is>
          <t>AFEEZ AJIBADE/Ebenezer</t>
        </is>
      </c>
      <c r="B513">
        <f>CONCATENATE(E513,"-",F513,"-",D513)</f>
        <v/>
      </c>
      <c r="C513" s="25">
        <f>CONCATENATE(G513,"-",F513,"-",D513)</f>
        <v/>
      </c>
      <c r="D513" s="25" t="inlineStr">
        <is>
          <t>JUMBO</t>
        </is>
      </c>
      <c r="E513" s="25" t="inlineStr">
        <is>
          <t>NBL-DSL</t>
        </is>
      </c>
      <c r="F513" s="79" t="inlineStr">
        <is>
          <t>45T</t>
        </is>
      </c>
      <c r="G513" s="209" t="inlineStr">
        <is>
          <t>Mega Manu-Local</t>
        </is>
      </c>
      <c r="H513" s="209" t="inlineStr">
        <is>
          <t>Lagos</t>
        </is>
      </c>
      <c r="I513" s="224" t="inlineStr">
        <is>
          <t>Oshodi</t>
        </is>
      </c>
      <c r="J513" s="224" t="inlineStr">
        <is>
          <t>Lagos</t>
        </is>
      </c>
      <c r="K513" s="225" t="n">
        <v>22.9</v>
      </c>
      <c r="L513" s="226" t="n">
        <v>36.8</v>
      </c>
      <c r="M513" s="208">
        <f>ROUNDDOWN(L513*0.7,)</f>
        <v/>
      </c>
      <c r="N513" s="194" t="n">
        <v>883.1999999999999</v>
      </c>
      <c r="O513" s="189" t="n">
        <v>637000</v>
      </c>
    </row>
    <row r="514">
      <c r="A514" t="inlineStr">
        <is>
          <t>AFEEZ AJIBADE/Ebenezer</t>
        </is>
      </c>
      <c r="B514">
        <f>CONCATENATE(E514,"-",F514,"-",D514)</f>
        <v/>
      </c>
      <c r="C514" s="25">
        <f>CONCATENATE(G514,"-",F514,"-",D514)</f>
        <v/>
      </c>
      <c r="D514" s="25" t="inlineStr">
        <is>
          <t>JUMBO</t>
        </is>
      </c>
      <c r="E514" s="25" t="inlineStr">
        <is>
          <t>NBL-DSL</t>
        </is>
      </c>
      <c r="F514" s="79" t="inlineStr">
        <is>
          <t>45T</t>
        </is>
      </c>
      <c r="G514" s="209" t="inlineStr">
        <is>
          <t>Mega Manu-Local</t>
        </is>
      </c>
      <c r="H514" s="209" t="inlineStr">
        <is>
          <t>Lagos</t>
        </is>
      </c>
      <c r="I514" s="224" t="inlineStr">
        <is>
          <t>Ogba</t>
        </is>
      </c>
      <c r="J514" s="224" t="inlineStr">
        <is>
          <t>Lagos</t>
        </is>
      </c>
      <c r="K514" s="225" t="n">
        <v>26</v>
      </c>
      <c r="L514" s="226" t="n">
        <v>39.4</v>
      </c>
      <c r="M514" s="208">
        <f>ROUNDDOWN(L514*0.7,)</f>
        <v/>
      </c>
      <c r="N514" s="194" t="n">
        <v>945.5999999999999</v>
      </c>
      <c r="O514" s="189" t="n">
        <v>652000</v>
      </c>
    </row>
    <row r="515">
      <c r="A515" t="inlineStr">
        <is>
          <t>AFEEZ AJIBADE/Ebenezer</t>
        </is>
      </c>
      <c r="B515">
        <f>CONCATENATE(E515,"-",F515,"-",D515)</f>
        <v/>
      </c>
      <c r="C515" s="25">
        <f>CONCATENATE(G515,"-",F515,"-",D515)</f>
        <v/>
      </c>
      <c r="D515" s="25" t="inlineStr">
        <is>
          <t>JUMBO</t>
        </is>
      </c>
      <c r="E515" s="25" t="inlineStr">
        <is>
          <t>NBL-DSL</t>
        </is>
      </c>
      <c r="F515" s="63" t="inlineStr">
        <is>
          <t>45T</t>
        </is>
      </c>
      <c r="G515" s="204" t="inlineStr">
        <is>
          <t>VANDERA</t>
        </is>
      </c>
      <c r="H515" s="204" t="inlineStr">
        <is>
          <t>Lagos</t>
        </is>
      </c>
      <c r="I515" s="204" t="inlineStr">
        <is>
          <t>Onitsha</t>
        </is>
      </c>
      <c r="J515" s="204" t="inlineStr">
        <is>
          <t>Anambra</t>
        </is>
      </c>
      <c r="K515" s="214" t="n">
        <v>450</v>
      </c>
      <c r="L515" s="218">
        <f>K515*2</f>
        <v/>
      </c>
      <c r="M515" s="208">
        <f>ROUNDDOWN(L515*0.7,)</f>
        <v/>
      </c>
      <c r="N515" s="194" t="n">
        <v>21600</v>
      </c>
      <c r="O515" s="220" t="n">
        <v>2020000</v>
      </c>
    </row>
    <row r="516">
      <c r="A516" t="inlineStr">
        <is>
          <t>AFEEZ AJIBADE/Ebenezer</t>
        </is>
      </c>
      <c r="B516">
        <f>CONCATENATE(E516,"-",F516,"-",D516)</f>
        <v/>
      </c>
      <c r="C516" s="25">
        <f>CONCATENATE(G516,"-",F516,"-",D516)</f>
        <v/>
      </c>
      <c r="D516" s="25" t="inlineStr">
        <is>
          <t>JUMBO</t>
        </is>
      </c>
      <c r="E516" s="25" t="inlineStr">
        <is>
          <t>NBL-DSL</t>
        </is>
      </c>
      <c r="F516" s="63" t="inlineStr">
        <is>
          <t>45T</t>
        </is>
      </c>
      <c r="G516" s="204" t="inlineStr">
        <is>
          <t>VANDERA</t>
        </is>
      </c>
      <c r="H516" s="204" t="inlineStr">
        <is>
          <t>Lagos</t>
        </is>
      </c>
      <c r="I516" s="205" t="inlineStr">
        <is>
          <t>Kano</t>
        </is>
      </c>
      <c r="J516" s="205" t="inlineStr">
        <is>
          <t>Kano</t>
        </is>
      </c>
      <c r="K516" s="214" t="n">
        <v>1100</v>
      </c>
      <c r="L516" s="215">
        <f>K516*2</f>
        <v/>
      </c>
      <c r="M516" s="208">
        <f>ROUNDDOWN(L516*0.7,)</f>
        <v/>
      </c>
      <c r="N516" s="194" t="n">
        <v>52800</v>
      </c>
      <c r="O516" s="220" t="n">
        <v>4450000</v>
      </c>
    </row>
    <row r="517">
      <c r="A517" t="inlineStr">
        <is>
          <t>AFEEZ AJIBADE/Ebenezer</t>
        </is>
      </c>
      <c r="B517">
        <f>CONCATENATE(E517,"-",F517,"-",D517)</f>
        <v/>
      </c>
      <c r="C517" s="25">
        <f>CONCATENATE(G517,"-",F517,"-",D517)</f>
        <v/>
      </c>
      <c r="D517" s="25" t="inlineStr">
        <is>
          <t>JUMBO</t>
        </is>
      </c>
      <c r="E517" s="25" t="inlineStr">
        <is>
          <t>NBL-DSL</t>
        </is>
      </c>
      <c r="F517" s="63" t="inlineStr">
        <is>
          <t>45T</t>
        </is>
      </c>
      <c r="G517" s="204" t="inlineStr">
        <is>
          <t>VANDERA</t>
        </is>
      </c>
      <c r="H517" s="204" t="inlineStr">
        <is>
          <t>Lagos</t>
        </is>
      </c>
      <c r="I517" s="205" t="inlineStr">
        <is>
          <t>Calabar</t>
        </is>
      </c>
      <c r="J517" s="205" t="inlineStr">
        <is>
          <t>Cross River</t>
        </is>
      </c>
      <c r="K517" s="214" t="n">
        <v>756.5</v>
      </c>
      <c r="L517" s="215">
        <f>K517*2</f>
        <v/>
      </c>
      <c r="M517" s="208">
        <f>ROUNDDOWN(L517*0.7,)</f>
        <v/>
      </c>
      <c r="N517" s="194" t="n">
        <v>36312</v>
      </c>
      <c r="O517" s="220" t="n">
        <v>3200000</v>
      </c>
    </row>
    <row r="518">
      <c r="A518" t="inlineStr">
        <is>
          <t>AFEEZ AJIBADE/Ebenezer</t>
        </is>
      </c>
      <c r="B518">
        <f>CONCATENATE(E518,"-",F518,"-",D518)</f>
        <v/>
      </c>
      <c r="C518" s="25">
        <f>CONCATENATE(G518,"-",F518,"-",D518)</f>
        <v/>
      </c>
      <c r="D518" s="25" t="inlineStr">
        <is>
          <t>JUMBO</t>
        </is>
      </c>
      <c r="E518" s="25" t="inlineStr">
        <is>
          <t>NBL-DSL</t>
        </is>
      </c>
      <c r="F518" s="63" t="inlineStr">
        <is>
          <t>45T</t>
        </is>
      </c>
      <c r="G518" s="204" t="inlineStr">
        <is>
          <t>Lacasera</t>
        </is>
      </c>
      <c r="H518" s="204" t="inlineStr">
        <is>
          <t>Lagos</t>
        </is>
      </c>
      <c r="I518" s="205" t="inlineStr">
        <is>
          <t>Aba</t>
        </is>
      </c>
      <c r="J518" s="205" t="inlineStr">
        <is>
          <t>Abia</t>
        </is>
      </c>
      <c r="K518" s="214" t="n">
        <v>622</v>
      </c>
      <c r="L518" s="215">
        <f>K518*2</f>
        <v/>
      </c>
      <c r="M518" s="208">
        <f>ROUNDDOWN(L518*0.7,)</f>
        <v/>
      </c>
      <c r="N518" s="194" t="n">
        <v>29856</v>
      </c>
      <c r="O518" s="220" t="n">
        <v>2639315</v>
      </c>
    </row>
    <row r="519">
      <c r="A519" t="inlineStr">
        <is>
          <t>AFEEZ AJIBADE/Ebenezer</t>
        </is>
      </c>
      <c r="B519">
        <f>CONCATENATE(E519,"-",F519,"-",D519)</f>
        <v/>
      </c>
      <c r="C519" s="25">
        <f>CONCATENATE(G519,"-",F519,"-",D519)</f>
        <v/>
      </c>
      <c r="D519" s="25" t="inlineStr">
        <is>
          <t>JUMBO</t>
        </is>
      </c>
      <c r="E519" s="25" t="inlineStr">
        <is>
          <t>NBL-DSL</t>
        </is>
      </c>
      <c r="F519" s="63" t="inlineStr">
        <is>
          <t>45T</t>
        </is>
      </c>
      <c r="G519" s="204" t="inlineStr">
        <is>
          <t>Lacasera</t>
        </is>
      </c>
      <c r="H519" s="204" t="inlineStr">
        <is>
          <t>Lagos</t>
        </is>
      </c>
      <c r="I519" s="205" t="inlineStr">
        <is>
          <t>Port Harcourt</t>
        </is>
      </c>
      <c r="J519" s="205" t="inlineStr">
        <is>
          <t>Rivers</t>
        </is>
      </c>
      <c r="K519" s="214" t="n">
        <v>628</v>
      </c>
      <c r="L519" s="215">
        <f>K519*2</f>
        <v/>
      </c>
      <c r="M519" s="208">
        <f>ROUNDDOWN(L519*0.7,)</f>
        <v/>
      </c>
      <c r="N519" s="194" t="n">
        <v>30144</v>
      </c>
      <c r="O519" s="220" t="n">
        <v>2741678</v>
      </c>
    </row>
    <row r="520">
      <c r="A520" t="inlineStr">
        <is>
          <t>AFEEZ AJIBADE/Ebenezer</t>
        </is>
      </c>
      <c r="B520">
        <f>CONCATENATE(E520,"-",F520,"-",D520)</f>
        <v/>
      </c>
      <c r="C520" s="25">
        <f>CONCATENATE(G520,"-",F520,"-",D520)</f>
        <v/>
      </c>
      <c r="D520" s="25" t="inlineStr">
        <is>
          <t>JUMBO</t>
        </is>
      </c>
      <c r="E520" s="25" t="inlineStr">
        <is>
          <t>NBL-DSL</t>
        </is>
      </c>
      <c r="F520" s="63" t="inlineStr">
        <is>
          <t>45T</t>
        </is>
      </c>
      <c r="G520" s="204" t="inlineStr">
        <is>
          <t>Lacasera</t>
        </is>
      </c>
      <c r="H520" s="204" t="inlineStr">
        <is>
          <t>Lagos</t>
        </is>
      </c>
      <c r="I520" s="205" t="inlineStr">
        <is>
          <t>Abuja</t>
        </is>
      </c>
      <c r="J520" s="205" t="inlineStr">
        <is>
          <t>FCT</t>
        </is>
      </c>
      <c r="K520" s="214" t="n">
        <v>755</v>
      </c>
      <c r="L520" s="215">
        <f>K520*2</f>
        <v/>
      </c>
      <c r="M520" s="208">
        <f>ROUNDDOWN(L520*0.7,)</f>
        <v/>
      </c>
      <c r="N520" s="194" t="n">
        <v>36240</v>
      </c>
      <c r="O520" s="220" t="n">
        <v>3282163</v>
      </c>
    </row>
    <row r="521">
      <c r="A521" t="inlineStr">
        <is>
          <t>AFEEZ AJIBADE/Ebenezer</t>
        </is>
      </c>
      <c r="B521">
        <f>CONCATENATE(E521,"-",F521,"-",D521)</f>
        <v/>
      </c>
      <c r="C521" s="25">
        <f>CONCATENATE(G521,"-",F521,"-",D521)</f>
        <v/>
      </c>
      <c r="D521" s="25" t="inlineStr">
        <is>
          <t>JUMBO</t>
        </is>
      </c>
      <c r="E521" s="25" t="inlineStr">
        <is>
          <t>NBL-DSL</t>
        </is>
      </c>
      <c r="F521" s="63" t="inlineStr">
        <is>
          <t>45T</t>
        </is>
      </c>
      <c r="G521" s="204" t="inlineStr">
        <is>
          <t>Lacasera</t>
        </is>
      </c>
      <c r="H521" s="204" t="inlineStr">
        <is>
          <t>Lagos</t>
        </is>
      </c>
      <c r="I521" s="205" t="inlineStr">
        <is>
          <t>Kano</t>
        </is>
      </c>
      <c r="J521" s="205" t="inlineStr">
        <is>
          <t>Kano</t>
        </is>
      </c>
      <c r="K521" s="214" t="n">
        <v>1142</v>
      </c>
      <c r="L521" s="215">
        <f>K521*2</f>
        <v/>
      </c>
      <c r="M521" s="208">
        <f>ROUNDDOWN(L521*0.7,)</f>
        <v/>
      </c>
      <c r="N521" s="194" t="n">
        <v>54816</v>
      </c>
      <c r="O521" s="220" t="n">
        <v>3710764</v>
      </c>
    </row>
    <row r="522">
      <c r="A522" t="inlineStr">
        <is>
          <t>AFEEZ AJIBADE/Ebenezer</t>
        </is>
      </c>
      <c r="B522">
        <f>CONCATENATE(E522,"-",F522,"-",D522)</f>
        <v/>
      </c>
      <c r="C522" s="25">
        <f>CONCATENATE(G522,"-",F522,"-",D522)</f>
        <v/>
      </c>
      <c r="D522" s="25" t="inlineStr">
        <is>
          <t>JUMBO</t>
        </is>
      </c>
      <c r="E522" s="25" t="inlineStr">
        <is>
          <t>NBL-DSL</t>
        </is>
      </c>
      <c r="F522" s="63" t="inlineStr">
        <is>
          <t>45T</t>
        </is>
      </c>
      <c r="G522" s="204" t="inlineStr">
        <is>
          <t>Lacasera</t>
        </is>
      </c>
      <c r="H522" s="204" t="inlineStr">
        <is>
          <t>Lagos</t>
        </is>
      </c>
      <c r="I522" s="205" t="inlineStr">
        <is>
          <t>Ibadan</t>
        </is>
      </c>
      <c r="J522" s="205" t="inlineStr">
        <is>
          <t>Oyo</t>
        </is>
      </c>
      <c r="K522" s="214" t="n">
        <v>148</v>
      </c>
      <c r="L522" s="215">
        <f>K522*2</f>
        <v/>
      </c>
      <c r="M522" s="208">
        <f>ROUNDDOWN(L522*0.7,)</f>
        <v/>
      </c>
      <c r="N522" s="194" t="n">
        <v>7104</v>
      </c>
      <c r="O522" s="220" t="n">
        <v>879460</v>
      </c>
    </row>
    <row r="523">
      <c r="A523" t="inlineStr">
        <is>
          <t>AFEEZ AJIBADE/Ebenezer</t>
        </is>
      </c>
      <c r="B523">
        <f>CONCATENATE(E523,"-",F523,"-",D523)</f>
        <v/>
      </c>
      <c r="C523" s="25">
        <f>CONCATENATE(G523,"-",F523,"-",D523)</f>
        <v/>
      </c>
      <c r="D523" s="25" t="inlineStr">
        <is>
          <t>JUMBO</t>
        </is>
      </c>
      <c r="E523" s="25" t="inlineStr">
        <is>
          <t>NBL-DSL</t>
        </is>
      </c>
      <c r="F523" s="63" t="inlineStr">
        <is>
          <t>45T</t>
        </is>
      </c>
      <c r="G523" s="204" t="inlineStr">
        <is>
          <t>Lacasera</t>
        </is>
      </c>
      <c r="H523" s="204" t="inlineStr">
        <is>
          <t>Lagos</t>
        </is>
      </c>
      <c r="I523" s="205" t="inlineStr">
        <is>
          <t>Benin City</t>
        </is>
      </c>
      <c r="J523" s="205" t="inlineStr">
        <is>
          <t>Edo</t>
        </is>
      </c>
      <c r="K523" s="219" t="n">
        <v>325</v>
      </c>
      <c r="L523" s="215">
        <f>K523*2</f>
        <v/>
      </c>
      <c r="M523" s="208">
        <f>ROUNDDOWN(L523*0.7,)</f>
        <v/>
      </c>
      <c r="N523" s="194" t="n">
        <v>15600</v>
      </c>
      <c r="O523" s="220" t="n">
        <v>1634564</v>
      </c>
    </row>
    <row r="524">
      <c r="A524" t="inlineStr">
        <is>
          <t>AFEEZ AJIBADE/Ebenezer</t>
        </is>
      </c>
      <c r="B524">
        <f>CONCATENATE(E524,"-",F524,"-",D524)</f>
        <v/>
      </c>
      <c r="C524" s="25">
        <f>CONCATENATE(G524,"-",F524,"-",D524)</f>
        <v/>
      </c>
      <c r="D524" s="25" t="inlineStr">
        <is>
          <t>JUMBO</t>
        </is>
      </c>
      <c r="E524" s="25" t="inlineStr">
        <is>
          <t>NBL-DSL</t>
        </is>
      </c>
      <c r="F524" s="63" t="inlineStr">
        <is>
          <t>45T</t>
        </is>
      </c>
      <c r="G524" s="204" t="inlineStr">
        <is>
          <t>Lacasera</t>
        </is>
      </c>
      <c r="H524" s="204" t="inlineStr">
        <is>
          <t>Lagos</t>
        </is>
      </c>
      <c r="I524" s="204" t="inlineStr">
        <is>
          <t>Onitsha</t>
        </is>
      </c>
      <c r="J524" s="204" t="inlineStr">
        <is>
          <t>Anambra</t>
        </is>
      </c>
      <c r="K524" s="214" t="n">
        <v>501</v>
      </c>
      <c r="L524" s="218">
        <f>K524*2</f>
        <v/>
      </c>
      <c r="M524" s="208">
        <f>ROUNDDOWN(L524*0.7,)</f>
        <v/>
      </c>
      <c r="N524" s="194" t="n">
        <v>24048</v>
      </c>
      <c r="O524" s="220" t="n">
        <v>2248843</v>
      </c>
    </row>
    <row r="525">
      <c r="A525" t="inlineStr">
        <is>
          <t>AFEEZ AJIBADE/Ebenezer</t>
        </is>
      </c>
      <c r="B525">
        <f>CONCATENATE(E525,"-",F525,"-",D525)</f>
        <v/>
      </c>
      <c r="C525" s="25">
        <f>CONCATENATE(G525,"-",F525,"-",D525)</f>
        <v/>
      </c>
      <c r="D525" s="25" t="inlineStr">
        <is>
          <t>JUMBO</t>
        </is>
      </c>
      <c r="E525" s="25" t="inlineStr">
        <is>
          <t>NBL-DSL</t>
        </is>
      </c>
      <c r="F525" s="63" t="inlineStr">
        <is>
          <t>45T</t>
        </is>
      </c>
      <c r="G525" s="204" t="inlineStr">
        <is>
          <t>NATURAL BEAUTY</t>
        </is>
      </c>
      <c r="H525" s="204" t="inlineStr">
        <is>
          <t>Lagos</t>
        </is>
      </c>
      <c r="I525" s="205" t="inlineStr">
        <is>
          <t>Kano</t>
        </is>
      </c>
      <c r="J525" s="205" t="inlineStr">
        <is>
          <t>Kano</t>
        </is>
      </c>
      <c r="K525" s="214" t="n">
        <v>1100</v>
      </c>
      <c r="L525" s="215">
        <f>K525*2</f>
        <v/>
      </c>
      <c r="M525" s="208">
        <f>ROUNDDOWN(L525*0.7,)</f>
        <v/>
      </c>
      <c r="N525" s="194" t="n">
        <v>52800</v>
      </c>
      <c r="O525" s="220" t="n">
        <v>4450000</v>
      </c>
    </row>
    <row r="526">
      <c r="A526" t="inlineStr">
        <is>
          <t>AFEEZ AJIBADE/Ebenezer</t>
        </is>
      </c>
      <c r="B526">
        <f>CONCATENATE(E526,"-",F526,"-",D526)</f>
        <v/>
      </c>
      <c r="C526" s="25">
        <f>CONCATENATE(G526,"-",F526,"-",D526)</f>
        <v/>
      </c>
      <c r="D526" s="25" t="inlineStr">
        <is>
          <t>JUMBO</t>
        </is>
      </c>
      <c r="E526" s="25" t="inlineStr">
        <is>
          <t>NBL-DSL</t>
        </is>
      </c>
      <c r="F526" s="63" t="inlineStr">
        <is>
          <t>45T</t>
        </is>
      </c>
      <c r="G526" s="204" t="inlineStr">
        <is>
          <t>NATURAL BEAUTY</t>
        </is>
      </c>
      <c r="H526" s="204" t="inlineStr">
        <is>
          <t>Lagos</t>
        </is>
      </c>
      <c r="I526" s="205" t="inlineStr">
        <is>
          <t>Maiduguri</t>
        </is>
      </c>
      <c r="J526" s="205" t="inlineStr">
        <is>
          <t>Borno</t>
        </is>
      </c>
      <c r="K526" s="214" t="n">
        <v>1500</v>
      </c>
      <c r="L526" s="215">
        <f>K526*2</f>
        <v/>
      </c>
      <c r="M526" s="208">
        <f>ROUNDDOWN(L526*0.7,)</f>
        <v/>
      </c>
      <c r="N526" s="194" t="n">
        <v>72000</v>
      </c>
      <c r="O526" s="220" t="n">
        <v>6280000</v>
      </c>
    </row>
    <row r="527">
      <c r="A527" t="inlineStr">
        <is>
          <t>AFEEZ AJIBADE/Ebenezer</t>
        </is>
      </c>
      <c r="B527">
        <f>CONCATENATE(E527,"-",F527,"-",D527)</f>
        <v/>
      </c>
      <c r="C527" s="25">
        <f>CONCATENATE(G527,"-",F527,"-",D527)</f>
        <v/>
      </c>
      <c r="D527" s="25" t="inlineStr">
        <is>
          <t>JUMBO</t>
        </is>
      </c>
      <c r="E527" s="25" t="inlineStr">
        <is>
          <t>NBL-DSL</t>
        </is>
      </c>
      <c r="F527" s="63" t="inlineStr">
        <is>
          <t>30T</t>
        </is>
      </c>
      <c r="G527" s="204" t="inlineStr">
        <is>
          <t>NATURAL BEAUTY</t>
        </is>
      </c>
      <c r="H527" s="204" t="inlineStr">
        <is>
          <t>Lagos</t>
        </is>
      </c>
      <c r="I527" s="205" t="inlineStr">
        <is>
          <t>Maiduguri</t>
        </is>
      </c>
      <c r="J527" s="205" t="inlineStr">
        <is>
          <t>Borno</t>
        </is>
      </c>
      <c r="K527" s="214" t="n">
        <v>1500</v>
      </c>
      <c r="L527" s="215">
        <f>K527*2</f>
        <v/>
      </c>
      <c r="M527" s="208">
        <f>ROUNDDOWN(L527*0.7,)</f>
        <v/>
      </c>
      <c r="N527" s="194" t="n">
        <v>72000</v>
      </c>
      <c r="O527" s="220" t="n">
        <v>5820000</v>
      </c>
    </row>
    <row r="528">
      <c r="A528" t="inlineStr">
        <is>
          <t>AFEEZ AJIBADE/Ebenezer</t>
        </is>
      </c>
      <c r="B528">
        <f>CONCATENATE(E528,"-",F528,"-",D528)</f>
        <v/>
      </c>
      <c r="C528" s="25">
        <f>CONCATENATE(G528,"-",F528,"-",D528)</f>
        <v/>
      </c>
      <c r="D528" s="25" t="inlineStr">
        <is>
          <t>JUMBO</t>
        </is>
      </c>
      <c r="E528" s="25" t="inlineStr">
        <is>
          <t>NBL-DSL</t>
        </is>
      </c>
      <c r="F528" s="63" t="inlineStr">
        <is>
          <t>45T</t>
        </is>
      </c>
      <c r="G528" s="204" t="inlineStr">
        <is>
          <t>SASO</t>
        </is>
      </c>
      <c r="H528" s="204" t="inlineStr">
        <is>
          <t>Lagos</t>
        </is>
      </c>
      <c r="I528" s="205" t="inlineStr">
        <is>
          <t>Abuja</t>
        </is>
      </c>
      <c r="J528" s="205" t="inlineStr">
        <is>
          <t>FCT</t>
        </is>
      </c>
      <c r="K528" s="214" t="n">
        <v>755</v>
      </c>
      <c r="L528" s="215">
        <f>K528*2</f>
        <v/>
      </c>
      <c r="M528" s="208">
        <f>ROUNDDOWN(L528*0.7,)</f>
        <v/>
      </c>
      <c r="N528" s="194" t="n">
        <v>36240</v>
      </c>
      <c r="O528" s="220" t="n">
        <v>3440000</v>
      </c>
    </row>
    <row r="529">
      <c r="A529" t="inlineStr">
        <is>
          <t>AFEEZ AJIBADE/Ebenezer</t>
        </is>
      </c>
      <c r="B529">
        <f>CONCATENATE(E529,"-",F529,"-",D529)</f>
        <v/>
      </c>
      <c r="C529" s="25">
        <f>CONCATENATE(G529,"-",F529,"-",D529)</f>
        <v/>
      </c>
      <c r="D529" s="25" t="inlineStr">
        <is>
          <t>JUMBO</t>
        </is>
      </c>
      <c r="E529" s="25" t="inlineStr">
        <is>
          <t>NBL-DSL</t>
        </is>
      </c>
      <c r="F529" s="63" t="inlineStr">
        <is>
          <t>45T</t>
        </is>
      </c>
      <c r="G529" s="204" t="inlineStr">
        <is>
          <t>SASO</t>
        </is>
      </c>
      <c r="H529" s="204" t="inlineStr">
        <is>
          <t>Lagos</t>
        </is>
      </c>
      <c r="I529" s="205" t="inlineStr">
        <is>
          <t>Kano</t>
        </is>
      </c>
      <c r="J529" s="205" t="inlineStr">
        <is>
          <t>Kano</t>
        </is>
      </c>
      <c r="K529" s="214" t="n">
        <v>1100</v>
      </c>
      <c r="L529" s="215">
        <f>K529*2</f>
        <v/>
      </c>
      <c r="M529" s="208">
        <f>ROUNDDOWN(L529*0.7,)</f>
        <v/>
      </c>
      <c r="N529" s="194" t="n">
        <v>52800</v>
      </c>
      <c r="O529" s="220" t="n">
        <v>4450000</v>
      </c>
    </row>
    <row r="530">
      <c r="A530" t="inlineStr">
        <is>
          <t>AFEEZ AJIBADE/Ebenezer</t>
        </is>
      </c>
      <c r="B530">
        <f>CONCATENATE(E530,"-",F530,"-",D530)</f>
        <v/>
      </c>
      <c r="C530" s="25">
        <f>CONCATENATE(G530,"-",F530,"-",D530)</f>
        <v/>
      </c>
      <c r="D530" s="25" t="inlineStr">
        <is>
          <t>JUMBO</t>
        </is>
      </c>
      <c r="E530" s="25" t="inlineStr">
        <is>
          <t>NBL-DSL</t>
        </is>
      </c>
      <c r="F530" s="63" t="inlineStr">
        <is>
          <t>45T</t>
        </is>
      </c>
      <c r="G530" s="204" t="inlineStr">
        <is>
          <t>SASO</t>
        </is>
      </c>
      <c r="H530" s="204" t="inlineStr">
        <is>
          <t>Lagos</t>
        </is>
      </c>
      <c r="I530" s="205" t="inlineStr">
        <is>
          <t>Funtua</t>
        </is>
      </c>
      <c r="J530" s="205" t="inlineStr">
        <is>
          <t>Katsina</t>
        </is>
      </c>
      <c r="K530" s="214" t="n">
        <v>1050</v>
      </c>
      <c r="L530" s="215">
        <f>K530*2</f>
        <v/>
      </c>
      <c r="M530" s="208">
        <f>ROUNDDOWN(L530*0.7,)</f>
        <v/>
      </c>
      <c r="N530" s="194" t="n">
        <v>50400</v>
      </c>
      <c r="O530" s="220" t="n">
        <v>4380000</v>
      </c>
    </row>
    <row r="531">
      <c r="A531" t="inlineStr">
        <is>
          <t>AFEEZ AJIBADE/Ebenezer</t>
        </is>
      </c>
      <c r="B531">
        <f>CONCATENATE(E531,"-",F531,"-",D531)</f>
        <v/>
      </c>
      <c r="C531" s="25">
        <f>CONCATENATE(G531,"-",F531,"-",D531)</f>
        <v/>
      </c>
      <c r="D531" s="25" t="inlineStr">
        <is>
          <t>JUMBO</t>
        </is>
      </c>
      <c r="E531" s="25" t="inlineStr">
        <is>
          <t>NBL-DSL</t>
        </is>
      </c>
      <c r="F531" s="63" t="inlineStr">
        <is>
          <t>45T</t>
        </is>
      </c>
      <c r="G531" s="204" t="inlineStr">
        <is>
          <t>SASO</t>
        </is>
      </c>
      <c r="H531" s="204" t="inlineStr">
        <is>
          <t>Lagos</t>
        </is>
      </c>
      <c r="I531" s="205" t="inlineStr">
        <is>
          <t>Kaduna</t>
        </is>
      </c>
      <c r="J531" s="205" t="inlineStr">
        <is>
          <t>Kaduna</t>
        </is>
      </c>
      <c r="K531" s="214" t="n">
        <v>910</v>
      </c>
      <c r="L531" s="215">
        <f>K531*2</f>
        <v/>
      </c>
      <c r="M531" s="208">
        <f>ROUNDDOWN(L531*0.7,)</f>
        <v/>
      </c>
      <c r="N531" s="194" t="n">
        <v>43680</v>
      </c>
      <c r="O531" s="220" t="n">
        <v>4040000</v>
      </c>
    </row>
    <row r="532">
      <c r="A532" t="inlineStr">
        <is>
          <t>AFEEZ AJIBADE/Ebenezer</t>
        </is>
      </c>
      <c r="B532">
        <f>CONCATENATE(E532,"-",F532,"-",D532)</f>
        <v/>
      </c>
      <c r="C532" s="25">
        <f>CONCATENATE(G532,"-",F532,"-",D532)</f>
        <v/>
      </c>
      <c r="D532" s="25" t="inlineStr">
        <is>
          <t>JUMBO</t>
        </is>
      </c>
      <c r="E532" s="25" t="inlineStr">
        <is>
          <t>NBL-DSL</t>
        </is>
      </c>
      <c r="F532" s="63" t="inlineStr">
        <is>
          <t>45T</t>
        </is>
      </c>
      <c r="G532" s="204" t="inlineStr">
        <is>
          <t>SASO</t>
        </is>
      </c>
      <c r="H532" s="204" t="inlineStr">
        <is>
          <t>Lagos</t>
        </is>
      </c>
      <c r="I532" s="204" t="inlineStr">
        <is>
          <t>Zaria</t>
        </is>
      </c>
      <c r="J532" s="204" t="inlineStr">
        <is>
          <t>Kaduna</t>
        </is>
      </c>
      <c r="K532" s="219" t="n">
        <v>989</v>
      </c>
      <c r="L532" s="215">
        <f>K532*2</f>
        <v/>
      </c>
      <c r="M532" s="208">
        <f>ROUNDDOWN(L532*0.7,)</f>
        <v/>
      </c>
      <c r="N532" s="194" t="n">
        <v>47472</v>
      </c>
      <c r="O532" s="220" t="n">
        <v>4230000</v>
      </c>
    </row>
    <row r="533">
      <c r="A533" t="inlineStr">
        <is>
          <t>AFEEZ AJIBADE/Ebenezer</t>
        </is>
      </c>
      <c r="B533">
        <f>CONCATENATE(E533,"-",F533,"-",D533)</f>
        <v/>
      </c>
      <c r="C533" s="25">
        <f>CONCATENATE(G533,"-",F533,"-",D533)</f>
        <v/>
      </c>
      <c r="D533" s="25" t="inlineStr">
        <is>
          <t>JUMBO</t>
        </is>
      </c>
      <c r="E533" s="25" t="inlineStr">
        <is>
          <t>NBL-DSL</t>
        </is>
      </c>
      <c r="F533" s="63" t="inlineStr">
        <is>
          <t>45T</t>
        </is>
      </c>
      <c r="G533" s="204" t="inlineStr">
        <is>
          <t>SASO</t>
        </is>
      </c>
      <c r="H533" s="204" t="inlineStr">
        <is>
          <t>Lagos</t>
        </is>
      </c>
      <c r="I533" s="204" t="inlineStr">
        <is>
          <t>Gombe</t>
        </is>
      </c>
      <c r="J533" s="204" t="inlineStr">
        <is>
          <t>Gombe</t>
        </is>
      </c>
      <c r="K533" s="219" t="n">
        <v>1275</v>
      </c>
      <c r="L533" s="215">
        <f>K533*2</f>
        <v/>
      </c>
      <c r="M533" s="208">
        <f>ROUNDDOWN(L533*0.7,)</f>
        <v/>
      </c>
      <c r="N533" s="194" t="n">
        <v>61200</v>
      </c>
      <c r="O533" s="220" t="n">
        <v>5380000</v>
      </c>
    </row>
    <row r="534">
      <c r="A534" t="inlineStr">
        <is>
          <t>AFEEZ AJIBADE/Ebenezer</t>
        </is>
      </c>
      <c r="B534">
        <f>CONCATENATE(E534,"-",F534,"-",D534)</f>
        <v/>
      </c>
      <c r="C534" s="25">
        <f>CONCATENATE(G534,"-",F534,"-",D534)</f>
        <v/>
      </c>
      <c r="D534" s="25" t="inlineStr">
        <is>
          <t>JUMBO</t>
        </is>
      </c>
      <c r="E534" s="25" t="inlineStr">
        <is>
          <t>NBL-DSL</t>
        </is>
      </c>
      <c r="F534" s="63" t="inlineStr">
        <is>
          <t>45T</t>
        </is>
      </c>
      <c r="G534" s="204" t="inlineStr">
        <is>
          <t>SASO</t>
        </is>
      </c>
      <c r="H534" s="204" t="inlineStr">
        <is>
          <t>Lagos</t>
        </is>
      </c>
      <c r="I534" s="204" t="inlineStr">
        <is>
          <t>Yola</t>
        </is>
      </c>
      <c r="J534" s="204" t="inlineStr">
        <is>
          <t>Adamawa</t>
        </is>
      </c>
      <c r="K534" s="214" t="n">
        <v>1650</v>
      </c>
      <c r="L534" s="215">
        <f>K534*2</f>
        <v/>
      </c>
      <c r="M534" s="208">
        <f>ROUNDDOWN(L534*0.7,)</f>
        <v/>
      </c>
      <c r="N534" s="194" t="n">
        <v>79200</v>
      </c>
      <c r="O534" s="220" t="n">
        <v>6740000</v>
      </c>
    </row>
    <row r="535">
      <c r="A535" t="inlineStr">
        <is>
          <t>AFEEZ AJIBADE/Ebenezer</t>
        </is>
      </c>
      <c r="B535">
        <f>CONCATENATE(E535,"-",F535,"-",D535)</f>
        <v/>
      </c>
      <c r="C535" s="25">
        <f>CONCATENATE(G535,"-",F535,"-",D535)</f>
        <v/>
      </c>
      <c r="D535" s="25" t="inlineStr">
        <is>
          <t>JUMBO</t>
        </is>
      </c>
      <c r="E535" s="25" t="inlineStr">
        <is>
          <t>NBL-DSL</t>
        </is>
      </c>
      <c r="F535" s="63" t="inlineStr">
        <is>
          <t>45T</t>
        </is>
      </c>
      <c r="G535" s="204" t="inlineStr">
        <is>
          <t>SASO</t>
        </is>
      </c>
      <c r="H535" s="204" t="inlineStr">
        <is>
          <t>Lagos</t>
        </is>
      </c>
      <c r="I535" s="204" t="inlineStr">
        <is>
          <t>Mubi</t>
        </is>
      </c>
      <c r="J535" s="204" t="inlineStr">
        <is>
          <t>Adamawa</t>
        </is>
      </c>
      <c r="K535" s="214" t="n">
        <v>1650</v>
      </c>
      <c r="L535" s="215">
        <f>K535*2</f>
        <v/>
      </c>
      <c r="M535" s="208">
        <f>ROUNDDOWN(L535*0.7,)</f>
        <v/>
      </c>
      <c r="N535" s="194" t="n">
        <v>79200</v>
      </c>
      <c r="O535" s="220" t="n">
        <v>6740000</v>
      </c>
    </row>
    <row r="536">
      <c r="A536" t="inlineStr">
        <is>
          <t>AFEEZ AJIBADE/Ebenezer</t>
        </is>
      </c>
      <c r="B536">
        <f>CONCATENATE(E536,"-",F536,"-",D536)</f>
        <v/>
      </c>
      <c r="C536" s="25">
        <f>CONCATENATE(G536,"-",F536,"-",D536)</f>
        <v/>
      </c>
      <c r="D536" s="25" t="inlineStr">
        <is>
          <t>JUMBO</t>
        </is>
      </c>
      <c r="E536" s="25" t="inlineStr">
        <is>
          <t>NBL-DSL</t>
        </is>
      </c>
      <c r="F536" s="63" t="inlineStr">
        <is>
          <t>45T</t>
        </is>
      </c>
      <c r="G536" s="204" t="inlineStr">
        <is>
          <t>SASO</t>
        </is>
      </c>
      <c r="H536" s="204" t="inlineStr">
        <is>
          <t>Lagos</t>
        </is>
      </c>
      <c r="I536" s="204" t="inlineStr">
        <is>
          <t>Jalingo</t>
        </is>
      </c>
      <c r="J536" s="204" t="inlineStr">
        <is>
          <t>Taraba</t>
        </is>
      </c>
      <c r="K536" s="214" t="n">
        <v>1275</v>
      </c>
      <c r="L536" s="215">
        <f>K536*2</f>
        <v/>
      </c>
      <c r="M536" s="208">
        <f>ROUNDDOWN(L536*0.7,)</f>
        <v/>
      </c>
      <c r="N536" s="194" t="n">
        <v>61200</v>
      </c>
      <c r="O536" s="220" t="n">
        <v>5380000</v>
      </c>
    </row>
    <row r="537">
      <c r="A537" t="inlineStr">
        <is>
          <t>AFEEZ AJIBADE/Ebenezer</t>
        </is>
      </c>
      <c r="B537">
        <f>CONCATENATE(E537,"-",F537,"-",D537)</f>
        <v/>
      </c>
      <c r="C537" s="25">
        <f>CONCATENATE(G537,"-",F537,"-",D537)</f>
        <v/>
      </c>
      <c r="D537" s="25" t="inlineStr">
        <is>
          <t>JUMBO</t>
        </is>
      </c>
      <c r="E537" s="25" t="inlineStr">
        <is>
          <t>NBL-DSL</t>
        </is>
      </c>
      <c r="F537" s="63" t="inlineStr">
        <is>
          <t>30T</t>
        </is>
      </c>
      <c r="G537" s="204" t="inlineStr">
        <is>
          <t>SASO</t>
        </is>
      </c>
      <c r="H537" s="204" t="inlineStr">
        <is>
          <t>Lagos</t>
        </is>
      </c>
      <c r="I537" s="204" t="inlineStr">
        <is>
          <t>Katsina</t>
        </is>
      </c>
      <c r="J537" s="204" t="inlineStr">
        <is>
          <t>Katsina</t>
        </is>
      </c>
      <c r="K537" s="214" t="n">
        <v>978</v>
      </c>
      <c r="L537" s="215">
        <f>K537*2</f>
        <v/>
      </c>
      <c r="M537" s="208">
        <f>ROUNDDOWN(L537*0.7,)</f>
        <v/>
      </c>
      <c r="N537" s="194" t="n">
        <v>46944</v>
      </c>
      <c r="O537" s="227" t="n">
        <v>2699999.999999995</v>
      </c>
    </row>
    <row r="538">
      <c r="A538" t="inlineStr">
        <is>
          <t>AFEEZ AJIBADE/Ebenezer</t>
        </is>
      </c>
      <c r="B538">
        <f>CONCATENATE(E538,"-",F538,"-",D538)</f>
        <v/>
      </c>
      <c r="C538" s="25">
        <f>CONCATENATE(G538,"-",F538,"-",D538)</f>
        <v/>
      </c>
      <c r="D538" s="25" t="inlineStr">
        <is>
          <t>FLATBED</t>
        </is>
      </c>
      <c r="E538" s="25" t="inlineStr">
        <is>
          <t>NBL-DSL</t>
        </is>
      </c>
      <c r="F538" s="63" t="inlineStr">
        <is>
          <t>30T</t>
        </is>
      </c>
      <c r="G538" s="204" t="inlineStr">
        <is>
          <t>I'HS</t>
        </is>
      </c>
      <c r="H538" s="204" t="inlineStr">
        <is>
          <t>Lagos</t>
        </is>
      </c>
      <c r="I538" s="204" t="inlineStr">
        <is>
          <t>Port Harcourt</t>
        </is>
      </c>
      <c r="J538" s="204" t="inlineStr">
        <is>
          <t>Rivers</t>
        </is>
      </c>
      <c r="K538" s="221" t="n">
        <v>630</v>
      </c>
      <c r="L538" s="207">
        <f>K538*2</f>
        <v/>
      </c>
      <c r="M538" s="208">
        <f>ROUNDDOWN(L538*0.7,)</f>
        <v/>
      </c>
      <c r="N538" s="194" t="n">
        <v>30240</v>
      </c>
      <c r="O538" s="208" t="n">
        <v>2790000</v>
      </c>
    </row>
    <row r="539">
      <c r="A539" t="inlineStr">
        <is>
          <t>AFEEZ AJIBADE/Ebenezer</t>
        </is>
      </c>
      <c r="B539">
        <f>CONCATENATE(E539,"-",F539,"-",D539)</f>
        <v/>
      </c>
      <c r="C539" s="25">
        <f>CONCATENATE(G539,"-",F539,"-",D539)</f>
        <v/>
      </c>
      <c r="D539" s="25" t="inlineStr">
        <is>
          <t>FLATBED</t>
        </is>
      </c>
      <c r="E539" s="25" t="inlineStr">
        <is>
          <t>NBL-DSL</t>
        </is>
      </c>
      <c r="F539" s="63" t="inlineStr">
        <is>
          <t>30T</t>
        </is>
      </c>
      <c r="G539" s="204" t="inlineStr">
        <is>
          <t>I'HS</t>
        </is>
      </c>
      <c r="H539" s="204" t="inlineStr">
        <is>
          <t>Lagos</t>
        </is>
      </c>
      <c r="I539" s="204" t="inlineStr">
        <is>
          <t>Abuja</t>
        </is>
      </c>
      <c r="J539" s="204" t="inlineStr">
        <is>
          <t>FCT</t>
        </is>
      </c>
      <c r="K539" s="214" t="n">
        <v>755</v>
      </c>
      <c r="L539" s="215">
        <f>K539*2</f>
        <v/>
      </c>
      <c r="M539" s="208">
        <f>ROUNDDOWN(L539*0.7,)</f>
        <v/>
      </c>
      <c r="N539" s="194" t="n">
        <v>36240</v>
      </c>
      <c r="O539" s="208" t="n">
        <v>3300000</v>
      </c>
    </row>
    <row r="540">
      <c r="A540" t="inlineStr">
        <is>
          <t>AFEEZ AJIBADE/Ebenezer</t>
        </is>
      </c>
      <c r="B540">
        <f>CONCATENATE(E540,"-",F540,"-",D540)</f>
        <v/>
      </c>
      <c r="C540" s="25">
        <f>CONCATENATE(G540,"-",F540,"-",D540)</f>
        <v/>
      </c>
      <c r="D540" s="25" t="inlineStr">
        <is>
          <t>FLATBED</t>
        </is>
      </c>
      <c r="E540" s="25" t="inlineStr">
        <is>
          <t>NBL-DSL</t>
        </is>
      </c>
      <c r="F540" s="63" t="inlineStr">
        <is>
          <t>30T</t>
        </is>
      </c>
      <c r="G540" s="204" t="inlineStr">
        <is>
          <t>I'HS</t>
        </is>
      </c>
      <c r="H540" s="204" t="inlineStr">
        <is>
          <t>Lagos</t>
        </is>
      </c>
      <c r="I540" s="205" t="inlineStr">
        <is>
          <t>Kano</t>
        </is>
      </c>
      <c r="J540" s="205" t="inlineStr">
        <is>
          <t>Kano</t>
        </is>
      </c>
      <c r="K540" s="214" t="n">
        <v>1100</v>
      </c>
      <c r="L540" s="215">
        <f>K540*2</f>
        <v/>
      </c>
      <c r="M540" s="208">
        <f>ROUNDDOWN(L540*0.7,)</f>
        <v/>
      </c>
      <c r="N540" s="194" t="n">
        <v>52800</v>
      </c>
      <c r="O540" s="208" t="n">
        <v>4420000</v>
      </c>
    </row>
    <row r="541">
      <c r="A541" t="inlineStr">
        <is>
          <t>AFEEZ AJIBADE/Ebenezer</t>
        </is>
      </c>
      <c r="B541">
        <f>CONCATENATE(E541,"-",F541,"-",D541)</f>
        <v/>
      </c>
      <c r="C541" s="25">
        <f>CONCATENATE(G541,"-",F541,"-",D541)</f>
        <v/>
      </c>
      <c r="D541" s="25" t="inlineStr">
        <is>
          <t>FLATBED</t>
        </is>
      </c>
      <c r="E541" s="25" t="inlineStr">
        <is>
          <t>NBL-DSL</t>
        </is>
      </c>
      <c r="F541" s="63" t="inlineStr">
        <is>
          <t>30T</t>
        </is>
      </c>
      <c r="G541" s="204" t="inlineStr">
        <is>
          <t>I'HS</t>
        </is>
      </c>
      <c r="H541" s="204" t="inlineStr">
        <is>
          <t>Lagos</t>
        </is>
      </c>
      <c r="I541" s="204" t="inlineStr">
        <is>
          <t>Ibadan</t>
        </is>
      </c>
      <c r="J541" s="204" t="inlineStr">
        <is>
          <t>Oyo</t>
        </is>
      </c>
      <c r="K541" s="219" t="n">
        <v>120</v>
      </c>
      <c r="L541" s="215">
        <f>K541*2</f>
        <v/>
      </c>
      <c r="M541" s="208">
        <f>ROUNDDOWN(L541*0.7,)</f>
        <v/>
      </c>
      <c r="N541" s="194" t="n">
        <v>5760</v>
      </c>
      <c r="O541" s="208" t="n">
        <v>740000</v>
      </c>
    </row>
    <row r="542">
      <c r="A542" t="inlineStr">
        <is>
          <t>AFEEZ AJIBADE/Ebenezer</t>
        </is>
      </c>
      <c r="B542">
        <f>CONCATENATE(E542,"-",F542,"-",D542)</f>
        <v/>
      </c>
      <c r="C542" s="25">
        <f>CONCATENATE(G542,"-",F542,"-",D542)</f>
        <v/>
      </c>
      <c r="D542" s="25" t="inlineStr">
        <is>
          <t>FLATBED</t>
        </is>
      </c>
      <c r="E542" s="25" t="inlineStr">
        <is>
          <t>NBL-DSL</t>
        </is>
      </c>
      <c r="F542" s="63" t="inlineStr">
        <is>
          <t>30T</t>
        </is>
      </c>
      <c r="G542" s="204" t="inlineStr">
        <is>
          <t>I'HS</t>
        </is>
      </c>
      <c r="H542" s="204" t="inlineStr">
        <is>
          <t>Lagos</t>
        </is>
      </c>
      <c r="I542" s="204" t="inlineStr">
        <is>
          <t>IKM</t>
        </is>
      </c>
      <c r="J542" s="204" t="inlineStr">
        <is>
          <t>Lagos</t>
        </is>
      </c>
      <c r="K542" s="219" t="n">
        <v>40</v>
      </c>
      <c r="L542" s="215">
        <f>K542*2</f>
        <v/>
      </c>
      <c r="M542" s="208">
        <f>ROUNDDOWN(L542*0.7,)</f>
        <v/>
      </c>
      <c r="N542" s="194" t="n">
        <v>1920</v>
      </c>
      <c r="O542" s="208" t="n">
        <v>330000</v>
      </c>
    </row>
    <row r="543">
      <c r="A543" t="inlineStr">
        <is>
          <t>AFEEZ AJIBADE/Ebenezer</t>
        </is>
      </c>
      <c r="B543">
        <f>CONCATENATE(E543,"-",F543,"-",D543)</f>
        <v/>
      </c>
      <c r="C543" s="25">
        <f>CONCATENATE(G543,"-",F543,"-",D543)</f>
        <v/>
      </c>
      <c r="D543" s="25" t="inlineStr">
        <is>
          <t>FLATBED</t>
        </is>
      </c>
      <c r="E543" s="149" t="inlineStr">
        <is>
          <t>NBL-DSL</t>
        </is>
      </c>
      <c r="F543" s="63" t="inlineStr">
        <is>
          <t>30T</t>
        </is>
      </c>
      <c r="G543" s="204" t="inlineStr">
        <is>
          <t>I'HS</t>
        </is>
      </c>
      <c r="H543" s="204" t="inlineStr">
        <is>
          <t>Lagos</t>
        </is>
      </c>
      <c r="I543" s="204" t="inlineStr">
        <is>
          <t>Epe</t>
        </is>
      </c>
      <c r="J543" s="204" t="inlineStr">
        <is>
          <t>Lagos</t>
        </is>
      </c>
      <c r="K543" s="228" t="n">
        <v>120</v>
      </c>
      <c r="L543" s="229">
        <f>K543*2</f>
        <v/>
      </c>
      <c r="M543" s="230">
        <f>ROUNDDOWN(L543*0.7,)</f>
        <v/>
      </c>
      <c r="N543" s="194" t="n">
        <v>5760</v>
      </c>
      <c r="O543" s="230" t="n">
        <v>970000</v>
      </c>
    </row>
    <row r="544">
      <c r="A544" s="25" t="inlineStr">
        <is>
          <t>AFEEZ AJIBADE/Ebenezer</t>
        </is>
      </c>
      <c r="B544" s="25">
        <f>CONCATENATE(E544,"-",F544,"-",D544)</f>
        <v/>
      </c>
      <c r="C544" s="25">
        <f>CONCATENATE(G544,"-",F544,"-",D544)</f>
        <v/>
      </c>
      <c r="D544" s="25" t="inlineStr">
        <is>
          <t>FLATBED</t>
        </is>
      </c>
      <c r="E544" s="25" t="inlineStr">
        <is>
          <t>NBL-DSL</t>
        </is>
      </c>
      <c r="F544" s="63" t="inlineStr">
        <is>
          <t>30T</t>
        </is>
      </c>
      <c r="G544" s="204" t="inlineStr">
        <is>
          <t>I'HS</t>
        </is>
      </c>
      <c r="H544" s="204" t="inlineStr">
        <is>
          <t>Lagos</t>
        </is>
      </c>
      <c r="I544" s="205" t="inlineStr">
        <is>
          <t>Kaduna</t>
        </is>
      </c>
      <c r="J544" s="205" t="inlineStr">
        <is>
          <t>Kaduna</t>
        </is>
      </c>
      <c r="K544" s="214" t="n">
        <v>950</v>
      </c>
      <c r="L544" s="215">
        <f>K544*2</f>
        <v/>
      </c>
      <c r="M544" s="220">
        <f>ROUNDDOWN(L544*0.7,)</f>
        <v/>
      </c>
      <c r="N544" s="194" t="n">
        <v>45600</v>
      </c>
      <c r="O544" s="220" t="n">
        <v>3970000</v>
      </c>
    </row>
    <row r="545">
      <c r="A545" s="25" t="inlineStr">
        <is>
          <t>AFEEZ AJIBADE/Ebenezer</t>
        </is>
      </c>
      <c r="B545" s="25">
        <f>CONCATENATE(E545,"-",F545,"-",D545)</f>
        <v/>
      </c>
      <c r="C545" s="25">
        <f>CONCATENATE(G545,"-",F545,"-",D545)</f>
        <v/>
      </c>
      <c r="D545" s="25" t="inlineStr">
        <is>
          <t>CONTAINARIZED</t>
        </is>
      </c>
      <c r="E545" s="25" t="inlineStr">
        <is>
          <t>NBL-DSL</t>
        </is>
      </c>
      <c r="F545" s="63" t="inlineStr">
        <is>
          <t>30T</t>
        </is>
      </c>
      <c r="G545" s="204" t="inlineStr">
        <is>
          <t>JAMARA</t>
        </is>
      </c>
      <c r="H545" s="209" t="inlineStr">
        <is>
          <t>Lagos</t>
        </is>
      </c>
      <c r="I545" s="231" t="inlineStr">
        <is>
          <t>Ibadan</t>
        </is>
      </c>
      <c r="J545" s="231" t="inlineStr">
        <is>
          <t>Oyo</t>
        </is>
      </c>
      <c r="K545" s="214" t="n">
        <v>120.5</v>
      </c>
      <c r="L545" s="223">
        <f>K545*2</f>
        <v/>
      </c>
      <c r="M545" s="220">
        <f>ROUNDDOWN(L545*0.7,)</f>
        <v/>
      </c>
      <c r="N545" s="194" t="n">
        <v>5784</v>
      </c>
      <c r="O545" s="220" t="n">
        <v>660000</v>
      </c>
    </row>
    <row r="546">
      <c r="A546" s="25" t="inlineStr">
        <is>
          <t>AFEEZ AJIBADE/Ebenezer</t>
        </is>
      </c>
      <c r="B546" s="25">
        <f>CONCATENATE(E546,"-",F546,"-",D546)</f>
        <v/>
      </c>
      <c r="C546" s="25">
        <f>CONCATENATE(G546,"-",F546,"-",D546)</f>
        <v/>
      </c>
      <c r="D546" s="25" t="inlineStr">
        <is>
          <t>CONTAINARIZED</t>
        </is>
      </c>
      <c r="E546" s="25" t="inlineStr">
        <is>
          <t>NBL-DSL</t>
        </is>
      </c>
      <c r="F546" s="63" t="inlineStr">
        <is>
          <t>30T</t>
        </is>
      </c>
      <c r="G546" s="204" t="inlineStr">
        <is>
          <t>JAMARA</t>
        </is>
      </c>
      <c r="H546" s="209" t="inlineStr">
        <is>
          <t>Lagos</t>
        </is>
      </c>
      <c r="I546" s="231" t="inlineStr">
        <is>
          <t>Ekiti</t>
        </is>
      </c>
      <c r="J546" s="231" t="inlineStr">
        <is>
          <t>Ekiti</t>
        </is>
      </c>
      <c r="K546" s="214" t="n">
        <v>353</v>
      </c>
      <c r="L546" s="223">
        <f>K546*2</f>
        <v/>
      </c>
      <c r="M546" s="220">
        <f>ROUNDDOWN(L546*0.7,)</f>
        <v/>
      </c>
      <c r="N546" s="194" t="n">
        <v>16944</v>
      </c>
      <c r="O546" s="220" t="n">
        <v>1590000</v>
      </c>
    </row>
    <row r="547">
      <c r="A547" s="25" t="inlineStr">
        <is>
          <t>AFEEZ AJIBADE/Ebenezer</t>
        </is>
      </c>
      <c r="B547" s="25">
        <f>CONCATENATE(E547,"-",F547,"-",D547)</f>
        <v/>
      </c>
      <c r="C547" s="25">
        <f>CONCATENATE(G547,"-",F547,"-",D547)</f>
        <v/>
      </c>
      <c r="D547" s="25" t="inlineStr">
        <is>
          <t>CONTAINARIZED</t>
        </is>
      </c>
      <c r="E547" s="25" t="inlineStr">
        <is>
          <t>NBL-DSL</t>
        </is>
      </c>
      <c r="F547" s="63" t="inlineStr">
        <is>
          <t>30T</t>
        </is>
      </c>
      <c r="G547" s="204" t="inlineStr">
        <is>
          <t>JAMARA</t>
        </is>
      </c>
      <c r="H547" s="209" t="inlineStr">
        <is>
          <t>Lagos</t>
        </is>
      </c>
      <c r="I547" s="231" t="inlineStr">
        <is>
          <t>Ondo</t>
        </is>
      </c>
      <c r="J547" s="231" t="inlineStr">
        <is>
          <t>Ondo</t>
        </is>
      </c>
      <c r="K547" s="214" t="n">
        <v>304</v>
      </c>
      <c r="L547" s="223">
        <f>K547*2</f>
        <v/>
      </c>
      <c r="M547" s="220">
        <f>ROUNDDOWN(L547*0.7,)</f>
        <v/>
      </c>
      <c r="N547" s="194" t="n">
        <v>14592</v>
      </c>
      <c r="O547" s="220" t="n">
        <v>1470000</v>
      </c>
    </row>
    <row r="548">
      <c r="A548" s="25" t="inlineStr">
        <is>
          <t>AFEEZ AJIBADE/Ebenezer</t>
        </is>
      </c>
      <c r="B548" s="25">
        <f>CONCATENATE(E548,"-",F548,"-",D548)</f>
        <v/>
      </c>
      <c r="C548" s="25">
        <f>CONCATENATE(G548,"-",F548,"-",D548)</f>
        <v/>
      </c>
      <c r="D548" s="25" t="inlineStr">
        <is>
          <t>CONTAINARIZED</t>
        </is>
      </c>
      <c r="E548" s="25" t="inlineStr">
        <is>
          <t>NBL-DSL</t>
        </is>
      </c>
      <c r="F548" s="63" t="inlineStr">
        <is>
          <t>30T</t>
        </is>
      </c>
      <c r="G548" s="204" t="inlineStr">
        <is>
          <t>JAMARA</t>
        </is>
      </c>
      <c r="H548" s="209" t="inlineStr">
        <is>
          <t>Lagos</t>
        </is>
      </c>
      <c r="I548" s="231" t="inlineStr">
        <is>
          <t>Osun</t>
        </is>
      </c>
      <c r="J548" s="231" t="inlineStr">
        <is>
          <t>Osun</t>
        </is>
      </c>
      <c r="K548" s="214" t="n">
        <v>220</v>
      </c>
      <c r="L548" s="223">
        <f>K548*2</f>
        <v/>
      </c>
      <c r="M548" s="220">
        <f>ROUNDDOWN(L548*0.7,)</f>
        <v/>
      </c>
      <c r="N548" s="194" t="n">
        <v>10560</v>
      </c>
      <c r="O548" s="220" t="n">
        <v>1090000</v>
      </c>
    </row>
    <row r="549">
      <c r="A549" s="25" t="inlineStr">
        <is>
          <t>AFEEZ AJIBADE/Ebenezer</t>
        </is>
      </c>
      <c r="B549" s="25">
        <f>CONCATENATE(E549,"-",F549,"-",D549)</f>
        <v/>
      </c>
      <c r="C549" s="25">
        <f>CONCATENATE(G549,"-",F549,"-",D549)</f>
        <v/>
      </c>
      <c r="D549" s="25" t="inlineStr">
        <is>
          <t>CONTAINARIZED</t>
        </is>
      </c>
      <c r="E549" s="25" t="inlineStr">
        <is>
          <t>NBL-DSL</t>
        </is>
      </c>
      <c r="F549" s="63" t="inlineStr">
        <is>
          <t>30T</t>
        </is>
      </c>
      <c r="G549" s="204" t="inlineStr">
        <is>
          <t>JAMARA</t>
        </is>
      </c>
      <c r="H549" s="209" t="inlineStr">
        <is>
          <t>Lagos</t>
        </is>
      </c>
      <c r="I549" s="231" t="inlineStr">
        <is>
          <t>Kwara</t>
        </is>
      </c>
      <c r="J549" s="231" t="inlineStr">
        <is>
          <t>Kwara</t>
        </is>
      </c>
      <c r="K549" s="214" t="n">
        <v>297.5</v>
      </c>
      <c r="L549" s="223">
        <f>K549*2</f>
        <v/>
      </c>
      <c r="M549" s="220">
        <f>ROUNDDOWN(L549*0.7,)</f>
        <v/>
      </c>
      <c r="N549" s="194" t="n">
        <v>14280</v>
      </c>
      <c r="O549" s="220" t="n">
        <v>1280000</v>
      </c>
    </row>
    <row r="550">
      <c r="A550" s="25" t="inlineStr">
        <is>
          <t>AFEEZ AJIBADE/Ebenezer</t>
        </is>
      </c>
      <c r="B550" s="25">
        <f>CONCATENATE(E550,"-",F550,"-",D550)</f>
        <v/>
      </c>
      <c r="C550" s="25">
        <f>CONCATENATE(G550,"-",F550,"-",D550)</f>
        <v/>
      </c>
      <c r="D550" s="25" t="inlineStr">
        <is>
          <t>CONTAINARIZED</t>
        </is>
      </c>
      <c r="E550" s="25" t="inlineStr">
        <is>
          <t>NBL-DSL</t>
        </is>
      </c>
      <c r="F550" s="63" t="inlineStr">
        <is>
          <t>30T</t>
        </is>
      </c>
      <c r="G550" s="204" t="inlineStr">
        <is>
          <t>JAMARA</t>
        </is>
      </c>
      <c r="H550" s="209" t="inlineStr">
        <is>
          <t>Lagos</t>
        </is>
      </c>
      <c r="I550" s="231" t="inlineStr">
        <is>
          <t>Omu-Aran</t>
        </is>
      </c>
      <c r="J550" s="231" t="inlineStr">
        <is>
          <t>Kwara</t>
        </is>
      </c>
      <c r="K550" s="214" t="n">
        <v>317.5</v>
      </c>
      <c r="L550" s="223">
        <f>K550*2</f>
        <v/>
      </c>
      <c r="M550" s="220">
        <f>ROUNDDOWN(L550*0.7,)</f>
        <v/>
      </c>
      <c r="N550" s="194" t="n">
        <v>15240</v>
      </c>
      <c r="O550" s="220" t="n">
        <v>1500000</v>
      </c>
    </row>
    <row r="551">
      <c r="A551" s="25" t="inlineStr">
        <is>
          <t>AFEEZ AJIBADE/Ebenezer</t>
        </is>
      </c>
      <c r="B551" s="25">
        <f>CONCATENATE(E551,"-",F551,"-",D551)</f>
        <v/>
      </c>
      <c r="C551" s="25">
        <f>CONCATENATE(G551,"-",F551,"-",D551)</f>
        <v/>
      </c>
      <c r="D551" s="25" t="inlineStr">
        <is>
          <t>CONTAINARIZED</t>
        </is>
      </c>
      <c r="E551" s="25" t="inlineStr">
        <is>
          <t>NBL-DSL</t>
        </is>
      </c>
      <c r="F551" s="63" t="inlineStr">
        <is>
          <t>30T</t>
        </is>
      </c>
      <c r="G551" s="204" t="inlineStr">
        <is>
          <t>JAMARA</t>
        </is>
      </c>
      <c r="H551" s="209" t="inlineStr">
        <is>
          <t>Lagos</t>
        </is>
      </c>
      <c r="I551" s="231" t="inlineStr">
        <is>
          <t>Abeokuta</t>
        </is>
      </c>
      <c r="J551" s="231" t="inlineStr">
        <is>
          <t>Ogun</t>
        </is>
      </c>
      <c r="K551" s="214" t="n">
        <v>100</v>
      </c>
      <c r="L551" s="223">
        <f>K551*2</f>
        <v/>
      </c>
      <c r="M551" s="220">
        <f>ROUNDDOWN(L551*0.7,)</f>
        <v/>
      </c>
      <c r="N551" s="194" t="n">
        <v>4800</v>
      </c>
      <c r="O551" s="220" t="n">
        <v>610000</v>
      </c>
    </row>
    <row r="552">
      <c r="A552" s="25" t="inlineStr">
        <is>
          <t>AFEEZ AJIBADE/Ebenezer</t>
        </is>
      </c>
      <c r="B552" s="25">
        <f>CONCATENATE(E552,"-",F552,"-",D552)</f>
        <v/>
      </c>
      <c r="C552" s="25">
        <f>CONCATENATE(G552,"-",F552,"-",D552)</f>
        <v/>
      </c>
      <c r="D552" s="25" t="inlineStr">
        <is>
          <t>CONTAINARIZED</t>
        </is>
      </c>
      <c r="E552" s="25" t="inlineStr">
        <is>
          <t>NBL-DSL</t>
        </is>
      </c>
      <c r="F552" s="63" t="inlineStr">
        <is>
          <t>30T</t>
        </is>
      </c>
      <c r="G552" s="204" t="inlineStr">
        <is>
          <t>JAMARA</t>
        </is>
      </c>
      <c r="H552" s="209" t="inlineStr">
        <is>
          <t>Lagos</t>
        </is>
      </c>
      <c r="I552" s="231" t="inlineStr">
        <is>
          <t>Benin City</t>
        </is>
      </c>
      <c r="J552" s="231" t="inlineStr">
        <is>
          <t>Edo</t>
        </is>
      </c>
      <c r="K552" s="214" t="n">
        <v>312</v>
      </c>
      <c r="L552" s="223">
        <f>K552*2</f>
        <v/>
      </c>
      <c r="M552" s="220">
        <f>ROUNDDOWN(L552*0.7,)</f>
        <v/>
      </c>
      <c r="N552" s="194" t="n">
        <v>14976</v>
      </c>
      <c r="O552" s="220" t="n">
        <v>1490000</v>
      </c>
    </row>
    <row r="553">
      <c r="A553" s="25" t="inlineStr">
        <is>
          <t>AFEEZ AJIBADE/Ebenezer</t>
        </is>
      </c>
      <c r="B553" s="25">
        <f>CONCATENATE(E553,"-",F553,"-",D553)</f>
        <v/>
      </c>
      <c r="C553" s="25">
        <f>CONCATENATE(G553,"-",F553,"-",D553)</f>
        <v/>
      </c>
      <c r="D553" s="25" t="inlineStr">
        <is>
          <t>CONTAINARIZED</t>
        </is>
      </c>
      <c r="E553" s="25" t="inlineStr">
        <is>
          <t>NBL-DSL</t>
        </is>
      </c>
      <c r="F553" s="63" t="inlineStr">
        <is>
          <t>30T</t>
        </is>
      </c>
      <c r="G553" s="204" t="inlineStr">
        <is>
          <t>JAMARA</t>
        </is>
      </c>
      <c r="H553" s="209" t="inlineStr">
        <is>
          <t>Lagos</t>
        </is>
      </c>
      <c r="I553" s="231" t="inlineStr">
        <is>
          <t>Abule Egba-Ijaiye-Moshalasi-Kola-Sango</t>
        </is>
      </c>
      <c r="J553" s="231" t="inlineStr">
        <is>
          <t>Lagos/Ogun</t>
        </is>
      </c>
      <c r="K553" s="232" t="n">
        <v>28.4</v>
      </c>
      <c r="L553" s="223">
        <f>K553*2</f>
        <v/>
      </c>
      <c r="M553" s="220">
        <f>ROUNDDOWN(L553*0.7,)</f>
        <v/>
      </c>
      <c r="N553" s="194" t="n">
        <v>1363.2</v>
      </c>
      <c r="O553" s="220" t="n">
        <v>440000</v>
      </c>
    </row>
    <row r="554">
      <c r="A554" s="25" t="inlineStr">
        <is>
          <t>AFEEZ AJIBADE/Ebenezer</t>
        </is>
      </c>
      <c r="B554" s="25">
        <f>CONCATENATE(E554,"-",F554,"-",D554)</f>
        <v/>
      </c>
      <c r="C554" s="25">
        <f>CONCATENATE(G554,"-",F554,"-",D554)</f>
        <v/>
      </c>
      <c r="D554" s="25" t="inlineStr">
        <is>
          <t>CONTAINARIZED</t>
        </is>
      </c>
      <c r="E554" s="25" t="inlineStr">
        <is>
          <t>NBL-DSL</t>
        </is>
      </c>
      <c r="F554" s="63" t="inlineStr">
        <is>
          <t>30T</t>
        </is>
      </c>
      <c r="G554" s="204" t="inlineStr">
        <is>
          <t>JAMARA</t>
        </is>
      </c>
      <c r="H554" s="209" t="inlineStr">
        <is>
          <t>Lagos</t>
        </is>
      </c>
      <c r="I554" s="233" t="inlineStr">
        <is>
          <t>Agbara-Badagry</t>
        </is>
      </c>
      <c r="J554" s="233" t="inlineStr">
        <is>
          <t>Lagos/Ogun</t>
        </is>
      </c>
      <c r="K554" s="232" t="n">
        <v>30</v>
      </c>
      <c r="L554" s="223">
        <f>K554*2</f>
        <v/>
      </c>
      <c r="M554" s="220">
        <f>ROUNDDOWN(L554*0.7,)</f>
        <v/>
      </c>
      <c r="N554" s="194" t="n">
        <v>1440</v>
      </c>
      <c r="O554" s="220" t="n">
        <v>440000</v>
      </c>
    </row>
    <row r="555">
      <c r="A555" s="25" t="inlineStr">
        <is>
          <t>AFEEZ AJIBADE/Ebenezer</t>
        </is>
      </c>
      <c r="B555" s="25">
        <f>CONCATENATE(E555,"-",F555,"-",D555)</f>
        <v/>
      </c>
      <c r="C555" s="25">
        <f>CONCATENATE(G555,"-",F555,"-",D555)</f>
        <v/>
      </c>
      <c r="D555" s="25" t="inlineStr">
        <is>
          <t>CONTAINARIZED</t>
        </is>
      </c>
      <c r="E555" s="25" t="inlineStr">
        <is>
          <t>NBL-DSL</t>
        </is>
      </c>
      <c r="F555" s="63" t="inlineStr">
        <is>
          <t>30T</t>
        </is>
      </c>
      <c r="G555" s="204" t="inlineStr">
        <is>
          <t>JAMARA</t>
        </is>
      </c>
      <c r="H555" s="209" t="inlineStr">
        <is>
          <t>Lagos</t>
        </is>
      </c>
      <c r="I555" s="234" t="inlineStr">
        <is>
          <t>Festac-Mile 2-Amuwo-Okota</t>
        </is>
      </c>
      <c r="J555" s="234" t="inlineStr">
        <is>
          <t>Lagos</t>
        </is>
      </c>
      <c r="K555" s="232" t="n">
        <v>47</v>
      </c>
      <c r="L555" s="223">
        <f>K555*2</f>
        <v/>
      </c>
      <c r="M555" s="220">
        <f>ROUNDDOWN(L555*0.7,)</f>
        <v/>
      </c>
      <c r="N555" s="194" t="n">
        <v>2256</v>
      </c>
      <c r="O555" s="220" t="n">
        <v>480000</v>
      </c>
    </row>
    <row r="556">
      <c r="A556" s="25" t="inlineStr">
        <is>
          <t>AFEEZ AJIBADE/Ebenezer</t>
        </is>
      </c>
      <c r="B556" s="25">
        <f>CONCATENATE(E556,"-",F556,"-",D556)</f>
        <v/>
      </c>
      <c r="C556" s="25">
        <f>CONCATENATE(G556,"-",F556,"-",D556)</f>
        <v/>
      </c>
      <c r="D556" s="25" t="inlineStr">
        <is>
          <t>CONTAINARIZED</t>
        </is>
      </c>
      <c r="E556" s="25" t="inlineStr">
        <is>
          <t>NBL-DSL</t>
        </is>
      </c>
      <c r="F556" s="63" t="inlineStr">
        <is>
          <t>30T</t>
        </is>
      </c>
      <c r="G556" s="204" t="inlineStr">
        <is>
          <t>JAMARA</t>
        </is>
      </c>
      <c r="H556" s="209" t="inlineStr">
        <is>
          <t>Lagos</t>
        </is>
      </c>
      <c r="I556" s="234" t="inlineStr">
        <is>
          <t>Festac-Mile 2-Amuwo-Okota</t>
        </is>
      </c>
      <c r="J556" s="234" t="inlineStr">
        <is>
          <t>Lagos</t>
        </is>
      </c>
      <c r="K556" s="232" t="n">
        <v>47</v>
      </c>
      <c r="L556" s="223">
        <f>K556*2</f>
        <v/>
      </c>
      <c r="M556" s="220">
        <f>ROUNDDOWN(L556*0.7,)</f>
        <v/>
      </c>
      <c r="N556" s="194" t="n">
        <v>2256</v>
      </c>
      <c r="O556" s="220" t="n">
        <v>480000</v>
      </c>
    </row>
    <row r="557">
      <c r="A557" s="25" t="inlineStr">
        <is>
          <t>AFEEZ AJIBADE/Ebenezer</t>
        </is>
      </c>
      <c r="B557" s="25">
        <f>CONCATENATE(E557,"-",F557,"-",D557)</f>
        <v/>
      </c>
      <c r="C557" s="25">
        <f>CONCATENATE(G557,"-",F557,"-",D557)</f>
        <v/>
      </c>
      <c r="D557" s="25" t="inlineStr">
        <is>
          <t>CONTAINARIZED</t>
        </is>
      </c>
      <c r="E557" s="25" t="inlineStr">
        <is>
          <t>NBL-DSL</t>
        </is>
      </c>
      <c r="F557" s="63" t="inlineStr">
        <is>
          <t>30T</t>
        </is>
      </c>
      <c r="G557" s="204" t="inlineStr">
        <is>
          <t>JAMARA</t>
        </is>
      </c>
      <c r="H557" s="209" t="inlineStr">
        <is>
          <t>Lagos</t>
        </is>
      </c>
      <c r="I557" s="231" t="inlineStr">
        <is>
          <t>Alaba</t>
        </is>
      </c>
      <c r="J557" s="231" t="inlineStr">
        <is>
          <t>Lagos</t>
        </is>
      </c>
      <c r="K557" s="232" t="n">
        <v>25</v>
      </c>
      <c r="L557" s="223">
        <f>K557*2</f>
        <v/>
      </c>
      <c r="M557" s="220">
        <f>ROUNDDOWN(L557*0.7,)</f>
        <v/>
      </c>
      <c r="N557" s="194" t="n">
        <v>1200</v>
      </c>
      <c r="O557" s="220" t="n">
        <v>540000</v>
      </c>
    </row>
    <row r="558">
      <c r="A558" s="25" t="inlineStr">
        <is>
          <t>AFEEZ AJIBADE/Ebenezer</t>
        </is>
      </c>
      <c r="B558" s="25">
        <f>CONCATENATE(E558,"-",F558,"-",D558)</f>
        <v/>
      </c>
      <c r="C558" s="25">
        <f>CONCATENATE(G558,"-",F558,"-",D558)</f>
        <v/>
      </c>
      <c r="D558" s="25" t="inlineStr">
        <is>
          <t>CONTAINARIZED</t>
        </is>
      </c>
      <c r="E558" s="25" t="inlineStr">
        <is>
          <t>NBL-DSL</t>
        </is>
      </c>
      <c r="F558" s="63" t="inlineStr">
        <is>
          <t>30T</t>
        </is>
      </c>
      <c r="G558" s="204" t="inlineStr">
        <is>
          <t>JAMARA</t>
        </is>
      </c>
      <c r="H558" s="209" t="inlineStr">
        <is>
          <t>Lagos</t>
        </is>
      </c>
      <c r="I558" s="231" t="inlineStr">
        <is>
          <t>Ikeja-Agege-Dopemu-Magodo</t>
        </is>
      </c>
      <c r="J558" s="231" t="inlineStr">
        <is>
          <t>Lagos</t>
        </is>
      </c>
      <c r="K558" s="232" t="n">
        <v>13.85</v>
      </c>
      <c r="L558" s="223">
        <f>K558*2</f>
        <v/>
      </c>
      <c r="M558" s="220">
        <f>ROUNDDOWN(L558*0.7,)</f>
        <v/>
      </c>
      <c r="N558" s="194" t="n">
        <v>664.8</v>
      </c>
      <c r="O558" s="220" t="n">
        <v>400000</v>
      </c>
    </row>
    <row r="559">
      <c r="A559" s="25" t="inlineStr">
        <is>
          <t>AFEEZ AJIBADE/Ebenezer</t>
        </is>
      </c>
      <c r="B559" s="25">
        <f>CONCATENATE(E559,"-",F559,"-",D559)</f>
        <v/>
      </c>
      <c r="C559" s="25">
        <f>CONCATENATE(G559,"-",F559,"-",D559)</f>
        <v/>
      </c>
      <c r="D559" s="25" t="inlineStr">
        <is>
          <t>CONTAINARIZED</t>
        </is>
      </c>
      <c r="E559" s="25" t="inlineStr">
        <is>
          <t>NBL-DSL</t>
        </is>
      </c>
      <c r="F559" s="63" t="inlineStr">
        <is>
          <t>30T</t>
        </is>
      </c>
      <c r="G559" s="204" t="inlineStr">
        <is>
          <t>JAMARA</t>
        </is>
      </c>
      <c r="H559" s="209" t="inlineStr">
        <is>
          <t>Lagos</t>
        </is>
      </c>
      <c r="I559" s="231" t="inlineStr">
        <is>
          <t>Ikotun</t>
        </is>
      </c>
      <c r="J559" s="231" t="inlineStr">
        <is>
          <t>Lagos</t>
        </is>
      </c>
      <c r="K559" s="232" t="n">
        <v>16.8</v>
      </c>
      <c r="L559" s="223">
        <f>K559*2</f>
        <v/>
      </c>
      <c r="M559" s="220">
        <f>ROUNDDOWN(L559*0.7,)</f>
        <v/>
      </c>
      <c r="N559" s="194" t="n">
        <v>806.4000000000001</v>
      </c>
      <c r="O559" s="220" t="n">
        <v>410000</v>
      </c>
    </row>
    <row r="560">
      <c r="A560" s="25" t="inlineStr">
        <is>
          <t>AFEEZ AJIBADE/Ebenezer</t>
        </is>
      </c>
      <c r="B560" s="25">
        <f>CONCATENATE(E560,"-",F560,"-",D560)</f>
        <v/>
      </c>
      <c r="C560" s="25">
        <f>CONCATENATE(G560,"-",F560,"-",D560)</f>
        <v/>
      </c>
      <c r="D560" s="25" t="inlineStr">
        <is>
          <t>CONTAINARIZED</t>
        </is>
      </c>
      <c r="E560" s="25" t="inlineStr">
        <is>
          <t>NBL-DSL</t>
        </is>
      </c>
      <c r="F560" s="63" t="inlineStr">
        <is>
          <t>30T</t>
        </is>
      </c>
      <c r="G560" s="204" t="inlineStr">
        <is>
          <t>JAMARA</t>
        </is>
      </c>
      <c r="H560" s="209" t="inlineStr">
        <is>
          <t>Lagos</t>
        </is>
      </c>
      <c r="I560" s="231" t="inlineStr">
        <is>
          <t>Ilupeju</t>
        </is>
      </c>
      <c r="J560" s="231" t="inlineStr">
        <is>
          <t>Lagos</t>
        </is>
      </c>
      <c r="K560" s="232" t="n">
        <v>21.5</v>
      </c>
      <c r="L560" s="223">
        <f>K560*2</f>
        <v/>
      </c>
      <c r="M560" s="220">
        <f>ROUNDDOWN(L560*0.7,)</f>
        <v/>
      </c>
      <c r="N560" s="194" t="n">
        <v>1032</v>
      </c>
      <c r="O560" s="220" t="n">
        <v>420000</v>
      </c>
    </row>
    <row r="561">
      <c r="A561" s="25" t="inlineStr">
        <is>
          <t>AFEEZ AJIBADE/Ebenezer</t>
        </is>
      </c>
      <c r="B561" s="25">
        <f>CONCATENATE(E561,"-",F561,"-",D561)</f>
        <v/>
      </c>
      <c r="C561" s="25">
        <f>CONCATENATE(G561,"-",F561,"-",D561)</f>
        <v/>
      </c>
      <c r="D561" s="25" t="inlineStr">
        <is>
          <t>CONTAINARIZED</t>
        </is>
      </c>
      <c r="E561" s="25" t="inlineStr">
        <is>
          <t>NBL-DSL</t>
        </is>
      </c>
      <c r="F561" s="63" t="inlineStr">
        <is>
          <t>30T</t>
        </is>
      </c>
      <c r="G561" s="204" t="inlineStr">
        <is>
          <t>JAMARA</t>
        </is>
      </c>
      <c r="H561" s="209" t="inlineStr">
        <is>
          <t>Lagos</t>
        </is>
      </c>
      <c r="I561" s="231" t="inlineStr">
        <is>
          <t>Ilupeju-Gbagada-Apapa-Mushin-Okota-Fadeyi</t>
        </is>
      </c>
      <c r="J561" s="231" t="inlineStr">
        <is>
          <t>Lagos</t>
        </is>
      </c>
      <c r="K561" s="232" t="n">
        <v>21.5</v>
      </c>
      <c r="L561" s="223">
        <f>K561*2</f>
        <v/>
      </c>
      <c r="M561" s="220">
        <f>ROUNDDOWN(L561*0.7,)</f>
        <v/>
      </c>
      <c r="N561" s="194" t="n">
        <v>1032</v>
      </c>
      <c r="O561" s="220" t="n">
        <v>420000</v>
      </c>
    </row>
    <row r="562">
      <c r="A562" s="25" t="inlineStr">
        <is>
          <t>AFEEZ AJIBADE/Ebenezer</t>
        </is>
      </c>
      <c r="B562" s="25">
        <f>CONCATENATE(E562,"-",F562,"-",D562)</f>
        <v/>
      </c>
      <c r="C562" s="25">
        <f>CONCATENATE(G562,"-",F562,"-",D562)</f>
        <v/>
      </c>
      <c r="D562" s="25" t="inlineStr">
        <is>
          <t>CONTAINARIZED</t>
        </is>
      </c>
      <c r="E562" s="25" t="inlineStr">
        <is>
          <t>NBL-DSL</t>
        </is>
      </c>
      <c r="F562" s="63" t="inlineStr">
        <is>
          <t>30T</t>
        </is>
      </c>
      <c r="G562" s="204" t="inlineStr">
        <is>
          <t>JAMARA</t>
        </is>
      </c>
      <c r="H562" s="209" t="inlineStr">
        <is>
          <t>Lagos</t>
        </is>
      </c>
      <c r="I562" s="231" t="inlineStr">
        <is>
          <t>Ketu</t>
        </is>
      </c>
      <c r="J562" s="231" t="inlineStr">
        <is>
          <t>Lagos</t>
        </is>
      </c>
      <c r="K562" s="214" t="n">
        <v>37.5</v>
      </c>
      <c r="L562" s="223">
        <f>K562*2</f>
        <v/>
      </c>
      <c r="M562" s="220">
        <f>ROUNDDOWN(L562*0.7,)</f>
        <v/>
      </c>
      <c r="N562" s="194" t="n">
        <v>1800</v>
      </c>
      <c r="O562" s="220" t="n">
        <v>460000</v>
      </c>
    </row>
    <row r="563">
      <c r="A563" s="25" t="inlineStr">
        <is>
          <t>AFEEZ AJIBADE/Ebenezer</t>
        </is>
      </c>
      <c r="B563" s="25">
        <f>CONCATENATE(E563,"-",F563,"-",D563)</f>
        <v/>
      </c>
      <c r="C563" s="25">
        <f>CONCATENATE(G563,"-",F563,"-",D563)</f>
        <v/>
      </c>
      <c r="D563" s="25" t="inlineStr">
        <is>
          <t>CONTAINARIZED</t>
        </is>
      </c>
      <c r="E563" s="25" t="inlineStr">
        <is>
          <t>NBL-DSL</t>
        </is>
      </c>
      <c r="F563" s="63" t="inlineStr">
        <is>
          <t>30T</t>
        </is>
      </c>
      <c r="G563" s="204" t="inlineStr">
        <is>
          <t>JAMARA</t>
        </is>
      </c>
      <c r="H563" s="209" t="inlineStr">
        <is>
          <t>Lagos</t>
        </is>
      </c>
      <c r="I563" s="231" t="inlineStr">
        <is>
          <t>Ikorodu</t>
        </is>
      </c>
      <c r="J563" s="231" t="inlineStr">
        <is>
          <t>Lagos</t>
        </is>
      </c>
      <c r="K563" s="232" t="n">
        <v>24.25</v>
      </c>
      <c r="L563" s="223">
        <f>K563*2</f>
        <v/>
      </c>
      <c r="M563" s="220">
        <f>ROUNDDOWN(L563*0.7,)</f>
        <v/>
      </c>
      <c r="N563" s="194" t="n">
        <v>1164</v>
      </c>
      <c r="O563" s="220" t="n">
        <v>430000</v>
      </c>
    </row>
    <row r="564">
      <c r="A564" s="25" t="inlineStr">
        <is>
          <t>AFEEZ AJIBADE/Ebenezer</t>
        </is>
      </c>
      <c r="B564" s="25">
        <f>CONCATENATE(E564,"-",F564,"-",D564)</f>
        <v/>
      </c>
      <c r="C564" s="25">
        <f>CONCATENATE(G564,"-",F564,"-",D564)</f>
        <v/>
      </c>
      <c r="D564" s="25" t="inlineStr">
        <is>
          <t>CONTAINARIZED</t>
        </is>
      </c>
      <c r="E564" s="25" t="inlineStr">
        <is>
          <t>NBL-DSL</t>
        </is>
      </c>
      <c r="F564" s="63" t="inlineStr">
        <is>
          <t>30T</t>
        </is>
      </c>
      <c r="G564" s="204" t="inlineStr">
        <is>
          <t>JAMARA</t>
        </is>
      </c>
      <c r="H564" s="209" t="inlineStr">
        <is>
          <t>Lagos</t>
        </is>
      </c>
      <c r="I564" s="231" t="inlineStr">
        <is>
          <t>Marina</t>
        </is>
      </c>
      <c r="J564" s="231" t="inlineStr">
        <is>
          <t>Lagos</t>
        </is>
      </c>
      <c r="K564" s="232" t="n">
        <v>23</v>
      </c>
      <c r="L564" s="223">
        <f>K564*2</f>
        <v/>
      </c>
      <c r="M564" s="220">
        <f>ROUNDDOWN(L564*0.7,)</f>
        <v/>
      </c>
      <c r="N564" s="194" t="n">
        <v>1104</v>
      </c>
      <c r="O564" s="220" t="n">
        <v>420000</v>
      </c>
    </row>
    <row r="565">
      <c r="A565" s="25" t="inlineStr">
        <is>
          <t>AFEEZ AJIBADE/Ebenezer</t>
        </is>
      </c>
      <c r="B565" s="25">
        <f>CONCATENATE(E565,"-",F565,"-",D565)</f>
        <v/>
      </c>
      <c r="C565" s="25">
        <f>CONCATENATE(G565,"-",F565,"-",D565)</f>
        <v/>
      </c>
      <c r="D565" s="25" t="inlineStr">
        <is>
          <t>CONTAINARIZED</t>
        </is>
      </c>
      <c r="E565" s="25" t="inlineStr">
        <is>
          <t>NBL-DSL</t>
        </is>
      </c>
      <c r="F565" s="63" t="inlineStr">
        <is>
          <t>30T</t>
        </is>
      </c>
      <c r="G565" s="204" t="inlineStr">
        <is>
          <t>JAMARA</t>
        </is>
      </c>
      <c r="H565" s="209" t="inlineStr">
        <is>
          <t>Lagos</t>
        </is>
      </c>
      <c r="I565" s="231" t="inlineStr">
        <is>
          <t>Ojodu-Akute-Mowe</t>
        </is>
      </c>
      <c r="J565" s="231" t="inlineStr">
        <is>
          <t>Lagos/Ogun</t>
        </is>
      </c>
      <c r="K565" s="232" t="n">
        <v>37.6</v>
      </c>
      <c r="L565" s="223">
        <f>K565*2</f>
        <v/>
      </c>
      <c r="M565" s="220">
        <f>ROUNDDOWN(L565*0.7,)</f>
        <v/>
      </c>
      <c r="N565" s="194" t="n">
        <v>1804.8</v>
      </c>
      <c r="O565" s="220" t="n">
        <v>460000</v>
      </c>
    </row>
    <row r="566">
      <c r="A566" s="25" t="inlineStr">
        <is>
          <t>AFEEZ AJIBADE/Ebenezer</t>
        </is>
      </c>
      <c r="B566" s="25">
        <f>CONCATENATE(E566,"-",F566,"-",D566)</f>
        <v/>
      </c>
      <c r="C566" s="25">
        <f>CONCATENATE(G566,"-",F566,"-",D566)</f>
        <v/>
      </c>
      <c r="D566" s="25" t="inlineStr">
        <is>
          <t>CONTAINARIZED</t>
        </is>
      </c>
      <c r="E566" s="25" t="inlineStr">
        <is>
          <t>NBL-DSL</t>
        </is>
      </c>
      <c r="F566" s="63" t="inlineStr">
        <is>
          <t>30T</t>
        </is>
      </c>
      <c r="G566" s="204" t="inlineStr">
        <is>
          <t>JAMARA</t>
        </is>
      </c>
      <c r="H566" s="209" t="inlineStr">
        <is>
          <t>Lagos</t>
        </is>
      </c>
      <c r="I566" s="231" t="inlineStr">
        <is>
          <t>Yaba</t>
        </is>
      </c>
      <c r="J566" s="231" t="inlineStr">
        <is>
          <t>Lagos</t>
        </is>
      </c>
      <c r="K566" s="232" t="n">
        <v>19</v>
      </c>
      <c r="L566" s="223">
        <f>K566*2</f>
        <v/>
      </c>
      <c r="M566" s="220">
        <f>ROUNDDOWN(L566*0.7,)</f>
        <v/>
      </c>
      <c r="N566" s="194" t="n">
        <v>912</v>
      </c>
      <c r="O566" s="220" t="n">
        <v>410000</v>
      </c>
    </row>
    <row r="567">
      <c r="A567" s="25" t="inlineStr">
        <is>
          <t>AFEEZ AJIBADE/Ebenezer</t>
        </is>
      </c>
      <c r="B567" s="25">
        <f>CONCATENATE(E567,"-",F567,"-",D567)</f>
        <v/>
      </c>
      <c r="C567" s="25">
        <f>CONCATENATE(G567,"-",F567,"-",D567)</f>
        <v/>
      </c>
      <c r="D567" s="25" t="inlineStr">
        <is>
          <t>CONTAINARIZED</t>
        </is>
      </c>
      <c r="E567" s="25" t="inlineStr">
        <is>
          <t>NBL-DSL</t>
        </is>
      </c>
      <c r="F567" s="63" t="inlineStr">
        <is>
          <t>30T</t>
        </is>
      </c>
      <c r="G567" s="204" t="inlineStr">
        <is>
          <t>JAMARA</t>
        </is>
      </c>
      <c r="H567" s="209" t="inlineStr">
        <is>
          <t>Lagos</t>
        </is>
      </c>
      <c r="I567" s="231" t="inlineStr">
        <is>
          <t>Lekki</t>
        </is>
      </c>
      <c r="J567" s="231" t="inlineStr">
        <is>
          <t>Lagos</t>
        </is>
      </c>
      <c r="K567" s="232" t="n">
        <v>50</v>
      </c>
      <c r="L567" s="223">
        <f>K567*2</f>
        <v/>
      </c>
      <c r="M567" s="220">
        <f>ROUNDDOWN(L567*0.7,)</f>
        <v/>
      </c>
      <c r="N567" s="194" t="n">
        <v>2400</v>
      </c>
      <c r="O567" s="220" t="n">
        <v>490000</v>
      </c>
    </row>
    <row r="568">
      <c r="A568" s="25" t="inlineStr">
        <is>
          <t>AFEEZ AJIBADE/Ebenezer</t>
        </is>
      </c>
      <c r="B568" s="25">
        <f>CONCATENATE(E568,"-",F568,"-",D568)</f>
        <v/>
      </c>
      <c r="C568" s="25">
        <f>CONCATENATE(G568,"-",F568,"-",D568)</f>
        <v/>
      </c>
      <c r="D568" s="25" t="inlineStr">
        <is>
          <t>CONTAINARIZED</t>
        </is>
      </c>
      <c r="E568" s="25" t="inlineStr">
        <is>
          <t>NBL-DSL</t>
        </is>
      </c>
      <c r="F568" s="63" t="inlineStr">
        <is>
          <t>30T</t>
        </is>
      </c>
      <c r="G568" s="204" t="inlineStr">
        <is>
          <t>JAMARA</t>
        </is>
      </c>
      <c r="H568" s="209" t="inlineStr">
        <is>
          <t>Lagos</t>
        </is>
      </c>
      <c r="I568" s="231" t="inlineStr">
        <is>
          <t>Victoria Island</t>
        </is>
      </c>
      <c r="J568" s="231" t="inlineStr">
        <is>
          <t>Lagos</t>
        </is>
      </c>
      <c r="K568" s="232" t="n">
        <v>39.65</v>
      </c>
      <c r="L568" s="223">
        <f>K568*2</f>
        <v/>
      </c>
      <c r="M568" s="220">
        <f>ROUNDDOWN(L568*0.7,)</f>
        <v/>
      </c>
      <c r="N568" s="194" t="n">
        <v>1903.2</v>
      </c>
      <c r="O568" s="220" t="n">
        <v>460000</v>
      </c>
    </row>
    <row r="569">
      <c r="A569" s="88" t="inlineStr">
        <is>
          <t>AFEEZ AJIBADE/Ebenezer</t>
        </is>
      </c>
      <c r="B569" s="88">
        <f>CONCATENATE(E569,"-",F569,"-",D569)</f>
        <v/>
      </c>
      <c r="C569" s="25">
        <f>CONCATENATE(G569,"-",F569,"-",D569)</f>
        <v/>
      </c>
      <c r="D569" s="25" t="inlineStr">
        <is>
          <t>FLATBED</t>
        </is>
      </c>
      <c r="E569" s="25" t="inlineStr">
        <is>
          <t>NBL-DSL</t>
        </is>
      </c>
      <c r="F569" s="79" t="inlineStr">
        <is>
          <t>30T</t>
        </is>
      </c>
      <c r="G569" s="209" t="inlineStr">
        <is>
          <t>I'HS</t>
        </is>
      </c>
      <c r="H569" s="209" t="inlineStr">
        <is>
          <t>Lagos</t>
        </is>
      </c>
      <c r="I569" s="209" t="inlineStr">
        <is>
          <t>IKM</t>
        </is>
      </c>
      <c r="J569" s="209" t="inlineStr">
        <is>
          <t>Lagos</t>
        </is>
      </c>
      <c r="K569" s="235" t="n">
        <v>40</v>
      </c>
      <c r="L569" s="236">
        <f>K569*2</f>
        <v/>
      </c>
      <c r="M569" s="220">
        <f>ROUNDDOWN(L569*0.7,)</f>
        <v/>
      </c>
      <c r="N569" s="194" t="n">
        <v>1920</v>
      </c>
      <c r="O569" s="220" t="n">
        <v>440000</v>
      </c>
    </row>
    <row r="570">
      <c r="A570" s="88" t="inlineStr">
        <is>
          <t>AFEEZ AJIBADE/Ebenezer</t>
        </is>
      </c>
      <c r="B570" s="88">
        <f>CONCATENATE(E570,"-",F570,"-",D570)</f>
        <v/>
      </c>
      <c r="C570" s="25">
        <f>CONCATENATE(G570,"-",F570,"-",D570)</f>
        <v/>
      </c>
      <c r="D570" s="25" t="inlineStr">
        <is>
          <t>FLATBED</t>
        </is>
      </c>
      <c r="E570" s="25" t="inlineStr">
        <is>
          <t>NBL-DSL</t>
        </is>
      </c>
      <c r="F570" s="79" t="inlineStr">
        <is>
          <t>30T</t>
        </is>
      </c>
      <c r="G570" s="209" t="inlineStr">
        <is>
          <t>I'HS</t>
        </is>
      </c>
      <c r="H570" s="209" t="inlineStr">
        <is>
          <t>Lagos</t>
        </is>
      </c>
      <c r="I570" s="209" t="inlineStr">
        <is>
          <t>Epe</t>
        </is>
      </c>
      <c r="J570" s="209" t="inlineStr">
        <is>
          <t>Lagos</t>
        </is>
      </c>
      <c r="K570" s="235" t="n">
        <v>120</v>
      </c>
      <c r="L570" s="236">
        <f>K570*2</f>
        <v/>
      </c>
      <c r="M570" s="220">
        <f>ROUNDDOWN(L570*0.7,)</f>
        <v/>
      </c>
      <c r="N570" s="194" t="n">
        <v>5760</v>
      </c>
      <c r="O570" s="220" t="n">
        <v>740000</v>
      </c>
    </row>
    <row r="571">
      <c r="A571" s="88" t="inlineStr">
        <is>
          <t>AFEEZ AJIBADE/Ebenezer</t>
        </is>
      </c>
      <c r="B571" s="88">
        <f>CONCATENATE(E571,"-",F571,"-",D571)</f>
        <v/>
      </c>
      <c r="C571" s="25">
        <f>CONCATENATE(G571,"-",F571,"-",D571)</f>
        <v/>
      </c>
      <c r="D571" s="25" t="inlineStr">
        <is>
          <t>FLATBED</t>
        </is>
      </c>
      <c r="E571" s="25" t="inlineStr">
        <is>
          <t>NBL-DSL</t>
        </is>
      </c>
      <c r="F571" s="79" t="inlineStr">
        <is>
          <t>30T</t>
        </is>
      </c>
      <c r="G571" s="209" t="inlineStr">
        <is>
          <t>JMG</t>
        </is>
      </c>
      <c r="H571" s="209" t="inlineStr">
        <is>
          <t>Lagos</t>
        </is>
      </c>
      <c r="I571" s="209" t="inlineStr">
        <is>
          <t>IKM</t>
        </is>
      </c>
      <c r="J571" s="209" t="inlineStr">
        <is>
          <t>Lagos</t>
        </is>
      </c>
      <c r="K571" s="235" t="n">
        <v>40</v>
      </c>
      <c r="L571" s="236">
        <f>K571*2</f>
        <v/>
      </c>
      <c r="M571" s="220">
        <f>ROUNDDOWN(L571*0.7,)</f>
        <v/>
      </c>
      <c r="N571" s="194" t="n">
        <v>1920</v>
      </c>
      <c r="O571" s="220" t="n">
        <v>440000</v>
      </c>
    </row>
    <row r="572">
      <c r="A572" s="88" t="inlineStr">
        <is>
          <t>AFEEZ AJIBADE/Ebenezer</t>
        </is>
      </c>
      <c r="B572" s="88">
        <f>CONCATENATE(E572,"-",F572,"-",D572)</f>
        <v/>
      </c>
      <c r="C572" s="25">
        <f>CONCATENATE(G572,"-",F572,"-",D572)</f>
        <v/>
      </c>
      <c r="D572" s="25" t="inlineStr">
        <is>
          <t>FLATBED</t>
        </is>
      </c>
      <c r="E572" s="25" t="inlineStr">
        <is>
          <t>NBL-DSL</t>
        </is>
      </c>
      <c r="F572" s="79" t="inlineStr">
        <is>
          <t>30T</t>
        </is>
      </c>
      <c r="G572" s="209" t="inlineStr">
        <is>
          <t>JMG</t>
        </is>
      </c>
      <c r="H572" s="209" t="inlineStr">
        <is>
          <t>Lagos</t>
        </is>
      </c>
      <c r="I572" s="209" t="inlineStr">
        <is>
          <t>Epe</t>
        </is>
      </c>
      <c r="J572" s="209" t="inlineStr">
        <is>
          <t>Lagos</t>
        </is>
      </c>
      <c r="K572" s="235" t="n">
        <v>120</v>
      </c>
      <c r="L572" s="236">
        <f>K572*2</f>
        <v/>
      </c>
      <c r="M572" s="220">
        <f>ROUNDDOWN(L572*0.7,)</f>
        <v/>
      </c>
      <c r="N572" s="194" t="n">
        <v>5760</v>
      </c>
      <c r="O572" s="220" t="n">
        <v>740000</v>
      </c>
    </row>
    <row r="573">
      <c r="A573" s="88" t="inlineStr">
        <is>
          <t>AFEEZ AJIBADE/Ebenezer</t>
        </is>
      </c>
      <c r="B573" s="88">
        <f>CONCATENATE(E573,"-",F573,"-",D573)</f>
        <v/>
      </c>
      <c r="C573" s="25">
        <f>CONCATENATE(G573,"-",F573,"-",D573)</f>
        <v/>
      </c>
      <c r="D573" s="25" t="inlineStr">
        <is>
          <t>JUMBO</t>
        </is>
      </c>
      <c r="E573" s="25" t="inlineStr">
        <is>
          <t>NBL-DSL</t>
        </is>
      </c>
      <c r="F573" s="63" t="inlineStr">
        <is>
          <t>30T</t>
        </is>
      </c>
      <c r="G573" s="204" t="inlineStr">
        <is>
          <t>JAT</t>
        </is>
      </c>
      <c r="H573" s="205" t="inlineStr">
        <is>
          <t>Ibadan</t>
        </is>
      </c>
      <c r="I573" s="205" t="inlineStr">
        <is>
          <t>Kano</t>
        </is>
      </c>
      <c r="J573" s="205" t="inlineStr">
        <is>
          <t>Kano</t>
        </is>
      </c>
      <c r="K573" s="214" t="n">
        <v>945</v>
      </c>
      <c r="L573" s="236">
        <f>K573*2</f>
        <v/>
      </c>
      <c r="M573" s="220">
        <f>ROUNDDOWN(L573*0.7,)</f>
        <v/>
      </c>
      <c r="N573" s="194" t="n">
        <v>45360</v>
      </c>
      <c r="O573" s="227" t="n">
        <v>2200000</v>
      </c>
    </row>
    <row r="574">
      <c r="A574" s="88" t="inlineStr">
        <is>
          <t>AFEEZ AJIBADE/Ebenezer</t>
        </is>
      </c>
      <c r="B574" s="88">
        <f>CONCATENATE(E574,"-",F574,"-",D574)</f>
        <v/>
      </c>
      <c r="C574" s="25">
        <f>CONCATENATE(G574,"-",F574,"-",D574)</f>
        <v/>
      </c>
      <c r="D574" s="25" t="inlineStr">
        <is>
          <t>JUMBO</t>
        </is>
      </c>
      <c r="E574" s="25" t="inlineStr">
        <is>
          <t>NBL-DSL</t>
        </is>
      </c>
      <c r="F574" s="63" t="inlineStr">
        <is>
          <t>30T</t>
        </is>
      </c>
      <c r="G574" s="204" t="inlineStr">
        <is>
          <t>JAT</t>
        </is>
      </c>
      <c r="H574" s="205" t="inlineStr">
        <is>
          <t>Ibadan</t>
        </is>
      </c>
      <c r="I574" s="204" t="inlineStr">
        <is>
          <t>Abuja</t>
        </is>
      </c>
      <c r="J574" s="204" t="inlineStr">
        <is>
          <t>FCT</t>
        </is>
      </c>
      <c r="K574" s="214" t="n">
        <v>650</v>
      </c>
      <c r="L574" s="236">
        <f>K574*2</f>
        <v/>
      </c>
      <c r="M574" s="220">
        <f>ROUNDDOWN(L574*0.7,)</f>
        <v/>
      </c>
      <c r="N574" s="194" t="n">
        <v>31200</v>
      </c>
      <c r="O574" s="227" t="n">
        <v>1800000</v>
      </c>
    </row>
    <row r="575">
      <c r="A575" s="88" t="inlineStr">
        <is>
          <t>AFEEZ AJIBADE/Ebenezer</t>
        </is>
      </c>
      <c r="B575" s="88">
        <f>CONCATENATE(E575,"-",F575,"-",D575)</f>
        <v/>
      </c>
      <c r="C575" s="25">
        <f>CONCATENATE(G575,"-",F575,"-",D575)</f>
        <v/>
      </c>
      <c r="D575" s="25" t="inlineStr">
        <is>
          <t>JUMBO</t>
        </is>
      </c>
      <c r="E575" s="25" t="inlineStr">
        <is>
          <t>NBL-DSL</t>
        </is>
      </c>
      <c r="F575" s="63" t="inlineStr">
        <is>
          <t>30T</t>
        </is>
      </c>
      <c r="G575" s="204" t="inlineStr">
        <is>
          <t>JAT</t>
        </is>
      </c>
      <c r="H575" s="205" t="inlineStr">
        <is>
          <t>Ibadan</t>
        </is>
      </c>
      <c r="I575" s="204" t="inlineStr">
        <is>
          <t>Suleja</t>
        </is>
      </c>
      <c r="J575" s="204" t="inlineStr">
        <is>
          <t>Niger</t>
        </is>
      </c>
      <c r="K575" s="214" t="n">
        <v>650</v>
      </c>
      <c r="L575" s="236">
        <f>K575*2</f>
        <v/>
      </c>
      <c r="M575" s="220">
        <f>ROUNDDOWN(L575*0.7,)</f>
        <v/>
      </c>
      <c r="N575" s="194" t="n">
        <v>31200</v>
      </c>
      <c r="O575" s="227" t="n">
        <v>1750000</v>
      </c>
    </row>
    <row r="576">
      <c r="A576" s="88" t="inlineStr">
        <is>
          <t>AFEEZ AJIBADE/Ebenezer</t>
        </is>
      </c>
      <c r="B576" s="88">
        <f>CONCATENATE(E576,"-",F576,"-",D576)</f>
        <v/>
      </c>
      <c r="C576" s="25">
        <f>CONCATENATE(G576,"-",F576,"-",D576)</f>
        <v/>
      </c>
      <c r="D576" s="25" t="inlineStr">
        <is>
          <t>JUMBO</t>
        </is>
      </c>
      <c r="E576" s="25" t="inlineStr">
        <is>
          <t>NBL-DSL</t>
        </is>
      </c>
      <c r="F576" s="63" t="inlineStr">
        <is>
          <t>30T</t>
        </is>
      </c>
      <c r="G576" s="204" t="inlineStr">
        <is>
          <t>JAT</t>
        </is>
      </c>
      <c r="H576" s="205" t="inlineStr">
        <is>
          <t>Ibadan</t>
        </is>
      </c>
      <c r="I576" s="204" t="inlineStr">
        <is>
          <t>Sokoto</t>
        </is>
      </c>
      <c r="J576" s="204" t="inlineStr">
        <is>
          <t>Sokoto</t>
        </is>
      </c>
      <c r="K576" s="214" t="n">
        <v>863.5</v>
      </c>
      <c r="L576" s="236">
        <f>K576*2</f>
        <v/>
      </c>
      <c r="M576" s="220">
        <f>ROUNDDOWN(L576*0.7,)</f>
        <v/>
      </c>
      <c r="N576" s="194" t="n">
        <v>41448</v>
      </c>
      <c r="O576" s="227" t="n">
        <v>2600000</v>
      </c>
    </row>
    <row r="577">
      <c r="A577" s="88" t="inlineStr">
        <is>
          <t>AFEEZ AJIBADE/Ebenezer</t>
        </is>
      </c>
      <c r="B577" s="88">
        <f>CONCATENATE(E577,"-",F577,"-",D577)</f>
        <v/>
      </c>
      <c r="C577" s="25">
        <f>CONCATENATE(G577,"-",F577,"-",D577)</f>
        <v/>
      </c>
      <c r="D577" s="25" t="inlineStr">
        <is>
          <t>JUMBO</t>
        </is>
      </c>
      <c r="E577" s="25" t="inlineStr">
        <is>
          <t>NBL-DSL</t>
        </is>
      </c>
      <c r="F577" s="63" t="inlineStr">
        <is>
          <t>30T</t>
        </is>
      </c>
      <c r="G577" s="204" t="inlineStr">
        <is>
          <t>JAT</t>
        </is>
      </c>
      <c r="H577" s="205" t="inlineStr">
        <is>
          <t>Ibadan</t>
        </is>
      </c>
      <c r="I577" s="204" t="inlineStr">
        <is>
          <t>Wukari</t>
        </is>
      </c>
      <c r="J577" s="204" t="inlineStr">
        <is>
          <t>Taraba</t>
        </is>
      </c>
      <c r="K577" s="214" t="n">
        <v>910</v>
      </c>
      <c r="L577" s="236">
        <f>K577*2</f>
        <v/>
      </c>
      <c r="M577" s="220">
        <f>ROUNDDOWN(L577*0.7,)</f>
        <v/>
      </c>
      <c r="N577" s="194" t="n">
        <v>43680</v>
      </c>
      <c r="O577" s="227" t="n">
        <v>3000000</v>
      </c>
    </row>
    <row r="578">
      <c r="A578" s="88" t="inlineStr">
        <is>
          <t>AFEEZ AJIBADE/Ebenezer</t>
        </is>
      </c>
      <c r="B578" s="88">
        <f>CONCATENATE(E578,"-",F578,"-",D578)</f>
        <v/>
      </c>
      <c r="C578" s="25">
        <f>CONCATENATE(G578,"-",F578,"-",D578)</f>
        <v/>
      </c>
      <c r="D578" s="25" t="inlineStr">
        <is>
          <t>JUMBO</t>
        </is>
      </c>
      <c r="E578" s="25" t="inlineStr">
        <is>
          <t>NBL-DSL</t>
        </is>
      </c>
      <c r="F578" s="63" t="inlineStr">
        <is>
          <t>30T</t>
        </is>
      </c>
      <c r="G578" s="204" t="inlineStr">
        <is>
          <t>JAT</t>
        </is>
      </c>
      <c r="H578" s="205" t="inlineStr">
        <is>
          <t>Ibadan</t>
        </is>
      </c>
      <c r="I578" s="204" t="inlineStr">
        <is>
          <t>Jalingo</t>
        </is>
      </c>
      <c r="J578" s="204" t="inlineStr">
        <is>
          <t>Taraba</t>
        </is>
      </c>
      <c r="K578" s="214" t="n">
        <v>1350</v>
      </c>
      <c r="L578" s="236">
        <f>K578*2</f>
        <v/>
      </c>
      <c r="M578" s="220">
        <f>ROUNDDOWN(L578*0.7,)</f>
        <v/>
      </c>
      <c r="N578" s="194" t="n">
        <v>64800</v>
      </c>
      <c r="O578" s="227" t="n">
        <v>3000000</v>
      </c>
    </row>
    <row r="579">
      <c r="A579" s="88" t="inlineStr">
        <is>
          <t>AFEEZ AJIBADE/Ebenezer</t>
        </is>
      </c>
      <c r="B579" s="88">
        <f>CONCATENATE(E579,"-",F579,"-",D579)</f>
        <v/>
      </c>
      <c r="C579" s="25">
        <f>CONCATENATE(G579,"-",F579,"-",D579)</f>
        <v/>
      </c>
      <c r="D579" s="25" t="inlineStr">
        <is>
          <t>JUMBO</t>
        </is>
      </c>
      <c r="E579" s="25" t="inlineStr">
        <is>
          <t>NBL-DSL</t>
        </is>
      </c>
      <c r="F579" s="63" t="inlineStr">
        <is>
          <t>30T</t>
        </is>
      </c>
      <c r="G579" s="204" t="inlineStr">
        <is>
          <t>JAT</t>
        </is>
      </c>
      <c r="H579" s="205" t="inlineStr">
        <is>
          <t>Ibadan</t>
        </is>
      </c>
      <c r="I579" s="204" t="inlineStr">
        <is>
          <t>Kontagora</t>
        </is>
      </c>
      <c r="J579" s="204" t="inlineStr">
        <is>
          <t>Niger</t>
        </is>
      </c>
      <c r="K579" s="214" t="n">
        <v>470</v>
      </c>
      <c r="L579" s="236">
        <f>K579*2</f>
        <v/>
      </c>
      <c r="M579" s="220">
        <f>ROUNDDOWN(L579*0.7,)</f>
        <v/>
      </c>
      <c r="N579" s="194" t="n">
        <v>22560</v>
      </c>
      <c r="O579" s="227" t="n">
        <v>1800000</v>
      </c>
    </row>
    <row r="580">
      <c r="A580" s="88" t="inlineStr">
        <is>
          <t>AFEEZ AJIBADE/Ebenezer</t>
        </is>
      </c>
      <c r="B580" s="88">
        <f>CONCATENATE(E580,"-",F580,"-",D580)</f>
        <v/>
      </c>
      <c r="C580" s="25">
        <f>CONCATENATE(G580,"-",F580,"-",D580)</f>
        <v/>
      </c>
      <c r="D580" s="25" t="inlineStr">
        <is>
          <t>JUMBO</t>
        </is>
      </c>
      <c r="E580" s="25" t="inlineStr">
        <is>
          <t>NBL-DSL</t>
        </is>
      </c>
      <c r="F580" s="63" t="inlineStr">
        <is>
          <t>30T</t>
        </is>
      </c>
      <c r="G580" s="204" t="inlineStr">
        <is>
          <t>JAT</t>
        </is>
      </c>
      <c r="H580" s="205" t="inlineStr">
        <is>
          <t>Ibadan</t>
        </is>
      </c>
      <c r="I580" s="204" t="inlineStr">
        <is>
          <t>Gombe</t>
        </is>
      </c>
      <c r="J580" s="204" t="inlineStr">
        <is>
          <t>Gombe</t>
        </is>
      </c>
      <c r="K580" s="214" t="n">
        <v>1110.5</v>
      </c>
      <c r="L580" s="236">
        <f>K580*2</f>
        <v/>
      </c>
      <c r="M580" s="220">
        <f>ROUNDDOWN(L580*0.7,)</f>
        <v/>
      </c>
      <c r="N580" s="194" t="n">
        <v>53304</v>
      </c>
      <c r="O580" s="227" t="n">
        <v>2600000</v>
      </c>
    </row>
    <row r="581">
      <c r="A581" s="88" t="inlineStr">
        <is>
          <t>AFEEZ AJIBADE/Ebenezer</t>
        </is>
      </c>
      <c r="B581" s="88">
        <f>CONCATENATE(E581,"-",F581,"-",D581)</f>
        <v/>
      </c>
      <c r="C581" s="25">
        <f>CONCATENATE(G581,"-",F581,"-",D581)</f>
        <v/>
      </c>
      <c r="D581" s="25" t="inlineStr">
        <is>
          <t>JUMBO</t>
        </is>
      </c>
      <c r="E581" s="25" t="inlineStr">
        <is>
          <t>NBL-DSL</t>
        </is>
      </c>
      <c r="F581" s="63" t="inlineStr">
        <is>
          <t>30T</t>
        </is>
      </c>
      <c r="G581" s="204" t="inlineStr">
        <is>
          <t>JAT</t>
        </is>
      </c>
      <c r="H581" s="205" t="inlineStr">
        <is>
          <t>Ibadan</t>
        </is>
      </c>
      <c r="I581" s="204" t="inlineStr">
        <is>
          <t>Minna</t>
        </is>
      </c>
      <c r="J581" s="204" t="inlineStr">
        <is>
          <t>Niger</t>
        </is>
      </c>
      <c r="K581" s="214" t="n">
        <v>499</v>
      </c>
      <c r="L581" s="236">
        <f>K581*2</f>
        <v/>
      </c>
      <c r="M581" s="220">
        <f>ROUNDDOWN(L581*0.7,)</f>
        <v/>
      </c>
      <c r="N581" s="194" t="n">
        <v>23952</v>
      </c>
      <c r="O581" s="227" t="n">
        <v>1800000</v>
      </c>
    </row>
    <row r="582">
      <c r="A582" s="88" t="inlineStr">
        <is>
          <t>AFEEZ AJIBADE/Ebenezer</t>
        </is>
      </c>
      <c r="B582" s="88">
        <f>CONCATENATE(E582,"-",F582,"-",D582)</f>
        <v/>
      </c>
      <c r="C582" s="25">
        <f>CONCATENATE(G582,"-",F582,"-",D582)</f>
        <v/>
      </c>
      <c r="D582" s="25" t="inlineStr">
        <is>
          <t>JUMBO</t>
        </is>
      </c>
      <c r="E582" s="25" t="inlineStr">
        <is>
          <t>NBL-DSL</t>
        </is>
      </c>
      <c r="F582" s="63" t="inlineStr">
        <is>
          <t>30T</t>
        </is>
      </c>
      <c r="G582" s="204" t="inlineStr">
        <is>
          <t>JAT</t>
        </is>
      </c>
      <c r="H582" s="205" t="inlineStr">
        <is>
          <t>Ibadan</t>
        </is>
      </c>
      <c r="I582" s="204" t="inlineStr">
        <is>
          <t>Zaria</t>
        </is>
      </c>
      <c r="J582" s="204" t="inlineStr">
        <is>
          <t>Kaduna</t>
        </is>
      </c>
      <c r="K582" s="214" t="n">
        <v>797.5</v>
      </c>
      <c r="L582" s="236">
        <f>K582*2</f>
        <v/>
      </c>
      <c r="M582" s="220">
        <f>ROUNDDOWN(L582*0.7,)</f>
        <v/>
      </c>
      <c r="N582" s="194" t="n">
        <v>38280</v>
      </c>
      <c r="O582" s="227" t="n">
        <v>2100000</v>
      </c>
    </row>
    <row r="583">
      <c r="A583" s="88" t="inlineStr">
        <is>
          <t>AFEEZ AJIBADE/Ebenezer</t>
        </is>
      </c>
      <c r="B583" s="88">
        <f>CONCATENATE(E583,"-",F583,"-",D583)</f>
        <v/>
      </c>
      <c r="C583" s="25">
        <f>CONCATENATE(G583,"-",F583,"-",D583)</f>
        <v/>
      </c>
      <c r="D583" s="25" t="inlineStr">
        <is>
          <t>JUMBO</t>
        </is>
      </c>
      <c r="E583" s="25" t="inlineStr">
        <is>
          <t>NBL-DSL</t>
        </is>
      </c>
      <c r="F583" s="63" t="inlineStr">
        <is>
          <t>30T</t>
        </is>
      </c>
      <c r="G583" s="204" t="inlineStr">
        <is>
          <t>JAT</t>
        </is>
      </c>
      <c r="H583" s="205" t="inlineStr">
        <is>
          <t>Ibadan</t>
        </is>
      </c>
      <c r="I583" s="216" t="inlineStr">
        <is>
          <t>Funtua</t>
        </is>
      </c>
      <c r="J583" s="216" t="inlineStr">
        <is>
          <t>Katsina</t>
        </is>
      </c>
      <c r="K583" s="214" t="n">
        <v>681.5</v>
      </c>
      <c r="L583" s="236">
        <f>K583*2</f>
        <v/>
      </c>
      <c r="M583" s="220">
        <f>ROUNDDOWN(L583*0.7,)</f>
        <v/>
      </c>
      <c r="N583" s="194" t="n">
        <v>32712</v>
      </c>
      <c r="O583" s="227" t="n">
        <v>2150000</v>
      </c>
    </row>
    <row r="584">
      <c r="A584" s="88" t="inlineStr">
        <is>
          <t>AFEEZ AJIBADE/Ebenezer</t>
        </is>
      </c>
      <c r="B584" s="88">
        <f>CONCATENATE(E584,"-",F584,"-",D584)</f>
        <v/>
      </c>
      <c r="C584" s="25">
        <f>CONCATENATE(G584,"-",F584,"-",D584)</f>
        <v/>
      </c>
      <c r="D584" s="25" t="inlineStr">
        <is>
          <t>JUMBO</t>
        </is>
      </c>
      <c r="E584" s="25" t="inlineStr">
        <is>
          <t>NBL-DSL</t>
        </is>
      </c>
      <c r="F584" s="63" t="inlineStr">
        <is>
          <t>30T</t>
        </is>
      </c>
      <c r="G584" s="204" t="inlineStr">
        <is>
          <t>JAT</t>
        </is>
      </c>
      <c r="H584" s="205" t="inlineStr">
        <is>
          <t>Ibadan</t>
        </is>
      </c>
      <c r="I584" s="204" t="inlineStr">
        <is>
          <t>Bauchi</t>
        </is>
      </c>
      <c r="J584" s="204" t="inlineStr">
        <is>
          <t>Bauchi</t>
        </is>
      </c>
      <c r="K584" s="214" t="n">
        <v>1001</v>
      </c>
      <c r="L584" s="236">
        <f>K584*2</f>
        <v/>
      </c>
      <c r="M584" s="220">
        <f>ROUNDDOWN(L584*0.7,)</f>
        <v/>
      </c>
      <c r="N584" s="194" t="n">
        <v>48048</v>
      </c>
      <c r="O584" s="227" t="n">
        <v>2500000</v>
      </c>
    </row>
    <row r="585">
      <c r="A585" s="88" t="inlineStr">
        <is>
          <t>AFEEZ AJIBADE/Ebenezer</t>
        </is>
      </c>
      <c r="B585" s="88">
        <f>CONCATENATE(E585,"-",F585,"-",D585)</f>
        <v/>
      </c>
      <c r="C585" s="25">
        <f>CONCATENATE(G585,"-",F585,"-",D585)</f>
        <v/>
      </c>
      <c r="D585" s="25" t="inlineStr">
        <is>
          <t>JUMBO</t>
        </is>
      </c>
      <c r="E585" s="25" t="inlineStr">
        <is>
          <t>NBL-DSL</t>
        </is>
      </c>
      <c r="F585" s="63" t="inlineStr">
        <is>
          <t>30T</t>
        </is>
      </c>
      <c r="G585" s="204" t="inlineStr">
        <is>
          <t>JAT</t>
        </is>
      </c>
      <c r="H585" s="205" t="inlineStr">
        <is>
          <t>Ibadan</t>
        </is>
      </c>
      <c r="I585" s="204" t="inlineStr">
        <is>
          <t>Yola</t>
        </is>
      </c>
      <c r="J585" s="204" t="inlineStr">
        <is>
          <t>Adamawa</t>
        </is>
      </c>
      <c r="K585" s="214" t="n">
        <v>1250</v>
      </c>
      <c r="L585" s="236">
        <f>K585*2</f>
        <v/>
      </c>
      <c r="M585" s="220">
        <f>ROUNDDOWN(L585*0.7,)</f>
        <v/>
      </c>
      <c r="N585" s="194" t="n">
        <v>60000</v>
      </c>
      <c r="O585" s="227" t="n">
        <v>2900000</v>
      </c>
    </row>
    <row r="586">
      <c r="A586" s="88" t="inlineStr">
        <is>
          <t>AFEEZ AJIBADE/Ebenezer</t>
        </is>
      </c>
      <c r="B586" s="88">
        <f>CONCATENATE(E586,"-",F586,"-",D586)</f>
        <v/>
      </c>
      <c r="C586" s="25">
        <f>CONCATENATE(G586,"-",F586,"-",D586)</f>
        <v/>
      </c>
      <c r="D586" s="25" t="inlineStr">
        <is>
          <t>JUMBO</t>
        </is>
      </c>
      <c r="E586" s="25" t="inlineStr">
        <is>
          <t>NBL-DSL</t>
        </is>
      </c>
      <c r="F586" s="63" t="inlineStr">
        <is>
          <t>30T</t>
        </is>
      </c>
      <c r="G586" s="204" t="inlineStr">
        <is>
          <t>JAT</t>
        </is>
      </c>
      <c r="H586" s="205" t="inlineStr">
        <is>
          <t>Ibadan</t>
        </is>
      </c>
      <c r="I586" s="204" t="inlineStr">
        <is>
          <t>Kaduna</t>
        </is>
      </c>
      <c r="J586" s="204" t="inlineStr">
        <is>
          <t>Kaduna</t>
        </is>
      </c>
      <c r="K586" s="214" t="n">
        <v>719</v>
      </c>
      <c r="L586" s="236">
        <f>K586*2</f>
        <v/>
      </c>
      <c r="M586" s="220">
        <f>ROUNDDOWN(L586*0.7,)</f>
        <v/>
      </c>
      <c r="N586" s="194" t="n">
        <v>34512</v>
      </c>
      <c r="O586" s="227" t="n">
        <v>2100000</v>
      </c>
    </row>
    <row r="587">
      <c r="A587" s="88" t="inlineStr">
        <is>
          <t>AFEEZ AJIBADE/Ebenezer</t>
        </is>
      </c>
      <c r="B587" s="88">
        <f>CONCATENATE(E587,"-",F587,"-",D587)</f>
        <v/>
      </c>
      <c r="C587" s="25">
        <f>CONCATENATE(G587,"-",F587,"-",D587)</f>
        <v/>
      </c>
      <c r="D587" s="25" t="inlineStr">
        <is>
          <t>JUMBO</t>
        </is>
      </c>
      <c r="E587" s="25" t="inlineStr">
        <is>
          <t>NBL-DSL</t>
        </is>
      </c>
      <c r="F587" s="63" t="inlineStr">
        <is>
          <t>30T</t>
        </is>
      </c>
      <c r="G587" s="204" t="inlineStr">
        <is>
          <t>JAT</t>
        </is>
      </c>
      <c r="H587" s="205" t="inlineStr">
        <is>
          <t>Ibadan</t>
        </is>
      </c>
      <c r="I587" s="204" t="inlineStr">
        <is>
          <t>Jos</t>
        </is>
      </c>
      <c r="J587" s="204" t="inlineStr">
        <is>
          <t>Plateau</t>
        </is>
      </c>
      <c r="K587" s="214" t="n">
        <v>829</v>
      </c>
      <c r="L587" s="236">
        <f>K587*2</f>
        <v/>
      </c>
      <c r="M587" s="220">
        <f>ROUNDDOWN(L587*0.7,)</f>
        <v/>
      </c>
      <c r="N587" s="194" t="n">
        <v>39792</v>
      </c>
      <c r="O587" s="227" t="n">
        <v>2400000</v>
      </c>
    </row>
    <row r="588">
      <c r="A588" s="88" t="inlineStr">
        <is>
          <t>AFEEZ AJIBADE/Ebenezer</t>
        </is>
      </c>
      <c r="B588" s="88">
        <f>CONCATENATE(E588,"-",F588,"-",D588)</f>
        <v/>
      </c>
      <c r="C588" s="25">
        <f>CONCATENATE(G588,"-",F588,"-",D588)</f>
        <v/>
      </c>
      <c r="D588" s="25" t="inlineStr">
        <is>
          <t>JUMBO</t>
        </is>
      </c>
      <c r="E588" s="25" t="inlineStr">
        <is>
          <t>NBL-DSL</t>
        </is>
      </c>
      <c r="F588" s="63" t="inlineStr">
        <is>
          <t>30T</t>
        </is>
      </c>
      <c r="G588" s="204" t="inlineStr">
        <is>
          <t>JAT</t>
        </is>
      </c>
      <c r="H588" s="205" t="inlineStr">
        <is>
          <t>Ibadan</t>
        </is>
      </c>
      <c r="I588" s="204" t="inlineStr">
        <is>
          <t>Saminaka</t>
        </is>
      </c>
      <c r="J588" s="204" t="inlineStr">
        <is>
          <t>Kaduna</t>
        </is>
      </c>
      <c r="K588" s="214" t="n">
        <v>950</v>
      </c>
      <c r="L588" s="236">
        <f>K588*2</f>
        <v/>
      </c>
      <c r="M588" s="220">
        <f>ROUNDDOWN(L588*0.7,)</f>
        <v/>
      </c>
      <c r="N588" s="194" t="n">
        <v>45600</v>
      </c>
      <c r="O588" s="227" t="n">
        <v>2100000</v>
      </c>
    </row>
    <row r="589">
      <c r="A589" s="88" t="inlineStr">
        <is>
          <t>AFEEZ AJIBADE/Ebenezer</t>
        </is>
      </c>
      <c r="B589" s="88">
        <f>CONCATENATE(E589,"-",F589,"-",D589)</f>
        <v/>
      </c>
      <c r="C589" s="25">
        <f>CONCATENATE(G589,"-",F589,"-",D589)</f>
        <v/>
      </c>
      <c r="D589" s="25" t="inlineStr">
        <is>
          <t>JUMBO</t>
        </is>
      </c>
      <c r="E589" s="25" t="inlineStr">
        <is>
          <t>NBL-DSL</t>
        </is>
      </c>
      <c r="F589" s="63" t="inlineStr">
        <is>
          <t>30T</t>
        </is>
      </c>
      <c r="G589" s="204" t="inlineStr">
        <is>
          <t>JAT</t>
        </is>
      </c>
      <c r="H589" s="205" t="inlineStr">
        <is>
          <t>Ibadan</t>
        </is>
      </c>
      <c r="I589" s="204" t="inlineStr">
        <is>
          <t>Makurdi</t>
        </is>
      </c>
      <c r="J589" s="204" t="inlineStr">
        <is>
          <t>Benue</t>
        </is>
      </c>
      <c r="K589" s="214" t="n">
        <v>624.5</v>
      </c>
      <c r="L589" s="236">
        <f>K589*2</f>
        <v/>
      </c>
      <c r="M589" s="220">
        <f>ROUNDDOWN(L589*0.7,)</f>
        <v/>
      </c>
      <c r="N589" s="194" t="n">
        <v>29976</v>
      </c>
      <c r="O589" s="227" t="n">
        <v>2400000</v>
      </c>
    </row>
    <row r="590">
      <c r="A590" s="88" t="inlineStr">
        <is>
          <t>AFEEZ AJIBADE/Ebenezer</t>
        </is>
      </c>
      <c r="B590" s="88">
        <f>CONCATENATE(E590,"-",F590,"-",D590)</f>
        <v/>
      </c>
      <c r="C590" s="25">
        <f>CONCATENATE(G590,"-",F590,"-",D590)</f>
        <v/>
      </c>
      <c r="D590" s="25" t="inlineStr">
        <is>
          <t>JUMBO</t>
        </is>
      </c>
      <c r="E590" s="25" t="inlineStr">
        <is>
          <t>NBL-DSL</t>
        </is>
      </c>
      <c r="F590" s="63" t="inlineStr">
        <is>
          <t>30T</t>
        </is>
      </c>
      <c r="G590" s="204" t="inlineStr">
        <is>
          <t>JAT</t>
        </is>
      </c>
      <c r="H590" s="205" t="inlineStr">
        <is>
          <t>Ibadan</t>
        </is>
      </c>
      <c r="I590" s="204" t="inlineStr">
        <is>
          <t>Lafia</t>
        </is>
      </c>
      <c r="J590" s="204" t="inlineStr">
        <is>
          <t>Nasarawa</t>
        </is>
      </c>
      <c r="K590" s="214" t="n">
        <v>850</v>
      </c>
      <c r="L590" s="236">
        <f>K590*2</f>
        <v/>
      </c>
      <c r="M590" s="220">
        <f>ROUNDDOWN(L590*0.7,)</f>
        <v/>
      </c>
      <c r="N590" s="194" t="n">
        <v>40800</v>
      </c>
      <c r="O590" s="227" t="n">
        <v>2200000</v>
      </c>
    </row>
    <row r="591">
      <c r="A591" s="88" t="inlineStr">
        <is>
          <t>AFEEZ AJIBADE/Ebenezer</t>
        </is>
      </c>
      <c r="B591" s="88">
        <f>CONCATENATE(E591,"-",F591,"-",D591)</f>
        <v/>
      </c>
      <c r="C591" s="25">
        <f>CONCATENATE(G591,"-",F591,"-",D591)</f>
        <v/>
      </c>
      <c r="D591" s="25" t="inlineStr">
        <is>
          <t>JUMBO</t>
        </is>
      </c>
      <c r="E591" s="25" t="inlineStr">
        <is>
          <t>NBL-DSL</t>
        </is>
      </c>
      <c r="F591" s="63" t="inlineStr">
        <is>
          <t>30T</t>
        </is>
      </c>
      <c r="G591" s="204" t="inlineStr">
        <is>
          <t>JAT</t>
        </is>
      </c>
      <c r="H591" s="205" t="inlineStr">
        <is>
          <t>Ibadan</t>
        </is>
      </c>
      <c r="I591" s="204" t="inlineStr">
        <is>
          <t>Keffi</t>
        </is>
      </c>
      <c r="J591" s="204" t="inlineStr">
        <is>
          <t>Nasarawa</t>
        </is>
      </c>
      <c r="K591" s="214" t="n">
        <v>736</v>
      </c>
      <c r="L591" s="236">
        <f>K591*2</f>
        <v/>
      </c>
      <c r="M591" s="220">
        <f>ROUNDDOWN(L591*0.7,)</f>
        <v/>
      </c>
      <c r="N591" s="194" t="n">
        <v>35328</v>
      </c>
      <c r="O591" s="227" t="n">
        <v>2200000</v>
      </c>
    </row>
    <row r="592">
      <c r="A592" s="88" t="inlineStr">
        <is>
          <t>AFEEZ AJIBADE/Ebenezer</t>
        </is>
      </c>
      <c r="B592" s="88">
        <f>CONCATENATE(E592,"-",F592,"-",D592)</f>
        <v/>
      </c>
      <c r="C592" s="25">
        <f>CONCATENATE(G592,"-",F592,"-",D592)</f>
        <v/>
      </c>
      <c r="D592" s="25" t="inlineStr">
        <is>
          <t>JUMBO</t>
        </is>
      </c>
      <c r="E592" s="25" t="inlineStr">
        <is>
          <t>NBL-DSL</t>
        </is>
      </c>
      <c r="F592" s="63" t="inlineStr">
        <is>
          <t>30T</t>
        </is>
      </c>
      <c r="G592" s="204" t="inlineStr">
        <is>
          <t>JAT</t>
        </is>
      </c>
      <c r="H592" s="205" t="inlineStr">
        <is>
          <t>Ibadan</t>
        </is>
      </c>
      <c r="I592" s="204" t="inlineStr">
        <is>
          <t>Bida</t>
        </is>
      </c>
      <c r="J592" s="204" t="inlineStr">
        <is>
          <t>Niger</t>
        </is>
      </c>
      <c r="K592" s="214" t="n">
        <v>412.5</v>
      </c>
      <c r="L592" s="236">
        <f>K592*2</f>
        <v/>
      </c>
      <c r="M592" s="220">
        <f>ROUNDDOWN(L592*0.7,)</f>
        <v/>
      </c>
      <c r="N592" s="194" t="n">
        <v>19800</v>
      </c>
      <c r="O592" s="227" t="n">
        <v>1250000</v>
      </c>
    </row>
    <row r="593">
      <c r="A593" s="88" t="inlineStr">
        <is>
          <t>AFEEZ AJIBADE/Ebenezer</t>
        </is>
      </c>
      <c r="B593" s="88">
        <f>CONCATENATE(E593,"-",F593,"-",D593)</f>
        <v/>
      </c>
      <c r="C593" s="25">
        <f>CONCATENATE(G593,"-",F593,"-",D593)</f>
        <v/>
      </c>
      <c r="D593" s="25" t="inlineStr">
        <is>
          <t>JUMBO</t>
        </is>
      </c>
      <c r="E593" s="25" t="inlineStr">
        <is>
          <t>NBL-DSL</t>
        </is>
      </c>
      <c r="F593" s="63" t="inlineStr">
        <is>
          <t>30T</t>
        </is>
      </c>
      <c r="G593" s="204" t="inlineStr">
        <is>
          <t>JAT</t>
        </is>
      </c>
      <c r="H593" s="205" t="inlineStr">
        <is>
          <t>Ibadan</t>
        </is>
      </c>
      <c r="I593" s="204" t="inlineStr">
        <is>
          <t>Idah</t>
        </is>
      </c>
      <c r="J593" s="204" t="inlineStr">
        <is>
          <t>Kogi</t>
        </is>
      </c>
      <c r="K593" s="214" t="n">
        <v>501</v>
      </c>
      <c r="L593" s="236">
        <f>K593*2</f>
        <v/>
      </c>
      <c r="M593" s="220">
        <f>ROUNDDOWN(L593*0.7,)</f>
        <v/>
      </c>
      <c r="N593" s="194" t="n">
        <v>24048</v>
      </c>
      <c r="O593" s="227" t="n">
        <v>1500000</v>
      </c>
    </row>
    <row r="594">
      <c r="A594" s="88" t="inlineStr">
        <is>
          <t>AFEEZ AJIBADE/Ebenezer</t>
        </is>
      </c>
      <c r="B594" s="88">
        <f>CONCATENATE(E594,"-",F594,"-",D594)</f>
        <v/>
      </c>
      <c r="C594" s="25">
        <f>CONCATENATE(G594,"-",F594,"-",D594)</f>
        <v/>
      </c>
      <c r="D594" s="25" t="inlineStr">
        <is>
          <t>JUMBO</t>
        </is>
      </c>
      <c r="E594" s="25" t="inlineStr">
        <is>
          <t>NBL-DSL</t>
        </is>
      </c>
      <c r="F594" s="63" t="inlineStr">
        <is>
          <t>30T</t>
        </is>
      </c>
      <c r="G594" s="204" t="inlineStr">
        <is>
          <t>JAT</t>
        </is>
      </c>
      <c r="H594" s="205" t="inlineStr">
        <is>
          <t>Ibadan</t>
        </is>
      </c>
      <c r="I594" s="204" t="inlineStr">
        <is>
          <t>Gusau</t>
        </is>
      </c>
      <c r="J594" s="204" t="inlineStr">
        <is>
          <t>Zamfara</t>
        </is>
      </c>
      <c r="K594" s="214" t="n">
        <v>833</v>
      </c>
      <c r="L594" s="236">
        <f>K594*2</f>
        <v/>
      </c>
      <c r="M594" s="220">
        <f>ROUNDDOWN(L594*0.7,)</f>
        <v/>
      </c>
      <c r="N594" s="194" t="n">
        <v>39984</v>
      </c>
      <c r="O594" s="227" t="n">
        <v>2600000</v>
      </c>
    </row>
    <row r="595">
      <c r="A595" s="88" t="inlineStr">
        <is>
          <t>AFEEZ AJIBADE/Ebenezer</t>
        </is>
      </c>
      <c r="B595" s="88">
        <f>CONCATENATE(E595,"-",F595,"-",D595)</f>
        <v/>
      </c>
      <c r="C595" s="25">
        <f>CONCATENATE(G595,"-",F595,"-",D595)</f>
        <v/>
      </c>
      <c r="D595" s="25" t="inlineStr">
        <is>
          <t>JUMBO</t>
        </is>
      </c>
      <c r="E595" s="25" t="inlineStr">
        <is>
          <t>NBL-DSL</t>
        </is>
      </c>
      <c r="F595" s="63" t="inlineStr">
        <is>
          <t>30T</t>
        </is>
      </c>
      <c r="G595" s="204" t="inlineStr">
        <is>
          <t>JAT</t>
        </is>
      </c>
      <c r="H595" s="205" t="inlineStr">
        <is>
          <t>Ibadan</t>
        </is>
      </c>
      <c r="I595" s="216" t="inlineStr">
        <is>
          <t>Kabba</t>
        </is>
      </c>
      <c r="J595" s="216" t="inlineStr">
        <is>
          <t>Kogi</t>
        </is>
      </c>
      <c r="K595" s="214" t="n">
        <v>300</v>
      </c>
      <c r="L595" s="236">
        <f>K595*2</f>
        <v/>
      </c>
      <c r="M595" s="220">
        <f>ROUNDDOWN(L595*0.7,)</f>
        <v/>
      </c>
      <c r="N595" s="194" t="n">
        <v>14400</v>
      </c>
      <c r="O595" s="227" t="n">
        <v>1500000</v>
      </c>
    </row>
    <row r="596">
      <c r="A596" s="88" t="inlineStr">
        <is>
          <t>AFEEZ AJIBADE/Ebenezer</t>
        </is>
      </c>
      <c r="B596" s="88">
        <f>CONCATENATE(E596,"-",F596,"-",D596)</f>
        <v/>
      </c>
      <c r="C596" s="25">
        <f>CONCATENATE(G596,"-",F596,"-",D596)</f>
        <v/>
      </c>
      <c r="D596" s="25" t="inlineStr">
        <is>
          <t>JUMBO</t>
        </is>
      </c>
      <c r="E596" s="25" t="inlineStr">
        <is>
          <t>NBL-DSL</t>
        </is>
      </c>
      <c r="F596" s="63" t="inlineStr">
        <is>
          <t>30T</t>
        </is>
      </c>
      <c r="G596" s="204" t="inlineStr">
        <is>
          <t>JAT</t>
        </is>
      </c>
      <c r="H596" s="205" t="inlineStr">
        <is>
          <t>Ibadan</t>
        </is>
      </c>
      <c r="I596" s="205" t="inlineStr">
        <is>
          <t>Takum</t>
        </is>
      </c>
      <c r="J596" s="205" t="inlineStr">
        <is>
          <t>Taraba</t>
        </is>
      </c>
      <c r="K596" s="217" t="n">
        <v>883</v>
      </c>
      <c r="L596" s="236">
        <f>K596*2</f>
        <v/>
      </c>
      <c r="M596" s="220">
        <f>ROUNDDOWN(L596*0.7,)</f>
        <v/>
      </c>
      <c r="N596" s="194" t="n">
        <v>42384</v>
      </c>
      <c r="O596" s="227" t="n">
        <v>3000000</v>
      </c>
    </row>
    <row r="597">
      <c r="A597" s="88" t="inlineStr">
        <is>
          <t>AFEEZ AJIBADE/Ebenezer</t>
        </is>
      </c>
      <c r="B597" s="88">
        <f>CONCATENATE(E597,"-",F597,"-",D597)</f>
        <v/>
      </c>
      <c r="C597" s="25">
        <f>CONCATENATE(G597,"-",F597,"-",D597)</f>
        <v/>
      </c>
      <c r="D597" s="25" t="inlineStr">
        <is>
          <t>JUMBO</t>
        </is>
      </c>
      <c r="E597" s="25" t="inlineStr">
        <is>
          <t>NBL-DSL</t>
        </is>
      </c>
      <c r="F597" s="63" t="inlineStr">
        <is>
          <t>30T</t>
        </is>
      </c>
      <c r="G597" s="204" t="inlineStr">
        <is>
          <t>JAT</t>
        </is>
      </c>
      <c r="H597" s="205" t="inlineStr">
        <is>
          <t>Ibadan</t>
        </is>
      </c>
      <c r="I597" s="204" t="inlineStr">
        <is>
          <t>Lokoja</t>
        </is>
      </c>
      <c r="J597" s="204" t="inlineStr">
        <is>
          <t>Kogi</t>
        </is>
      </c>
      <c r="K597" s="214" t="n">
        <v>500</v>
      </c>
      <c r="L597" s="236">
        <f>K597*2</f>
        <v/>
      </c>
      <c r="M597" s="220">
        <f>ROUNDDOWN(L597*0.7,)</f>
        <v/>
      </c>
      <c r="N597" s="194" t="n">
        <v>24000</v>
      </c>
      <c r="O597" s="227" t="n">
        <v>1500000</v>
      </c>
    </row>
    <row r="598">
      <c r="A598" s="88" t="inlineStr">
        <is>
          <t>AFEEZ AJIBADE/Ebenezer</t>
        </is>
      </c>
      <c r="B598" s="88">
        <f>CONCATENATE(E598,"-",F598,"-",D598)</f>
        <v/>
      </c>
      <c r="C598" s="25">
        <f>CONCATENATE(G598,"-",F598,"-",D598)</f>
        <v/>
      </c>
      <c r="D598" s="25" t="inlineStr">
        <is>
          <t>JUMBO</t>
        </is>
      </c>
      <c r="E598" s="25" t="inlineStr">
        <is>
          <t>NBL-DSL</t>
        </is>
      </c>
      <c r="F598" s="63" t="inlineStr">
        <is>
          <t>30T</t>
        </is>
      </c>
      <c r="G598" s="204" t="inlineStr">
        <is>
          <t>JAT</t>
        </is>
      </c>
      <c r="H598" s="205" t="inlineStr">
        <is>
          <t>Ibadan</t>
        </is>
      </c>
      <c r="I598" s="216" t="inlineStr">
        <is>
          <t>Ayangba</t>
        </is>
      </c>
      <c r="J598" s="216" t="inlineStr">
        <is>
          <t>Kogi</t>
        </is>
      </c>
      <c r="K598" s="214" t="n">
        <v>451.5</v>
      </c>
      <c r="L598" s="236">
        <f>K598*2</f>
        <v/>
      </c>
      <c r="M598" s="220">
        <f>ROUNDDOWN(L598*0.7,)</f>
        <v/>
      </c>
      <c r="N598" s="194" t="n">
        <v>21672</v>
      </c>
      <c r="O598" s="227" t="n">
        <v>1500000</v>
      </c>
    </row>
    <row r="599">
      <c r="A599" s="88" t="inlineStr">
        <is>
          <t>AFEEZ AJIBADE/Ebenezer</t>
        </is>
      </c>
      <c r="B599" s="88">
        <f>CONCATENATE(E599,"-",F599,"-",D599)</f>
        <v/>
      </c>
      <c r="C599" s="25">
        <f>CONCATENATE(G599,"-",F599,"-",D599)</f>
        <v/>
      </c>
      <c r="D599" s="25" t="inlineStr">
        <is>
          <t>JUMBO</t>
        </is>
      </c>
      <c r="E599" s="25" t="inlineStr">
        <is>
          <t>NBL-DSL</t>
        </is>
      </c>
      <c r="F599" s="63" t="inlineStr">
        <is>
          <t>30T</t>
        </is>
      </c>
      <c r="G599" s="204" t="inlineStr">
        <is>
          <t>JAT</t>
        </is>
      </c>
      <c r="H599" s="205" t="inlineStr">
        <is>
          <t>Ibadan</t>
        </is>
      </c>
      <c r="I599" s="216" t="inlineStr">
        <is>
          <t>Yauri</t>
        </is>
      </c>
      <c r="J599" s="216" t="inlineStr">
        <is>
          <t>Kebbi</t>
        </is>
      </c>
      <c r="K599" s="214" t="n">
        <v>727.5</v>
      </c>
      <c r="L599" s="236">
        <f>K599*2</f>
        <v/>
      </c>
      <c r="M599" s="220">
        <f>ROUNDDOWN(L599*0.7,)</f>
        <v/>
      </c>
      <c r="N599" s="194" t="n">
        <v>34920</v>
      </c>
      <c r="O599" s="227" t="n">
        <v>1950000</v>
      </c>
    </row>
    <row r="600">
      <c r="A600" s="88" t="inlineStr">
        <is>
          <t>AFEEZ AJIBADE/Ebenezer</t>
        </is>
      </c>
      <c r="B600" s="88">
        <f>CONCATENATE(E600,"-",F600,"-",D600)</f>
        <v/>
      </c>
      <c r="C600" s="25">
        <f>CONCATENATE(G600,"-",F600,"-",D600)</f>
        <v/>
      </c>
      <c r="D600" s="25" t="inlineStr">
        <is>
          <t>JUMBO</t>
        </is>
      </c>
      <c r="E600" s="25" t="inlineStr">
        <is>
          <t>NBL-DSL</t>
        </is>
      </c>
      <c r="F600" s="63" t="inlineStr">
        <is>
          <t>30T</t>
        </is>
      </c>
      <c r="G600" s="204" t="inlineStr">
        <is>
          <t>JAT</t>
        </is>
      </c>
      <c r="H600" s="205" t="inlineStr">
        <is>
          <t>Ibadan</t>
        </is>
      </c>
      <c r="I600" s="216" t="inlineStr">
        <is>
          <t>Ganye</t>
        </is>
      </c>
      <c r="J600" s="216" t="inlineStr">
        <is>
          <t>Adamawa</t>
        </is>
      </c>
      <c r="K600" s="214" t="n">
        <v>1270</v>
      </c>
      <c r="L600" s="236">
        <f>K600*2</f>
        <v/>
      </c>
      <c r="M600" s="220">
        <f>ROUNDDOWN(L600*0.7,)</f>
        <v/>
      </c>
      <c r="N600" s="194" t="n">
        <v>60960</v>
      </c>
      <c r="O600" s="227" t="n">
        <v>2900000</v>
      </c>
    </row>
    <row r="601">
      <c r="A601" s="88" t="inlineStr">
        <is>
          <t>AFEEZ AJIBADE/Ebenezer</t>
        </is>
      </c>
      <c r="B601" s="88">
        <f>CONCATENATE(E601,"-",F601,"-",D601)</f>
        <v/>
      </c>
      <c r="C601" s="25">
        <f>CONCATENATE(G601,"-",F601,"-",D601)</f>
        <v/>
      </c>
      <c r="D601" s="25" t="inlineStr">
        <is>
          <t>JUMBO</t>
        </is>
      </c>
      <c r="E601" s="25" t="inlineStr">
        <is>
          <t>NBL-DSL</t>
        </is>
      </c>
      <c r="F601" s="63" t="inlineStr">
        <is>
          <t>30T</t>
        </is>
      </c>
      <c r="G601" s="204" t="inlineStr">
        <is>
          <t>JAT</t>
        </is>
      </c>
      <c r="H601" s="205" t="inlineStr">
        <is>
          <t>Ibadan</t>
        </is>
      </c>
      <c r="I601" s="205" t="inlineStr">
        <is>
          <t>Gboko</t>
        </is>
      </c>
      <c r="J601" s="205" t="inlineStr">
        <is>
          <t>Benue</t>
        </is>
      </c>
      <c r="K601" s="217" t="n">
        <v>685</v>
      </c>
      <c r="L601" s="236">
        <f>K601*2</f>
        <v/>
      </c>
      <c r="M601" s="220">
        <f>ROUNDDOWN(L601*0.7,)</f>
        <v/>
      </c>
      <c r="N601" s="194" t="n">
        <v>32880</v>
      </c>
      <c r="O601" s="227" t="n">
        <v>2400000</v>
      </c>
    </row>
    <row r="602">
      <c r="A602" s="88" t="inlineStr">
        <is>
          <t>AFEEZ AJIBADE/Ebenezer</t>
        </is>
      </c>
      <c r="B602" s="88">
        <f>CONCATENATE(E602,"-",F602,"-",D602)</f>
        <v/>
      </c>
      <c r="C602" s="25">
        <f>CONCATENATE(G602,"-",F602,"-",D602)</f>
        <v/>
      </c>
      <c r="D602" s="25" t="inlineStr">
        <is>
          <t>JUMBO</t>
        </is>
      </c>
      <c r="E602" s="25" t="inlineStr">
        <is>
          <t>NBL-DSL</t>
        </is>
      </c>
      <c r="F602" s="63" t="inlineStr">
        <is>
          <t>30T</t>
        </is>
      </c>
      <c r="G602" s="204" t="inlineStr">
        <is>
          <t>JAT</t>
        </is>
      </c>
      <c r="H602" s="205" t="inlineStr">
        <is>
          <t>Ibadan</t>
        </is>
      </c>
      <c r="I602" s="216" t="inlineStr">
        <is>
          <t>Potiskum</t>
        </is>
      </c>
      <c r="J602" s="216" t="inlineStr">
        <is>
          <t>Yobe</t>
        </is>
      </c>
      <c r="K602" s="214" t="n">
        <v>1174.5</v>
      </c>
      <c r="L602" s="236">
        <f>K602*2</f>
        <v/>
      </c>
      <c r="M602" s="220">
        <f>ROUNDDOWN(L602*0.7,)</f>
        <v/>
      </c>
      <c r="N602" s="194" t="n">
        <v>56376</v>
      </c>
      <c r="O602" s="227" t="n">
        <v>2700000</v>
      </c>
    </row>
    <row r="603">
      <c r="A603" s="88" t="inlineStr">
        <is>
          <t>AFEEZ AJIBADE/Ebenezer</t>
        </is>
      </c>
      <c r="B603" s="88">
        <f>CONCATENATE(E603,"-",F603,"-",D603)</f>
        <v/>
      </c>
      <c r="C603" s="25">
        <f>CONCATENATE(G603,"-",F603,"-",D603)</f>
        <v/>
      </c>
      <c r="D603" s="25" t="inlineStr">
        <is>
          <t>JUMBO</t>
        </is>
      </c>
      <c r="E603" s="25" t="inlineStr">
        <is>
          <t>NBL-DSL</t>
        </is>
      </c>
      <c r="F603" s="63" t="inlineStr">
        <is>
          <t>30T</t>
        </is>
      </c>
      <c r="G603" s="204" t="inlineStr">
        <is>
          <t>JAT</t>
        </is>
      </c>
      <c r="H603" s="205" t="inlineStr">
        <is>
          <t>Ibadan</t>
        </is>
      </c>
      <c r="I603" s="204" t="inlineStr">
        <is>
          <t>Mubi</t>
        </is>
      </c>
      <c r="J603" s="204" t="inlineStr">
        <is>
          <t>Adamawa</t>
        </is>
      </c>
      <c r="K603" s="214" t="n">
        <v>1443</v>
      </c>
      <c r="L603" s="236">
        <f>K603*2</f>
        <v/>
      </c>
      <c r="M603" s="220">
        <f>ROUNDDOWN(L603*0.7,)</f>
        <v/>
      </c>
      <c r="N603" s="194" t="n">
        <v>69264</v>
      </c>
      <c r="O603" s="227" t="n">
        <v>2900000</v>
      </c>
    </row>
    <row r="604">
      <c r="A604" s="88" t="inlineStr">
        <is>
          <t>AFEEZ AJIBADE/Ebenezer</t>
        </is>
      </c>
      <c r="B604" s="88">
        <f>CONCATENATE(E604,"-",F604,"-",D604)</f>
        <v/>
      </c>
      <c r="C604" s="25">
        <f>CONCATENATE(G604,"-",F604,"-",D604)</f>
        <v/>
      </c>
      <c r="D604" s="25" t="inlineStr">
        <is>
          <t>JUMBO</t>
        </is>
      </c>
      <c r="E604" s="25" t="inlineStr">
        <is>
          <t>NBL-DSL</t>
        </is>
      </c>
      <c r="F604" s="63" t="inlineStr">
        <is>
          <t>30T</t>
        </is>
      </c>
      <c r="G604" s="204" t="inlineStr">
        <is>
          <t>JAT</t>
        </is>
      </c>
      <c r="H604" s="205" t="inlineStr">
        <is>
          <t>Ibadan</t>
        </is>
      </c>
      <c r="I604" s="205" t="inlineStr">
        <is>
          <t>Abaji</t>
        </is>
      </c>
      <c r="J604" s="205" t="inlineStr">
        <is>
          <t>FCT</t>
        </is>
      </c>
      <c r="K604" s="217" t="n">
        <v>469.5</v>
      </c>
      <c r="L604" s="236">
        <f>K604*2</f>
        <v/>
      </c>
      <c r="M604" s="220">
        <f>ROUNDDOWN(L604*0.7,)</f>
        <v/>
      </c>
      <c r="N604" s="194" t="n">
        <v>22536</v>
      </c>
      <c r="O604" s="227" t="n">
        <v>1800000</v>
      </c>
    </row>
    <row r="605">
      <c r="A605" s="88" t="inlineStr">
        <is>
          <t>AFEEZ AJIBADE/Ebenezer</t>
        </is>
      </c>
      <c r="B605" s="88">
        <f>CONCATENATE(E605,"-",F605,"-",D605)</f>
        <v/>
      </c>
      <c r="C605" s="25">
        <f>CONCATENATE(G605,"-",F605,"-",D605)</f>
        <v/>
      </c>
      <c r="D605" s="25" t="inlineStr">
        <is>
          <t>JUMBO</t>
        </is>
      </c>
      <c r="E605" s="25" t="inlineStr">
        <is>
          <t>NBL-DSL</t>
        </is>
      </c>
      <c r="F605" s="63" t="inlineStr">
        <is>
          <t>30T</t>
        </is>
      </c>
      <c r="G605" s="204" t="inlineStr">
        <is>
          <t>JAT</t>
        </is>
      </c>
      <c r="H605" s="205" t="inlineStr">
        <is>
          <t>Ibadan</t>
        </is>
      </c>
      <c r="I605" s="205" t="inlineStr">
        <is>
          <t>Tegina</t>
        </is>
      </c>
      <c r="J605" s="205" t="inlineStr">
        <is>
          <t>Niger</t>
        </is>
      </c>
      <c r="K605" s="217" t="n">
        <v>500</v>
      </c>
      <c r="L605" s="236">
        <f>K605*2</f>
        <v/>
      </c>
      <c r="M605" s="220">
        <f>ROUNDDOWN(L605*0.7,)</f>
        <v/>
      </c>
      <c r="N605" s="194" t="n">
        <v>24000</v>
      </c>
      <c r="O605" s="227" t="n">
        <v>1800000</v>
      </c>
    </row>
    <row r="606">
      <c r="A606" s="88" t="inlineStr">
        <is>
          <t>AFEEZ AJIBADE/Ebenezer</t>
        </is>
      </c>
      <c r="B606" s="88">
        <f>CONCATENATE(E606,"-",F606,"-",D606)</f>
        <v/>
      </c>
      <c r="C606" s="25">
        <f>CONCATENATE(G606,"-",F606,"-",D606)</f>
        <v/>
      </c>
      <c r="D606" s="25" t="inlineStr">
        <is>
          <t>JUMBO</t>
        </is>
      </c>
      <c r="E606" s="25" t="inlineStr">
        <is>
          <t>NBL-DSL</t>
        </is>
      </c>
      <c r="F606" s="63" t="inlineStr">
        <is>
          <t>30T</t>
        </is>
      </c>
      <c r="G606" s="204" t="inlineStr">
        <is>
          <t>JAT</t>
        </is>
      </c>
      <c r="H606" s="205" t="inlineStr">
        <is>
          <t>Ibadan</t>
        </is>
      </c>
      <c r="I606" s="204" t="inlineStr">
        <is>
          <t>Maiduguri</t>
        </is>
      </c>
      <c r="J606" s="204" t="inlineStr">
        <is>
          <t>Borno</t>
        </is>
      </c>
      <c r="K606" s="214" t="n">
        <v>1404</v>
      </c>
      <c r="L606" s="236">
        <f>K606*2</f>
        <v/>
      </c>
      <c r="M606" s="220">
        <f>ROUNDDOWN(L606*0.7,)</f>
        <v/>
      </c>
      <c r="N606" s="194" t="n">
        <v>67392</v>
      </c>
      <c r="O606" s="227" t="n">
        <v>2900000</v>
      </c>
    </row>
    <row r="607">
      <c r="A607" s="88" t="inlineStr">
        <is>
          <t>AFEEZ AJIBADE/Ebenezer</t>
        </is>
      </c>
      <c r="B607" s="88">
        <f>CONCATENATE(E607,"-",F607,"-",D607)</f>
        <v/>
      </c>
      <c r="C607" s="25">
        <f>CONCATENATE(G607,"-",F607,"-",D607)</f>
        <v/>
      </c>
      <c r="D607" s="25" t="inlineStr">
        <is>
          <t>JUMBO</t>
        </is>
      </c>
      <c r="E607" s="25" t="inlineStr">
        <is>
          <t>NBL-DSL</t>
        </is>
      </c>
      <c r="F607" s="63" t="inlineStr">
        <is>
          <t>30T</t>
        </is>
      </c>
      <c r="G607" s="204" t="inlineStr">
        <is>
          <t>JAT</t>
        </is>
      </c>
      <c r="H607" s="205" t="inlineStr">
        <is>
          <t>Ibadan</t>
        </is>
      </c>
      <c r="I607" s="205" t="inlineStr">
        <is>
          <t>Shendam</t>
        </is>
      </c>
      <c r="J607" s="205" t="inlineStr">
        <is>
          <t>Plateau</t>
        </is>
      </c>
      <c r="K607" s="214" t="n">
        <v>899</v>
      </c>
      <c r="L607" s="236">
        <f>K607*2</f>
        <v/>
      </c>
      <c r="M607" s="220">
        <f>ROUNDDOWN(L607*0.7,)</f>
        <v/>
      </c>
      <c r="N607" s="194" t="n">
        <v>43152</v>
      </c>
      <c r="O607" s="227" t="n">
        <v>2400000</v>
      </c>
    </row>
    <row r="608">
      <c r="A608" s="88" t="inlineStr">
        <is>
          <t>AFEEZ AJIBADE/Ebenezer</t>
        </is>
      </c>
      <c r="B608" s="88">
        <f>CONCATENATE(E608,"-",F608,"-",D608)</f>
        <v/>
      </c>
      <c r="C608" s="25">
        <f>CONCATENATE(G608,"-",F608,"-",D608)</f>
        <v/>
      </c>
      <c r="D608" s="25" t="inlineStr">
        <is>
          <t>JUMBO</t>
        </is>
      </c>
      <c r="E608" s="25" t="inlineStr">
        <is>
          <t>NBL-DSL</t>
        </is>
      </c>
      <c r="F608" s="63" t="inlineStr">
        <is>
          <t>30T</t>
        </is>
      </c>
      <c r="G608" s="204" t="inlineStr">
        <is>
          <t>JAT</t>
        </is>
      </c>
      <c r="H608" s="205" t="inlineStr">
        <is>
          <t>Ibadan</t>
        </is>
      </c>
      <c r="I608" s="205" t="inlineStr">
        <is>
          <t>Koko</t>
        </is>
      </c>
      <c r="J608" s="205" t="inlineStr">
        <is>
          <t>Kebbi</t>
        </is>
      </c>
      <c r="K608" s="214" t="n">
        <v>660</v>
      </c>
      <c r="L608" s="236">
        <f>K608*2</f>
        <v/>
      </c>
      <c r="M608" s="220">
        <f>ROUNDDOWN(L608*0.7,)</f>
        <v/>
      </c>
      <c r="N608" s="194" t="n">
        <v>31680</v>
      </c>
      <c r="O608" s="227" t="n">
        <v>2000000</v>
      </c>
    </row>
    <row r="609">
      <c r="A609" s="88" t="inlineStr">
        <is>
          <t>AFEEZ AJIBADE/Ebenezer</t>
        </is>
      </c>
      <c r="B609" s="88">
        <f>CONCATENATE(E609,"-",F609,"-",D609)</f>
        <v/>
      </c>
      <c r="C609" s="25">
        <f>CONCATENATE(G609,"-",F609,"-",D609)</f>
        <v/>
      </c>
      <c r="D609" s="25" t="inlineStr">
        <is>
          <t>JUMBO</t>
        </is>
      </c>
      <c r="E609" s="25" t="inlineStr">
        <is>
          <t>NBL-DSL</t>
        </is>
      </c>
      <c r="F609" s="63" t="inlineStr">
        <is>
          <t>30T</t>
        </is>
      </c>
      <c r="G609" s="204" t="inlineStr">
        <is>
          <t>JAT</t>
        </is>
      </c>
      <c r="H609" s="205" t="inlineStr">
        <is>
          <t>Ibadan</t>
        </is>
      </c>
      <c r="I609" s="205" t="inlineStr">
        <is>
          <t>Ibadan</t>
        </is>
      </c>
      <c r="J609" s="205" t="inlineStr">
        <is>
          <t>Oyo</t>
        </is>
      </c>
      <c r="K609" s="217" t="n">
        <v>285</v>
      </c>
      <c r="L609" s="236">
        <f>K609*2</f>
        <v/>
      </c>
      <c r="M609" s="220">
        <f>ROUNDDOWN(L609*0.7,)</f>
        <v/>
      </c>
      <c r="N609" s="194" t="n">
        <v>13680</v>
      </c>
      <c r="O609" s="227" t="n">
        <v>1100000</v>
      </c>
    </row>
    <row r="610">
      <c r="A610" s="88" t="inlineStr">
        <is>
          <t>AFEEZ AJIBADE/Ebenezer</t>
        </is>
      </c>
      <c r="B610" s="88">
        <f>CONCATENATE(E610,"-",F610,"-",D610)</f>
        <v/>
      </c>
      <c r="C610" s="25">
        <f>CONCATENATE(G610,"-",F610,"-",D610)</f>
        <v/>
      </c>
      <c r="D610" s="25" t="inlineStr">
        <is>
          <t>JUMBO</t>
        </is>
      </c>
      <c r="E610" s="25" t="inlineStr">
        <is>
          <t>NBL-DSL</t>
        </is>
      </c>
      <c r="F610" s="63" t="inlineStr">
        <is>
          <t>30T</t>
        </is>
      </c>
      <c r="G610" s="204" t="inlineStr">
        <is>
          <t>JAT</t>
        </is>
      </c>
      <c r="H610" s="205" t="inlineStr">
        <is>
          <t>Ibadan</t>
        </is>
      </c>
      <c r="I610" s="205" t="inlineStr">
        <is>
          <t>Ekpoma</t>
        </is>
      </c>
      <c r="J610" s="205" t="inlineStr">
        <is>
          <t>Edo</t>
        </is>
      </c>
      <c r="K610" s="217" t="n">
        <v>346</v>
      </c>
      <c r="L610" s="236">
        <f>K610*2</f>
        <v/>
      </c>
      <c r="M610" s="220">
        <f>ROUNDDOWN(L610*0.7,)</f>
        <v/>
      </c>
      <c r="N610" s="194" t="n">
        <v>16608</v>
      </c>
      <c r="O610" s="227" t="n">
        <v>1400000</v>
      </c>
    </row>
    <row r="611">
      <c r="A611" s="88" t="inlineStr">
        <is>
          <t>AFEEZ AJIBADE/Ebenezer</t>
        </is>
      </c>
      <c r="B611" s="88">
        <f>CONCATENATE(E611,"-",F611,"-",D611)</f>
        <v/>
      </c>
      <c r="C611" s="25">
        <f>CONCATENATE(G611,"-",F611,"-",D611)</f>
        <v/>
      </c>
      <c r="D611" s="25" t="inlineStr">
        <is>
          <t>JUMBO</t>
        </is>
      </c>
      <c r="E611" s="25" t="inlineStr">
        <is>
          <t>NBL-DSL</t>
        </is>
      </c>
      <c r="F611" s="63" t="inlineStr">
        <is>
          <t>30T</t>
        </is>
      </c>
      <c r="G611" s="204" t="inlineStr">
        <is>
          <t>JAT</t>
        </is>
      </c>
      <c r="H611" s="205" t="inlineStr">
        <is>
          <t>Ibadan</t>
        </is>
      </c>
      <c r="I611" s="205" t="inlineStr">
        <is>
          <t>Aba</t>
        </is>
      </c>
      <c r="J611" s="205" t="inlineStr">
        <is>
          <t>Abia</t>
        </is>
      </c>
      <c r="K611" s="217" t="n">
        <v>573</v>
      </c>
      <c r="L611" s="236">
        <f>K611*2</f>
        <v/>
      </c>
      <c r="M611" s="220">
        <f>ROUNDDOWN(L611*0.7,)</f>
        <v/>
      </c>
      <c r="N611" s="194" t="n">
        <v>27504</v>
      </c>
      <c r="O611" s="227" t="n">
        <v>1850000</v>
      </c>
    </row>
    <row r="612">
      <c r="A612" s="88" t="inlineStr">
        <is>
          <t>AFEEZ AJIBADE/Ebenezer</t>
        </is>
      </c>
      <c r="B612" s="88">
        <f>CONCATENATE(E612,"-",F612,"-",D612)</f>
        <v/>
      </c>
      <c r="C612" s="25">
        <f>CONCATENATE(G612,"-",F612,"-",D612)</f>
        <v/>
      </c>
      <c r="D612" s="25" t="inlineStr">
        <is>
          <t>JUMBO</t>
        </is>
      </c>
      <c r="E612" s="25" t="inlineStr">
        <is>
          <t>NBL-DSL</t>
        </is>
      </c>
      <c r="F612" s="63" t="inlineStr">
        <is>
          <t>30T</t>
        </is>
      </c>
      <c r="G612" s="204" t="inlineStr">
        <is>
          <t>JAT</t>
        </is>
      </c>
      <c r="H612" s="205" t="inlineStr">
        <is>
          <t>Ibadan</t>
        </is>
      </c>
      <c r="I612" s="205" t="inlineStr">
        <is>
          <t>Agbor</t>
        </is>
      </c>
      <c r="J612" s="205" t="inlineStr">
        <is>
          <t>Delta</t>
        </is>
      </c>
      <c r="K612" s="217" t="n">
        <v>350</v>
      </c>
      <c r="L612" s="236">
        <f>K612*2</f>
        <v/>
      </c>
      <c r="M612" s="220">
        <f>ROUNDDOWN(L612*0.7,)</f>
        <v/>
      </c>
      <c r="N612" s="194" t="n">
        <v>16800</v>
      </c>
      <c r="O612" s="227" t="n">
        <v>1400000</v>
      </c>
    </row>
    <row r="613">
      <c r="A613" s="88" t="inlineStr">
        <is>
          <t>AFEEZ AJIBADE/Ebenezer</t>
        </is>
      </c>
      <c r="B613" s="88">
        <f>CONCATENATE(E613,"-",F613,"-",D613)</f>
        <v/>
      </c>
      <c r="C613" s="25">
        <f>CONCATENATE(G613,"-",F613,"-",D613)</f>
        <v/>
      </c>
      <c r="D613" s="25" t="inlineStr">
        <is>
          <t>JUMBO</t>
        </is>
      </c>
      <c r="E613" s="25" t="inlineStr">
        <is>
          <t>NBL-DSL</t>
        </is>
      </c>
      <c r="F613" s="63" t="inlineStr">
        <is>
          <t>30T</t>
        </is>
      </c>
      <c r="G613" s="204" t="inlineStr">
        <is>
          <t>JAT</t>
        </is>
      </c>
      <c r="H613" s="205" t="inlineStr">
        <is>
          <t>Ibadan</t>
        </is>
      </c>
      <c r="I613" s="205" t="inlineStr">
        <is>
          <t>Onitsha</t>
        </is>
      </c>
      <c r="J613" s="205" t="inlineStr">
        <is>
          <t>Anambra</t>
        </is>
      </c>
      <c r="K613" s="214" t="n">
        <v>471</v>
      </c>
      <c r="L613" s="236">
        <f>K613*2</f>
        <v/>
      </c>
      <c r="M613" s="220">
        <f>ROUNDDOWN(L613*0.7,)</f>
        <v/>
      </c>
      <c r="N613" s="194" t="n">
        <v>22608</v>
      </c>
      <c r="O613" s="227" t="n">
        <v>1500000</v>
      </c>
    </row>
    <row r="614">
      <c r="A614" s="88" t="inlineStr">
        <is>
          <t>AFEEZ AJIBADE/Ebenezer</t>
        </is>
      </c>
      <c r="B614" s="88">
        <f>CONCATENATE(E614,"-",F614,"-",D614)</f>
        <v/>
      </c>
      <c r="C614" s="25">
        <f>CONCATENATE(G614,"-",F614,"-",D614)</f>
        <v/>
      </c>
      <c r="D614" s="25" t="inlineStr">
        <is>
          <t>JUMBO</t>
        </is>
      </c>
      <c r="E614" s="25" t="inlineStr">
        <is>
          <t>NBL-DSL</t>
        </is>
      </c>
      <c r="F614" s="63" t="inlineStr">
        <is>
          <t>30T</t>
        </is>
      </c>
      <c r="G614" s="204" t="inlineStr">
        <is>
          <t>JAT</t>
        </is>
      </c>
      <c r="H614" s="205" t="inlineStr">
        <is>
          <t>Ibadan</t>
        </is>
      </c>
      <c r="I614" s="205" t="inlineStr">
        <is>
          <t>Abakaliki</t>
        </is>
      </c>
      <c r="J614" s="205" t="inlineStr">
        <is>
          <t>Ebonyi</t>
        </is>
      </c>
      <c r="K614" s="217" t="n">
        <v>627</v>
      </c>
      <c r="L614" s="236">
        <f>K614*2</f>
        <v/>
      </c>
      <c r="M614" s="220">
        <f>ROUNDDOWN(L614*0.7,)</f>
        <v/>
      </c>
      <c r="N614" s="194" t="n">
        <v>30096</v>
      </c>
      <c r="O614" s="227" t="n">
        <v>1850000</v>
      </c>
    </row>
    <row r="615">
      <c r="A615" s="88" t="inlineStr">
        <is>
          <t>AFEEZ AJIBADE/Ebenezer</t>
        </is>
      </c>
      <c r="B615" s="88">
        <f>CONCATENATE(E615,"-",F615,"-",D615)</f>
        <v/>
      </c>
      <c r="C615" s="25">
        <f>CONCATENATE(G615,"-",F615,"-",D615)</f>
        <v/>
      </c>
      <c r="D615" s="25" t="inlineStr">
        <is>
          <t>JUMBO</t>
        </is>
      </c>
      <c r="E615" s="25" t="inlineStr">
        <is>
          <t>NBL-DSL</t>
        </is>
      </c>
      <c r="F615" s="63" t="inlineStr">
        <is>
          <t>30T</t>
        </is>
      </c>
      <c r="G615" s="204" t="inlineStr">
        <is>
          <t>JAT</t>
        </is>
      </c>
      <c r="H615" s="205" t="inlineStr">
        <is>
          <t>Ibadan</t>
        </is>
      </c>
      <c r="I615" s="205" t="inlineStr">
        <is>
          <t>Otukpo</t>
        </is>
      </c>
      <c r="J615" s="205" t="inlineStr">
        <is>
          <t>Benue</t>
        </is>
      </c>
      <c r="K615" s="219" t="n">
        <v>574</v>
      </c>
      <c r="L615" s="236">
        <f>K615*2</f>
        <v/>
      </c>
      <c r="M615" s="220">
        <f>ROUNDDOWN(L615*0.7,)</f>
        <v/>
      </c>
      <c r="N615" s="194" t="n">
        <v>27552</v>
      </c>
      <c r="O615" s="227" t="n">
        <v>2400000</v>
      </c>
    </row>
    <row r="616">
      <c r="A616" s="25" t="inlineStr">
        <is>
          <t>AFEEZ AJIBADE/Ebenezer</t>
        </is>
      </c>
      <c r="B616" s="25">
        <f>CONCATENATE(E616,"-",F616,"-",D616)</f>
        <v/>
      </c>
      <c r="C616" s="25">
        <f>CONCATENATE(G616,"-",F616,"-",D616)</f>
        <v/>
      </c>
      <c r="D616" s="25" t="inlineStr">
        <is>
          <t>JUMBO</t>
        </is>
      </c>
      <c r="E616" s="25" t="inlineStr">
        <is>
          <t>NBL-DSL</t>
        </is>
      </c>
      <c r="F616" s="79" t="inlineStr">
        <is>
          <t>45t</t>
        </is>
      </c>
      <c r="G616" s="209" t="inlineStr">
        <is>
          <t>Orca</t>
        </is>
      </c>
      <c r="H616" s="209" t="inlineStr">
        <is>
          <t>Lagos</t>
        </is>
      </c>
      <c r="I616" s="205" t="inlineStr">
        <is>
          <t>Asaba</t>
        </is>
      </c>
      <c r="J616" s="205" t="inlineStr">
        <is>
          <t>Delta</t>
        </is>
      </c>
      <c r="K616" s="235" t="n">
        <v>432.5</v>
      </c>
      <c r="L616" s="223">
        <f>K616*2</f>
        <v/>
      </c>
      <c r="M616" s="220">
        <f>ROUNDDOWN(L616*0.7,)</f>
        <v/>
      </c>
      <c r="N616" s="194" t="n">
        <v>20760</v>
      </c>
      <c r="O616" s="220" t="n">
        <v>2450000</v>
      </c>
    </row>
    <row r="617">
      <c r="A617" t="inlineStr">
        <is>
          <t>AFEEZ AJIBADE/Ebenezer</t>
        </is>
      </c>
      <c r="B617">
        <f>CONCATENATE(E617,"-",F617,"-",D617)</f>
        <v/>
      </c>
      <c r="C617" s="25">
        <f>CONCATENATE(G617,"-",F617,"-",D617)</f>
        <v/>
      </c>
      <c r="D617" s="25" t="inlineStr">
        <is>
          <t>JUMBO</t>
        </is>
      </c>
      <c r="E617" s="25" t="inlineStr">
        <is>
          <t>NBL-DSL</t>
        </is>
      </c>
      <c r="F617" s="63" t="inlineStr">
        <is>
          <t>45T</t>
        </is>
      </c>
      <c r="G617" s="204" t="inlineStr">
        <is>
          <t>Lacasera</t>
        </is>
      </c>
      <c r="H617" s="204" t="inlineStr">
        <is>
          <t>Lagos</t>
        </is>
      </c>
      <c r="I617" s="25" t="inlineStr">
        <is>
          <t>Aba</t>
        </is>
      </c>
      <c r="J617" s="25" t="inlineStr">
        <is>
          <t>Abia</t>
        </is>
      </c>
      <c r="K617" s="214" t="n">
        <v>608</v>
      </c>
      <c r="L617" s="223" t="n">
        <v>1216</v>
      </c>
      <c r="M617" s="220">
        <f>ROUNDDOWN(L617*0.7,)</f>
        <v/>
      </c>
      <c r="N617" s="194" t="n">
        <v>29184</v>
      </c>
      <c r="O617" s="220" t="n">
        <v>2639315</v>
      </c>
    </row>
    <row r="618">
      <c r="A618" t="inlineStr">
        <is>
          <t>AFEEZ AJIBADE/Ebenezer</t>
        </is>
      </c>
      <c r="B618">
        <f>CONCATENATE(E618,"-",F618,"-",D618)</f>
        <v/>
      </c>
      <c r="C618" s="25">
        <f>CONCATENATE(G618,"-",F618,"-",D618)</f>
        <v/>
      </c>
      <c r="D618" s="25" t="inlineStr">
        <is>
          <t>JUMBO</t>
        </is>
      </c>
      <c r="E618" s="25" t="inlineStr">
        <is>
          <t>NBL-DSL</t>
        </is>
      </c>
      <c r="F618" s="63" t="inlineStr">
        <is>
          <t>45T</t>
        </is>
      </c>
      <c r="G618" s="204" t="inlineStr">
        <is>
          <t>Lacasera</t>
        </is>
      </c>
      <c r="H618" s="204" t="inlineStr">
        <is>
          <t>Lagos</t>
        </is>
      </c>
      <c r="I618" s="25" t="inlineStr">
        <is>
          <t>Ikot Ekpene</t>
        </is>
      </c>
      <c r="J618" s="25" t="inlineStr">
        <is>
          <t>Akwa Ibom</t>
        </is>
      </c>
      <c r="K618" s="189" t="n">
        <v>648</v>
      </c>
      <c r="L618" s="223" t="n">
        <v>1296</v>
      </c>
      <c r="M618" s="220">
        <f>ROUNDDOWN(L618*0.7,)</f>
        <v/>
      </c>
      <c r="N618" s="194" t="n">
        <v>31104</v>
      </c>
      <c r="O618" s="220" t="n">
        <v>2746976</v>
      </c>
    </row>
    <row r="619">
      <c r="A619" t="inlineStr">
        <is>
          <t>AFEEZ AJIBADE/Ebenezer</t>
        </is>
      </c>
      <c r="B619">
        <f>CONCATENATE(E619,"-",F619,"-",D619)</f>
        <v/>
      </c>
      <c r="C619" s="25">
        <f>CONCATENATE(G619,"-",F619,"-",D619)</f>
        <v/>
      </c>
      <c r="D619" s="25" t="inlineStr">
        <is>
          <t>JUMBO</t>
        </is>
      </c>
      <c r="E619" s="25" t="inlineStr">
        <is>
          <t>NBL-DSL</t>
        </is>
      </c>
      <c r="F619" s="63" t="inlineStr">
        <is>
          <t>45T</t>
        </is>
      </c>
      <c r="G619" s="204" t="inlineStr">
        <is>
          <t>Lacasera</t>
        </is>
      </c>
      <c r="H619" s="204" t="inlineStr">
        <is>
          <t>Lagos</t>
        </is>
      </c>
      <c r="I619" s="25" t="inlineStr">
        <is>
          <t>Oron</t>
        </is>
      </c>
      <c r="J619" s="25" t="inlineStr">
        <is>
          <t>Akwa Ibom</t>
        </is>
      </c>
      <c r="K619" s="189" t="n">
        <v>740</v>
      </c>
      <c r="L619" s="223" t="n">
        <v>1480</v>
      </c>
      <c r="M619" s="220">
        <f>ROUNDDOWN(L619*0.7,)</f>
        <v/>
      </c>
      <c r="N619" s="194" t="n">
        <v>35520</v>
      </c>
      <c r="O619" s="220" t="n">
        <v>3244220</v>
      </c>
    </row>
    <row r="620">
      <c r="A620" t="inlineStr">
        <is>
          <t>AFEEZ AJIBADE/Ebenezer</t>
        </is>
      </c>
      <c r="B620">
        <f>CONCATENATE(E620,"-",F620,"-",D620)</f>
        <v/>
      </c>
      <c r="C620" s="25">
        <f>CONCATENATE(G620,"-",F620,"-",D620)</f>
        <v/>
      </c>
      <c r="D620" s="25" t="inlineStr">
        <is>
          <t>JUMBO</t>
        </is>
      </c>
      <c r="E620" s="25" t="inlineStr">
        <is>
          <t>NBL-DSL</t>
        </is>
      </c>
      <c r="F620" s="63" t="inlineStr">
        <is>
          <t>45T</t>
        </is>
      </c>
      <c r="G620" s="204" t="inlineStr">
        <is>
          <t>Lacasera</t>
        </is>
      </c>
      <c r="H620" s="204" t="inlineStr">
        <is>
          <t>Lagos</t>
        </is>
      </c>
      <c r="I620" s="25" t="inlineStr">
        <is>
          <t>Onitsha</t>
        </is>
      </c>
      <c r="J620" s="25" t="inlineStr">
        <is>
          <t>Anambra</t>
        </is>
      </c>
      <c r="K620" s="189" t="n">
        <v>459</v>
      </c>
      <c r="L620" s="223" t="n">
        <v>918</v>
      </c>
      <c r="M620" s="220">
        <f>ROUNDDOWN(L620*0.7,)</f>
        <v/>
      </c>
      <c r="N620" s="194" t="n">
        <v>22032</v>
      </c>
      <c r="O620" s="220" t="n">
        <v>2248843</v>
      </c>
    </row>
    <row r="621">
      <c r="A621" t="inlineStr">
        <is>
          <t>AFEEZ AJIBADE/Ebenezer</t>
        </is>
      </c>
      <c r="B621">
        <f>CONCATENATE(E621,"-",F621,"-",D621)</f>
        <v/>
      </c>
      <c r="C621" s="25">
        <f>CONCATENATE(G621,"-",F621,"-",D621)</f>
        <v/>
      </c>
      <c r="D621" s="25" t="inlineStr">
        <is>
          <t>JUMBO</t>
        </is>
      </c>
      <c r="E621" s="25" t="inlineStr">
        <is>
          <t>NBL-DSL</t>
        </is>
      </c>
      <c r="F621" s="63" t="inlineStr">
        <is>
          <t>45T</t>
        </is>
      </c>
      <c r="G621" s="204" t="inlineStr">
        <is>
          <t>Lacasera</t>
        </is>
      </c>
      <c r="H621" s="204" t="inlineStr">
        <is>
          <t>Lagos</t>
        </is>
      </c>
      <c r="I621" s="25" t="inlineStr">
        <is>
          <t>Yenagoa</t>
        </is>
      </c>
      <c r="J621" s="25" t="inlineStr">
        <is>
          <t>Bayelsa</t>
        </is>
      </c>
      <c r="K621" s="189" t="n">
        <v>546</v>
      </c>
      <c r="L621" s="223" t="n">
        <v>1092</v>
      </c>
      <c r="M621" s="220">
        <f>ROUNDDOWN(L621*0.7,)</f>
        <v/>
      </c>
      <c r="N621" s="194" t="n">
        <v>26208</v>
      </c>
      <c r="O621" s="220" t="n">
        <v>2690008</v>
      </c>
    </row>
    <row r="622">
      <c r="A622" t="inlineStr">
        <is>
          <t>AFEEZ AJIBADE/Ebenezer</t>
        </is>
      </c>
      <c r="B622">
        <f>CONCATENATE(E622,"-",F622,"-",D622)</f>
        <v/>
      </c>
      <c r="C622" s="25">
        <f>CONCATENATE(G622,"-",F622,"-",D622)</f>
        <v/>
      </c>
      <c r="D622" s="25" t="inlineStr">
        <is>
          <t>JUMBO</t>
        </is>
      </c>
      <c r="E622" s="25" t="inlineStr">
        <is>
          <t>NBL-DSL</t>
        </is>
      </c>
      <c r="F622" s="63" t="inlineStr">
        <is>
          <t>45T</t>
        </is>
      </c>
      <c r="G622" s="204" t="inlineStr">
        <is>
          <t>Lacasera</t>
        </is>
      </c>
      <c r="H622" s="204" t="inlineStr">
        <is>
          <t>Lagos</t>
        </is>
      </c>
      <c r="I622" s="25" t="inlineStr">
        <is>
          <t>Makurdi</t>
        </is>
      </c>
      <c r="J622" s="25" t="inlineStr">
        <is>
          <t>Benue</t>
        </is>
      </c>
      <c r="K622" s="189" t="n">
        <v>808</v>
      </c>
      <c r="L622" s="223" t="n">
        <v>1616</v>
      </c>
      <c r="M622" s="220">
        <f>ROUNDDOWN(L622*0.7,)</f>
        <v/>
      </c>
      <c r="N622" s="194" t="n">
        <v>38784</v>
      </c>
      <c r="O622" s="220" t="n">
        <v>3808026</v>
      </c>
    </row>
    <row r="623">
      <c r="A623" t="inlineStr">
        <is>
          <t>AFEEZ AJIBADE/Ebenezer</t>
        </is>
      </c>
      <c r="B623">
        <f>CONCATENATE(E623,"-",F623,"-",D623)</f>
        <v/>
      </c>
      <c r="C623" s="25">
        <f>CONCATENATE(G623,"-",F623,"-",D623)</f>
        <v/>
      </c>
      <c r="D623" s="25" t="inlineStr">
        <is>
          <t>JUMBO</t>
        </is>
      </c>
      <c r="E623" s="25" t="inlineStr">
        <is>
          <t>NBL-DSL</t>
        </is>
      </c>
      <c r="F623" s="63" t="inlineStr">
        <is>
          <t>45T</t>
        </is>
      </c>
      <c r="G623" s="204" t="inlineStr">
        <is>
          <t>Lacasera</t>
        </is>
      </c>
      <c r="H623" s="204" t="inlineStr">
        <is>
          <t>Lagos</t>
        </is>
      </c>
      <c r="I623" s="25" t="inlineStr">
        <is>
          <t>Calabar</t>
        </is>
      </c>
      <c r="J623" s="25" t="inlineStr">
        <is>
          <t>Cross River</t>
        </is>
      </c>
      <c r="K623" s="189" t="n">
        <v>754</v>
      </c>
      <c r="L623" s="223" t="n">
        <v>1508</v>
      </c>
      <c r="M623" s="220">
        <f>ROUNDDOWN(L623*0.7,)</f>
        <v/>
      </c>
      <c r="N623" s="194" t="n">
        <v>36192</v>
      </c>
      <c r="O623" s="220" t="n">
        <v>3164081</v>
      </c>
    </row>
    <row r="624">
      <c r="A624" t="inlineStr">
        <is>
          <t>AFEEZ AJIBADE/Ebenezer</t>
        </is>
      </c>
      <c r="B624">
        <f>CONCATENATE(E624,"-",F624,"-",D624)</f>
        <v/>
      </c>
      <c r="C624" s="25">
        <f>CONCATENATE(G624,"-",F624,"-",D624)</f>
        <v/>
      </c>
      <c r="D624" s="25" t="inlineStr">
        <is>
          <t>JUMBO</t>
        </is>
      </c>
      <c r="E624" s="25" t="inlineStr">
        <is>
          <t>NBL-DSL</t>
        </is>
      </c>
      <c r="F624" s="63" t="inlineStr">
        <is>
          <t>45T</t>
        </is>
      </c>
      <c r="G624" s="204" t="inlineStr">
        <is>
          <t>Lacasera</t>
        </is>
      </c>
      <c r="H624" s="204" t="inlineStr">
        <is>
          <t>Lagos</t>
        </is>
      </c>
      <c r="I624" s="25" t="inlineStr">
        <is>
          <t>Abakaliki</t>
        </is>
      </c>
      <c r="J624" s="25" t="inlineStr">
        <is>
          <t>Ebonyi</t>
        </is>
      </c>
      <c r="K624" s="189" t="n">
        <v>633</v>
      </c>
      <c r="L624" s="223" t="n">
        <v>1266</v>
      </c>
      <c r="M624" s="220">
        <f>ROUNDDOWN(L624*0.7,)</f>
        <v/>
      </c>
      <c r="N624" s="194" t="n">
        <v>30384</v>
      </c>
      <c r="O624" s="220" t="n">
        <v>2685524</v>
      </c>
    </row>
    <row r="625">
      <c r="A625" t="inlineStr">
        <is>
          <t>AFEEZ AJIBADE/Ebenezer</t>
        </is>
      </c>
      <c r="B625">
        <f>CONCATENATE(E625,"-",F625,"-",D625)</f>
        <v/>
      </c>
      <c r="C625" s="25">
        <f>CONCATENATE(G625,"-",F625,"-",D625)</f>
        <v/>
      </c>
      <c r="D625" s="25" t="inlineStr">
        <is>
          <t>JUMBO</t>
        </is>
      </c>
      <c r="E625" s="25" t="inlineStr">
        <is>
          <t>NBL-DSL</t>
        </is>
      </c>
      <c r="F625" s="63" t="inlineStr">
        <is>
          <t>45T</t>
        </is>
      </c>
      <c r="G625" s="204" t="inlineStr">
        <is>
          <t>Lacasera</t>
        </is>
      </c>
      <c r="H625" s="204" t="inlineStr">
        <is>
          <t>Lagos</t>
        </is>
      </c>
      <c r="I625" s="25" t="inlineStr">
        <is>
          <t>Enugu</t>
        </is>
      </c>
      <c r="J625" s="25" t="inlineStr">
        <is>
          <t>Enugu</t>
        </is>
      </c>
      <c r="K625" s="189" t="n">
        <v>560.5</v>
      </c>
      <c r="L625" s="223" t="n">
        <v>1121</v>
      </c>
      <c r="M625" s="220">
        <f>ROUNDDOWN(L625*0.7,)</f>
        <v/>
      </c>
      <c r="N625" s="194" t="n">
        <v>26904</v>
      </c>
      <c r="O625" s="220" t="n">
        <v>2527817</v>
      </c>
    </row>
    <row r="626">
      <c r="A626" t="inlineStr">
        <is>
          <t>AFEEZ AJIBADE/Ebenezer</t>
        </is>
      </c>
      <c r="B626">
        <f>CONCATENATE(E626,"-",F626,"-",D626)</f>
        <v/>
      </c>
      <c r="C626" s="25">
        <f>CONCATENATE(G626,"-",F626,"-",D626)</f>
        <v/>
      </c>
      <c r="D626" s="25" t="inlineStr">
        <is>
          <t>JUMBO</t>
        </is>
      </c>
      <c r="E626" s="25" t="inlineStr">
        <is>
          <t>NBL-DSL</t>
        </is>
      </c>
      <c r="F626" s="63" t="inlineStr">
        <is>
          <t>45T</t>
        </is>
      </c>
      <c r="G626" s="204" t="inlineStr">
        <is>
          <t>Lacasera</t>
        </is>
      </c>
      <c r="H626" s="204" t="inlineStr">
        <is>
          <t>Lagos</t>
        </is>
      </c>
      <c r="I626" s="25" t="inlineStr">
        <is>
          <t>Nsukka</t>
        </is>
      </c>
      <c r="J626" s="25" t="inlineStr">
        <is>
          <t>Enugu</t>
        </is>
      </c>
      <c r="K626" s="189" t="n">
        <v>563</v>
      </c>
      <c r="L626" s="223" t="n">
        <v>1126</v>
      </c>
      <c r="M626" s="220">
        <f>ROUNDDOWN(L626*0.7,)</f>
        <v/>
      </c>
      <c r="N626" s="194" t="n">
        <v>27024</v>
      </c>
      <c r="O626" s="220" t="n">
        <v>2565819</v>
      </c>
    </row>
    <row r="627">
      <c r="A627" t="inlineStr">
        <is>
          <t>AFEEZ AJIBADE/Ebenezer</t>
        </is>
      </c>
      <c r="B627">
        <f>CONCATENATE(E627,"-",F627,"-",D627)</f>
        <v/>
      </c>
      <c r="C627" s="25">
        <f>CONCATENATE(G627,"-",F627,"-",D627)</f>
        <v/>
      </c>
      <c r="D627" s="25" t="inlineStr">
        <is>
          <t>JUMBO</t>
        </is>
      </c>
      <c r="E627" s="25" t="inlineStr">
        <is>
          <t>NBL-DSL</t>
        </is>
      </c>
      <c r="F627" s="63" t="inlineStr">
        <is>
          <t>45T</t>
        </is>
      </c>
      <c r="G627" s="204" t="inlineStr">
        <is>
          <t>Lacasera</t>
        </is>
      </c>
      <c r="H627" s="204" t="inlineStr">
        <is>
          <t>Lagos</t>
        </is>
      </c>
      <c r="I627" s="25" t="inlineStr">
        <is>
          <t>Owerri</t>
        </is>
      </c>
      <c r="J627" s="25" t="inlineStr">
        <is>
          <t>Imo</t>
        </is>
      </c>
      <c r="K627" s="189" t="n">
        <v>567</v>
      </c>
      <c r="L627" s="223" t="n">
        <v>1134</v>
      </c>
      <c r="M627" s="220">
        <f>ROUNDDOWN(L627*0.7,)</f>
        <v/>
      </c>
      <c r="N627" s="194" t="n">
        <v>27216</v>
      </c>
      <c r="O627" s="220" t="n">
        <v>2264195</v>
      </c>
    </row>
    <row r="628">
      <c r="A628" t="inlineStr">
        <is>
          <t>AFEEZ AJIBADE/Ebenezer</t>
        </is>
      </c>
      <c r="B628">
        <f>CONCATENATE(E628,"-",F628,"-",D628)</f>
        <v/>
      </c>
      <c r="C628" s="25">
        <f>CONCATENATE(G628,"-",F628,"-",D628)</f>
        <v/>
      </c>
      <c r="D628" s="25" t="inlineStr">
        <is>
          <t>JUMBO</t>
        </is>
      </c>
      <c r="E628" s="25" t="inlineStr">
        <is>
          <t>NBL-DSL</t>
        </is>
      </c>
      <c r="F628" s="63" t="inlineStr">
        <is>
          <t>45T</t>
        </is>
      </c>
      <c r="G628" s="204" t="inlineStr">
        <is>
          <t>Lacasera</t>
        </is>
      </c>
      <c r="H628" s="204" t="inlineStr">
        <is>
          <t>Lagos</t>
        </is>
      </c>
      <c r="I628" s="25" t="inlineStr">
        <is>
          <t>Port Harcourt</t>
        </is>
      </c>
      <c r="J628" s="25" t="inlineStr">
        <is>
          <t>Rivers</t>
        </is>
      </c>
      <c r="K628" s="189" t="n">
        <v>601</v>
      </c>
      <c r="L628" s="223" t="n">
        <v>1202</v>
      </c>
      <c r="M628" s="220">
        <f>ROUNDDOWN(L628*0.7,)</f>
        <v/>
      </c>
      <c r="N628" s="194" t="n">
        <v>28848</v>
      </c>
      <c r="O628" s="220" t="n">
        <v>2741678</v>
      </c>
    </row>
    <row r="629">
      <c r="A629" t="inlineStr">
        <is>
          <t>AFEEZ AJIBADE/Ebenezer</t>
        </is>
      </c>
      <c r="B629">
        <f>CONCATENATE(E629,"-",F629,"-",D629)</f>
        <v/>
      </c>
      <c r="C629" s="25">
        <f>CONCATENATE(G629,"-",F629,"-",D629)</f>
        <v/>
      </c>
      <c r="D629" s="25" t="inlineStr">
        <is>
          <t>JUMBO</t>
        </is>
      </c>
      <c r="E629" s="25" t="inlineStr">
        <is>
          <t>NBL-DSL</t>
        </is>
      </c>
      <c r="F629" s="63" t="inlineStr">
        <is>
          <t>45T</t>
        </is>
      </c>
      <c r="G629" s="204" t="inlineStr">
        <is>
          <t>Lacasera</t>
        </is>
      </c>
      <c r="H629" s="204" t="inlineStr">
        <is>
          <t>Lagos</t>
        </is>
      </c>
      <c r="I629" s="25" t="inlineStr">
        <is>
          <t>Uyo</t>
        </is>
      </c>
      <c r="J629" s="25" t="inlineStr">
        <is>
          <t>Akwa Ibom</t>
        </is>
      </c>
      <c r="K629" s="189" t="n">
        <v>678</v>
      </c>
      <c r="L629" s="223" t="n">
        <v>1356</v>
      </c>
      <c r="M629" s="220">
        <f>ROUNDDOWN(L629*0.7,)</f>
        <v/>
      </c>
      <c r="N629" s="194" t="n">
        <v>32544</v>
      </c>
      <c r="O629" s="220" t="n">
        <v>2774125</v>
      </c>
    </row>
    <row r="630">
      <c r="A630" t="inlineStr">
        <is>
          <t>AFEEZ AJIBADE/Ebenezer</t>
        </is>
      </c>
      <c r="B630">
        <f>CONCATENATE(E630,"-",F630,"-",D630)</f>
        <v/>
      </c>
      <c r="C630" s="25">
        <f>CONCATENATE(G630,"-",F630,"-",D630)</f>
        <v/>
      </c>
      <c r="D630" s="25" t="inlineStr">
        <is>
          <t>JUMBO</t>
        </is>
      </c>
      <c r="E630" s="25" t="inlineStr">
        <is>
          <t>NBL-DSL</t>
        </is>
      </c>
      <c r="F630" s="63" t="inlineStr">
        <is>
          <t>45T</t>
        </is>
      </c>
      <c r="G630" s="204" t="inlineStr">
        <is>
          <t>Lacasera</t>
        </is>
      </c>
      <c r="H630" s="204" t="inlineStr">
        <is>
          <t>Lagos</t>
        </is>
      </c>
      <c r="I630" s="25" t="inlineStr">
        <is>
          <t>Umunze</t>
        </is>
      </c>
      <c r="J630" s="25" t="inlineStr">
        <is>
          <t>Anambra</t>
        </is>
      </c>
      <c r="K630" s="189" t="n">
        <v>529</v>
      </c>
      <c r="L630" s="223" t="n">
        <v>1058</v>
      </c>
      <c r="M630" s="220">
        <f>ROUNDDOWN(L630*0.7,)</f>
        <v/>
      </c>
      <c r="N630" s="194" t="n">
        <v>25392</v>
      </c>
      <c r="O630" s="220" t="n">
        <v>2311067</v>
      </c>
    </row>
    <row r="631">
      <c r="A631" t="inlineStr">
        <is>
          <t>AFEEZ AJIBADE/Ebenezer</t>
        </is>
      </c>
      <c r="B631">
        <f>CONCATENATE(E631,"-",F631,"-",D631)</f>
        <v/>
      </c>
      <c r="C631" s="25">
        <f>CONCATENATE(G631,"-",F631,"-",D631)</f>
        <v/>
      </c>
      <c r="D631" s="25" t="inlineStr">
        <is>
          <t>JUMBO</t>
        </is>
      </c>
      <c r="E631" s="25" t="inlineStr">
        <is>
          <t>NBL-DSL</t>
        </is>
      </c>
      <c r="F631" s="63" t="inlineStr">
        <is>
          <t>45T</t>
        </is>
      </c>
      <c r="G631" s="204" t="inlineStr">
        <is>
          <t>Lacasera</t>
        </is>
      </c>
      <c r="H631" s="204" t="inlineStr">
        <is>
          <t>Lagos</t>
        </is>
      </c>
      <c r="I631" s="25" t="inlineStr">
        <is>
          <t>Abak</t>
        </is>
      </c>
      <c r="J631" s="25" t="inlineStr">
        <is>
          <t>Akwa Ibom</t>
        </is>
      </c>
      <c r="K631" s="189" t="n">
        <v>668.5</v>
      </c>
      <c r="L631" s="223" t="n">
        <v>1337</v>
      </c>
      <c r="M631" s="220">
        <f>ROUNDDOWN(L631*0.7,)</f>
        <v/>
      </c>
      <c r="N631" s="194" t="n">
        <v>32088</v>
      </c>
      <c r="O631" s="220" t="n">
        <v>2854350</v>
      </c>
    </row>
    <row r="632">
      <c r="A632" t="inlineStr">
        <is>
          <t>AFEEZ AJIBADE/Ebenezer</t>
        </is>
      </c>
      <c r="B632">
        <f>CONCATENATE(E632,"-",F632,"-",D632)</f>
        <v/>
      </c>
      <c r="C632" s="25">
        <f>CONCATENATE(G632,"-",F632,"-",D632)</f>
        <v/>
      </c>
      <c r="D632" s="25" t="inlineStr">
        <is>
          <t>JUMBO</t>
        </is>
      </c>
      <c r="E632" s="25" t="inlineStr">
        <is>
          <t>NBL-DSL</t>
        </is>
      </c>
      <c r="F632" s="63" t="inlineStr">
        <is>
          <t>45T</t>
        </is>
      </c>
      <c r="G632" s="204" t="inlineStr">
        <is>
          <t>Lacasera</t>
        </is>
      </c>
      <c r="H632" s="204" t="inlineStr">
        <is>
          <t>Lagos</t>
        </is>
      </c>
      <c r="I632" s="25" t="inlineStr">
        <is>
          <t>Awka</t>
        </is>
      </c>
      <c r="J632" s="25" t="inlineStr">
        <is>
          <t>Anambra</t>
        </is>
      </c>
      <c r="K632" s="189" t="n">
        <v>498</v>
      </c>
      <c r="L632" s="223" t="n">
        <v>996</v>
      </c>
      <c r="M632" s="220">
        <f>ROUNDDOWN(L632*0.7,)</f>
        <v/>
      </c>
      <c r="N632" s="194" t="n">
        <v>23904</v>
      </c>
      <c r="O632" s="220" t="n">
        <v>2347137</v>
      </c>
    </row>
    <row r="633">
      <c r="A633" t="inlineStr">
        <is>
          <t>AFEEZ AJIBADE/Ebenezer</t>
        </is>
      </c>
      <c r="B633">
        <f>CONCATENATE(E633,"-",F633,"-",D633)</f>
        <v/>
      </c>
      <c r="C633" s="25">
        <f>CONCATENATE(G633,"-",F633,"-",D633)</f>
        <v/>
      </c>
      <c r="D633" s="25" t="inlineStr">
        <is>
          <t>JUMBO</t>
        </is>
      </c>
      <c r="E633" s="25" t="inlineStr">
        <is>
          <t>NBL-DSL</t>
        </is>
      </c>
      <c r="F633" s="63" t="inlineStr">
        <is>
          <t>45T</t>
        </is>
      </c>
      <c r="G633" s="204" t="inlineStr">
        <is>
          <t>Lacasera</t>
        </is>
      </c>
      <c r="H633" s="204" t="inlineStr">
        <is>
          <t>Lagos</t>
        </is>
      </c>
      <c r="I633" s="25" t="inlineStr">
        <is>
          <t>Ikom</t>
        </is>
      </c>
      <c r="J633" s="25" t="inlineStr">
        <is>
          <t>Cross River</t>
        </is>
      </c>
      <c r="K633" s="189" t="n">
        <v>776</v>
      </c>
      <c r="L633" s="223" t="n">
        <v>1552</v>
      </c>
      <c r="M633" s="220">
        <f>ROUNDDOWN(L633*0.7,)</f>
        <v/>
      </c>
      <c r="N633" s="194" t="n">
        <v>37248</v>
      </c>
      <c r="O633" s="220" t="n">
        <v>3185106</v>
      </c>
    </row>
    <row r="634">
      <c r="A634" t="inlineStr">
        <is>
          <t>AFEEZ AJIBADE/Ebenezer</t>
        </is>
      </c>
      <c r="B634">
        <f>CONCATENATE(E634,"-",F634,"-",D634)</f>
        <v/>
      </c>
      <c r="C634" s="25">
        <f>CONCATENATE(G634,"-",F634,"-",D634)</f>
        <v/>
      </c>
      <c r="D634" s="25" t="inlineStr">
        <is>
          <t>JUMBO</t>
        </is>
      </c>
      <c r="E634" s="25" t="inlineStr">
        <is>
          <t>NBL-DSL</t>
        </is>
      </c>
      <c r="F634" s="63" t="inlineStr">
        <is>
          <t>45T</t>
        </is>
      </c>
      <c r="G634" s="204" t="inlineStr">
        <is>
          <t>Lacasera</t>
        </is>
      </c>
      <c r="H634" s="204" t="inlineStr">
        <is>
          <t>Lagos</t>
        </is>
      </c>
      <c r="I634" s="25" t="inlineStr">
        <is>
          <t>Obubra</t>
        </is>
      </c>
      <c r="J634" s="25" t="inlineStr">
        <is>
          <t>Cross River</t>
        </is>
      </c>
      <c r="K634" s="189" t="n">
        <v>717</v>
      </c>
      <c r="L634" s="223" t="n">
        <v>1434</v>
      </c>
      <c r="M634" s="220">
        <f>ROUNDDOWN(L634*0.7,)</f>
        <v/>
      </c>
      <c r="N634" s="194" t="n">
        <v>34416</v>
      </c>
      <c r="O634" s="220" t="n">
        <v>2952873</v>
      </c>
    </row>
    <row r="635">
      <c r="A635" t="inlineStr">
        <is>
          <t>AFEEZ AJIBADE/Ebenezer</t>
        </is>
      </c>
      <c r="B635">
        <f>CONCATENATE(E635,"-",F635,"-",D635)</f>
        <v/>
      </c>
      <c r="C635" s="25">
        <f>CONCATENATE(G635,"-",F635,"-",D635)</f>
        <v/>
      </c>
      <c r="D635" s="25" t="inlineStr">
        <is>
          <t>JUMBO</t>
        </is>
      </c>
      <c r="E635" s="25" t="inlineStr">
        <is>
          <t>NBL-DSL</t>
        </is>
      </c>
      <c r="F635" s="63" t="inlineStr">
        <is>
          <t>45T</t>
        </is>
      </c>
      <c r="G635" s="204" t="inlineStr">
        <is>
          <t>Lacasera</t>
        </is>
      </c>
      <c r="H635" s="204" t="inlineStr">
        <is>
          <t>Lagos</t>
        </is>
      </c>
      <c r="I635" s="25" t="inlineStr">
        <is>
          <t>Bori</t>
        </is>
      </c>
      <c r="J635" s="25" t="inlineStr">
        <is>
          <t>Rivers</t>
        </is>
      </c>
      <c r="K635" s="189" t="n">
        <v>654</v>
      </c>
      <c r="L635" s="223" t="n">
        <v>1308</v>
      </c>
      <c r="M635" s="220">
        <f>ROUNDDOWN(L635*0.7,)</f>
        <v/>
      </c>
      <c r="N635" s="194" t="n">
        <v>31392</v>
      </c>
      <c r="O635" s="220" t="n">
        <v>2859457</v>
      </c>
    </row>
    <row r="636">
      <c r="A636" t="inlineStr">
        <is>
          <t>AFEEZ AJIBADE/Ebenezer</t>
        </is>
      </c>
      <c r="B636">
        <f>CONCATENATE(E636,"-",F636,"-",D636)</f>
        <v/>
      </c>
      <c r="C636" s="25">
        <f>CONCATENATE(G636,"-",F636,"-",D636)</f>
        <v/>
      </c>
      <c r="D636" s="25" t="inlineStr">
        <is>
          <t>JUMBO</t>
        </is>
      </c>
      <c r="E636" s="25" t="inlineStr">
        <is>
          <t>NBL-DSL</t>
        </is>
      </c>
      <c r="F636" s="63" t="inlineStr">
        <is>
          <t>45T</t>
        </is>
      </c>
      <c r="G636" s="204" t="inlineStr">
        <is>
          <t>Lacasera</t>
        </is>
      </c>
      <c r="H636" s="204" t="inlineStr">
        <is>
          <t>Lagos</t>
        </is>
      </c>
      <c r="I636" s="25" t="inlineStr">
        <is>
          <t>Eket</t>
        </is>
      </c>
      <c r="J636" s="25" t="inlineStr">
        <is>
          <t>Akwa Ibom</t>
        </is>
      </c>
      <c r="K636" s="189" t="n">
        <v>710.5</v>
      </c>
      <c r="L636" s="223" t="n">
        <v>1421</v>
      </c>
      <c r="M636" s="220">
        <f>ROUNDDOWN(L636*0.7,)</f>
        <v/>
      </c>
      <c r="N636" s="194" t="n">
        <v>34104</v>
      </c>
      <c r="O636" s="220" t="n">
        <v>2921909</v>
      </c>
    </row>
    <row r="637">
      <c r="A637" t="inlineStr">
        <is>
          <t>AFEEZ AJIBADE/Ebenezer</t>
        </is>
      </c>
      <c r="B637">
        <f>CONCATENATE(E637,"-",F637,"-",D637)</f>
        <v/>
      </c>
      <c r="C637" s="25">
        <f>CONCATENATE(G637,"-",F637,"-",D637)</f>
        <v/>
      </c>
      <c r="D637" s="25" t="inlineStr">
        <is>
          <t>JUMBO</t>
        </is>
      </c>
      <c r="E637" s="25" t="inlineStr">
        <is>
          <t>NBL-DSL</t>
        </is>
      </c>
      <c r="F637" s="63" t="inlineStr">
        <is>
          <t>45T</t>
        </is>
      </c>
      <c r="G637" s="204" t="inlineStr">
        <is>
          <t>Lacasera</t>
        </is>
      </c>
      <c r="H637" s="204" t="inlineStr">
        <is>
          <t>Lagos</t>
        </is>
      </c>
      <c r="I637" s="25" t="inlineStr">
        <is>
          <t>Bauchi</t>
        </is>
      </c>
      <c r="J637" s="25" t="inlineStr">
        <is>
          <t>Bauchi</t>
        </is>
      </c>
      <c r="K637" s="189" t="n">
        <v>1185</v>
      </c>
      <c r="L637" s="223" t="n">
        <v>2370</v>
      </c>
      <c r="M637" s="220">
        <f>ROUNDDOWN(L637*0.7,)</f>
        <v/>
      </c>
      <c r="N637" s="194" t="n">
        <v>56880</v>
      </c>
      <c r="O637" s="220" t="n">
        <v>3671425</v>
      </c>
    </row>
    <row r="638">
      <c r="A638" t="inlineStr">
        <is>
          <t>AFEEZ AJIBADE/Ebenezer</t>
        </is>
      </c>
      <c r="B638">
        <f>CONCATENATE(E638,"-",F638,"-",D638)</f>
        <v/>
      </c>
      <c r="C638" s="25">
        <f>CONCATENATE(G638,"-",F638,"-",D638)</f>
        <v/>
      </c>
      <c r="D638" s="25" t="inlineStr">
        <is>
          <t>JUMBO</t>
        </is>
      </c>
      <c r="E638" s="25" t="inlineStr">
        <is>
          <t>NBL-DSL</t>
        </is>
      </c>
      <c r="F638" s="63" t="inlineStr">
        <is>
          <t>45T</t>
        </is>
      </c>
      <c r="G638" s="204" t="inlineStr">
        <is>
          <t>Lacasera</t>
        </is>
      </c>
      <c r="H638" s="204" t="inlineStr">
        <is>
          <t>Lagos</t>
        </is>
      </c>
      <c r="I638" s="25" t="inlineStr">
        <is>
          <t>Maiduguri</t>
        </is>
      </c>
      <c r="J638" s="25" t="inlineStr">
        <is>
          <t>Borno</t>
        </is>
      </c>
      <c r="K638" s="189" t="n">
        <v>1560</v>
      </c>
      <c r="L638" s="223" t="n">
        <v>3120</v>
      </c>
      <c r="M638" s="220">
        <f>ROUNDDOWN(L638*0.7,)</f>
        <v/>
      </c>
      <c r="N638" s="194" t="n">
        <v>74880</v>
      </c>
      <c r="O638" s="220" t="n">
        <v>4959375</v>
      </c>
    </row>
    <row r="639">
      <c r="A639" t="inlineStr">
        <is>
          <t>AFEEZ AJIBADE/Ebenezer</t>
        </is>
      </c>
      <c r="B639">
        <f>CONCATENATE(E639,"-",F639,"-",D639)</f>
        <v/>
      </c>
      <c r="C639" s="25">
        <f>CONCATENATE(G639,"-",F639,"-",D639)</f>
        <v/>
      </c>
      <c r="D639" s="25" t="inlineStr">
        <is>
          <t>JUMBO</t>
        </is>
      </c>
      <c r="E639" s="25" t="inlineStr">
        <is>
          <t>NBL-DSL</t>
        </is>
      </c>
      <c r="F639" s="63" t="inlineStr">
        <is>
          <t>45T</t>
        </is>
      </c>
      <c r="G639" s="204" t="inlineStr">
        <is>
          <t>Lacasera</t>
        </is>
      </c>
      <c r="H639" s="204" t="inlineStr">
        <is>
          <t>Lagos</t>
        </is>
      </c>
      <c r="I639" s="25" t="inlineStr">
        <is>
          <t>Abuja</t>
        </is>
      </c>
      <c r="J639" s="25" t="inlineStr">
        <is>
          <t>FCT</t>
        </is>
      </c>
      <c r="K639" s="189" t="n">
        <v>786.5</v>
      </c>
      <c r="L639" s="223" t="n">
        <v>1573</v>
      </c>
      <c r="M639" s="220">
        <f>ROUNDDOWN(L639*0.7,)</f>
        <v/>
      </c>
      <c r="N639" s="194" t="n">
        <v>37752</v>
      </c>
      <c r="O639" s="220" t="n">
        <v>3282163</v>
      </c>
    </row>
    <row r="640">
      <c r="A640" t="inlineStr">
        <is>
          <t>AFEEZ AJIBADE/Ebenezer</t>
        </is>
      </c>
      <c r="B640">
        <f>CONCATENATE(E640,"-",F640,"-",D640)</f>
        <v/>
      </c>
      <c r="C640" s="25">
        <f>CONCATENATE(G640,"-",F640,"-",D640)</f>
        <v/>
      </c>
      <c r="D640" s="25" t="inlineStr">
        <is>
          <t>JUMBO</t>
        </is>
      </c>
      <c r="E640" s="25" t="inlineStr">
        <is>
          <t>NBL-DSL</t>
        </is>
      </c>
      <c r="F640" s="63" t="inlineStr">
        <is>
          <t>45T</t>
        </is>
      </c>
      <c r="G640" s="204" t="inlineStr">
        <is>
          <t>Lacasera</t>
        </is>
      </c>
      <c r="H640" s="204" t="inlineStr">
        <is>
          <t>Lagos</t>
        </is>
      </c>
      <c r="I640" s="25" t="inlineStr">
        <is>
          <t>Gombe</t>
        </is>
      </c>
      <c r="J640" s="25" t="inlineStr">
        <is>
          <t>Gombe</t>
        </is>
      </c>
      <c r="K640" s="189" t="n">
        <v>1349</v>
      </c>
      <c r="L640" s="223" t="n">
        <v>2698</v>
      </c>
      <c r="M640" s="220">
        <f>ROUNDDOWN(L640*0.7,)</f>
        <v/>
      </c>
      <c r="N640" s="194" t="n">
        <v>64752</v>
      </c>
      <c r="O640" s="220" t="n">
        <v>4412705</v>
      </c>
    </row>
    <row r="641">
      <c r="A641" t="inlineStr">
        <is>
          <t>AFEEZ AJIBADE/Ebenezer</t>
        </is>
      </c>
      <c r="B641">
        <f>CONCATENATE(E641,"-",F641,"-",D641)</f>
        <v/>
      </c>
      <c r="C641" s="25">
        <f>CONCATENATE(G641,"-",F641,"-",D641)</f>
        <v/>
      </c>
      <c r="D641" s="25" t="inlineStr">
        <is>
          <t>JUMBO</t>
        </is>
      </c>
      <c r="E641" s="25" t="inlineStr">
        <is>
          <t>NBL-DSL</t>
        </is>
      </c>
      <c r="F641" s="63" t="inlineStr">
        <is>
          <t>45T</t>
        </is>
      </c>
      <c r="G641" s="204" t="inlineStr">
        <is>
          <t>Lacasera</t>
        </is>
      </c>
      <c r="H641" s="204" t="inlineStr">
        <is>
          <t>Lagos</t>
        </is>
      </c>
      <c r="I641" s="25" t="inlineStr">
        <is>
          <t>Kaduna</t>
        </is>
      </c>
      <c r="J641" s="25" t="inlineStr">
        <is>
          <t>Kaduna</t>
        </is>
      </c>
      <c r="K641" s="189" t="n">
        <v>794.5</v>
      </c>
      <c r="L641" s="223" t="n">
        <v>1589</v>
      </c>
      <c r="M641" s="220">
        <f>ROUNDDOWN(L641*0.7,)</f>
        <v/>
      </c>
      <c r="N641" s="194" t="n">
        <v>38136</v>
      </c>
      <c r="O641" s="220" t="n">
        <v>3403545</v>
      </c>
    </row>
    <row r="642">
      <c r="A642" t="inlineStr">
        <is>
          <t>AFEEZ AJIBADE/Ebenezer</t>
        </is>
      </c>
      <c r="B642">
        <f>CONCATENATE(E642,"-",F642,"-",D642)</f>
        <v/>
      </c>
      <c r="C642" s="25">
        <f>CONCATENATE(G642,"-",F642,"-",D642)</f>
        <v/>
      </c>
      <c r="D642" s="25" t="inlineStr">
        <is>
          <t>JUMBO</t>
        </is>
      </c>
      <c r="E642" s="25" t="inlineStr">
        <is>
          <t>NBL-DSL</t>
        </is>
      </c>
      <c r="F642" s="63" t="inlineStr">
        <is>
          <t>45T</t>
        </is>
      </c>
      <c r="G642" s="204" t="inlineStr">
        <is>
          <t>Lacasera</t>
        </is>
      </c>
      <c r="H642" s="204" t="inlineStr">
        <is>
          <t>Lagos</t>
        </is>
      </c>
      <c r="I642" s="25" t="inlineStr">
        <is>
          <t>Zaria</t>
        </is>
      </c>
      <c r="J642" s="25" t="inlineStr">
        <is>
          <t>Kaduna</t>
        </is>
      </c>
      <c r="K642" s="189" t="n">
        <v>878.5</v>
      </c>
      <c r="L642" s="223" t="n">
        <v>1757</v>
      </c>
      <c r="M642" s="220">
        <f>ROUNDDOWN(L642*0.7,)</f>
        <v/>
      </c>
      <c r="N642" s="194" t="n">
        <v>42168</v>
      </c>
      <c r="O642" s="220" t="n">
        <v>3512458</v>
      </c>
    </row>
    <row r="643">
      <c r="A643" t="inlineStr">
        <is>
          <t>AFEEZ AJIBADE/Ebenezer</t>
        </is>
      </c>
      <c r="B643">
        <f>CONCATENATE(E643,"-",F643,"-",D643)</f>
        <v/>
      </c>
      <c r="C643" s="25">
        <f>CONCATENATE(G643,"-",F643,"-",D643)</f>
        <v/>
      </c>
      <c r="D643" s="25" t="inlineStr">
        <is>
          <t>JUMBO</t>
        </is>
      </c>
      <c r="E643" s="25" t="inlineStr">
        <is>
          <t>NBL-DSL</t>
        </is>
      </c>
      <c r="F643" s="63" t="inlineStr">
        <is>
          <t>45T</t>
        </is>
      </c>
      <c r="G643" s="204" t="inlineStr">
        <is>
          <t>Lacasera</t>
        </is>
      </c>
      <c r="H643" s="204" t="inlineStr">
        <is>
          <t>Lagos</t>
        </is>
      </c>
      <c r="I643" s="25" t="inlineStr">
        <is>
          <t>Kano</t>
        </is>
      </c>
      <c r="J643" s="25" t="inlineStr">
        <is>
          <t>Kano</t>
        </is>
      </c>
      <c r="K643" s="189" t="n">
        <v>1013.5</v>
      </c>
      <c r="L643" s="223" t="n">
        <v>2027</v>
      </c>
      <c r="M643" s="220">
        <f>ROUNDDOWN(L643*0.7,)</f>
        <v/>
      </c>
      <c r="N643" s="194" t="n">
        <v>48648</v>
      </c>
      <c r="O643" s="220" t="n">
        <v>3710764</v>
      </c>
    </row>
    <row r="644">
      <c r="A644" t="inlineStr">
        <is>
          <t>AFEEZ AJIBADE/Ebenezer</t>
        </is>
      </c>
      <c r="B644">
        <f>CONCATENATE(E644,"-",F644,"-",D644)</f>
        <v/>
      </c>
      <c r="C644" s="25">
        <f>CONCATENATE(G644,"-",F644,"-",D644)</f>
        <v/>
      </c>
      <c r="D644" s="25" t="inlineStr">
        <is>
          <t>JUMBO</t>
        </is>
      </c>
      <c r="E644" s="25" t="inlineStr">
        <is>
          <t>NBL-DSL</t>
        </is>
      </c>
      <c r="F644" s="63" t="inlineStr">
        <is>
          <t>45T</t>
        </is>
      </c>
      <c r="G644" s="204" t="inlineStr">
        <is>
          <t>Lacasera</t>
        </is>
      </c>
      <c r="H644" s="204" t="inlineStr">
        <is>
          <t>Lagos</t>
        </is>
      </c>
      <c r="I644" s="25" t="inlineStr">
        <is>
          <t>Ajaokuta</t>
        </is>
      </c>
      <c r="J644" s="25" t="inlineStr">
        <is>
          <t>Kogi</t>
        </is>
      </c>
      <c r="K644" s="189" t="n">
        <v>539.5</v>
      </c>
      <c r="L644" s="223" t="n">
        <v>1079</v>
      </c>
      <c r="M644" s="220">
        <f>ROUNDDOWN(L644*0.7,)</f>
        <v/>
      </c>
      <c r="N644" s="194" t="n">
        <v>25896</v>
      </c>
      <c r="O644" s="220" t="n">
        <v>2643863</v>
      </c>
    </row>
    <row r="645">
      <c r="A645" t="inlineStr">
        <is>
          <t>AFEEZ AJIBADE/Ebenezer</t>
        </is>
      </c>
      <c r="B645">
        <f>CONCATENATE(E645,"-",F645,"-",D645)</f>
        <v/>
      </c>
      <c r="C645" s="25">
        <f>CONCATENATE(G645,"-",F645,"-",D645)</f>
        <v/>
      </c>
      <c r="D645" s="25" t="inlineStr">
        <is>
          <t>JUMBO</t>
        </is>
      </c>
      <c r="E645" s="25" t="inlineStr">
        <is>
          <t>NBL-DSL</t>
        </is>
      </c>
      <c r="F645" s="63" t="inlineStr">
        <is>
          <t>45T</t>
        </is>
      </c>
      <c r="G645" s="204" t="inlineStr">
        <is>
          <t>Lacasera</t>
        </is>
      </c>
      <c r="H645" s="204" t="inlineStr">
        <is>
          <t>Lagos</t>
        </is>
      </c>
      <c r="I645" s="25" t="inlineStr">
        <is>
          <t>Lokoja</t>
        </is>
      </c>
      <c r="J645" s="25" t="inlineStr">
        <is>
          <t>Kogi</t>
        </is>
      </c>
      <c r="K645" s="189" t="n">
        <v>548.5</v>
      </c>
      <c r="L645" s="223" t="n">
        <v>1097</v>
      </c>
      <c r="M645" s="220">
        <f>ROUNDDOWN(L645*0.7,)</f>
        <v/>
      </c>
      <c r="N645" s="194" t="n">
        <v>26328</v>
      </c>
      <c r="O645" s="220" t="n">
        <v>2599205</v>
      </c>
    </row>
    <row r="646">
      <c r="A646" t="inlineStr">
        <is>
          <t>AFEEZ AJIBADE/Ebenezer</t>
        </is>
      </c>
      <c r="B646">
        <f>CONCATENATE(E646,"-",F646,"-",D646)</f>
        <v/>
      </c>
      <c r="C646" s="25">
        <f>CONCATENATE(G646,"-",F646,"-",D646)</f>
        <v/>
      </c>
      <c r="D646" s="25" t="inlineStr">
        <is>
          <t>JUMBO</t>
        </is>
      </c>
      <c r="E646" s="25" t="inlineStr">
        <is>
          <t>NBL-DSL</t>
        </is>
      </c>
      <c r="F646" s="63" t="inlineStr">
        <is>
          <t>45T</t>
        </is>
      </c>
      <c r="G646" s="204" t="inlineStr">
        <is>
          <t>Lacasera</t>
        </is>
      </c>
      <c r="H646" s="204" t="inlineStr">
        <is>
          <t>Lagos</t>
        </is>
      </c>
      <c r="I646" s="25" t="inlineStr">
        <is>
          <t>Ayangba</t>
        </is>
      </c>
      <c r="J646" s="25" t="inlineStr">
        <is>
          <t>Kogi</t>
        </is>
      </c>
      <c r="K646" s="189" t="n">
        <v>587</v>
      </c>
      <c r="L646" s="223" t="n">
        <v>1174</v>
      </c>
      <c r="M646" s="220">
        <f>ROUNDDOWN(L646*0.7,)</f>
        <v/>
      </c>
      <c r="N646" s="194" t="n">
        <v>28176</v>
      </c>
      <c r="O646" s="220" t="n">
        <v>2611351</v>
      </c>
    </row>
    <row r="647">
      <c r="A647" t="inlineStr">
        <is>
          <t>AFEEZ AJIBADE/Ebenezer</t>
        </is>
      </c>
      <c r="B647">
        <f>CONCATENATE(E647,"-",F647,"-",D647)</f>
        <v/>
      </c>
      <c r="C647" s="25">
        <f>CONCATENATE(G647,"-",F647,"-",D647)</f>
        <v/>
      </c>
      <c r="D647" s="25" t="inlineStr">
        <is>
          <t>JUMBO</t>
        </is>
      </c>
      <c r="E647" s="25" t="inlineStr">
        <is>
          <t>NBL-DSL</t>
        </is>
      </c>
      <c r="F647" s="63" t="inlineStr">
        <is>
          <t>45T</t>
        </is>
      </c>
      <c r="G647" s="204" t="inlineStr">
        <is>
          <t>Lacasera</t>
        </is>
      </c>
      <c r="H647" s="204" t="inlineStr">
        <is>
          <t>Lagos</t>
        </is>
      </c>
      <c r="I647" s="25" t="inlineStr">
        <is>
          <t>Okene</t>
        </is>
      </c>
      <c r="J647" s="25" t="inlineStr">
        <is>
          <t>Kogi</t>
        </is>
      </c>
      <c r="K647" s="189" t="n">
        <v>475.5</v>
      </c>
      <c r="L647" s="223" t="n">
        <v>951</v>
      </c>
      <c r="M647" s="220">
        <f>ROUNDDOWN(L647*0.7,)</f>
        <v/>
      </c>
      <c r="N647" s="194" t="n">
        <v>22824</v>
      </c>
      <c r="O647" s="220" t="n">
        <v>2453579</v>
      </c>
    </row>
    <row r="648">
      <c r="A648" t="inlineStr">
        <is>
          <t>AFEEZ AJIBADE/Ebenezer</t>
        </is>
      </c>
      <c r="B648">
        <f>CONCATENATE(E648,"-",F648,"-",D648)</f>
        <v/>
      </c>
      <c r="C648" s="25">
        <f>CONCATENATE(G648,"-",F648,"-",D648)</f>
        <v/>
      </c>
      <c r="D648" s="25" t="inlineStr">
        <is>
          <t>JUMBO</t>
        </is>
      </c>
      <c r="E648" s="25" t="inlineStr">
        <is>
          <t>NBL-DSL</t>
        </is>
      </c>
      <c r="F648" s="63" t="inlineStr">
        <is>
          <t>45T</t>
        </is>
      </c>
      <c r="G648" s="204" t="inlineStr">
        <is>
          <t>Lacasera</t>
        </is>
      </c>
      <c r="H648" s="204" t="inlineStr">
        <is>
          <t>Lagos</t>
        </is>
      </c>
      <c r="I648" s="25" t="inlineStr">
        <is>
          <t>Akwanga</t>
        </is>
      </c>
      <c r="J648" s="25" t="inlineStr">
        <is>
          <t>Nasarawa</t>
        </is>
      </c>
      <c r="K648" s="189" t="n">
        <v>904</v>
      </c>
      <c r="L648" s="223" t="n">
        <v>1808</v>
      </c>
      <c r="M648" s="220">
        <f>ROUNDDOWN(L648*0.7,)</f>
        <v/>
      </c>
      <c r="N648" s="194" t="n">
        <v>43392</v>
      </c>
      <c r="O648" s="220" t="n">
        <v>3592478</v>
      </c>
    </row>
    <row r="649">
      <c r="A649" t="inlineStr">
        <is>
          <t>AFEEZ AJIBADE/Ebenezer</t>
        </is>
      </c>
      <c r="B649">
        <f>CONCATENATE(E649,"-",F649,"-",D649)</f>
        <v/>
      </c>
      <c r="C649" s="25">
        <f>CONCATENATE(G649,"-",F649,"-",D649)</f>
        <v/>
      </c>
      <c r="D649" s="25" t="inlineStr">
        <is>
          <t>JUMBO</t>
        </is>
      </c>
      <c r="E649" s="25" t="inlineStr">
        <is>
          <t>NBL-DSL</t>
        </is>
      </c>
      <c r="F649" s="63" t="inlineStr">
        <is>
          <t>45T</t>
        </is>
      </c>
      <c r="G649" s="204" t="inlineStr">
        <is>
          <t>Lacasera</t>
        </is>
      </c>
      <c r="H649" s="204" t="inlineStr">
        <is>
          <t>Lagos</t>
        </is>
      </c>
      <c r="I649" s="25" t="inlineStr">
        <is>
          <t>Keffi</t>
        </is>
      </c>
      <c r="J649" s="25" t="inlineStr">
        <is>
          <t>Nasarawa</t>
        </is>
      </c>
      <c r="K649" s="189" t="n">
        <v>840</v>
      </c>
      <c r="L649" s="223" t="n">
        <v>1680</v>
      </c>
      <c r="M649" s="220">
        <f>ROUNDDOWN(L649*0.7,)</f>
        <v/>
      </c>
      <c r="N649" s="194" t="n">
        <v>40320</v>
      </c>
      <c r="O649" s="220" t="n">
        <v>3333587</v>
      </c>
    </row>
    <row r="650">
      <c r="A650" t="inlineStr">
        <is>
          <t>AFEEZ AJIBADE/Ebenezer</t>
        </is>
      </c>
      <c r="B650">
        <f>CONCATENATE(E650,"-",F650,"-",D650)</f>
        <v/>
      </c>
      <c r="C650" s="25">
        <f>CONCATENATE(G650,"-",F650,"-",D650)</f>
        <v/>
      </c>
      <c r="D650" s="25" t="inlineStr">
        <is>
          <t>JUMBO</t>
        </is>
      </c>
      <c r="E650" s="25" t="inlineStr">
        <is>
          <t>NBL-DSL</t>
        </is>
      </c>
      <c r="F650" s="63" t="inlineStr">
        <is>
          <t>45T</t>
        </is>
      </c>
      <c r="G650" s="204" t="inlineStr">
        <is>
          <t>Lacasera</t>
        </is>
      </c>
      <c r="H650" s="204" t="inlineStr">
        <is>
          <t>Lagos</t>
        </is>
      </c>
      <c r="I650" s="25" t="inlineStr">
        <is>
          <t>Lafia</t>
        </is>
      </c>
      <c r="J650" s="25" t="inlineStr">
        <is>
          <t>Nasarawa</t>
        </is>
      </c>
      <c r="K650" s="189" t="n">
        <v>907.5</v>
      </c>
      <c r="L650" s="223" t="n">
        <v>1815</v>
      </c>
      <c r="M650" s="220">
        <f>ROUNDDOWN(L650*0.7,)</f>
        <v/>
      </c>
      <c r="N650" s="194" t="n">
        <v>43560</v>
      </c>
      <c r="O650" s="220" t="n">
        <v>3684781</v>
      </c>
    </row>
    <row r="651">
      <c r="A651" t="inlineStr">
        <is>
          <t>AFEEZ AJIBADE/Ebenezer</t>
        </is>
      </c>
      <c r="B651">
        <f>CONCATENATE(E651,"-",F651,"-",D651)</f>
        <v/>
      </c>
      <c r="C651" s="25">
        <f>CONCATENATE(G651,"-",F651,"-",D651)</f>
        <v/>
      </c>
      <c r="D651" s="25" t="inlineStr">
        <is>
          <t>JUMBO</t>
        </is>
      </c>
      <c r="E651" s="25" t="inlineStr">
        <is>
          <t>NBL-DSL</t>
        </is>
      </c>
      <c r="F651" s="63" t="inlineStr">
        <is>
          <t>45T</t>
        </is>
      </c>
      <c r="G651" s="204" t="inlineStr">
        <is>
          <t>Lacasera</t>
        </is>
      </c>
      <c r="H651" s="204" t="inlineStr">
        <is>
          <t>Lagos</t>
        </is>
      </c>
      <c r="I651" s="25" t="inlineStr">
        <is>
          <t>Kontagora</t>
        </is>
      </c>
      <c r="J651" s="25" t="inlineStr">
        <is>
          <t>Niger</t>
        </is>
      </c>
      <c r="K651" s="189" t="n">
        <v>584.5</v>
      </c>
      <c r="L651" s="223" t="n">
        <v>1169</v>
      </c>
      <c r="M651" s="220">
        <f>ROUNDDOWN(L651*0.7,)</f>
        <v/>
      </c>
      <c r="N651" s="194" t="n">
        <v>28056</v>
      </c>
      <c r="O651" s="220" t="n">
        <v>3128754</v>
      </c>
    </row>
    <row r="652">
      <c r="A652" t="inlineStr">
        <is>
          <t>AFEEZ AJIBADE/Ebenezer</t>
        </is>
      </c>
      <c r="B652">
        <f>CONCATENATE(E652,"-",F652,"-",D652)</f>
        <v/>
      </c>
      <c r="C652" s="25">
        <f>CONCATENATE(G652,"-",F652,"-",D652)</f>
        <v/>
      </c>
      <c r="D652" s="25" t="inlineStr">
        <is>
          <t>JUMBO</t>
        </is>
      </c>
      <c r="E652" s="25" t="inlineStr">
        <is>
          <t>NBL-DSL</t>
        </is>
      </c>
      <c r="F652" s="63" t="inlineStr">
        <is>
          <t>45T</t>
        </is>
      </c>
      <c r="G652" s="204" t="inlineStr">
        <is>
          <t>Lacasera</t>
        </is>
      </c>
      <c r="H652" s="204" t="inlineStr">
        <is>
          <t>Lagos</t>
        </is>
      </c>
      <c r="I652" s="25" t="inlineStr">
        <is>
          <t>Minna</t>
        </is>
      </c>
      <c r="J652" s="25" t="inlineStr">
        <is>
          <t>Niger</t>
        </is>
      </c>
      <c r="K652" s="189" t="n">
        <v>626.5</v>
      </c>
      <c r="L652" s="223" t="n">
        <v>1253</v>
      </c>
      <c r="M652" s="220">
        <f>ROUNDDOWN(L652*0.7,)</f>
        <v/>
      </c>
      <c r="N652" s="194" t="n">
        <v>30072</v>
      </c>
      <c r="O652" s="220" t="n">
        <v>3091244</v>
      </c>
    </row>
    <row r="653">
      <c r="A653" t="inlineStr">
        <is>
          <t>AFEEZ AJIBADE/Ebenezer</t>
        </is>
      </c>
      <c r="B653">
        <f>CONCATENATE(E653,"-",F653,"-",D653)</f>
        <v/>
      </c>
      <c r="C653" s="25">
        <f>CONCATENATE(G653,"-",F653,"-",D653)</f>
        <v/>
      </c>
      <c r="D653" s="25" t="inlineStr">
        <is>
          <t>JUMBO</t>
        </is>
      </c>
      <c r="E653" s="25" t="inlineStr">
        <is>
          <t>NBL-DSL</t>
        </is>
      </c>
      <c r="F653" s="63" t="inlineStr">
        <is>
          <t>45T</t>
        </is>
      </c>
      <c r="G653" s="204" t="inlineStr">
        <is>
          <t>Lacasera</t>
        </is>
      </c>
      <c r="H653" s="204" t="inlineStr">
        <is>
          <t>Lagos</t>
        </is>
      </c>
      <c r="I653" s="25" t="inlineStr">
        <is>
          <t>Jos</t>
        </is>
      </c>
      <c r="J653" s="25" t="inlineStr">
        <is>
          <t>Plateau</t>
        </is>
      </c>
      <c r="K653" s="189" t="n">
        <v>1025</v>
      </c>
      <c r="L653" s="223" t="n">
        <v>2050</v>
      </c>
      <c r="M653" s="220">
        <f>ROUNDDOWN(L653*0.7,)</f>
        <v/>
      </c>
      <c r="N653" s="194" t="n">
        <v>49200</v>
      </c>
      <c r="O653" s="220" t="n">
        <v>3498710</v>
      </c>
    </row>
    <row r="654">
      <c r="A654" t="inlineStr">
        <is>
          <t>AFEEZ AJIBADE/Ebenezer</t>
        </is>
      </c>
      <c r="B654">
        <f>CONCATENATE(E654,"-",F654,"-",D654)</f>
        <v/>
      </c>
      <c r="C654" s="25">
        <f>CONCATENATE(G654,"-",F654,"-",D654)</f>
        <v/>
      </c>
      <c r="D654" s="25" t="inlineStr">
        <is>
          <t>JUMBO</t>
        </is>
      </c>
      <c r="E654" s="25" t="inlineStr">
        <is>
          <t>NBL-DSL</t>
        </is>
      </c>
      <c r="F654" s="63" t="inlineStr">
        <is>
          <t>45T</t>
        </is>
      </c>
      <c r="G654" s="204" t="inlineStr">
        <is>
          <t>Lacasera</t>
        </is>
      </c>
      <c r="H654" s="204" t="inlineStr">
        <is>
          <t>Lagos</t>
        </is>
      </c>
      <c r="I654" s="25" t="inlineStr">
        <is>
          <t>Shendam</t>
        </is>
      </c>
      <c r="J654" s="25" t="inlineStr">
        <is>
          <t>Plateau</t>
        </is>
      </c>
      <c r="K654" s="189" t="n">
        <v>1033</v>
      </c>
      <c r="L654" s="223" t="n">
        <v>2066</v>
      </c>
      <c r="M654" s="220">
        <f>ROUNDDOWN(L654*0.7,)</f>
        <v/>
      </c>
      <c r="N654" s="194" t="n">
        <v>49584</v>
      </c>
      <c r="O654" s="220" t="n">
        <v>4052524</v>
      </c>
    </row>
    <row r="655">
      <c r="A655" t="inlineStr">
        <is>
          <t>AFEEZ AJIBADE/Ebenezer</t>
        </is>
      </c>
      <c r="B655">
        <f>CONCATENATE(E655,"-",F655,"-",D655)</f>
        <v/>
      </c>
      <c r="C655" s="25">
        <f>CONCATENATE(G655,"-",F655,"-",D655)</f>
        <v/>
      </c>
      <c r="D655" s="25" t="inlineStr">
        <is>
          <t>JUMBO</t>
        </is>
      </c>
      <c r="E655" s="25" t="inlineStr">
        <is>
          <t>NBL-DSL</t>
        </is>
      </c>
      <c r="F655" s="63" t="inlineStr">
        <is>
          <t>45T</t>
        </is>
      </c>
      <c r="G655" s="204" t="inlineStr">
        <is>
          <t>Lacasera</t>
        </is>
      </c>
      <c r="H655" s="204" t="inlineStr">
        <is>
          <t>Lagos</t>
        </is>
      </c>
      <c r="I655" s="25" t="inlineStr">
        <is>
          <t>Sokoto</t>
        </is>
      </c>
      <c r="J655" s="25" t="inlineStr">
        <is>
          <t>Sokoto</t>
        </is>
      </c>
      <c r="K655" s="189" t="n">
        <v>991.5</v>
      </c>
      <c r="L655" s="223" t="n">
        <v>1983</v>
      </c>
      <c r="M655" s="220">
        <f>ROUNDDOWN(L655*0.7,)</f>
        <v/>
      </c>
      <c r="N655" s="194" t="n">
        <v>47592</v>
      </c>
      <c r="O655" s="220" t="n">
        <v>4204707</v>
      </c>
    </row>
    <row r="656">
      <c r="A656" t="inlineStr">
        <is>
          <t>AFEEZ AJIBADE/Ebenezer</t>
        </is>
      </c>
      <c r="B656">
        <f>CONCATENATE(E656,"-",F656,"-",D656)</f>
        <v/>
      </c>
      <c r="C656" s="25">
        <f>CONCATENATE(G656,"-",F656,"-",D656)</f>
        <v/>
      </c>
      <c r="D656" s="25" t="inlineStr">
        <is>
          <t>JUMBO</t>
        </is>
      </c>
      <c r="E656" s="25" t="inlineStr">
        <is>
          <t>NBL-DSL</t>
        </is>
      </c>
      <c r="F656" s="63" t="inlineStr">
        <is>
          <t>45T</t>
        </is>
      </c>
      <c r="G656" s="204" t="inlineStr">
        <is>
          <t>Lacasera</t>
        </is>
      </c>
      <c r="H656" s="204" t="inlineStr">
        <is>
          <t>Lagos</t>
        </is>
      </c>
      <c r="I656" s="25" t="inlineStr">
        <is>
          <t>Birnin Kebbi</t>
        </is>
      </c>
      <c r="J656" s="25" t="inlineStr">
        <is>
          <t>Kebbi</t>
        </is>
      </c>
      <c r="K656" s="189" t="n">
        <v>885</v>
      </c>
      <c r="L656" s="223" t="n">
        <v>1770</v>
      </c>
      <c r="M656" s="220">
        <f>ROUNDDOWN(L656*0.7,)</f>
        <v/>
      </c>
      <c r="N656" s="194" t="n">
        <v>42480</v>
      </c>
      <c r="O656" s="220" t="n">
        <v>3863703</v>
      </c>
    </row>
    <row r="657">
      <c r="A657" t="inlineStr">
        <is>
          <t>AFEEZ AJIBADE/Ebenezer</t>
        </is>
      </c>
      <c r="B657">
        <f>CONCATENATE(E657,"-",F657,"-",D657)</f>
        <v/>
      </c>
      <c r="C657" s="25">
        <f>CONCATENATE(G657,"-",F657,"-",D657)</f>
        <v/>
      </c>
      <c r="D657" s="25" t="inlineStr">
        <is>
          <t>JUMBO</t>
        </is>
      </c>
      <c r="E657" s="25" t="inlineStr">
        <is>
          <t>NBL-DSL</t>
        </is>
      </c>
      <c r="F657" s="63" t="inlineStr">
        <is>
          <t>45T</t>
        </is>
      </c>
      <c r="G657" s="204" t="inlineStr">
        <is>
          <t>Lacasera</t>
        </is>
      </c>
      <c r="H657" s="204" t="inlineStr">
        <is>
          <t>Lagos</t>
        </is>
      </c>
      <c r="I657" s="25" t="inlineStr">
        <is>
          <t>Illela</t>
        </is>
      </c>
      <c r="J657" s="25" t="inlineStr">
        <is>
          <t>Sokoto</t>
        </is>
      </c>
      <c r="K657" s="189" t="n">
        <v>995</v>
      </c>
      <c r="L657" s="223" t="n">
        <v>1990</v>
      </c>
      <c r="M657" s="220">
        <f>ROUNDDOWN(L657*0.7,)</f>
        <v/>
      </c>
      <c r="N657" s="194" t="n">
        <v>47760</v>
      </c>
      <c r="O657" s="220" t="n">
        <v>4257120</v>
      </c>
    </row>
    <row r="658">
      <c r="A658" t="inlineStr">
        <is>
          <t>AFEEZ AJIBADE/Ebenezer</t>
        </is>
      </c>
      <c r="B658">
        <f>CONCATENATE(E658,"-",F658,"-",D658)</f>
        <v/>
      </c>
      <c r="C658" s="25">
        <f>CONCATENATE(G658,"-",F658,"-",D658)</f>
        <v/>
      </c>
      <c r="D658" s="25" t="inlineStr">
        <is>
          <t>JUMBO</t>
        </is>
      </c>
      <c r="E658" s="25" t="inlineStr">
        <is>
          <t>NBL-DSL</t>
        </is>
      </c>
      <c r="F658" s="63" t="inlineStr">
        <is>
          <t>45T</t>
        </is>
      </c>
      <c r="G658" s="204" t="inlineStr">
        <is>
          <t>Lacasera</t>
        </is>
      </c>
      <c r="H658" s="204" t="inlineStr">
        <is>
          <t>Lagos</t>
        </is>
      </c>
      <c r="I658" s="25" t="inlineStr">
        <is>
          <t>Jalingo</t>
        </is>
      </c>
      <c r="J658" s="25" t="inlineStr">
        <is>
          <t>Taraba</t>
        </is>
      </c>
      <c r="K658" s="189" t="n">
        <v>1169</v>
      </c>
      <c r="L658" s="223" t="n">
        <v>2338</v>
      </c>
      <c r="M658" s="220">
        <f>ROUNDDOWN(L658*0.7,)</f>
        <v/>
      </c>
      <c r="N658" s="194" t="n">
        <v>56112</v>
      </c>
      <c r="O658" s="220" t="n">
        <v>4691569</v>
      </c>
    </row>
    <row r="659">
      <c r="A659" t="inlineStr">
        <is>
          <t>AFEEZ AJIBADE/Ebenezer</t>
        </is>
      </c>
      <c r="B659">
        <f>CONCATENATE(E659,"-",F659,"-",D659)</f>
        <v/>
      </c>
      <c r="C659" s="25">
        <f>CONCATENATE(G659,"-",F659,"-",D659)</f>
        <v/>
      </c>
      <c r="D659" s="25" t="inlineStr">
        <is>
          <t>JUMBO</t>
        </is>
      </c>
      <c r="E659" s="25" t="inlineStr">
        <is>
          <t>NBL-DSL</t>
        </is>
      </c>
      <c r="F659" s="63" t="inlineStr">
        <is>
          <t>45T</t>
        </is>
      </c>
      <c r="G659" s="204" t="inlineStr">
        <is>
          <t>Lacasera</t>
        </is>
      </c>
      <c r="H659" s="204" t="inlineStr">
        <is>
          <t>Lagos</t>
        </is>
      </c>
      <c r="I659" s="25" t="inlineStr">
        <is>
          <t>Wukari</t>
        </is>
      </c>
      <c r="J659" s="25" t="inlineStr">
        <is>
          <t>Taraba</t>
        </is>
      </c>
      <c r="K659" s="189" t="n">
        <v>948.5</v>
      </c>
      <c r="L659" s="223" t="n">
        <v>1897</v>
      </c>
      <c r="M659" s="220">
        <f>ROUNDDOWN(L659*0.7,)</f>
        <v/>
      </c>
      <c r="N659" s="194" t="n">
        <v>45528</v>
      </c>
      <c r="O659" s="220" t="n">
        <v>4132533</v>
      </c>
    </row>
    <row r="660">
      <c r="A660" t="inlineStr">
        <is>
          <t>AFEEZ AJIBADE/Ebenezer</t>
        </is>
      </c>
      <c r="B660">
        <f>CONCATENATE(E660,"-",F660,"-",D660)</f>
        <v/>
      </c>
      <c r="C660" s="25">
        <f>CONCATENATE(G660,"-",F660,"-",D660)</f>
        <v/>
      </c>
      <c r="D660" s="25" t="inlineStr">
        <is>
          <t>JUMBO</t>
        </is>
      </c>
      <c r="E660" s="25" t="inlineStr">
        <is>
          <t>NBL-DSL</t>
        </is>
      </c>
      <c r="F660" s="63" t="inlineStr">
        <is>
          <t>45T</t>
        </is>
      </c>
      <c r="G660" s="204" t="inlineStr">
        <is>
          <t>Lacasera</t>
        </is>
      </c>
      <c r="H660" s="204" t="inlineStr">
        <is>
          <t>Lagos</t>
        </is>
      </c>
      <c r="I660" s="25" t="inlineStr">
        <is>
          <t>Gusau</t>
        </is>
      </c>
      <c r="J660" s="25" t="inlineStr">
        <is>
          <t>Zamfara</t>
        </is>
      </c>
      <c r="K660" s="189" t="n">
        <v>880.5</v>
      </c>
      <c r="L660" s="223" t="n">
        <v>1761</v>
      </c>
      <c r="M660" s="220">
        <f>ROUNDDOWN(L660*0.7,)</f>
        <v/>
      </c>
      <c r="N660" s="194" t="n">
        <v>42264</v>
      </c>
      <c r="O660" s="220" t="n">
        <v>4109146</v>
      </c>
    </row>
    <row r="661">
      <c r="A661" t="inlineStr">
        <is>
          <t>AFEEZ AJIBADE/Ebenezer</t>
        </is>
      </c>
      <c r="B661">
        <f>CONCATENATE(E661,"-",F661,"-",D661)</f>
        <v/>
      </c>
      <c r="C661" s="25">
        <f>CONCATENATE(G661,"-",F661,"-",D661)</f>
        <v/>
      </c>
      <c r="D661" s="25" t="inlineStr">
        <is>
          <t>JUMBO</t>
        </is>
      </c>
      <c r="E661" s="25" t="inlineStr">
        <is>
          <t>NBL-DSL</t>
        </is>
      </c>
      <c r="F661" s="63" t="inlineStr">
        <is>
          <t>45T</t>
        </is>
      </c>
      <c r="G661" s="204" t="inlineStr">
        <is>
          <t>Lacasera</t>
        </is>
      </c>
      <c r="H661" s="204" t="inlineStr">
        <is>
          <t>Lagos</t>
        </is>
      </c>
      <c r="I661" s="25" t="inlineStr">
        <is>
          <t>Yola</t>
        </is>
      </c>
      <c r="J661" s="25" t="inlineStr">
        <is>
          <t>Adamawa</t>
        </is>
      </c>
      <c r="K661" s="189" t="n">
        <v>1332.5</v>
      </c>
      <c r="L661" s="223" t="n">
        <v>2665</v>
      </c>
      <c r="M661" s="220">
        <f>ROUNDDOWN(L661*0.7,)</f>
        <v/>
      </c>
      <c r="N661" s="194" t="n">
        <v>63960</v>
      </c>
      <c r="O661" s="220" t="n">
        <v>4860188</v>
      </c>
    </row>
    <row r="662">
      <c r="A662" t="inlineStr">
        <is>
          <t>AFEEZ AJIBADE/Ebenezer</t>
        </is>
      </c>
      <c r="B662">
        <f>CONCATENATE(E662,"-",F662,"-",D662)</f>
        <v/>
      </c>
      <c r="C662" s="25">
        <f>CONCATENATE(G662,"-",F662,"-",D662)</f>
        <v/>
      </c>
      <c r="D662" s="25" t="inlineStr">
        <is>
          <t>JUMBO</t>
        </is>
      </c>
      <c r="E662" s="25" t="inlineStr">
        <is>
          <t>NBL-DSL</t>
        </is>
      </c>
      <c r="F662" s="63" t="inlineStr">
        <is>
          <t>45T</t>
        </is>
      </c>
      <c r="G662" s="204" t="inlineStr">
        <is>
          <t>Lacasera</t>
        </is>
      </c>
      <c r="H662" s="204" t="inlineStr">
        <is>
          <t>Lagos</t>
        </is>
      </c>
      <c r="I662" s="25" t="inlineStr">
        <is>
          <t>Mubi</t>
        </is>
      </c>
      <c r="J662" s="25" t="inlineStr">
        <is>
          <t>Adamawa</t>
        </is>
      </c>
      <c r="K662" s="189" t="n">
        <v>1508</v>
      </c>
      <c r="L662" s="223" t="n">
        <v>3016</v>
      </c>
      <c r="M662" s="220">
        <f>ROUNDDOWN(L662*0.7,)</f>
        <v/>
      </c>
      <c r="N662" s="194" t="n">
        <v>72384</v>
      </c>
      <c r="O662" s="220" t="n">
        <v>4959375</v>
      </c>
    </row>
    <row r="663">
      <c r="A663" t="inlineStr">
        <is>
          <t>AFEEZ AJIBADE/Ebenezer</t>
        </is>
      </c>
      <c r="B663">
        <f>CONCATENATE(E663,"-",F663,"-",D663)</f>
        <v/>
      </c>
      <c r="C663" s="25">
        <f>CONCATENATE(G663,"-",F663,"-",D663)</f>
        <v/>
      </c>
      <c r="D663" s="25" t="inlineStr">
        <is>
          <t>JUMBO</t>
        </is>
      </c>
      <c r="E663" s="25" t="inlineStr">
        <is>
          <t>NBL-DSL</t>
        </is>
      </c>
      <c r="F663" s="63" t="inlineStr">
        <is>
          <t>45T</t>
        </is>
      </c>
      <c r="G663" s="204" t="inlineStr">
        <is>
          <t>Lacasera</t>
        </is>
      </c>
      <c r="H663" s="204" t="inlineStr">
        <is>
          <t>Lagos</t>
        </is>
      </c>
      <c r="I663" s="25" t="inlineStr">
        <is>
          <t>Madagali</t>
        </is>
      </c>
      <c r="J663" s="25" t="inlineStr">
        <is>
          <t>Adamawa</t>
        </is>
      </c>
      <c r="K663" s="189" t="n">
        <v>1711.5</v>
      </c>
      <c r="L663" s="223" t="n">
        <v>3423</v>
      </c>
      <c r="M663" s="220">
        <f>ROUNDDOWN(L663*0.7,)</f>
        <v/>
      </c>
      <c r="N663" s="194" t="n">
        <v>82152</v>
      </c>
      <c r="O663" s="220" t="n">
        <v>4959375</v>
      </c>
    </row>
    <row r="664">
      <c r="A664" t="inlineStr">
        <is>
          <t>AFEEZ AJIBADE/Ebenezer</t>
        </is>
      </c>
      <c r="B664">
        <f>CONCATENATE(E664,"-",F664,"-",D664)</f>
        <v/>
      </c>
      <c r="C664" s="25">
        <f>CONCATENATE(G664,"-",F664,"-",D664)</f>
        <v/>
      </c>
      <c r="D664" s="25" t="inlineStr">
        <is>
          <t>JUMBO</t>
        </is>
      </c>
      <c r="E664" s="25" t="inlineStr">
        <is>
          <t>NBL-DSL</t>
        </is>
      </c>
      <c r="F664" s="63" t="inlineStr">
        <is>
          <t>45T</t>
        </is>
      </c>
      <c r="G664" s="204" t="inlineStr">
        <is>
          <t>Lacasera</t>
        </is>
      </c>
      <c r="H664" s="204" t="inlineStr">
        <is>
          <t>Lagos</t>
        </is>
      </c>
      <c r="I664" s="25" t="inlineStr">
        <is>
          <t>Bida</t>
        </is>
      </c>
      <c r="J664" s="25" t="inlineStr">
        <is>
          <t>Niger</t>
        </is>
      </c>
      <c r="K664" s="189" t="n">
        <v>541.5</v>
      </c>
      <c r="L664" s="223" t="n">
        <v>1083</v>
      </c>
      <c r="M664" s="220">
        <f>ROUNDDOWN(L664*0.7,)</f>
        <v/>
      </c>
      <c r="N664" s="194" t="n">
        <v>25992</v>
      </c>
      <c r="O664" s="220" t="n">
        <v>3001708</v>
      </c>
    </row>
    <row r="665">
      <c r="A665" t="inlineStr">
        <is>
          <t>AFEEZ AJIBADE/Ebenezer</t>
        </is>
      </c>
      <c r="B665">
        <f>CONCATENATE(E665,"-",F665,"-",D665)</f>
        <v/>
      </c>
      <c r="C665" s="25">
        <f>CONCATENATE(G665,"-",F665,"-",D665)</f>
        <v/>
      </c>
      <c r="D665" s="25" t="inlineStr">
        <is>
          <t>JUMBO</t>
        </is>
      </c>
      <c r="E665" s="25" t="inlineStr">
        <is>
          <t>NBL-DSL</t>
        </is>
      </c>
      <c r="F665" s="63" t="inlineStr">
        <is>
          <t>45T</t>
        </is>
      </c>
      <c r="G665" s="204" t="inlineStr">
        <is>
          <t>Lacasera</t>
        </is>
      </c>
      <c r="H665" s="204" t="inlineStr">
        <is>
          <t>Lagos</t>
        </is>
      </c>
      <c r="I665" s="25" t="inlineStr">
        <is>
          <t>Katsina</t>
        </is>
      </c>
      <c r="J665" s="25" t="inlineStr">
        <is>
          <t>Katsina</t>
        </is>
      </c>
      <c r="K665" s="189" t="n">
        <v>956</v>
      </c>
      <c r="L665" s="223" t="n">
        <v>1912</v>
      </c>
      <c r="M665" s="220">
        <f>ROUNDDOWN(L665*0.7,)</f>
        <v/>
      </c>
      <c r="N665" s="194" t="n">
        <v>45888</v>
      </c>
      <c r="O665" s="220" t="n">
        <v>3858651</v>
      </c>
    </row>
    <row r="666">
      <c r="A666" t="inlineStr">
        <is>
          <t>AFEEZ AJIBADE/Ebenezer</t>
        </is>
      </c>
      <c r="B666">
        <f>CONCATENATE(E666,"-",F666,"-",D666)</f>
        <v/>
      </c>
      <c r="C666" s="25">
        <f>CONCATENATE(G666,"-",F666,"-",D666)</f>
        <v/>
      </c>
      <c r="D666" s="25" t="inlineStr">
        <is>
          <t>JUMBO</t>
        </is>
      </c>
      <c r="E666" s="25" t="inlineStr">
        <is>
          <t>NBL-DSL</t>
        </is>
      </c>
      <c r="F666" s="63" t="inlineStr">
        <is>
          <t>45T</t>
        </is>
      </c>
      <c r="G666" s="204" t="inlineStr">
        <is>
          <t>Lacasera</t>
        </is>
      </c>
      <c r="H666" s="204" t="inlineStr">
        <is>
          <t>Lagos</t>
        </is>
      </c>
      <c r="I666" s="25" t="inlineStr">
        <is>
          <t>Jebba</t>
        </is>
      </c>
      <c r="J666" s="25" t="inlineStr">
        <is>
          <t>Kwara</t>
        </is>
      </c>
      <c r="K666" s="189" t="n">
        <v>374</v>
      </c>
      <c r="L666" s="223" t="n">
        <v>748</v>
      </c>
      <c r="M666" s="220">
        <f>ROUNDDOWN(L666*0.7,)</f>
        <v/>
      </c>
      <c r="N666" s="194" t="n">
        <v>17952</v>
      </c>
      <c r="O666" s="220" t="n">
        <v>1538365</v>
      </c>
    </row>
    <row r="667">
      <c r="A667" t="inlineStr">
        <is>
          <t>AFEEZ AJIBADE/Ebenezer</t>
        </is>
      </c>
      <c r="B667">
        <f>CONCATENATE(E667,"-",F667,"-",D667)</f>
        <v/>
      </c>
      <c r="C667" s="25">
        <f>CONCATENATE(G667,"-",F667,"-",D667)</f>
        <v/>
      </c>
      <c r="D667" s="25" t="inlineStr">
        <is>
          <t>JUMBO</t>
        </is>
      </c>
      <c r="E667" s="25" t="inlineStr">
        <is>
          <t>NBL-DSL</t>
        </is>
      </c>
      <c r="F667" s="63" t="inlineStr">
        <is>
          <t>45T</t>
        </is>
      </c>
      <c r="G667" s="204" t="inlineStr">
        <is>
          <t>Lacasera</t>
        </is>
      </c>
      <c r="H667" s="204" t="inlineStr">
        <is>
          <t>Lagos</t>
        </is>
      </c>
      <c r="I667" s="25" t="inlineStr">
        <is>
          <t>Ilorin</t>
        </is>
      </c>
      <c r="J667" s="25" t="inlineStr">
        <is>
          <t>Kwara</t>
        </is>
      </c>
      <c r="K667" s="189" t="n">
        <v>305</v>
      </c>
      <c r="L667" s="223" t="n">
        <v>610</v>
      </c>
      <c r="M667" s="220">
        <f>ROUNDDOWN(L667*0.7,)</f>
        <v/>
      </c>
      <c r="N667" s="194" t="n">
        <v>14640</v>
      </c>
      <c r="O667" s="220" t="n">
        <v>1349764</v>
      </c>
    </row>
    <row r="668">
      <c r="A668" t="inlineStr">
        <is>
          <t>AFEEZ AJIBADE/Ebenezer</t>
        </is>
      </c>
      <c r="B668">
        <f>CONCATENATE(E668,"-",F668,"-",D668)</f>
        <v/>
      </c>
      <c r="C668" s="25">
        <f>CONCATENATE(G668,"-",F668,"-",D668)</f>
        <v/>
      </c>
      <c r="D668" s="25" t="inlineStr">
        <is>
          <t>JUMBO</t>
        </is>
      </c>
      <c r="E668" s="25" t="inlineStr">
        <is>
          <t>NBL-DSL</t>
        </is>
      </c>
      <c r="F668" s="63" t="inlineStr">
        <is>
          <t>45T</t>
        </is>
      </c>
      <c r="G668" s="204" t="inlineStr">
        <is>
          <t>Lacasera</t>
        </is>
      </c>
      <c r="H668" s="204" t="inlineStr">
        <is>
          <t>Lagos</t>
        </is>
      </c>
      <c r="I668" s="25" t="inlineStr">
        <is>
          <t>Offa</t>
        </is>
      </c>
      <c r="J668" s="25" t="inlineStr">
        <is>
          <t>Kwara</t>
        </is>
      </c>
      <c r="K668" s="189" t="n">
        <v>278.5</v>
      </c>
      <c r="L668" s="223" t="n">
        <v>557</v>
      </c>
      <c r="M668" s="220">
        <f>ROUNDDOWN(L668*0.7,)</f>
        <v/>
      </c>
      <c r="N668" s="194" t="n">
        <v>13368</v>
      </c>
      <c r="O668" s="220" t="n">
        <v>1349764</v>
      </c>
    </row>
    <row r="669">
      <c r="A669" t="inlineStr">
        <is>
          <t>AFEEZ AJIBADE/Ebenezer</t>
        </is>
      </c>
      <c r="B669">
        <f>CONCATENATE(E669,"-",F669,"-",D669)</f>
        <v/>
      </c>
      <c r="C669" s="25">
        <f>CONCATENATE(G669,"-",F669,"-",D669)</f>
        <v/>
      </c>
      <c r="D669" s="25" t="inlineStr">
        <is>
          <t>JUMBO</t>
        </is>
      </c>
      <c r="E669" s="25" t="inlineStr">
        <is>
          <t>NBL-DSL</t>
        </is>
      </c>
      <c r="F669" s="63" t="inlineStr">
        <is>
          <t>45T</t>
        </is>
      </c>
      <c r="G669" s="204" t="inlineStr">
        <is>
          <t>Lacasera</t>
        </is>
      </c>
      <c r="H669" s="204" t="inlineStr">
        <is>
          <t>Lagos</t>
        </is>
      </c>
      <c r="I669" s="25" t="inlineStr">
        <is>
          <t>Akure</t>
        </is>
      </c>
      <c r="J669" s="25" t="inlineStr">
        <is>
          <t>Ondo</t>
        </is>
      </c>
      <c r="K669" s="189" t="n">
        <v>301.5</v>
      </c>
      <c r="L669" s="223" t="n">
        <v>603</v>
      </c>
      <c r="M669" s="220">
        <f>ROUNDDOWN(L669*0.7,)</f>
        <v/>
      </c>
      <c r="N669" s="194" t="n">
        <v>14472</v>
      </c>
      <c r="O669" s="220" t="n">
        <v>1429990</v>
      </c>
    </row>
    <row r="670">
      <c r="A670" t="inlineStr">
        <is>
          <t>AFEEZ AJIBADE/Ebenezer</t>
        </is>
      </c>
      <c r="B670">
        <f>CONCATENATE(E670,"-",F670,"-",D670)</f>
        <v/>
      </c>
      <c r="C670" s="25">
        <f>CONCATENATE(G670,"-",F670,"-",D670)</f>
        <v/>
      </c>
      <c r="D670" s="25" t="inlineStr">
        <is>
          <t>JUMBO</t>
        </is>
      </c>
      <c r="E670" s="25" t="inlineStr">
        <is>
          <t>NBL-DSL</t>
        </is>
      </c>
      <c r="F670" s="63" t="inlineStr">
        <is>
          <t>45T</t>
        </is>
      </c>
      <c r="G670" s="204" t="inlineStr">
        <is>
          <t>Lacasera</t>
        </is>
      </c>
      <c r="H670" s="204" t="inlineStr">
        <is>
          <t>Lagos</t>
        </is>
      </c>
      <c r="I670" s="25" t="inlineStr">
        <is>
          <t>Ibadan</t>
        </is>
      </c>
      <c r="J670" s="25" t="inlineStr">
        <is>
          <t>Oyo</t>
        </is>
      </c>
      <c r="K670" s="189" t="n">
        <v>135</v>
      </c>
      <c r="L670" s="223" t="n">
        <v>270</v>
      </c>
      <c r="M670" s="220">
        <f>ROUNDDOWN(L670*0.7,)</f>
        <v/>
      </c>
      <c r="N670" s="194" t="n">
        <v>6480</v>
      </c>
      <c r="O670" s="220" t="n">
        <v>879460</v>
      </c>
    </row>
    <row r="671">
      <c r="A671" t="inlineStr">
        <is>
          <t>AFEEZ AJIBADE/Ebenezer</t>
        </is>
      </c>
      <c r="B671">
        <f>CONCATENATE(E671,"-",F671,"-",D671)</f>
        <v/>
      </c>
      <c r="C671" s="25">
        <f>CONCATENATE(G671,"-",F671,"-",D671)</f>
        <v/>
      </c>
      <c r="D671" s="25" t="inlineStr">
        <is>
          <t>JUMBO</t>
        </is>
      </c>
      <c r="E671" s="25" t="inlineStr">
        <is>
          <t>NBL-DSL</t>
        </is>
      </c>
      <c r="F671" s="63" t="inlineStr">
        <is>
          <t>45T</t>
        </is>
      </c>
      <c r="G671" s="204" t="inlineStr">
        <is>
          <t>Lacasera</t>
        </is>
      </c>
      <c r="H671" s="204" t="inlineStr">
        <is>
          <t>Lagos</t>
        </is>
      </c>
      <c r="I671" s="25" t="inlineStr">
        <is>
          <t>Iseyin</t>
        </is>
      </c>
      <c r="J671" s="25" t="inlineStr">
        <is>
          <t>Oyo</t>
        </is>
      </c>
      <c r="K671" s="189" t="n">
        <v>222.5</v>
      </c>
      <c r="L671" s="223" t="n">
        <v>445</v>
      </c>
      <c r="M671" s="220">
        <f>ROUNDDOWN(L671*0.7,)</f>
        <v/>
      </c>
      <c r="N671" s="194" t="n">
        <v>10680</v>
      </c>
      <c r="O671" s="220" t="n">
        <v>1179460</v>
      </c>
    </row>
    <row r="672">
      <c r="A672" t="inlineStr">
        <is>
          <t>AFEEZ AJIBADE/Ebenezer</t>
        </is>
      </c>
      <c r="B672">
        <f>CONCATENATE(E672,"-",F672,"-",D672)</f>
        <v/>
      </c>
      <c r="C672" s="25">
        <f>CONCATENATE(G672,"-",F672,"-",D672)</f>
        <v/>
      </c>
      <c r="D672" s="25" t="inlineStr">
        <is>
          <t>JUMBO</t>
        </is>
      </c>
      <c r="E672" s="25" t="inlineStr">
        <is>
          <t>NBL-DSL</t>
        </is>
      </c>
      <c r="F672" s="63" t="inlineStr">
        <is>
          <t>45T</t>
        </is>
      </c>
      <c r="G672" s="204" t="inlineStr">
        <is>
          <t>Lacasera</t>
        </is>
      </c>
      <c r="H672" s="204" t="inlineStr">
        <is>
          <t>Lagos</t>
        </is>
      </c>
      <c r="I672" s="25" t="inlineStr">
        <is>
          <t>Ilaro</t>
        </is>
      </c>
      <c r="J672" s="25" t="inlineStr">
        <is>
          <t>Ogun</t>
        </is>
      </c>
      <c r="K672" s="189" t="n">
        <v>43</v>
      </c>
      <c r="L672" s="223" t="n">
        <v>86</v>
      </c>
      <c r="M672" s="220">
        <f>ROUNDDOWN(L672*0.7,)</f>
        <v/>
      </c>
      <c r="N672" s="194" t="n">
        <v>2064</v>
      </c>
      <c r="O672" s="220" t="n">
        <v>1083752</v>
      </c>
    </row>
    <row r="673">
      <c r="A673" t="inlineStr">
        <is>
          <t>AFEEZ AJIBADE/Ebenezer</t>
        </is>
      </c>
      <c r="B673">
        <f>CONCATENATE(E673,"-",F673,"-",D673)</f>
        <v/>
      </c>
      <c r="C673" s="25">
        <f>CONCATENATE(G673,"-",F673,"-",D673)</f>
        <v/>
      </c>
      <c r="D673" s="25" t="inlineStr">
        <is>
          <t>JUMBO</t>
        </is>
      </c>
      <c r="E673" s="25" t="inlineStr">
        <is>
          <t>NBL-DSL</t>
        </is>
      </c>
      <c r="F673" s="63" t="inlineStr">
        <is>
          <t>45T</t>
        </is>
      </c>
      <c r="G673" s="204" t="inlineStr">
        <is>
          <t>Lacasera</t>
        </is>
      </c>
      <c r="H673" s="204" t="inlineStr">
        <is>
          <t>Lagos</t>
        </is>
      </c>
      <c r="I673" s="25" t="inlineStr">
        <is>
          <t>Osogbo</t>
        </is>
      </c>
      <c r="J673" s="25" t="inlineStr">
        <is>
          <t>Osun</t>
        </is>
      </c>
      <c r="K673" s="189" t="n">
        <v>229.5</v>
      </c>
      <c r="L673" s="223" t="n">
        <v>459</v>
      </c>
      <c r="M673" s="220">
        <f>ROUNDDOWN(L673*0.7,)</f>
        <v/>
      </c>
      <c r="N673" s="194" t="n">
        <v>11016</v>
      </c>
      <c r="O673" s="220" t="n">
        <v>1210425</v>
      </c>
    </row>
    <row r="674">
      <c r="A674" t="inlineStr">
        <is>
          <t>AFEEZ AJIBADE/Ebenezer</t>
        </is>
      </c>
      <c r="B674">
        <f>CONCATENATE(E674,"-",F674,"-",D674)</f>
        <v/>
      </c>
      <c r="C674" s="25">
        <f>CONCATENATE(G674,"-",F674,"-",D674)</f>
        <v/>
      </c>
      <c r="D674" s="25" t="inlineStr">
        <is>
          <t>JUMBO</t>
        </is>
      </c>
      <c r="E674" s="25" t="inlineStr">
        <is>
          <t>NBL-DSL</t>
        </is>
      </c>
      <c r="F674" s="63" t="inlineStr">
        <is>
          <t>45T</t>
        </is>
      </c>
      <c r="G674" s="204" t="inlineStr">
        <is>
          <t>Lacasera</t>
        </is>
      </c>
      <c r="H674" s="204" t="inlineStr">
        <is>
          <t>Lagos</t>
        </is>
      </c>
      <c r="I674" s="25" t="inlineStr">
        <is>
          <t>Ado-Ekiti</t>
        </is>
      </c>
      <c r="J674" s="25" t="inlineStr">
        <is>
          <t>Ekiti</t>
        </is>
      </c>
      <c r="K674" s="189" t="n">
        <v>325.5</v>
      </c>
      <c r="L674" s="223" t="n">
        <v>651</v>
      </c>
      <c r="M674" s="220">
        <f>ROUNDDOWN(L674*0.7,)</f>
        <v/>
      </c>
      <c r="N674" s="194" t="n">
        <v>15624</v>
      </c>
      <c r="O674" s="220" t="n">
        <v>1673483</v>
      </c>
    </row>
    <row r="675">
      <c r="A675" t="inlineStr">
        <is>
          <t>AFEEZ AJIBADE/Ebenezer</t>
        </is>
      </c>
      <c r="B675">
        <f>CONCATENATE(E675,"-",F675,"-",D675)</f>
        <v/>
      </c>
      <c r="C675" s="25">
        <f>CONCATENATE(G675,"-",F675,"-",D675)</f>
        <v/>
      </c>
      <c r="D675" s="25" t="inlineStr">
        <is>
          <t>JUMBO</t>
        </is>
      </c>
      <c r="E675" s="25" t="inlineStr">
        <is>
          <t>NBL-DSL</t>
        </is>
      </c>
      <c r="F675" s="63" t="inlineStr">
        <is>
          <t>45T</t>
        </is>
      </c>
      <c r="G675" s="204" t="inlineStr">
        <is>
          <t>Lacasera</t>
        </is>
      </c>
      <c r="H675" s="204" t="inlineStr">
        <is>
          <t>Lagos</t>
        </is>
      </c>
      <c r="I675" s="25" t="inlineStr">
        <is>
          <t>Auchi</t>
        </is>
      </c>
      <c r="J675" s="25" t="inlineStr">
        <is>
          <t>Edo</t>
        </is>
      </c>
      <c r="K675" s="189" t="n">
        <v>433</v>
      </c>
      <c r="L675" s="223" t="n">
        <v>866</v>
      </c>
      <c r="M675" s="220">
        <f>ROUNDDOWN(L675*0.7,)</f>
        <v/>
      </c>
      <c r="N675" s="194" t="n">
        <v>20784</v>
      </c>
      <c r="O675" s="220" t="n">
        <v>2101354</v>
      </c>
    </row>
    <row r="676">
      <c r="A676" t="inlineStr">
        <is>
          <t>AFEEZ AJIBADE/Ebenezer</t>
        </is>
      </c>
      <c r="B676">
        <f>CONCATENATE(E676,"-",F676,"-",D676)</f>
        <v/>
      </c>
      <c r="C676" s="25">
        <f>CONCATENATE(G676,"-",F676,"-",D676)</f>
        <v/>
      </c>
      <c r="D676" s="25" t="inlineStr">
        <is>
          <t>JUMBO</t>
        </is>
      </c>
      <c r="E676" s="25" t="inlineStr">
        <is>
          <t>NBL-DSL</t>
        </is>
      </c>
      <c r="F676" s="63" t="inlineStr">
        <is>
          <t>45T</t>
        </is>
      </c>
      <c r="G676" s="204" t="inlineStr">
        <is>
          <t>Lacasera</t>
        </is>
      </c>
      <c r="H676" s="204" t="inlineStr">
        <is>
          <t>Lagos</t>
        </is>
      </c>
      <c r="I676" s="25" t="inlineStr">
        <is>
          <t>Oja-Odan</t>
        </is>
      </c>
      <c r="J676" s="25" t="inlineStr">
        <is>
          <t>Ogun</t>
        </is>
      </c>
      <c r="K676" s="189" t="n">
        <v>98.5</v>
      </c>
      <c r="L676" s="223" t="n">
        <v>197</v>
      </c>
      <c r="M676" s="220">
        <f>ROUNDDOWN(L676*0.7,)</f>
        <v/>
      </c>
      <c r="N676" s="194" t="n">
        <v>4728</v>
      </c>
      <c r="O676" s="220" t="n">
        <v>907328</v>
      </c>
    </row>
    <row r="677">
      <c r="A677" t="inlineStr">
        <is>
          <t>AFEEZ AJIBADE/Ebenezer</t>
        </is>
      </c>
      <c r="B677">
        <f>CONCATENATE(E677,"-",F677,"-",D677)</f>
        <v/>
      </c>
      <c r="C677" s="25">
        <f>CONCATENATE(G677,"-",F677,"-",D677)</f>
        <v/>
      </c>
      <c r="D677" s="25" t="inlineStr">
        <is>
          <t>JUMBO</t>
        </is>
      </c>
      <c r="E677" s="25" t="inlineStr">
        <is>
          <t>NBL-DSL</t>
        </is>
      </c>
      <c r="F677" s="63" t="inlineStr">
        <is>
          <t>45T</t>
        </is>
      </c>
      <c r="G677" s="204" t="inlineStr">
        <is>
          <t>Lacasera</t>
        </is>
      </c>
      <c r="H677" s="204" t="inlineStr">
        <is>
          <t>Lagos</t>
        </is>
      </c>
      <c r="I677" s="25" t="inlineStr">
        <is>
          <t>Kaiama</t>
        </is>
      </c>
      <c r="J677" s="25" t="inlineStr">
        <is>
          <t>Kwara</t>
        </is>
      </c>
      <c r="K677" s="189" t="n">
        <v>435</v>
      </c>
      <c r="L677" s="223" t="n">
        <v>870</v>
      </c>
      <c r="M677" s="220">
        <f>ROUNDDOWN(L677*0.7,)</f>
        <v/>
      </c>
      <c r="N677" s="194" t="n">
        <v>20880</v>
      </c>
      <c r="O677" s="220" t="n">
        <v>1953504</v>
      </c>
    </row>
    <row r="678">
      <c r="A678" t="inlineStr">
        <is>
          <t>AFEEZ AJIBADE/Ebenezer</t>
        </is>
      </c>
      <c r="B678">
        <f>CONCATENATE(E678,"-",F678,"-",D678)</f>
        <v/>
      </c>
      <c r="C678" s="25">
        <f>CONCATENATE(G678,"-",F678,"-",D678)</f>
        <v/>
      </c>
      <c r="D678" s="25" t="inlineStr">
        <is>
          <t>JUMBO</t>
        </is>
      </c>
      <c r="E678" s="25" t="inlineStr">
        <is>
          <t>NBL-DSL</t>
        </is>
      </c>
      <c r="F678" s="63" t="inlineStr">
        <is>
          <t>45T</t>
        </is>
      </c>
      <c r="G678" s="204" t="inlineStr">
        <is>
          <t>Lacasera</t>
        </is>
      </c>
      <c r="H678" s="204" t="inlineStr">
        <is>
          <t>Lagos</t>
        </is>
      </c>
      <c r="I678" s="25" t="inlineStr">
        <is>
          <t>Imeko</t>
        </is>
      </c>
      <c r="J678" s="25" t="inlineStr">
        <is>
          <t>Ogun</t>
        </is>
      </c>
      <c r="K678" s="189" t="n">
        <v>179.5</v>
      </c>
      <c r="L678" s="223" t="n">
        <v>359</v>
      </c>
      <c r="M678" s="220">
        <f>ROUNDDOWN(L678*0.7,)</f>
        <v/>
      </c>
      <c r="N678" s="194" t="n">
        <v>8616</v>
      </c>
      <c r="O678" s="220" t="n">
        <v>967816</v>
      </c>
    </row>
    <row r="679">
      <c r="A679" t="inlineStr">
        <is>
          <t>AFEEZ AJIBADE/Ebenezer</t>
        </is>
      </c>
      <c r="B679">
        <f>CONCATENATE(E679,"-",F679,"-",D679)</f>
        <v/>
      </c>
      <c r="C679" s="25">
        <f>CONCATENATE(G679,"-",F679,"-",D679)</f>
        <v/>
      </c>
      <c r="D679" s="25" t="inlineStr">
        <is>
          <t>JUMBO</t>
        </is>
      </c>
      <c r="E679" s="25" t="inlineStr">
        <is>
          <t>NBL-DSL</t>
        </is>
      </c>
      <c r="F679" s="63" t="inlineStr">
        <is>
          <t>45T</t>
        </is>
      </c>
      <c r="G679" s="204" t="inlineStr">
        <is>
          <t>Lacasera</t>
        </is>
      </c>
      <c r="H679" s="204" t="inlineStr">
        <is>
          <t>Lagos</t>
        </is>
      </c>
      <c r="I679" s="25" t="inlineStr">
        <is>
          <t>Benin City</t>
        </is>
      </c>
      <c r="J679" s="25" t="inlineStr">
        <is>
          <t>Edo</t>
        </is>
      </c>
      <c r="K679" s="189" t="n">
        <v>320</v>
      </c>
      <c r="L679" s="223" t="n">
        <v>640</v>
      </c>
      <c r="M679" s="220">
        <f>ROUNDDOWN(L679*0.7,)</f>
        <v/>
      </c>
      <c r="N679" s="194" t="n">
        <v>15360</v>
      </c>
      <c r="O679" s="220" t="n">
        <v>1634564</v>
      </c>
    </row>
    <row r="680">
      <c r="A680" t="inlineStr">
        <is>
          <t>AFEEZ AJIBADE/Ebenezer</t>
        </is>
      </c>
      <c r="B680">
        <f>CONCATENATE(E680,"-",F680,"-",D680)</f>
        <v/>
      </c>
      <c r="C680" s="25">
        <f>CONCATENATE(G680,"-",F680,"-",D680)</f>
        <v/>
      </c>
      <c r="D680" s="25" t="inlineStr">
        <is>
          <t>JUMBO</t>
        </is>
      </c>
      <c r="E680" s="25" t="inlineStr">
        <is>
          <t>NBL-DSL</t>
        </is>
      </c>
      <c r="F680" s="63" t="inlineStr">
        <is>
          <t>45T</t>
        </is>
      </c>
      <c r="G680" s="204" t="inlineStr">
        <is>
          <t>Lacasera</t>
        </is>
      </c>
      <c r="H680" s="204" t="inlineStr">
        <is>
          <t>Lagos</t>
        </is>
      </c>
      <c r="I680" s="25" t="inlineStr">
        <is>
          <t>Uromi</t>
        </is>
      </c>
      <c r="J680" s="25" t="inlineStr">
        <is>
          <t>Edo</t>
        </is>
      </c>
      <c r="K680" s="189" t="n">
        <v>413</v>
      </c>
      <c r="L680" s="223" t="n">
        <v>826</v>
      </c>
      <c r="M680" s="220">
        <f>ROUNDDOWN(L680*0.7,)</f>
        <v/>
      </c>
      <c r="N680" s="194" t="n">
        <v>19824</v>
      </c>
      <c r="O680" s="220" t="n">
        <v>1831152</v>
      </c>
    </row>
    <row r="681">
      <c r="A681" t="inlineStr">
        <is>
          <t>AFEEZ AJIBADE/Ebenezer</t>
        </is>
      </c>
      <c r="B681">
        <f>CONCATENATE(E681,"-",F681,"-",D681)</f>
        <v/>
      </c>
      <c r="C681" s="25">
        <f>CONCATENATE(G681,"-",F681,"-",D681)</f>
        <v/>
      </c>
      <c r="D681" s="25" t="inlineStr">
        <is>
          <t>JUMBO</t>
        </is>
      </c>
      <c r="E681" s="25" t="inlineStr">
        <is>
          <t>NBL-DSL</t>
        </is>
      </c>
      <c r="F681" s="63" t="inlineStr">
        <is>
          <t>45T</t>
        </is>
      </c>
      <c r="G681" s="204" t="inlineStr">
        <is>
          <t>Lacasera</t>
        </is>
      </c>
      <c r="H681" s="204" t="inlineStr">
        <is>
          <t>Lagos</t>
        </is>
      </c>
      <c r="I681" s="25" t="inlineStr">
        <is>
          <t>Warri</t>
        </is>
      </c>
      <c r="J681" s="25" t="inlineStr">
        <is>
          <t>Delta</t>
        </is>
      </c>
      <c r="K681" s="189" t="n">
        <v>426.5</v>
      </c>
      <c r="L681" s="223" t="n">
        <v>853</v>
      </c>
      <c r="M681" s="220">
        <f>ROUNDDOWN(L681*0.7,)</f>
        <v/>
      </c>
      <c r="N681" s="194" t="n">
        <v>20472</v>
      </c>
      <c r="O681" s="220" t="n">
        <v>2052485</v>
      </c>
    </row>
    <row r="682">
      <c r="A682" t="inlineStr">
        <is>
          <t>AFEEZ AJIBADE/Ebenezer</t>
        </is>
      </c>
      <c r="B682">
        <f>CONCATENATE(E682,"-",F682,"-",D682)</f>
        <v/>
      </c>
      <c r="C682" s="25">
        <f>CONCATENATE(G682,"-",F682,"-",D682)</f>
        <v/>
      </c>
      <c r="D682" s="25" t="inlineStr">
        <is>
          <t>JUMBO</t>
        </is>
      </c>
      <c r="E682" s="25" t="inlineStr">
        <is>
          <t>NBL-DSL</t>
        </is>
      </c>
      <c r="F682" s="63" t="inlineStr">
        <is>
          <t>45T</t>
        </is>
      </c>
      <c r="G682" s="204" t="inlineStr">
        <is>
          <t>Lacasera</t>
        </is>
      </c>
      <c r="H682" s="204" t="inlineStr">
        <is>
          <t>Lagos</t>
        </is>
      </c>
      <c r="I682" s="25" t="inlineStr">
        <is>
          <t>Zaki Biam</t>
        </is>
      </c>
      <c r="J682" s="25" t="inlineStr">
        <is>
          <t>Benue</t>
        </is>
      </c>
      <c r="K682" s="189" t="n">
        <v>900</v>
      </c>
      <c r="L682" s="223" t="n">
        <v>1800</v>
      </c>
      <c r="M682" s="220">
        <f>ROUNDDOWN(L682*0.7,)</f>
        <v/>
      </c>
      <c r="N682" s="194" t="n">
        <v>43200</v>
      </c>
      <c r="O682" s="220" t="n">
        <v>3808026</v>
      </c>
    </row>
    <row r="683">
      <c r="A683" t="inlineStr">
        <is>
          <t>AFEEZ AJIBADE/Ebenezer</t>
        </is>
      </c>
      <c r="B683">
        <f>CONCATENATE(E683,"-",F683,"-",D683)</f>
        <v/>
      </c>
      <c r="C683" s="25">
        <f>CONCATENATE(G683,"-",F683,"-",D683)</f>
        <v/>
      </c>
      <c r="D683" s="25" t="inlineStr">
        <is>
          <t>JUMBO</t>
        </is>
      </c>
      <c r="E683" s="25" t="inlineStr">
        <is>
          <t>NBL-DSL</t>
        </is>
      </c>
      <c r="F683" s="63" t="inlineStr">
        <is>
          <t>45T</t>
        </is>
      </c>
      <c r="G683" s="204" t="inlineStr">
        <is>
          <t>Lacasera</t>
        </is>
      </c>
      <c r="H683" s="204" t="inlineStr">
        <is>
          <t>Lagos</t>
        </is>
      </c>
      <c r="I683" s="25" t="inlineStr">
        <is>
          <t>Katsina-Ala</t>
        </is>
      </c>
      <c r="J683" s="25" t="inlineStr">
        <is>
          <t>Benue</t>
        </is>
      </c>
      <c r="K683" s="189" t="n">
        <v>849</v>
      </c>
      <c r="L683" s="223" t="n">
        <v>1698</v>
      </c>
      <c r="M683" s="220">
        <f>ROUNDDOWN(L683*0.7,)</f>
        <v/>
      </c>
      <c r="N683" s="194" t="n">
        <v>40752</v>
      </c>
      <c r="O683" s="220" t="n">
        <v>3381857</v>
      </c>
    </row>
    <row r="684">
      <c r="A684" t="inlineStr">
        <is>
          <t>AFEEZ AJIBADE/Ebenezer</t>
        </is>
      </c>
      <c r="B684">
        <f>CONCATENATE(E684,"-",F684,"-",D684)</f>
        <v/>
      </c>
      <c r="C684" s="25">
        <f>CONCATENATE(G684,"-",F684,"-",D684)</f>
        <v/>
      </c>
      <c r="D684" s="25" t="inlineStr">
        <is>
          <t>JUMBO</t>
        </is>
      </c>
      <c r="E684" s="25" t="inlineStr">
        <is>
          <t>NBL-DSL</t>
        </is>
      </c>
      <c r="F684" s="63" t="inlineStr">
        <is>
          <t>45T</t>
        </is>
      </c>
      <c r="G684" s="204" t="inlineStr">
        <is>
          <t>Lacasera</t>
        </is>
      </c>
      <c r="H684" s="204" t="inlineStr">
        <is>
          <t>Lagos</t>
        </is>
      </c>
      <c r="I684" s="25" t="inlineStr">
        <is>
          <t>Adikpo</t>
        </is>
      </c>
      <c r="J684" s="25" t="inlineStr">
        <is>
          <t>Benue</t>
        </is>
      </c>
      <c r="K684" s="189" t="n">
        <v>817.5</v>
      </c>
      <c r="L684" s="223" t="n">
        <v>1635</v>
      </c>
      <c r="M684" s="220">
        <f>ROUNDDOWN(L684*0.7,)</f>
        <v/>
      </c>
      <c r="N684" s="194" t="n">
        <v>39240</v>
      </c>
      <c r="O684" s="220" t="n">
        <v>3317245</v>
      </c>
    </row>
    <row r="685">
      <c r="A685" t="inlineStr">
        <is>
          <t>AFEEZ AJIBADE/Ebenezer</t>
        </is>
      </c>
      <c r="B685">
        <f>CONCATENATE(E685,"-",F685,"-",D685)</f>
        <v/>
      </c>
      <c r="C685" s="25">
        <f>CONCATENATE(G685,"-",F685,"-",D685)</f>
        <v/>
      </c>
      <c r="D685" s="25" t="inlineStr">
        <is>
          <t>JUMBO</t>
        </is>
      </c>
      <c r="E685" s="25" t="inlineStr">
        <is>
          <t>NBL-DSL</t>
        </is>
      </c>
      <c r="F685" s="63" t="inlineStr">
        <is>
          <t>45T</t>
        </is>
      </c>
      <c r="G685" s="204" t="inlineStr">
        <is>
          <t>Lacasera</t>
        </is>
      </c>
      <c r="H685" s="204" t="inlineStr">
        <is>
          <t>Lagos</t>
        </is>
      </c>
      <c r="I685" s="25" t="inlineStr">
        <is>
          <t>Takum</t>
        </is>
      </c>
      <c r="J685" s="25" t="inlineStr">
        <is>
          <t>Taraba</t>
        </is>
      </c>
      <c r="K685" s="189" t="n">
        <v>926.5</v>
      </c>
      <c r="L685" s="223" t="n">
        <v>1853</v>
      </c>
      <c r="M685" s="220">
        <f>ROUNDDOWN(L685*0.7,)</f>
        <v/>
      </c>
      <c r="N685" s="194" t="n">
        <v>44472</v>
      </c>
      <c r="O685" s="220" t="n">
        <v>3883637</v>
      </c>
    </row>
    <row r="686">
      <c r="A686" t="inlineStr">
        <is>
          <t>AFEEZ AJIBADE/Ebenezer</t>
        </is>
      </c>
      <c r="B686">
        <f>CONCATENATE(E686,"-",F686,"-",D686)</f>
        <v/>
      </c>
      <c r="C686" s="25">
        <f>CONCATENATE(G686,"-",F686,"-",D686)</f>
        <v/>
      </c>
      <c r="D686" s="25" t="inlineStr">
        <is>
          <t>JUMBO</t>
        </is>
      </c>
      <c r="E686" s="25" t="inlineStr">
        <is>
          <t>NBL-DSL</t>
        </is>
      </c>
      <c r="F686" s="63" t="inlineStr">
        <is>
          <t>45T</t>
        </is>
      </c>
      <c r="G686" s="204" t="inlineStr">
        <is>
          <t>Lacasera</t>
        </is>
      </c>
      <c r="H686" s="204" t="inlineStr">
        <is>
          <t>Lagos</t>
        </is>
      </c>
      <c r="I686" s="25" t="inlineStr">
        <is>
          <t>Mutum Biyu</t>
        </is>
      </c>
      <c r="J686" s="25" t="inlineStr">
        <is>
          <t>Taraba</t>
        </is>
      </c>
      <c r="K686" s="189" t="n">
        <v>1091.5</v>
      </c>
      <c r="L686" s="223" t="n">
        <v>2183</v>
      </c>
      <c r="M686" s="220">
        <f>ROUNDDOWN(L686*0.7,)</f>
        <v/>
      </c>
      <c r="N686" s="194" t="n">
        <v>52392</v>
      </c>
      <c r="O686" s="220" t="n">
        <v>3550950</v>
      </c>
    </row>
    <row r="687">
      <c r="A687" t="inlineStr">
        <is>
          <t>AFEEZ AJIBADE/Ebenezer</t>
        </is>
      </c>
      <c r="B687">
        <f>CONCATENATE(E687,"-",F687,"-",D687)</f>
        <v/>
      </c>
      <c r="C687" s="25">
        <f>CONCATENATE(G687,"-",F687,"-",D687)</f>
        <v/>
      </c>
      <c r="D687" s="25" t="inlineStr">
        <is>
          <t>JUMBO</t>
        </is>
      </c>
      <c r="E687" s="25" t="inlineStr">
        <is>
          <t>NBL-DSL</t>
        </is>
      </c>
      <c r="F687" s="63" t="inlineStr">
        <is>
          <t>45T</t>
        </is>
      </c>
      <c r="G687" s="204" t="inlineStr">
        <is>
          <t>Lacasera</t>
        </is>
      </c>
      <c r="H687" s="204" t="inlineStr">
        <is>
          <t>Lagos</t>
        </is>
      </c>
      <c r="I687" s="25" t="inlineStr">
        <is>
          <t>Chikanda</t>
        </is>
      </c>
      <c r="J687" s="25" t="inlineStr">
        <is>
          <t>Kwara</t>
        </is>
      </c>
      <c r="K687" s="189" t="n">
        <v>458</v>
      </c>
      <c r="L687" s="223" t="n">
        <v>916</v>
      </c>
      <c r="M687" s="220">
        <f>ROUNDDOWN(L687*0.7,)</f>
        <v/>
      </c>
      <c r="N687" s="194" t="n">
        <v>21984</v>
      </c>
      <c r="O687" s="220" t="n">
        <v>2268319</v>
      </c>
    </row>
    <row r="688">
      <c r="A688" t="inlineStr">
        <is>
          <t>AFEEZ AJIBADE/Ebenezer</t>
        </is>
      </c>
      <c r="B688">
        <f>CONCATENATE(E688,"-",F688,"-",D688)</f>
        <v/>
      </c>
      <c r="C688" s="25">
        <f>CONCATENATE(G688,"-",F688,"-",D688)</f>
        <v/>
      </c>
      <c r="D688" s="25" t="inlineStr">
        <is>
          <t>JUMBO</t>
        </is>
      </c>
      <c r="E688" s="25" t="inlineStr">
        <is>
          <t>NBL-DSL</t>
        </is>
      </c>
      <c r="F688" s="63" t="inlineStr">
        <is>
          <t>45T</t>
        </is>
      </c>
      <c r="G688" s="204" t="inlineStr">
        <is>
          <t>Lacasera</t>
        </is>
      </c>
      <c r="H688" s="204" t="inlineStr">
        <is>
          <t>Lagos</t>
        </is>
      </c>
      <c r="I688" s="25" t="inlineStr">
        <is>
          <t>Ifon</t>
        </is>
      </c>
      <c r="J688" s="25" t="inlineStr">
        <is>
          <t>Ondo</t>
        </is>
      </c>
      <c r="K688" s="189" t="n">
        <v>372.5</v>
      </c>
      <c r="L688" s="223" t="n">
        <v>745</v>
      </c>
      <c r="M688" s="220">
        <f>ROUNDDOWN(L688*0.7,)</f>
        <v/>
      </c>
      <c r="N688" s="194" t="n">
        <v>17880</v>
      </c>
      <c r="O688" s="220" t="n">
        <v>2052485</v>
      </c>
    </row>
    <row r="689">
      <c r="A689" t="inlineStr">
        <is>
          <t>AFEEZ AJIBADE/Ebenezer</t>
        </is>
      </c>
      <c r="B689">
        <f>CONCATENATE(E689,"-",F689,"-",D689)</f>
        <v/>
      </c>
      <c r="C689" s="25">
        <f>CONCATENATE(G689,"-",F689,"-",D689)</f>
        <v/>
      </c>
      <c r="D689" s="25" t="inlineStr">
        <is>
          <t>JUMBO</t>
        </is>
      </c>
      <c r="E689" s="25" t="inlineStr">
        <is>
          <t>NBL-DSL</t>
        </is>
      </c>
      <c r="F689" s="79" t="inlineStr">
        <is>
          <t>30T</t>
        </is>
      </c>
      <c r="G689" s="204" t="inlineStr">
        <is>
          <t>BAJAJ</t>
        </is>
      </c>
      <c r="H689" s="204" t="inlineStr">
        <is>
          <t>Lagos</t>
        </is>
      </c>
      <c r="I689" s="157" t="inlineStr">
        <is>
          <t>Abeokuta</t>
        </is>
      </c>
      <c r="J689" s="157" t="inlineStr">
        <is>
          <t>Ogun</t>
        </is>
      </c>
      <c r="K689" s="237" t="n">
        <v>100</v>
      </c>
      <c r="L689" s="223">
        <f>K689*2</f>
        <v/>
      </c>
      <c r="M689" s="220">
        <f>ROUNDDOWN(L689*0.7,)</f>
        <v/>
      </c>
      <c r="N689" s="194" t="n">
        <v>4800</v>
      </c>
      <c r="O689" s="220" t="n">
        <v>750000</v>
      </c>
    </row>
    <row r="690">
      <c r="A690" t="inlineStr">
        <is>
          <t>AFEEZ AJIBADE/Ebenezer</t>
        </is>
      </c>
      <c r="B690">
        <f>CONCATENATE(E690,"-",F690,"-",D690)</f>
        <v/>
      </c>
      <c r="C690" s="25">
        <f>CONCATENATE(G690,"-",F690,"-",D690)</f>
        <v/>
      </c>
      <c r="D690" s="25" t="inlineStr">
        <is>
          <t>JUMBO</t>
        </is>
      </c>
      <c r="E690" s="25" t="inlineStr">
        <is>
          <t>NBL-DSL</t>
        </is>
      </c>
      <c r="F690" s="79" t="inlineStr">
        <is>
          <t>30T</t>
        </is>
      </c>
      <c r="G690" s="204" t="inlineStr">
        <is>
          <t>BAJAJ</t>
        </is>
      </c>
      <c r="H690" s="204" t="inlineStr">
        <is>
          <t>Lagos</t>
        </is>
      </c>
      <c r="I690" s="159" t="inlineStr">
        <is>
          <t>Abuja</t>
        </is>
      </c>
      <c r="J690" s="159" t="inlineStr">
        <is>
          <t>FCT</t>
        </is>
      </c>
      <c r="K690" s="238" t="n">
        <v>760</v>
      </c>
      <c r="L690" s="223">
        <f>K690*2</f>
        <v/>
      </c>
      <c r="M690" s="220">
        <f>ROUNDDOWN(L690*0.7,)</f>
        <v/>
      </c>
      <c r="N690" s="194" t="n">
        <v>36480</v>
      </c>
      <c r="O690" s="220" t="n">
        <v>3230000</v>
      </c>
    </row>
    <row r="691">
      <c r="A691" t="inlineStr">
        <is>
          <t>AFEEZ AJIBADE/Ebenezer</t>
        </is>
      </c>
      <c r="B691">
        <f>CONCATENATE(E691,"-",F691,"-",D691)</f>
        <v/>
      </c>
      <c r="C691" s="25">
        <f>CONCATENATE(G691,"-",F691,"-",D691)</f>
        <v/>
      </c>
      <c r="D691" s="25" t="inlineStr">
        <is>
          <t>JUMBO</t>
        </is>
      </c>
      <c r="E691" s="25" t="inlineStr">
        <is>
          <t>NBL-DSL</t>
        </is>
      </c>
      <c r="F691" s="79" t="inlineStr">
        <is>
          <t>30T</t>
        </is>
      </c>
      <c r="G691" s="204" t="inlineStr">
        <is>
          <t>BAJAJ</t>
        </is>
      </c>
      <c r="H691" s="204" t="inlineStr">
        <is>
          <t>Lagos</t>
        </is>
      </c>
      <c r="I691" s="157" t="inlineStr">
        <is>
          <t>Akure</t>
        </is>
      </c>
      <c r="J691" s="157" t="inlineStr">
        <is>
          <t>Ondo</t>
        </is>
      </c>
      <c r="K691" s="237" t="n">
        <v>310</v>
      </c>
      <c r="L691" s="223">
        <f>K691*2</f>
        <v/>
      </c>
      <c r="M691" s="220">
        <f>ROUNDDOWN(L691*0.7,)</f>
        <v/>
      </c>
      <c r="N691" s="194" t="n">
        <v>14880</v>
      </c>
      <c r="O691" s="220" t="n">
        <v>1470000</v>
      </c>
    </row>
    <row r="692">
      <c r="A692" t="inlineStr">
        <is>
          <t>AFEEZ AJIBADE/Ebenezer</t>
        </is>
      </c>
      <c r="B692">
        <f>CONCATENATE(E692,"-",F692,"-",D692)</f>
        <v/>
      </c>
      <c r="C692" s="25">
        <f>CONCATENATE(G692,"-",F692,"-",D692)</f>
        <v/>
      </c>
      <c r="D692" s="25" t="inlineStr">
        <is>
          <t>JUMBO</t>
        </is>
      </c>
      <c r="E692" s="25" t="inlineStr">
        <is>
          <t>NBL-DSL</t>
        </is>
      </c>
      <c r="F692" s="79" t="inlineStr">
        <is>
          <t>30T</t>
        </is>
      </c>
      <c r="G692" s="204" t="inlineStr">
        <is>
          <t>BAJAJ</t>
        </is>
      </c>
      <c r="H692" s="204" t="inlineStr">
        <is>
          <t>Lagos</t>
        </is>
      </c>
      <c r="I692" s="159" t="inlineStr">
        <is>
          <t>Ore</t>
        </is>
      </c>
      <c r="J692" s="159" t="inlineStr">
        <is>
          <t>Ondo</t>
        </is>
      </c>
      <c r="K692" s="238" t="n">
        <v>200</v>
      </c>
      <c r="L692" s="223">
        <f>K692*2</f>
        <v/>
      </c>
      <c r="M692" s="220">
        <f>ROUNDDOWN(L692*0.7,)</f>
        <v/>
      </c>
      <c r="N692" s="194" t="n">
        <v>9600</v>
      </c>
      <c r="O692" s="220" t="n">
        <v>1230000</v>
      </c>
    </row>
    <row r="693">
      <c r="A693" t="inlineStr">
        <is>
          <t>AFEEZ AJIBADE/Ebenezer</t>
        </is>
      </c>
      <c r="B693">
        <f>CONCATENATE(E693,"-",F693,"-",D693)</f>
        <v/>
      </c>
      <c r="C693" s="25">
        <f>CONCATENATE(G693,"-",F693,"-",D693)</f>
        <v/>
      </c>
      <c r="D693" s="25" t="inlineStr">
        <is>
          <t>JUMBO</t>
        </is>
      </c>
      <c r="E693" s="25" t="inlineStr">
        <is>
          <t>NBL-DSL</t>
        </is>
      </c>
      <c r="F693" s="79" t="inlineStr">
        <is>
          <t>30T</t>
        </is>
      </c>
      <c r="G693" s="204" t="inlineStr">
        <is>
          <t>BAJAJ</t>
        </is>
      </c>
      <c r="H693" s="204" t="inlineStr">
        <is>
          <t>Lagos</t>
        </is>
      </c>
      <c r="I693" s="157" t="inlineStr">
        <is>
          <t>Bauchi</t>
        </is>
      </c>
      <c r="J693" s="157" t="inlineStr">
        <is>
          <t>Bauchi</t>
        </is>
      </c>
      <c r="K693" s="237" t="n">
        <v>1040</v>
      </c>
      <c r="L693" s="223">
        <f>K693*2</f>
        <v/>
      </c>
      <c r="M693" s="220">
        <f>ROUNDDOWN(L693*0.7,)</f>
        <v/>
      </c>
      <c r="N693" s="194" t="n">
        <v>49920</v>
      </c>
      <c r="O693" s="220" t="n">
        <v>4110000</v>
      </c>
    </row>
    <row r="694">
      <c r="A694" s="161" t="inlineStr">
        <is>
          <t>AFEEZ AJIBADE/Ebenezer</t>
        </is>
      </c>
      <c r="B694" s="161">
        <f>CONCATENATE(E694,"-",F694,"-",D694)</f>
        <v/>
      </c>
      <c r="C694" s="25">
        <f>CONCATENATE(G694,"-",F694,"-",D694)</f>
        <v/>
      </c>
      <c r="D694" s="88" t="inlineStr">
        <is>
          <t>JUMBO</t>
        </is>
      </c>
      <c r="E694" s="88" t="inlineStr">
        <is>
          <t>NBL-DSL</t>
        </is>
      </c>
      <c r="F694" s="79" t="inlineStr">
        <is>
          <t>30T</t>
        </is>
      </c>
      <c r="G694" s="209" t="inlineStr">
        <is>
          <t>BAJAJ</t>
        </is>
      </c>
      <c r="H694" s="209" t="inlineStr">
        <is>
          <t>Lagos</t>
        </is>
      </c>
      <c r="I694" s="162" t="inlineStr">
        <is>
          <t>Ibadan</t>
        </is>
      </c>
      <c r="J694" s="162" t="inlineStr">
        <is>
          <t>Oyo</t>
        </is>
      </c>
      <c r="K694" s="239" t="n">
        <v>120</v>
      </c>
      <c r="L694" s="223">
        <f>K694*2</f>
        <v/>
      </c>
      <c r="M694" s="227">
        <f>ROUNDDOWN(L694*0.7,)</f>
        <v/>
      </c>
      <c r="N694" s="194" t="n">
        <v>5760</v>
      </c>
      <c r="O694" s="227" t="n">
        <v>650000</v>
      </c>
    </row>
    <row r="695">
      <c r="A695" t="inlineStr">
        <is>
          <t>AFEEZ AJIBADE/Ebenezer</t>
        </is>
      </c>
      <c r="B695">
        <f>CONCATENATE(E695,"-",F695,"-",D695)</f>
        <v/>
      </c>
      <c r="C695" s="25">
        <f>CONCATENATE(G695,"-",F695,"-",D695)</f>
        <v/>
      </c>
      <c r="D695" s="25" t="inlineStr">
        <is>
          <t>JUMBO</t>
        </is>
      </c>
      <c r="E695" s="25" t="inlineStr">
        <is>
          <t>NBL-DSL</t>
        </is>
      </c>
      <c r="F695" s="79" t="inlineStr">
        <is>
          <t>30T</t>
        </is>
      </c>
      <c r="G695" s="204" t="inlineStr">
        <is>
          <t>BAJAJ</t>
        </is>
      </c>
      <c r="H695" s="204" t="inlineStr">
        <is>
          <t>Lagos</t>
        </is>
      </c>
      <c r="I695" s="157" t="inlineStr">
        <is>
          <t>Ijebu-Ode</t>
        </is>
      </c>
      <c r="J695" s="157" t="inlineStr">
        <is>
          <t>Ogun</t>
        </is>
      </c>
      <c r="K695" s="237" t="n">
        <v>110</v>
      </c>
      <c r="L695" s="223">
        <f>K695*2</f>
        <v/>
      </c>
      <c r="M695" s="220">
        <f>ROUNDDOWN(L695*0.7,)</f>
        <v/>
      </c>
      <c r="N695" s="194" t="n">
        <v>5280</v>
      </c>
      <c r="O695" s="220" t="n">
        <v>770000</v>
      </c>
    </row>
    <row r="696">
      <c r="A696" t="inlineStr">
        <is>
          <t>AFEEZ AJIBADE/Ebenezer</t>
        </is>
      </c>
      <c r="B696">
        <f>CONCATENATE(E696,"-",F696,"-",D696)</f>
        <v/>
      </c>
      <c r="C696" s="25">
        <f>CONCATENATE(G696,"-",F696,"-",D696)</f>
        <v/>
      </c>
      <c r="D696" s="25" t="inlineStr">
        <is>
          <t>JUMBO</t>
        </is>
      </c>
      <c r="E696" s="25" t="inlineStr">
        <is>
          <t>NBL-DSL</t>
        </is>
      </c>
      <c r="F696" s="79" t="inlineStr">
        <is>
          <t>30T</t>
        </is>
      </c>
      <c r="G696" s="204" t="inlineStr">
        <is>
          <t>BAJAJ</t>
        </is>
      </c>
      <c r="H696" s="204" t="inlineStr">
        <is>
          <t>Lagos</t>
        </is>
      </c>
      <c r="I696" s="159" t="inlineStr">
        <is>
          <t>Ilorin</t>
        </is>
      </c>
      <c r="J696" s="159" t="inlineStr">
        <is>
          <t>Kwara</t>
        </is>
      </c>
      <c r="K696" s="238" t="n">
        <v>310</v>
      </c>
      <c r="L696" s="223">
        <f>K696*2</f>
        <v/>
      </c>
      <c r="M696" s="220">
        <f>ROUNDDOWN(L696*0.7,)</f>
        <v/>
      </c>
      <c r="N696" s="194" t="n">
        <v>14880</v>
      </c>
      <c r="O696" s="220" t="n">
        <v>1470000</v>
      </c>
    </row>
    <row r="697">
      <c r="A697" t="inlineStr">
        <is>
          <t>AFEEZ AJIBADE/Ebenezer</t>
        </is>
      </c>
      <c r="B697">
        <f>CONCATENATE(E697,"-",F697,"-",D697)</f>
        <v/>
      </c>
      <c r="C697" s="25">
        <f>CONCATENATE(G697,"-",F697,"-",D697)</f>
        <v/>
      </c>
      <c r="D697" s="25" t="inlineStr">
        <is>
          <t>JUMBO</t>
        </is>
      </c>
      <c r="E697" s="25" t="inlineStr">
        <is>
          <t>NBL-DSL</t>
        </is>
      </c>
      <c r="F697" s="79" t="inlineStr">
        <is>
          <t>30T</t>
        </is>
      </c>
      <c r="G697" s="204" t="inlineStr">
        <is>
          <t>BAJAJ</t>
        </is>
      </c>
      <c r="H697" s="204" t="inlineStr">
        <is>
          <t>Lagos</t>
        </is>
      </c>
      <c r="I697" s="157" t="inlineStr">
        <is>
          <t>Kaduna</t>
        </is>
      </c>
      <c r="J697" s="157" t="inlineStr">
        <is>
          <t>Kaduna</t>
        </is>
      </c>
      <c r="K697" s="237" t="n">
        <v>890</v>
      </c>
      <c r="L697" s="223">
        <f>K697*2</f>
        <v/>
      </c>
      <c r="M697" s="220">
        <f>ROUNDDOWN(L697*0.7,)</f>
        <v/>
      </c>
      <c r="N697" s="194" t="n">
        <v>42720</v>
      </c>
      <c r="O697" s="220" t="n">
        <v>3780000</v>
      </c>
    </row>
    <row r="698">
      <c r="A698" t="inlineStr">
        <is>
          <t>AFEEZ AJIBADE/Ebenezer</t>
        </is>
      </c>
      <c r="B698">
        <f>CONCATENATE(E698,"-",F698,"-",D698)</f>
        <v/>
      </c>
      <c r="C698" s="25">
        <f>CONCATENATE(G698,"-",F698,"-",D698)</f>
        <v/>
      </c>
      <c r="D698" s="25" t="inlineStr">
        <is>
          <t>JUMBO</t>
        </is>
      </c>
      <c r="E698" s="25" t="inlineStr">
        <is>
          <t>NBL-DSL</t>
        </is>
      </c>
      <c r="F698" s="79" t="inlineStr">
        <is>
          <t>30T</t>
        </is>
      </c>
      <c r="G698" s="204" t="inlineStr">
        <is>
          <t>BAJAJ</t>
        </is>
      </c>
      <c r="H698" s="204" t="inlineStr">
        <is>
          <t>Lagos</t>
        </is>
      </c>
      <c r="I698" s="159" t="inlineStr">
        <is>
          <t>Kano</t>
        </is>
      </c>
      <c r="J698" s="159" t="inlineStr">
        <is>
          <t>Kano</t>
        </is>
      </c>
      <c r="K698" s="238" t="n">
        <v>1030</v>
      </c>
      <c r="L698" s="223">
        <f>K698*2</f>
        <v/>
      </c>
      <c r="M698" s="220">
        <f>ROUNDDOWN(L698*0.7,)</f>
        <v/>
      </c>
      <c r="N698" s="194" t="n">
        <v>49440</v>
      </c>
      <c r="O698" s="220" t="n">
        <v>4080000</v>
      </c>
    </row>
    <row r="699">
      <c r="A699" t="inlineStr">
        <is>
          <t>AFEEZ AJIBADE/Ebenezer</t>
        </is>
      </c>
      <c r="B699">
        <f>CONCATENATE(E699,"-",F699,"-",D699)</f>
        <v/>
      </c>
      <c r="C699" s="25">
        <f>CONCATENATE(G699,"-",F699,"-",D699)</f>
        <v/>
      </c>
      <c r="D699" s="25" t="inlineStr">
        <is>
          <t>JUMBO</t>
        </is>
      </c>
      <c r="E699" s="25" t="inlineStr">
        <is>
          <t>NBL-DSL</t>
        </is>
      </c>
      <c r="F699" s="79" t="inlineStr">
        <is>
          <t>30T</t>
        </is>
      </c>
      <c r="G699" s="204" t="inlineStr">
        <is>
          <t>BAJAJ</t>
        </is>
      </c>
      <c r="H699" s="204" t="inlineStr">
        <is>
          <t>Lagos</t>
        </is>
      </c>
      <c r="I699" s="157" t="inlineStr">
        <is>
          <t>Kontagora</t>
        </is>
      </c>
      <c r="J699" s="157" t="inlineStr">
        <is>
          <t>Niger</t>
        </is>
      </c>
      <c r="K699" s="237" t="n">
        <v>640</v>
      </c>
      <c r="L699" s="223">
        <f>K699*2</f>
        <v/>
      </c>
      <c r="M699" s="220">
        <f>ROUNDDOWN(L699*0.7,)</f>
        <v/>
      </c>
      <c r="N699" s="194" t="n">
        <v>30720</v>
      </c>
      <c r="O699" s="220" t="n">
        <v>2710000</v>
      </c>
    </row>
    <row r="700">
      <c r="A700" t="inlineStr">
        <is>
          <t>AFEEZ AJIBADE/Ebenezer</t>
        </is>
      </c>
      <c r="B700">
        <f>CONCATENATE(E700,"-",F700,"-",D700)</f>
        <v/>
      </c>
      <c r="C700" s="25">
        <f>CONCATENATE(G700,"-",F700,"-",D700)</f>
        <v/>
      </c>
      <c r="D700" s="25" t="inlineStr">
        <is>
          <t>JUMBO</t>
        </is>
      </c>
      <c r="E700" s="25" t="inlineStr">
        <is>
          <t>NBL-DSL</t>
        </is>
      </c>
      <c r="F700" s="79" t="inlineStr">
        <is>
          <t>30T</t>
        </is>
      </c>
      <c r="G700" s="204" t="inlineStr">
        <is>
          <t>BAJAJ</t>
        </is>
      </c>
      <c r="H700" s="204" t="inlineStr">
        <is>
          <t>Lagos</t>
        </is>
      </c>
      <c r="I700" s="159" t="inlineStr">
        <is>
          <t>Lafia</t>
        </is>
      </c>
      <c r="J700" s="159" t="inlineStr">
        <is>
          <t>Nasarawa</t>
        </is>
      </c>
      <c r="K700" s="238" t="n">
        <v>850</v>
      </c>
      <c r="L700" s="223">
        <f>K700*2</f>
        <v/>
      </c>
      <c r="M700" s="220">
        <f>ROUNDDOWN(L700*0.7,)</f>
        <v/>
      </c>
      <c r="N700" s="194" t="n">
        <v>40800</v>
      </c>
      <c r="O700" s="220" t="n">
        <v>3430000</v>
      </c>
    </row>
    <row r="701">
      <c r="A701" t="inlineStr">
        <is>
          <t>AFEEZ AJIBADE/Ebenezer</t>
        </is>
      </c>
      <c r="B701">
        <f>CONCATENATE(E701,"-",F701,"-",D701)</f>
        <v/>
      </c>
      <c r="C701" s="25">
        <f>CONCATENATE(G701,"-",F701,"-",D701)</f>
        <v/>
      </c>
      <c r="D701" s="25" t="inlineStr">
        <is>
          <t>JUMBO</t>
        </is>
      </c>
      <c r="E701" s="25" t="inlineStr">
        <is>
          <t>NBL-DSL</t>
        </is>
      </c>
      <c r="F701" s="79" t="inlineStr">
        <is>
          <t>30T</t>
        </is>
      </c>
      <c r="G701" s="204" t="inlineStr">
        <is>
          <t>BAJAJ</t>
        </is>
      </c>
      <c r="H701" s="204" t="inlineStr">
        <is>
          <t>Lagos</t>
        </is>
      </c>
      <c r="I701" s="157" t="inlineStr">
        <is>
          <t>Lokoja</t>
        </is>
      </c>
      <c r="J701" s="157" t="inlineStr">
        <is>
          <t>Kogi</t>
        </is>
      </c>
      <c r="K701" s="237" t="n">
        <v>470</v>
      </c>
      <c r="L701" s="223">
        <f>K701*2</f>
        <v/>
      </c>
      <c r="M701" s="220">
        <f>ROUNDDOWN(L701*0.7,)</f>
        <v/>
      </c>
      <c r="N701" s="194" t="n">
        <v>22560</v>
      </c>
      <c r="O701" s="220" t="n">
        <v>2080000</v>
      </c>
    </row>
    <row r="702">
      <c r="A702" t="inlineStr">
        <is>
          <t>AFEEZ AJIBADE/Ebenezer</t>
        </is>
      </c>
      <c r="B702">
        <f>CONCATENATE(E702,"-",F702,"-",D702)</f>
        <v/>
      </c>
      <c r="C702" s="25">
        <f>CONCATENATE(G702,"-",F702,"-",D702)</f>
        <v/>
      </c>
      <c r="D702" s="25" t="inlineStr">
        <is>
          <t>JUMBO</t>
        </is>
      </c>
      <c r="E702" s="25" t="inlineStr">
        <is>
          <t>NBL-DSL</t>
        </is>
      </c>
      <c r="F702" s="79" t="inlineStr">
        <is>
          <t>30T</t>
        </is>
      </c>
      <c r="G702" s="204" t="inlineStr">
        <is>
          <t>BAJAJ</t>
        </is>
      </c>
      <c r="H702" s="204" t="inlineStr">
        <is>
          <t>Lagos</t>
        </is>
      </c>
      <c r="I702" s="159" t="inlineStr">
        <is>
          <t>Mararaba</t>
        </is>
      </c>
      <c r="J702" s="159" t="inlineStr">
        <is>
          <t>Nasarawa</t>
        </is>
      </c>
      <c r="K702" s="238" t="n">
        <v>790</v>
      </c>
      <c r="L702" s="223">
        <f>K702*2</f>
        <v/>
      </c>
      <c r="M702" s="220">
        <f>ROUNDDOWN(L702*0.7,)</f>
        <v/>
      </c>
      <c r="N702" s="194" t="n">
        <v>37920</v>
      </c>
      <c r="O702" s="220" t="n">
        <v>3300000</v>
      </c>
    </row>
    <row r="703">
      <c r="A703" t="inlineStr">
        <is>
          <t>AFEEZ AJIBADE/Ebenezer</t>
        </is>
      </c>
      <c r="B703">
        <f>CONCATENATE(E703,"-",F703,"-",D703)</f>
        <v/>
      </c>
      <c r="C703" s="25">
        <f>CONCATENATE(G703,"-",F703,"-",D703)</f>
        <v/>
      </c>
      <c r="D703" s="25" t="inlineStr">
        <is>
          <t>JUMBO</t>
        </is>
      </c>
      <c r="E703" s="25" t="inlineStr">
        <is>
          <t>NBL-DSL</t>
        </is>
      </c>
      <c r="F703" s="79" t="inlineStr">
        <is>
          <t>30T</t>
        </is>
      </c>
      <c r="G703" s="204" t="inlineStr">
        <is>
          <t>BAJAJ</t>
        </is>
      </c>
      <c r="H703" s="204" t="inlineStr">
        <is>
          <t>Lagos</t>
        </is>
      </c>
      <c r="I703" s="157" t="inlineStr">
        <is>
          <t>Ogbomoso</t>
        </is>
      </c>
      <c r="J703" s="157" t="inlineStr">
        <is>
          <t>Oyo</t>
        </is>
      </c>
      <c r="K703" s="237" t="n">
        <v>240</v>
      </c>
      <c r="L703" s="223">
        <f>K703*2</f>
        <v/>
      </c>
      <c r="M703" s="220">
        <f>ROUNDDOWN(L703*0.7,)</f>
        <v/>
      </c>
      <c r="N703" s="194" t="n">
        <v>11520</v>
      </c>
      <c r="O703" s="220" t="n">
        <v>1320000</v>
      </c>
    </row>
    <row r="704">
      <c r="A704" t="inlineStr">
        <is>
          <t>AFEEZ AJIBADE/Ebenezer</t>
        </is>
      </c>
      <c r="B704">
        <f>CONCATENATE(E704,"-",F704,"-",D704)</f>
        <v/>
      </c>
      <c r="C704" s="25">
        <f>CONCATENATE(G704,"-",F704,"-",D704)</f>
        <v/>
      </c>
      <c r="D704" s="25" t="inlineStr">
        <is>
          <t>JUMBO</t>
        </is>
      </c>
      <c r="E704" s="25" t="inlineStr">
        <is>
          <t>NBL-DSL</t>
        </is>
      </c>
      <c r="F704" s="79" t="inlineStr">
        <is>
          <t>30T</t>
        </is>
      </c>
      <c r="G704" s="204" t="inlineStr">
        <is>
          <t>BAJAJ</t>
        </is>
      </c>
      <c r="H704" s="204" t="inlineStr">
        <is>
          <t>Lagos</t>
        </is>
      </c>
      <c r="I704" s="159" t="inlineStr">
        <is>
          <t>Ogun</t>
        </is>
      </c>
      <c r="J704" s="159" t="inlineStr">
        <is>
          <t>Ogun</t>
        </is>
      </c>
      <c r="K704" s="238" t="n">
        <v>100</v>
      </c>
      <c r="L704" s="223">
        <f>K704*2</f>
        <v/>
      </c>
      <c r="M704" s="220">
        <f>ROUNDDOWN(L704*0.7,)</f>
        <v/>
      </c>
      <c r="N704" s="194" t="n">
        <v>4800</v>
      </c>
      <c r="O704" s="220" t="n">
        <v>750000</v>
      </c>
    </row>
    <row r="705">
      <c r="A705" s="161" t="inlineStr">
        <is>
          <t>AFEEZ AJIBADE/Ebenezer</t>
        </is>
      </c>
      <c r="B705" s="161">
        <f>CONCATENATE(E705,"-",F705,"-",D705)</f>
        <v/>
      </c>
      <c r="C705" s="25">
        <f>CONCATENATE(G705,"-",F705,"-",D705)</f>
        <v/>
      </c>
      <c r="D705" s="88" t="inlineStr">
        <is>
          <t>JUMBO</t>
        </is>
      </c>
      <c r="E705" s="88" t="inlineStr">
        <is>
          <t>NBL-DSL</t>
        </is>
      </c>
      <c r="F705" s="79" t="inlineStr">
        <is>
          <t>30T</t>
        </is>
      </c>
      <c r="G705" s="209" t="inlineStr">
        <is>
          <t>BAJAJ</t>
        </is>
      </c>
      <c r="H705" s="209" t="inlineStr">
        <is>
          <t>Lagos</t>
        </is>
      </c>
      <c r="I705" s="164" t="inlineStr">
        <is>
          <t>Onitsha</t>
        </is>
      </c>
      <c r="J705" s="164" t="inlineStr">
        <is>
          <t>Anambra</t>
        </is>
      </c>
      <c r="K705" s="240" t="n">
        <v>480</v>
      </c>
      <c r="L705" s="223">
        <f>K705*2</f>
        <v/>
      </c>
      <c r="M705" s="227">
        <f>ROUNDDOWN(L705*0.7,)</f>
        <v/>
      </c>
      <c r="N705" s="194" t="n">
        <v>23040</v>
      </c>
      <c r="O705" s="227" t="n">
        <v>1900000</v>
      </c>
    </row>
    <row r="706">
      <c r="A706" t="inlineStr">
        <is>
          <t>AFEEZ AJIBADE/Ebenezer</t>
        </is>
      </c>
      <c r="B706">
        <f>CONCATENATE(E706,"-",F706,"-",D706)</f>
        <v/>
      </c>
      <c r="C706" s="25">
        <f>CONCATENATE(G706,"-",F706,"-",D706)</f>
        <v/>
      </c>
      <c r="D706" s="25" t="inlineStr">
        <is>
          <t>JUMBO</t>
        </is>
      </c>
      <c r="E706" s="25" t="inlineStr">
        <is>
          <t>NBL-DSL</t>
        </is>
      </c>
      <c r="F706" s="79" t="inlineStr">
        <is>
          <t>30T</t>
        </is>
      </c>
      <c r="G706" s="204" t="inlineStr">
        <is>
          <t>BAJAJ</t>
        </is>
      </c>
      <c r="H706" s="204" t="inlineStr">
        <is>
          <t>Lagos</t>
        </is>
      </c>
      <c r="I706" s="159" t="inlineStr">
        <is>
          <t>Oyo</t>
        </is>
      </c>
      <c r="J706" s="159" t="inlineStr">
        <is>
          <t>Oyo</t>
        </is>
      </c>
      <c r="K706" s="238" t="n">
        <v>190</v>
      </c>
      <c r="L706" s="223">
        <f>K706*2</f>
        <v/>
      </c>
      <c r="M706" s="220">
        <f>ROUNDDOWN(L706*0.7,)</f>
        <v/>
      </c>
      <c r="N706" s="194" t="n">
        <v>9120</v>
      </c>
      <c r="O706" s="220" t="n">
        <v>1210000</v>
      </c>
    </row>
    <row r="707">
      <c r="A707" t="inlineStr">
        <is>
          <t>AFEEZ AJIBADE/Ebenezer</t>
        </is>
      </c>
      <c r="B707">
        <f>CONCATENATE(E707,"-",F707,"-",D707)</f>
        <v/>
      </c>
      <c r="C707" s="25">
        <f>CONCATENATE(G707,"-",F707,"-",D707)</f>
        <v/>
      </c>
      <c r="D707" s="25" t="inlineStr">
        <is>
          <t>JUMBO</t>
        </is>
      </c>
      <c r="E707" s="25" t="inlineStr">
        <is>
          <t>NBL-DSL</t>
        </is>
      </c>
      <c r="F707" s="79" t="inlineStr">
        <is>
          <t>30T</t>
        </is>
      </c>
      <c r="G707" s="204" t="inlineStr">
        <is>
          <t>BAJAJ</t>
        </is>
      </c>
      <c r="H707" s="204" t="inlineStr">
        <is>
          <t>Lagos</t>
        </is>
      </c>
      <c r="I707" s="157" t="inlineStr">
        <is>
          <t>Iseyin</t>
        </is>
      </c>
      <c r="J707" s="157" t="inlineStr">
        <is>
          <t>Oyo</t>
        </is>
      </c>
      <c r="K707" s="237" t="n">
        <v>220</v>
      </c>
      <c r="L707" s="223">
        <f>K707*2</f>
        <v/>
      </c>
      <c r="M707" s="220">
        <f>ROUNDDOWN(L707*0.7,)</f>
        <v/>
      </c>
      <c r="N707" s="194" t="n">
        <v>10560</v>
      </c>
      <c r="O707" s="220" t="n">
        <v>1270000</v>
      </c>
    </row>
    <row r="708">
      <c r="A708" t="inlineStr">
        <is>
          <t>AFEEZ AJIBADE/Ebenezer</t>
        </is>
      </c>
      <c r="B708">
        <f>CONCATENATE(E708,"-",F708,"-",D708)</f>
        <v/>
      </c>
      <c r="C708" s="25">
        <f>CONCATENATE(G708,"-",F708,"-",D708)</f>
        <v/>
      </c>
      <c r="D708" s="25" t="inlineStr">
        <is>
          <t>JUMBO</t>
        </is>
      </c>
      <c r="E708" s="25" t="inlineStr">
        <is>
          <t>NBL-DSL</t>
        </is>
      </c>
      <c r="F708" s="79" t="inlineStr">
        <is>
          <t>30T</t>
        </is>
      </c>
      <c r="G708" s="204" t="inlineStr">
        <is>
          <t>BAJAJ</t>
        </is>
      </c>
      <c r="H708" s="204" t="inlineStr">
        <is>
          <t>Lagos</t>
        </is>
      </c>
      <c r="I708" s="159" t="inlineStr">
        <is>
          <t>Sagamu</t>
        </is>
      </c>
      <c r="J708" s="159" t="inlineStr">
        <is>
          <t>Ogun</t>
        </is>
      </c>
      <c r="K708" s="238" t="n">
        <v>65</v>
      </c>
      <c r="L708" s="223">
        <f>K708*2</f>
        <v/>
      </c>
      <c r="M708" s="220">
        <f>ROUNDDOWN(L708*0.7,)</f>
        <v/>
      </c>
      <c r="N708" s="194" t="n">
        <v>3120</v>
      </c>
      <c r="O708" s="220" t="n">
        <v>670000</v>
      </c>
    </row>
    <row r="709">
      <c r="A709" t="inlineStr">
        <is>
          <t>AFEEZ AJIBADE/Ebenezer</t>
        </is>
      </c>
      <c r="B709">
        <f>CONCATENATE(E709,"-",F709,"-",D709)</f>
        <v/>
      </c>
      <c r="C709" s="25">
        <f>CONCATENATE(G709,"-",F709,"-",D709)</f>
        <v/>
      </c>
      <c r="D709" s="25" t="inlineStr">
        <is>
          <t>JUMBO</t>
        </is>
      </c>
      <c r="E709" s="25" t="inlineStr">
        <is>
          <t>NBL-DSL</t>
        </is>
      </c>
      <c r="F709" s="79" t="inlineStr">
        <is>
          <t>30T</t>
        </is>
      </c>
      <c r="G709" s="204" t="inlineStr">
        <is>
          <t>BAJAJ</t>
        </is>
      </c>
      <c r="H709" s="204" t="inlineStr">
        <is>
          <t>Lagos</t>
        </is>
      </c>
      <c r="I709" s="157" t="inlineStr">
        <is>
          <t>Sokoto</t>
        </is>
      </c>
      <c r="J709" s="157" t="inlineStr">
        <is>
          <t>Sokoto</t>
        </is>
      </c>
      <c r="K709" s="237" t="n">
        <v>1080</v>
      </c>
      <c r="L709" s="223">
        <f>K709*2</f>
        <v/>
      </c>
      <c r="M709" s="220">
        <f>ROUNDDOWN(L709*0.7,)</f>
        <v/>
      </c>
      <c r="N709" s="194" t="n">
        <v>51840</v>
      </c>
      <c r="O709" s="220" t="n">
        <v>4450000</v>
      </c>
    </row>
    <row r="710">
      <c r="A710" t="inlineStr">
        <is>
          <t>AFEEZ AJIBADE/Ebenezer</t>
        </is>
      </c>
      <c r="B710">
        <f>CONCATENATE(E710,"-",F710,"-",D710)</f>
        <v/>
      </c>
      <c r="C710" s="25">
        <f>CONCATENATE(G710,"-",F710,"-",D710)</f>
        <v/>
      </c>
      <c r="D710" s="25" t="inlineStr">
        <is>
          <t>JUMBO</t>
        </is>
      </c>
      <c r="E710" s="25" t="inlineStr">
        <is>
          <t>NBL-DSL</t>
        </is>
      </c>
      <c r="F710" s="79" t="inlineStr">
        <is>
          <t>30T</t>
        </is>
      </c>
      <c r="G710" s="204" t="inlineStr">
        <is>
          <t>BAJAJ</t>
        </is>
      </c>
      <c r="H710" s="204" t="inlineStr">
        <is>
          <t>Lagos</t>
        </is>
      </c>
      <c r="I710" s="159" t="inlineStr">
        <is>
          <t>Gusau</t>
        </is>
      </c>
      <c r="J710" s="159" t="inlineStr">
        <is>
          <t>Zamfara</t>
        </is>
      </c>
      <c r="K710" s="238" t="n">
        <v>930</v>
      </c>
      <c r="L710" s="223">
        <f>K710*2</f>
        <v/>
      </c>
      <c r="M710" s="220">
        <f>ROUNDDOWN(L710*0.7,)</f>
        <v/>
      </c>
      <c r="N710" s="194" t="n">
        <v>44640</v>
      </c>
      <c r="O710" s="220" t="n">
        <v>3870000</v>
      </c>
    </row>
    <row r="711">
      <c r="A711" t="inlineStr">
        <is>
          <t>AFEEZ AJIBADE/Ebenezer</t>
        </is>
      </c>
      <c r="B711">
        <f>CONCATENATE(E711,"-",F711,"-",D711)</f>
        <v/>
      </c>
      <c r="C711" s="25">
        <f>CONCATENATE(G711,"-",F711,"-",D711)</f>
        <v/>
      </c>
      <c r="D711" s="25" t="inlineStr">
        <is>
          <t>JUMBO</t>
        </is>
      </c>
      <c r="E711" s="25" t="inlineStr">
        <is>
          <t>NBL-DSL</t>
        </is>
      </c>
      <c r="F711" s="79" t="inlineStr">
        <is>
          <t>30T</t>
        </is>
      </c>
      <c r="G711" s="204" t="inlineStr">
        <is>
          <t>BAJAJ</t>
        </is>
      </c>
      <c r="H711" s="204" t="inlineStr">
        <is>
          <t>Lagos</t>
        </is>
      </c>
      <c r="I711" s="157" t="inlineStr">
        <is>
          <t>Katsina</t>
        </is>
      </c>
      <c r="J711" s="157" t="inlineStr">
        <is>
          <t>Katsina</t>
        </is>
      </c>
      <c r="K711" s="237" t="n">
        <v>1150</v>
      </c>
      <c r="L711" s="223">
        <f>K711*2</f>
        <v/>
      </c>
      <c r="M711" s="220">
        <f>ROUNDDOWN(L711*0.7,)</f>
        <v/>
      </c>
      <c r="N711" s="194" t="n">
        <v>55200</v>
      </c>
      <c r="O711" s="220" t="n">
        <v>4610000</v>
      </c>
    </row>
    <row r="712">
      <c r="A712" t="inlineStr">
        <is>
          <t>AFEEZ AJIBADE/Ebenezer</t>
        </is>
      </c>
      <c r="B712">
        <f>CONCATENATE(E712,"-",F712,"-",D712)</f>
        <v/>
      </c>
      <c r="C712" s="25">
        <f>CONCATENATE(G712,"-",F712,"-",D712)</f>
        <v/>
      </c>
      <c r="D712" s="25" t="inlineStr">
        <is>
          <t>JUMBO</t>
        </is>
      </c>
      <c r="E712" s="25" t="inlineStr">
        <is>
          <t>NBL-DSL</t>
        </is>
      </c>
      <c r="F712" s="79" t="inlineStr">
        <is>
          <t>30T</t>
        </is>
      </c>
      <c r="G712" s="204" t="inlineStr">
        <is>
          <t>BAJAJ</t>
        </is>
      </c>
      <c r="H712" s="204" t="inlineStr">
        <is>
          <t>Lagos</t>
        </is>
      </c>
      <c r="I712" s="159" t="inlineStr">
        <is>
          <t>Yola</t>
        </is>
      </c>
      <c r="J712" s="159" t="inlineStr">
        <is>
          <t>Adamawa</t>
        </is>
      </c>
      <c r="K712" s="238" t="n">
        <v>1250</v>
      </c>
      <c r="L712" s="223">
        <f>K712*2</f>
        <v/>
      </c>
      <c r="M712" s="220">
        <f>ROUNDDOWN(L712*0.7,)</f>
        <v/>
      </c>
      <c r="N712" s="194" t="n">
        <v>60000</v>
      </c>
      <c r="O712" s="220" t="n">
        <v>5090000</v>
      </c>
    </row>
    <row r="713">
      <c r="A713" t="inlineStr">
        <is>
          <t>AFEEZ AJIBADE/Ebenezer</t>
        </is>
      </c>
      <c r="B713">
        <f>CONCATENATE(E713,"-",F713,"-",D713)</f>
        <v/>
      </c>
      <c r="C713" s="25">
        <f>CONCATENATE(G713,"-",F713,"-",D713)</f>
        <v/>
      </c>
      <c r="D713" s="25" t="inlineStr">
        <is>
          <t>JUMBO</t>
        </is>
      </c>
      <c r="E713" s="25" t="inlineStr">
        <is>
          <t>NBL-DSL</t>
        </is>
      </c>
      <c r="F713" s="79" t="inlineStr">
        <is>
          <t>30T</t>
        </is>
      </c>
      <c r="G713" s="204" t="inlineStr">
        <is>
          <t>BAJAJ</t>
        </is>
      </c>
      <c r="H713" s="204" t="inlineStr">
        <is>
          <t>Lagos</t>
        </is>
      </c>
      <c r="I713" s="157" t="inlineStr">
        <is>
          <t>Saki</t>
        </is>
      </c>
      <c r="J713" s="157" t="inlineStr">
        <is>
          <t>Oyo</t>
        </is>
      </c>
      <c r="K713" s="237" t="n">
        <v>280</v>
      </c>
      <c r="L713" s="223">
        <f>K713*2</f>
        <v/>
      </c>
      <c r="M713" s="220">
        <f>ROUNDDOWN(L713*0.7,)</f>
        <v/>
      </c>
      <c r="N713" s="194" t="n">
        <v>13440</v>
      </c>
      <c r="O713" s="220" t="n">
        <v>1400000</v>
      </c>
    </row>
    <row r="714">
      <c r="A714" t="inlineStr">
        <is>
          <t>AFEEZ AJIBADE/Ebenezer</t>
        </is>
      </c>
      <c r="B714">
        <f>CONCATENATE(E714,"-",F714,"-",D714)</f>
        <v/>
      </c>
      <c r="C714" s="25">
        <f>CONCATENATE(G714,"-",F714,"-",D714)</f>
        <v/>
      </c>
      <c r="D714" s="25" t="inlineStr">
        <is>
          <t>JUMBO</t>
        </is>
      </c>
      <c r="E714" s="25" t="inlineStr">
        <is>
          <t>NBL-DSL</t>
        </is>
      </c>
      <c r="F714" s="79" t="inlineStr">
        <is>
          <t>30T</t>
        </is>
      </c>
      <c r="G714" s="204" t="inlineStr">
        <is>
          <t>BAJAJ</t>
        </is>
      </c>
      <c r="H714" s="204" t="inlineStr">
        <is>
          <t>Lagos</t>
        </is>
      </c>
      <c r="I714" s="159" t="inlineStr">
        <is>
          <t>Minna</t>
        </is>
      </c>
      <c r="J714" s="159" t="inlineStr">
        <is>
          <t>Niger</t>
        </is>
      </c>
      <c r="K714" s="238" t="n">
        <v>590</v>
      </c>
      <c r="L714" s="223">
        <f>K714*2</f>
        <v/>
      </c>
      <c r="M714" s="220">
        <f>ROUNDDOWN(L714*0.7,)</f>
        <v/>
      </c>
      <c r="N714" s="194" t="n">
        <v>28320</v>
      </c>
      <c r="O714" s="220" t="n">
        <v>2600000</v>
      </c>
    </row>
    <row r="715">
      <c r="A715" t="inlineStr">
        <is>
          <t>AFEEZ AJIBADE/Ebenezer</t>
        </is>
      </c>
      <c r="B715">
        <f>CONCATENATE(E715,"-",F715,"-",D715)</f>
        <v/>
      </c>
      <c r="C715" s="25">
        <f>CONCATENATE(G715,"-",F715,"-",D715)</f>
        <v/>
      </c>
      <c r="D715" s="25" t="inlineStr">
        <is>
          <t>JUMBO</t>
        </is>
      </c>
      <c r="E715" s="25" t="inlineStr">
        <is>
          <t>NBL-DSL</t>
        </is>
      </c>
      <c r="F715" s="79" t="inlineStr">
        <is>
          <t>30T</t>
        </is>
      </c>
      <c r="G715" s="204" t="inlineStr">
        <is>
          <t>BAJAJ</t>
        </is>
      </c>
      <c r="H715" s="204" t="inlineStr">
        <is>
          <t>Lagos</t>
        </is>
      </c>
      <c r="I715" s="157" t="inlineStr">
        <is>
          <t>Mokwa</t>
        </is>
      </c>
      <c r="J715" s="157" t="inlineStr">
        <is>
          <t>Niger</t>
        </is>
      </c>
      <c r="K715" s="237" t="n">
        <v>460</v>
      </c>
      <c r="L715" s="223">
        <f>K715*2</f>
        <v/>
      </c>
      <c r="M715" s="220">
        <f>ROUNDDOWN(L715*0.7,)</f>
        <v/>
      </c>
      <c r="N715" s="194" t="n">
        <v>22080</v>
      </c>
      <c r="O715" s="220" t="n">
        <v>2060000</v>
      </c>
    </row>
    <row r="716">
      <c r="A716" t="inlineStr">
        <is>
          <t>AFEEZ AJIBADE/Ebenezer</t>
        </is>
      </c>
      <c r="B716">
        <f>CONCATENATE(E716,"-",F716,"-",D716)</f>
        <v/>
      </c>
      <c r="C716" s="25">
        <f>CONCATENATE(G716,"-",F716,"-",D716)</f>
        <v/>
      </c>
      <c r="D716" s="25" t="inlineStr">
        <is>
          <t>JUMBO</t>
        </is>
      </c>
      <c r="E716" s="25" t="inlineStr">
        <is>
          <t>NBL-DSL</t>
        </is>
      </c>
      <c r="F716" s="79" t="inlineStr">
        <is>
          <t>30T</t>
        </is>
      </c>
      <c r="G716" s="204" t="inlineStr">
        <is>
          <t>BAJAJ</t>
        </is>
      </c>
      <c r="H716" s="204" t="inlineStr">
        <is>
          <t>Lagos</t>
        </is>
      </c>
      <c r="I716" s="159" t="inlineStr">
        <is>
          <t>Aba</t>
        </is>
      </c>
      <c r="J716" s="159" t="inlineStr">
        <is>
          <t>Abia</t>
        </is>
      </c>
      <c r="K716" s="238" t="n">
        <v>610</v>
      </c>
      <c r="L716" s="223">
        <f>K716*2</f>
        <v/>
      </c>
      <c r="M716" s="220">
        <f>ROUNDDOWN(L716*0.7,)</f>
        <v/>
      </c>
      <c r="N716" s="194" t="n">
        <v>29280</v>
      </c>
      <c r="O716" s="220" t="n">
        <v>2650000</v>
      </c>
    </row>
    <row r="717">
      <c r="A717" t="inlineStr">
        <is>
          <t>AFEEZ AJIBADE/Ebenezer</t>
        </is>
      </c>
      <c r="B717">
        <f>CONCATENATE(E717,"-",F717,"-",D717)</f>
        <v/>
      </c>
      <c r="C717" s="25">
        <f>CONCATENATE(G717,"-",F717,"-",D717)</f>
        <v/>
      </c>
      <c r="D717" s="25" t="inlineStr">
        <is>
          <t>JUMBO</t>
        </is>
      </c>
      <c r="E717" s="25" t="inlineStr">
        <is>
          <t>NBL-DSL</t>
        </is>
      </c>
      <c r="F717" s="79" t="inlineStr">
        <is>
          <t>30T</t>
        </is>
      </c>
      <c r="G717" s="204" t="inlineStr">
        <is>
          <t>BAJAJ</t>
        </is>
      </c>
      <c r="H717" s="204" t="inlineStr">
        <is>
          <t>Lagos</t>
        </is>
      </c>
      <c r="I717" s="157" t="inlineStr">
        <is>
          <t>Enugu</t>
        </is>
      </c>
      <c r="J717" s="157" t="inlineStr">
        <is>
          <t>Enugu</t>
        </is>
      </c>
      <c r="K717" s="237" t="n">
        <v>580</v>
      </c>
      <c r="L717" s="223">
        <f>K717*2</f>
        <v/>
      </c>
      <c r="M717" s="220">
        <f>ROUNDDOWN(L717*0.7,)</f>
        <v/>
      </c>
      <c r="N717" s="194" t="n">
        <v>27840</v>
      </c>
      <c r="O717" s="220" t="n">
        <v>2580000</v>
      </c>
    </row>
    <row r="718">
      <c r="A718" t="inlineStr">
        <is>
          <t>AFEEZ AJIBADE/Ebenezer</t>
        </is>
      </c>
      <c r="B718">
        <f>CONCATENATE(E718,"-",F718,"-",D718)</f>
        <v/>
      </c>
      <c r="C718" s="25">
        <f>CONCATENATE(G718,"-",F718,"-",D718)</f>
        <v/>
      </c>
      <c r="D718" s="25" t="inlineStr">
        <is>
          <t>JUMBO</t>
        </is>
      </c>
      <c r="E718" s="25" t="inlineStr">
        <is>
          <t>NBL-DSL</t>
        </is>
      </c>
      <c r="F718" s="79" t="inlineStr">
        <is>
          <t>30T</t>
        </is>
      </c>
      <c r="G718" s="204" t="inlineStr">
        <is>
          <t>BAJAJ</t>
        </is>
      </c>
      <c r="H718" s="204" t="inlineStr">
        <is>
          <t>Lagos</t>
        </is>
      </c>
      <c r="I718" s="159" t="inlineStr">
        <is>
          <t>Owerri</t>
        </is>
      </c>
      <c r="J718" s="159" t="inlineStr">
        <is>
          <t>Imo</t>
        </is>
      </c>
      <c r="K718" s="238" t="n">
        <v>560</v>
      </c>
      <c r="L718" s="223">
        <f>K718*2</f>
        <v/>
      </c>
      <c r="M718" s="220">
        <f>ROUNDDOWN(L718*0.7,)</f>
        <v/>
      </c>
      <c r="N718" s="194" t="n">
        <v>26880</v>
      </c>
      <c r="O718" s="220" t="n">
        <v>2540000</v>
      </c>
    </row>
    <row r="719">
      <c r="A719" t="inlineStr">
        <is>
          <t>AFEEZ AJIBADE/Ebenezer</t>
        </is>
      </c>
      <c r="B719">
        <f>CONCATENATE(E719,"-",F719,"-",D719)</f>
        <v/>
      </c>
      <c r="C719" s="25">
        <f>CONCATENATE(G719,"-",F719,"-",D719)</f>
        <v/>
      </c>
      <c r="D719" s="25" t="inlineStr">
        <is>
          <t>JUMBO</t>
        </is>
      </c>
      <c r="E719" s="25" t="inlineStr">
        <is>
          <t>NBL-DSL</t>
        </is>
      </c>
      <c r="F719" s="79" t="inlineStr">
        <is>
          <t>30T</t>
        </is>
      </c>
      <c r="G719" s="204" t="inlineStr">
        <is>
          <t>BAJAJ</t>
        </is>
      </c>
      <c r="H719" s="204" t="inlineStr">
        <is>
          <t>Lagos</t>
        </is>
      </c>
      <c r="I719" s="157" t="inlineStr">
        <is>
          <t>Port Harcourt</t>
        </is>
      </c>
      <c r="J719" s="157" t="inlineStr">
        <is>
          <t>Rivers</t>
        </is>
      </c>
      <c r="K719" s="237" t="n">
        <v>620</v>
      </c>
      <c r="L719" s="223">
        <f>K719*2</f>
        <v/>
      </c>
      <c r="M719" s="220">
        <f>ROUNDDOWN(L719*0.7,)</f>
        <v/>
      </c>
      <c r="N719" s="194" t="n">
        <v>29760</v>
      </c>
      <c r="O719" s="220" t="n">
        <v>2670000</v>
      </c>
    </row>
    <row r="720">
      <c r="A720" t="inlineStr">
        <is>
          <t>AFEEZ AJIBADE/Ebenezer</t>
        </is>
      </c>
      <c r="B720">
        <f>CONCATENATE(E720,"-",F720,"-",D720)</f>
        <v/>
      </c>
      <c r="C720" s="25">
        <f>CONCATENATE(G720,"-",F720,"-",D720)</f>
        <v/>
      </c>
      <c r="D720" s="25" t="inlineStr">
        <is>
          <t>JUMBO</t>
        </is>
      </c>
      <c r="E720" s="25" t="inlineStr">
        <is>
          <t>NBL-DSL</t>
        </is>
      </c>
      <c r="F720" s="79" t="inlineStr">
        <is>
          <t>30T</t>
        </is>
      </c>
      <c r="G720" s="204" t="inlineStr">
        <is>
          <t>BAJAJ</t>
        </is>
      </c>
      <c r="H720" s="204" t="inlineStr">
        <is>
          <t>Lagos</t>
        </is>
      </c>
      <c r="I720" s="159" t="inlineStr">
        <is>
          <t>Warri</t>
        </is>
      </c>
      <c r="J720" s="159" t="inlineStr">
        <is>
          <t>Delta</t>
        </is>
      </c>
      <c r="K720" s="238" t="n">
        <v>420</v>
      </c>
      <c r="L720" s="223">
        <f>K720*2</f>
        <v/>
      </c>
      <c r="M720" s="220">
        <f>ROUNDDOWN(L720*0.7,)</f>
        <v/>
      </c>
      <c r="N720" s="194" t="n">
        <v>20160</v>
      </c>
      <c r="O720" s="220" t="n">
        <v>1970000</v>
      </c>
    </row>
    <row r="721">
      <c r="A721" t="inlineStr">
        <is>
          <t>AFEEZ AJIBADE/Ebenezer</t>
        </is>
      </c>
      <c r="B721">
        <f>CONCATENATE(E721,"-",F721,"-",D721)</f>
        <v/>
      </c>
      <c r="C721" s="25">
        <f>CONCATENATE(G721,"-",F721,"-",D721)</f>
        <v/>
      </c>
      <c r="D721" s="25" t="inlineStr">
        <is>
          <t>JUMBO</t>
        </is>
      </c>
      <c r="E721" s="25" t="inlineStr">
        <is>
          <t>NBL-DSL</t>
        </is>
      </c>
      <c r="F721" s="79" t="inlineStr">
        <is>
          <t>30T</t>
        </is>
      </c>
      <c r="G721" s="204" t="inlineStr">
        <is>
          <t>BAJAJ</t>
        </is>
      </c>
      <c r="H721" s="204" t="inlineStr">
        <is>
          <t>Lagos</t>
        </is>
      </c>
      <c r="I721" s="157" t="inlineStr">
        <is>
          <t>Abakaliki</t>
        </is>
      </c>
      <c r="J721" s="157" t="inlineStr">
        <is>
          <t>Ebonyi</t>
        </is>
      </c>
      <c r="K721" s="237" t="n">
        <v>650</v>
      </c>
      <c r="L721" s="223">
        <f>K721*2</f>
        <v/>
      </c>
      <c r="M721" s="220">
        <f>ROUNDDOWN(L721*0.7,)</f>
        <v/>
      </c>
      <c r="N721" s="194" t="n">
        <v>31200</v>
      </c>
      <c r="O721" s="220" t="n">
        <v>2730000</v>
      </c>
    </row>
    <row r="722">
      <c r="A722" t="inlineStr">
        <is>
          <t>AFEEZ AJIBADE/Ebenezer</t>
        </is>
      </c>
      <c r="B722">
        <f>CONCATENATE(E722,"-",F722,"-",D722)</f>
        <v/>
      </c>
      <c r="C722" s="25">
        <f>CONCATENATE(G722,"-",F722,"-",D722)</f>
        <v/>
      </c>
      <c r="D722" s="25" t="inlineStr">
        <is>
          <t>JUMBO</t>
        </is>
      </c>
      <c r="E722" s="25" t="inlineStr">
        <is>
          <t>NBL-DSL</t>
        </is>
      </c>
      <c r="F722" s="79" t="inlineStr">
        <is>
          <t>30T</t>
        </is>
      </c>
      <c r="G722" s="204" t="inlineStr">
        <is>
          <t>BAJAJ</t>
        </is>
      </c>
      <c r="H722" s="204" t="inlineStr">
        <is>
          <t>Lagos</t>
        </is>
      </c>
      <c r="I722" s="159" t="inlineStr">
        <is>
          <t>Benin City</t>
        </is>
      </c>
      <c r="J722" s="159" t="inlineStr">
        <is>
          <t>Edo</t>
        </is>
      </c>
      <c r="K722" s="238" t="n">
        <v>320</v>
      </c>
      <c r="L722" s="223">
        <f>K722*2</f>
        <v/>
      </c>
      <c r="M722" s="220">
        <f>ROUNDDOWN(L722*0.7,)</f>
        <v/>
      </c>
      <c r="N722" s="194" t="n">
        <v>15360</v>
      </c>
      <c r="O722" s="220" t="n">
        <v>1490000</v>
      </c>
    </row>
    <row r="723">
      <c r="A723" t="inlineStr">
        <is>
          <t>AFEEZ AJIBADE/Ebenezer</t>
        </is>
      </c>
      <c r="B723">
        <f>CONCATENATE(E723,"-",F723,"-",D723)</f>
        <v/>
      </c>
      <c r="C723" s="25">
        <f>CONCATENATE(G723,"-",F723,"-",D723)</f>
        <v/>
      </c>
      <c r="D723" s="25" t="inlineStr">
        <is>
          <t>JUMBO</t>
        </is>
      </c>
      <c r="E723" s="25" t="inlineStr">
        <is>
          <t>NBL-DSL</t>
        </is>
      </c>
      <c r="F723" s="79" t="inlineStr">
        <is>
          <t>30T</t>
        </is>
      </c>
      <c r="G723" s="204" t="inlineStr">
        <is>
          <t>BAJAJ</t>
        </is>
      </c>
      <c r="H723" s="204" t="inlineStr">
        <is>
          <t>Lagos</t>
        </is>
      </c>
      <c r="I723" s="157" t="inlineStr">
        <is>
          <t>Sango-Ota</t>
        </is>
      </c>
      <c r="J723" s="157" t="inlineStr">
        <is>
          <t>Ogun</t>
        </is>
      </c>
      <c r="K723" s="237" t="n">
        <v>30</v>
      </c>
      <c r="L723" s="223">
        <f>K723*2</f>
        <v/>
      </c>
      <c r="M723" s="220">
        <f>ROUNDDOWN(L723*0.7,)</f>
        <v/>
      </c>
      <c r="N723" s="194" t="n">
        <v>1440</v>
      </c>
      <c r="O723" s="220" t="n">
        <v>600000</v>
      </c>
    </row>
    <row r="724">
      <c r="A724" t="inlineStr">
        <is>
          <t>AFEEZ AJIBADE/Ebenezer</t>
        </is>
      </c>
      <c r="B724">
        <f>CONCATENATE(E724,"-",F724,"-",D724)</f>
        <v/>
      </c>
      <c r="C724" s="25">
        <f>CONCATENATE(G724,"-",F724,"-",D724)</f>
        <v/>
      </c>
      <c r="D724" s="25" t="inlineStr">
        <is>
          <t>JUMBO</t>
        </is>
      </c>
      <c r="E724" s="25" t="inlineStr">
        <is>
          <t>NBL-DSL</t>
        </is>
      </c>
      <c r="F724" s="79" t="inlineStr">
        <is>
          <t>30T</t>
        </is>
      </c>
      <c r="G724" s="204" t="inlineStr">
        <is>
          <t>BAJAJ</t>
        </is>
      </c>
      <c r="H724" s="204" t="inlineStr">
        <is>
          <t>Lagos</t>
        </is>
      </c>
      <c r="I724" s="159" t="inlineStr">
        <is>
          <t>Osogbo</t>
        </is>
      </c>
      <c r="J724" s="159" t="inlineStr">
        <is>
          <t>Osun</t>
        </is>
      </c>
      <c r="K724" s="238" t="n">
        <v>240</v>
      </c>
      <c r="L724" s="223">
        <f>K724*2</f>
        <v/>
      </c>
      <c r="M724" s="220">
        <f>ROUNDDOWN(L724*0.7,)</f>
        <v/>
      </c>
      <c r="N724" s="194" t="n">
        <v>11520</v>
      </c>
      <c r="O724" s="220" t="n">
        <v>1320000</v>
      </c>
    </row>
    <row r="725">
      <c r="A725" t="inlineStr">
        <is>
          <t>AFEEZ AJIBADE/Ebenezer</t>
        </is>
      </c>
      <c r="B725">
        <f>CONCATENATE(E725,"-",F725,"-",D725)</f>
        <v/>
      </c>
      <c r="C725" s="25">
        <f>CONCATENATE(G725,"-",F725,"-",D725)</f>
        <v/>
      </c>
      <c r="D725" s="25" t="inlineStr">
        <is>
          <t>JUMBO</t>
        </is>
      </c>
      <c r="E725" s="25" t="inlineStr">
        <is>
          <t>NBL-DSL</t>
        </is>
      </c>
      <c r="F725" s="79" t="inlineStr">
        <is>
          <t>30T</t>
        </is>
      </c>
      <c r="G725" s="204" t="inlineStr">
        <is>
          <t>BAJAJ</t>
        </is>
      </c>
      <c r="H725" s="204" t="inlineStr">
        <is>
          <t>Lagos</t>
        </is>
      </c>
      <c r="I725" s="157" t="inlineStr">
        <is>
          <t>Ado-Ekiti</t>
        </is>
      </c>
      <c r="J725" s="157" t="inlineStr">
        <is>
          <t>Ekiti</t>
        </is>
      </c>
      <c r="K725" s="237" t="n">
        <v>350</v>
      </c>
      <c r="L725" s="223">
        <f>K725*2</f>
        <v/>
      </c>
      <c r="M725" s="220">
        <f>ROUNDDOWN(L725*0.7,)</f>
        <v/>
      </c>
      <c r="N725" s="194" t="n">
        <v>16800</v>
      </c>
      <c r="O725" s="220" t="n">
        <v>1550000</v>
      </c>
    </row>
    <row r="726">
      <c r="A726" t="inlineStr">
        <is>
          <t>AFEEZ AJIBADE/Ebenezer</t>
        </is>
      </c>
      <c r="B726">
        <f>CONCATENATE(E726,"-",F726,"-",D726)</f>
        <v/>
      </c>
      <c r="C726" s="25">
        <f>CONCATENATE(G726,"-",F726,"-",D726)</f>
        <v/>
      </c>
      <c r="D726" s="25" t="inlineStr">
        <is>
          <t>JUMBO</t>
        </is>
      </c>
      <c r="E726" s="25" t="inlineStr">
        <is>
          <t>NBL-DSL</t>
        </is>
      </c>
      <c r="F726" s="79" t="inlineStr">
        <is>
          <t>30T</t>
        </is>
      </c>
      <c r="G726" s="204" t="inlineStr">
        <is>
          <t>BAJAJ</t>
        </is>
      </c>
      <c r="H726" s="204" t="inlineStr">
        <is>
          <t>Lagos</t>
        </is>
      </c>
      <c r="I726" s="159" t="inlineStr">
        <is>
          <t>Makurdi</t>
        </is>
      </c>
      <c r="J726" s="159" t="inlineStr">
        <is>
          <t>Benue</t>
        </is>
      </c>
      <c r="K726" s="238" t="n">
        <v>760</v>
      </c>
      <c r="L726" s="223">
        <f>K726*2</f>
        <v/>
      </c>
      <c r="M726" s="220">
        <f>ROUNDDOWN(L726*0.7,)</f>
        <v/>
      </c>
      <c r="N726" s="194" t="n">
        <v>36480</v>
      </c>
      <c r="O726" s="220" t="n">
        <v>3230000</v>
      </c>
    </row>
    <row r="727">
      <c r="A727" t="inlineStr">
        <is>
          <t>AFEEZ AJIBADE/Ebenezer</t>
        </is>
      </c>
      <c r="B727">
        <f>CONCATENATE(E727,"-",F727,"-",D727)</f>
        <v/>
      </c>
      <c r="C727" s="25">
        <f>CONCATENATE(G727,"-",F727,"-",D727)</f>
        <v/>
      </c>
      <c r="D727" s="25" t="inlineStr">
        <is>
          <t>JUMBO</t>
        </is>
      </c>
      <c r="E727" s="25" t="inlineStr">
        <is>
          <t>NBL-DSL</t>
        </is>
      </c>
      <c r="F727" s="79" t="inlineStr">
        <is>
          <t>30T</t>
        </is>
      </c>
      <c r="G727" s="204" t="inlineStr">
        <is>
          <t>BAJAJ</t>
        </is>
      </c>
      <c r="H727" s="204" t="inlineStr">
        <is>
          <t>Lagos</t>
        </is>
      </c>
      <c r="I727" s="157" t="inlineStr">
        <is>
          <t>Gboko</t>
        </is>
      </c>
      <c r="J727" s="157" t="inlineStr">
        <is>
          <t>Benue</t>
        </is>
      </c>
      <c r="K727" s="237" t="n">
        <v>820</v>
      </c>
      <c r="L727" s="223">
        <f>K727*2</f>
        <v/>
      </c>
      <c r="M727" s="220">
        <f>ROUNDDOWN(L727*0.7,)</f>
        <v/>
      </c>
      <c r="N727" s="194" t="n">
        <v>39360</v>
      </c>
      <c r="O727" s="220" t="n">
        <v>3360000</v>
      </c>
    </row>
    <row r="728">
      <c r="A728" t="inlineStr">
        <is>
          <t>AFEEZ AJIBADE/Ebenezer</t>
        </is>
      </c>
      <c r="B728">
        <f>CONCATENATE(E728,"-",F728,"-",D728)</f>
        <v/>
      </c>
      <c r="C728" s="25">
        <f>CONCATENATE(G728,"-",F728,"-",D728)</f>
        <v/>
      </c>
      <c r="D728" s="25" t="inlineStr">
        <is>
          <t>JUMBO</t>
        </is>
      </c>
      <c r="E728" s="25" t="inlineStr">
        <is>
          <t>NBL-DSL</t>
        </is>
      </c>
      <c r="F728" s="79" t="inlineStr">
        <is>
          <t>30T</t>
        </is>
      </c>
      <c r="G728" s="204" t="inlineStr">
        <is>
          <t>BAJAJ</t>
        </is>
      </c>
      <c r="H728" s="204" t="inlineStr">
        <is>
          <t>Lagos</t>
        </is>
      </c>
      <c r="I728" s="159" t="inlineStr">
        <is>
          <t>Talata Mafara</t>
        </is>
      </c>
      <c r="J728" s="159" t="inlineStr">
        <is>
          <t>Zamfara</t>
        </is>
      </c>
      <c r="K728" s="238" t="n">
        <v>970</v>
      </c>
      <c r="L728" s="223">
        <f>K728*2</f>
        <v/>
      </c>
      <c r="M728" s="220">
        <f>ROUNDDOWN(L728*0.7,)</f>
        <v/>
      </c>
      <c r="N728" s="194" t="n">
        <v>46560</v>
      </c>
      <c r="O728" s="220" t="n">
        <v>3950000</v>
      </c>
    </row>
    <row r="729">
      <c r="A729" t="inlineStr">
        <is>
          <t>AFEEZ AJIBADE/Ebenezer</t>
        </is>
      </c>
      <c r="B729">
        <f>CONCATENATE(E729,"-",F729,"-",D729)</f>
        <v/>
      </c>
      <c r="C729" s="25">
        <f>CONCATENATE(G729,"-",F729,"-",D729)</f>
        <v/>
      </c>
      <c r="D729" s="25" t="inlineStr">
        <is>
          <t>JUMBO</t>
        </is>
      </c>
      <c r="E729" s="25" t="inlineStr">
        <is>
          <t>NBL-DSL</t>
        </is>
      </c>
      <c r="F729" s="79" t="inlineStr">
        <is>
          <t>30T</t>
        </is>
      </c>
      <c r="G729" s="204" t="inlineStr">
        <is>
          <t>BAJAJ</t>
        </is>
      </c>
      <c r="H729" s="204" t="inlineStr">
        <is>
          <t>Lagos</t>
        </is>
      </c>
      <c r="I729" s="157" t="inlineStr">
        <is>
          <t>Saminaka</t>
        </is>
      </c>
      <c r="J729" s="157" t="inlineStr">
        <is>
          <t>Kaduna</t>
        </is>
      </c>
      <c r="K729" s="237" t="n">
        <v>920</v>
      </c>
      <c r="L729" s="223">
        <f>K729*2</f>
        <v/>
      </c>
      <c r="M729" s="220">
        <f>ROUNDDOWN(L729*0.7,)</f>
        <v/>
      </c>
      <c r="N729" s="194" t="n">
        <v>44160</v>
      </c>
      <c r="O729" s="220" t="n">
        <v>3840000</v>
      </c>
    </row>
    <row r="730">
      <c r="A730" t="inlineStr">
        <is>
          <t>AFEEZ AJIBADE/Ebenezer</t>
        </is>
      </c>
      <c r="B730">
        <f>CONCATENATE(E730,"-",F730,"-",D730)</f>
        <v/>
      </c>
      <c r="C730" s="25">
        <f>CONCATENATE(G730,"-",F730,"-",D730)</f>
        <v/>
      </c>
      <c r="D730" s="25" t="inlineStr">
        <is>
          <t>JUMBO</t>
        </is>
      </c>
      <c r="E730" s="25" t="inlineStr">
        <is>
          <t>NBL-DSL</t>
        </is>
      </c>
      <c r="F730" s="79" t="inlineStr">
        <is>
          <t>30T</t>
        </is>
      </c>
      <c r="G730" s="204" t="inlineStr">
        <is>
          <t>BAJAJ</t>
        </is>
      </c>
      <c r="H730" s="204" t="inlineStr">
        <is>
          <t>Lagos</t>
        </is>
      </c>
      <c r="I730" s="159" t="inlineStr">
        <is>
          <t>Jebba</t>
        </is>
      </c>
      <c r="J730" s="159" t="inlineStr">
        <is>
          <t>Kwara</t>
        </is>
      </c>
      <c r="K730" s="238" t="n">
        <v>380</v>
      </c>
      <c r="L730" s="223">
        <f>K730*2</f>
        <v/>
      </c>
      <c r="M730" s="220">
        <f>ROUNDDOWN(L730*0.7,)</f>
        <v/>
      </c>
      <c r="N730" s="194" t="n">
        <v>18240</v>
      </c>
      <c r="O730" s="220" t="n">
        <v>1880000</v>
      </c>
    </row>
    <row r="731">
      <c r="A731" t="inlineStr">
        <is>
          <t>AFEEZ AJIBADE/Ebenezer</t>
        </is>
      </c>
      <c r="B731">
        <f>CONCATENATE(E731,"-",F731,"-",D731)</f>
        <v/>
      </c>
      <c r="C731" s="25">
        <f>CONCATENATE(G731,"-",F731,"-",D731)</f>
        <v/>
      </c>
      <c r="D731" s="25" t="inlineStr">
        <is>
          <t>JUMBO</t>
        </is>
      </c>
      <c r="E731" s="25" t="inlineStr">
        <is>
          <t>NBL-DSL</t>
        </is>
      </c>
      <c r="F731" s="79" t="inlineStr">
        <is>
          <t>30T</t>
        </is>
      </c>
      <c r="G731" s="204" t="inlineStr">
        <is>
          <t>BAJAJ</t>
        </is>
      </c>
      <c r="H731" s="204" t="inlineStr">
        <is>
          <t>Lagos</t>
        </is>
      </c>
      <c r="I731" s="157" t="inlineStr">
        <is>
          <t>Jalingo</t>
        </is>
      </c>
      <c r="J731" s="157" t="inlineStr">
        <is>
          <t>Taraba</t>
        </is>
      </c>
      <c r="K731" s="237" t="n">
        <v>1120</v>
      </c>
      <c r="L731" s="223">
        <f>K731*2</f>
        <v/>
      </c>
      <c r="M731" s="220">
        <f>ROUNDDOWN(L731*0.7,)</f>
        <v/>
      </c>
      <c r="N731" s="194" t="n">
        <v>53760</v>
      </c>
      <c r="O731" s="220" t="n">
        <v>4540000</v>
      </c>
    </row>
    <row r="732">
      <c r="A732" t="inlineStr">
        <is>
          <t>AFEEZ AJIBADE/Ebenezer</t>
        </is>
      </c>
      <c r="B732">
        <f>CONCATENATE(E732,"-",F732,"-",D732)</f>
        <v/>
      </c>
      <c r="C732" s="25">
        <f>CONCATENATE(G732,"-",F732,"-",D732)</f>
        <v/>
      </c>
      <c r="D732" s="25" t="inlineStr">
        <is>
          <t>JUMBO</t>
        </is>
      </c>
      <c r="E732" s="25" t="inlineStr">
        <is>
          <t>NBL-DSL</t>
        </is>
      </c>
      <c r="F732" s="79" t="inlineStr">
        <is>
          <t>30T</t>
        </is>
      </c>
      <c r="G732" s="204" t="inlineStr">
        <is>
          <t>BAJAJ</t>
        </is>
      </c>
      <c r="H732" s="204" t="inlineStr">
        <is>
          <t>Lagos</t>
        </is>
      </c>
      <c r="I732" s="159" t="inlineStr">
        <is>
          <t>Jos</t>
        </is>
      </c>
      <c r="J732" s="159" t="inlineStr">
        <is>
          <t>Plateau</t>
        </is>
      </c>
      <c r="K732" s="238" t="n">
        <v>980</v>
      </c>
      <c r="L732" s="223">
        <f>K732*2</f>
        <v/>
      </c>
      <c r="M732" s="220">
        <f>ROUNDDOWN(L732*0.7,)</f>
        <v/>
      </c>
      <c r="N732" s="194" t="n">
        <v>47040</v>
      </c>
      <c r="O732" s="220" t="n">
        <v>3980000</v>
      </c>
    </row>
    <row r="733">
      <c r="A733" t="inlineStr">
        <is>
          <t>AFEEZ AJIBADE/Ebenezer</t>
        </is>
      </c>
      <c r="B733">
        <f>CONCATENATE(E733,"-",F733,"-",D733)</f>
        <v/>
      </c>
      <c r="C733" s="25">
        <f>CONCATENATE(G733,"-",F733,"-",D733)</f>
        <v/>
      </c>
      <c r="D733" s="25" t="inlineStr">
        <is>
          <t>JUMBO</t>
        </is>
      </c>
      <c r="E733" s="25" t="inlineStr">
        <is>
          <t>NBL-DSL</t>
        </is>
      </c>
      <c r="F733" s="79" t="inlineStr">
        <is>
          <t>30T</t>
        </is>
      </c>
      <c r="G733" s="204" t="inlineStr">
        <is>
          <t>BAJAJ</t>
        </is>
      </c>
      <c r="H733" s="204" t="inlineStr">
        <is>
          <t>Lagos</t>
        </is>
      </c>
      <c r="I733" s="157" t="inlineStr">
        <is>
          <t>Ile-Ife</t>
        </is>
      </c>
      <c r="J733" s="157" t="inlineStr">
        <is>
          <t>Osun</t>
        </is>
      </c>
      <c r="K733" s="237" t="n">
        <v>220</v>
      </c>
      <c r="L733" s="223">
        <f>K733*2</f>
        <v/>
      </c>
      <c r="M733" s="220">
        <f>ROUNDDOWN(L733*0.7,)</f>
        <v/>
      </c>
      <c r="N733" s="194" t="n">
        <v>10560</v>
      </c>
      <c r="O733" s="220" t="n">
        <v>1270000</v>
      </c>
    </row>
    <row r="734">
      <c r="A734" t="inlineStr">
        <is>
          <t>AFEEZ AJIBADE/Ebenezer</t>
        </is>
      </c>
      <c r="B734">
        <f>CONCATENATE(E734,"-",F734,"-",D734)</f>
        <v/>
      </c>
      <c r="C734" s="25">
        <f>CONCATENATE(G734,"-",F734,"-",D734)</f>
        <v/>
      </c>
      <c r="D734" s="25" t="inlineStr">
        <is>
          <t>JUMBO</t>
        </is>
      </c>
      <c r="E734" s="25" t="inlineStr">
        <is>
          <t>NBL-DSL</t>
        </is>
      </c>
      <c r="F734" s="79" t="inlineStr">
        <is>
          <t>30T</t>
        </is>
      </c>
      <c r="G734" s="204" t="inlineStr">
        <is>
          <t>BAJAJ</t>
        </is>
      </c>
      <c r="H734" s="204" t="inlineStr">
        <is>
          <t>Lagos</t>
        </is>
      </c>
      <c r="I734" s="159" t="inlineStr">
        <is>
          <t>Idanre</t>
        </is>
      </c>
      <c r="J734" s="159" t="inlineStr">
        <is>
          <t>Ondo</t>
        </is>
      </c>
      <c r="K734" s="238" t="n">
        <v>330</v>
      </c>
      <c r="L734" s="223">
        <f>K734*2</f>
        <v/>
      </c>
      <c r="M734" s="220">
        <f>ROUNDDOWN(L734*0.7,)</f>
        <v/>
      </c>
      <c r="N734" s="194" t="n">
        <v>15840</v>
      </c>
      <c r="O734" s="220" t="n">
        <v>1510000</v>
      </c>
    </row>
    <row r="735">
      <c r="A735" t="inlineStr">
        <is>
          <t>AFEEZ AJIBADE/Ebenezer</t>
        </is>
      </c>
      <c r="B735">
        <f>CONCATENATE(E735,"-",F735,"-",D735)</f>
        <v/>
      </c>
      <c r="C735" s="25">
        <f>CONCATENATE(G735,"-",F735,"-",D735)</f>
        <v/>
      </c>
      <c r="D735" s="25" t="inlineStr">
        <is>
          <t>JUMBO</t>
        </is>
      </c>
      <c r="E735" s="25" t="inlineStr">
        <is>
          <t>NBL-DSL</t>
        </is>
      </c>
      <c r="F735" s="79" t="inlineStr">
        <is>
          <t>30T</t>
        </is>
      </c>
      <c r="G735" s="204" t="inlineStr">
        <is>
          <t>BAJAJ</t>
        </is>
      </c>
      <c r="H735" s="204" t="inlineStr">
        <is>
          <t>Lagos</t>
        </is>
      </c>
      <c r="I735" s="157" t="inlineStr">
        <is>
          <t>Gombe</t>
        </is>
      </c>
      <c r="J735" s="157" t="inlineStr">
        <is>
          <t>Gombe</t>
        </is>
      </c>
      <c r="K735" s="237" t="n">
        <v>1120</v>
      </c>
      <c r="L735" s="223">
        <f>K735*2</f>
        <v/>
      </c>
      <c r="M735" s="220">
        <f>ROUNDDOWN(L735*0.7,)</f>
        <v/>
      </c>
      <c r="N735" s="194" t="n">
        <v>53760</v>
      </c>
      <c r="O735" s="220" t="n">
        <v>4540000</v>
      </c>
    </row>
    <row r="736">
      <c r="A736" t="inlineStr">
        <is>
          <t>AFEEZ AJIBADE/Ebenezer</t>
        </is>
      </c>
      <c r="B736">
        <f>CONCATENATE(E736,"-",F736,"-",D736)</f>
        <v/>
      </c>
      <c r="C736" s="25">
        <f>CONCATENATE(G736,"-",F736,"-",D736)</f>
        <v/>
      </c>
      <c r="D736" s="25" t="inlineStr">
        <is>
          <t>JUMBO</t>
        </is>
      </c>
      <c r="E736" s="25" t="inlineStr">
        <is>
          <t>NBL-DSL</t>
        </is>
      </c>
      <c r="F736" s="79" t="inlineStr">
        <is>
          <t>30T</t>
        </is>
      </c>
      <c r="G736" s="204" t="inlineStr">
        <is>
          <t>BAJAJ</t>
        </is>
      </c>
      <c r="H736" s="204" t="inlineStr">
        <is>
          <t>Lagos</t>
        </is>
      </c>
      <c r="I736" s="159" t="inlineStr">
        <is>
          <t>Umuahia</t>
        </is>
      </c>
      <c r="J736" s="159" t="inlineStr">
        <is>
          <t>Abia</t>
        </is>
      </c>
      <c r="K736" s="238" t="n">
        <v>590</v>
      </c>
      <c r="L736" s="223">
        <f>K736*2</f>
        <v/>
      </c>
      <c r="M736" s="220">
        <f>ROUNDDOWN(L736*0.7,)</f>
        <v/>
      </c>
      <c r="N736" s="194" t="n">
        <v>28320</v>
      </c>
      <c r="O736" s="220" t="n">
        <v>2600000</v>
      </c>
    </row>
    <row r="737">
      <c r="A737" t="inlineStr">
        <is>
          <t>AFEEZ AJIBADE/Ebenezer</t>
        </is>
      </c>
      <c r="B737">
        <f>CONCATENATE(E737,"-",F737,"-",D737)</f>
        <v/>
      </c>
      <c r="C737" s="25">
        <f>CONCATENATE(G737,"-",F737,"-",D737)</f>
        <v/>
      </c>
      <c r="D737" s="25" t="inlineStr">
        <is>
          <t>JUMBO</t>
        </is>
      </c>
      <c r="E737" s="25" t="inlineStr">
        <is>
          <t>NBL-DSL</t>
        </is>
      </c>
      <c r="F737" s="79" t="inlineStr">
        <is>
          <t>30T</t>
        </is>
      </c>
      <c r="G737" s="204" t="inlineStr">
        <is>
          <t>BAJAJ</t>
        </is>
      </c>
      <c r="H737" s="204" t="inlineStr">
        <is>
          <t>Lagos</t>
        </is>
      </c>
      <c r="I737" s="157" t="inlineStr">
        <is>
          <t>Ilesa</t>
        </is>
      </c>
      <c r="J737" s="157" t="inlineStr">
        <is>
          <t>Osun</t>
        </is>
      </c>
      <c r="K737" s="237" t="n">
        <v>250</v>
      </c>
      <c r="L737" s="223">
        <f>K737*2</f>
        <v/>
      </c>
      <c r="M737" s="220">
        <f>ROUNDDOWN(L737*0.7,)</f>
        <v/>
      </c>
      <c r="N737" s="194" t="n">
        <v>12000</v>
      </c>
      <c r="O737" s="220" t="n">
        <v>1340000</v>
      </c>
    </row>
    <row r="738">
      <c r="A738" t="inlineStr">
        <is>
          <t>AFEEZ AJIBADE/Ebenezer</t>
        </is>
      </c>
      <c r="B738">
        <f>CONCATENATE(E738,"-",F738,"-",D738)</f>
        <v/>
      </c>
      <c r="C738" s="25">
        <f>CONCATENATE(G738,"-",F738,"-",D738)</f>
        <v/>
      </c>
      <c r="D738" s="25" t="inlineStr">
        <is>
          <t>JUMBO</t>
        </is>
      </c>
      <c r="E738" s="25" t="inlineStr">
        <is>
          <t>NBL-DSL</t>
        </is>
      </c>
      <c r="F738" s="79" t="inlineStr">
        <is>
          <t>30T</t>
        </is>
      </c>
      <c r="G738" s="204" t="inlineStr">
        <is>
          <t>BAJAJ</t>
        </is>
      </c>
      <c r="H738" s="204" t="inlineStr">
        <is>
          <t>Lagos</t>
        </is>
      </c>
      <c r="I738" s="159" t="inlineStr">
        <is>
          <t>Ikare</t>
        </is>
      </c>
      <c r="J738" s="159" t="inlineStr">
        <is>
          <t>Ondo</t>
        </is>
      </c>
      <c r="K738" s="238" t="n">
        <v>290</v>
      </c>
      <c r="L738" s="223">
        <f>K738*2</f>
        <v/>
      </c>
      <c r="M738" s="220">
        <f>ROUNDDOWN(L738*0.7,)</f>
        <v/>
      </c>
      <c r="N738" s="194" t="n">
        <v>13920</v>
      </c>
      <c r="O738" s="220" t="n">
        <v>1420000</v>
      </c>
    </row>
    <row r="739">
      <c r="A739" t="inlineStr">
        <is>
          <t>AFEEZ AJIBADE/Ebenezer</t>
        </is>
      </c>
      <c r="B739">
        <f>CONCATENATE(E739,"-",F739,"-",D739)</f>
        <v/>
      </c>
      <c r="C739" s="25">
        <f>CONCATENATE(G739,"-",F739,"-",D739)</f>
        <v/>
      </c>
      <c r="D739" s="25" t="inlineStr">
        <is>
          <t>JUMBO</t>
        </is>
      </c>
      <c r="E739" s="25" t="inlineStr">
        <is>
          <t>NBL-DSL</t>
        </is>
      </c>
      <c r="F739" s="79" t="inlineStr">
        <is>
          <t>30T</t>
        </is>
      </c>
      <c r="G739" s="204" t="inlineStr">
        <is>
          <t>BAJAJ</t>
        </is>
      </c>
      <c r="H739" s="204" t="inlineStr">
        <is>
          <t>Lagos</t>
        </is>
      </c>
      <c r="I739" s="157" t="inlineStr">
        <is>
          <t>Offa</t>
        </is>
      </c>
      <c r="J739" s="157" t="inlineStr">
        <is>
          <t>Kwara</t>
        </is>
      </c>
      <c r="K739" s="237" t="n">
        <v>280</v>
      </c>
      <c r="L739" s="223">
        <f>K739*2</f>
        <v/>
      </c>
      <c r="M739" s="220">
        <f>ROUNDDOWN(L739*0.7,)</f>
        <v/>
      </c>
      <c r="N739" s="194" t="n">
        <v>13440</v>
      </c>
      <c r="O739" s="220" t="n">
        <v>1400000</v>
      </c>
    </row>
    <row r="740">
      <c r="A740" t="inlineStr">
        <is>
          <t>AFEEZ AJIBADE/Ebenezer</t>
        </is>
      </c>
      <c r="B740">
        <f>CONCATENATE(E740,"-",F740,"-",D740)</f>
        <v/>
      </c>
      <c r="C740" s="25">
        <f>CONCATENATE(G740,"-",F740,"-",D740)</f>
        <v/>
      </c>
      <c r="D740" s="25" t="inlineStr">
        <is>
          <t>JUMBO</t>
        </is>
      </c>
      <c r="E740" s="25" t="inlineStr">
        <is>
          <t>NBL-DSL</t>
        </is>
      </c>
      <c r="F740" s="79" t="inlineStr">
        <is>
          <t>30T</t>
        </is>
      </c>
      <c r="G740" s="204" t="inlineStr">
        <is>
          <t>BAJAJ</t>
        </is>
      </c>
      <c r="H740" s="204" t="inlineStr">
        <is>
          <t>Lagos</t>
        </is>
      </c>
      <c r="I740" s="159" t="inlineStr">
        <is>
          <t>Dutse</t>
        </is>
      </c>
      <c r="J740" s="159" t="inlineStr">
        <is>
          <t>Jigawa</t>
        </is>
      </c>
      <c r="K740" s="238" t="n">
        <v>1120</v>
      </c>
      <c r="L740" s="223">
        <f>K740*2</f>
        <v/>
      </c>
      <c r="M740" s="220">
        <f>ROUNDDOWN(L740*0.7,)</f>
        <v/>
      </c>
      <c r="N740" s="194" t="n">
        <v>53760</v>
      </c>
      <c r="O740" s="220" t="n">
        <v>4540000</v>
      </c>
    </row>
    <row r="741">
      <c r="A741" t="inlineStr">
        <is>
          <t>AFEEZ AJIBADE/Ebenezer</t>
        </is>
      </c>
      <c r="B741">
        <f>CONCATENATE(E741,"-",F741,"-",D741)</f>
        <v/>
      </c>
      <c r="C741" s="25">
        <f>CONCATENATE(G741,"-",F741,"-",D741)</f>
        <v/>
      </c>
      <c r="D741" s="25" t="inlineStr">
        <is>
          <t>JUMBO</t>
        </is>
      </c>
      <c r="E741" s="25" t="inlineStr">
        <is>
          <t>NBL-DSL</t>
        </is>
      </c>
      <c r="F741" s="79" t="inlineStr">
        <is>
          <t>30T</t>
        </is>
      </c>
      <c r="G741" s="204" t="inlineStr">
        <is>
          <t>BAJAJ</t>
        </is>
      </c>
      <c r="H741" s="204" t="inlineStr">
        <is>
          <t>Lagos</t>
        </is>
      </c>
      <c r="I741" s="157" t="inlineStr">
        <is>
          <t>Maiduguri</t>
        </is>
      </c>
      <c r="J741" s="157" t="inlineStr">
        <is>
          <t>Borno</t>
        </is>
      </c>
      <c r="K741" s="237" t="n">
        <v>1500</v>
      </c>
      <c r="L741" s="223">
        <f>K741*2</f>
        <v/>
      </c>
      <c r="M741" s="220">
        <f>ROUNDDOWN(L741*0.7,)</f>
        <v/>
      </c>
      <c r="N741" s="194" t="n">
        <v>72000</v>
      </c>
      <c r="O741" s="220" t="n">
        <v>5890000</v>
      </c>
    </row>
    <row r="742">
      <c r="A742" t="inlineStr">
        <is>
          <t>AFEEZ AJIBADE/Ebenezer</t>
        </is>
      </c>
      <c r="B742">
        <f>CONCATENATE(E742,"-",F742,"-",D742)</f>
        <v/>
      </c>
      <c r="C742" s="25">
        <f>CONCATENATE(G742,"-",F742,"-",D742)</f>
        <v/>
      </c>
      <c r="D742" s="25" t="inlineStr">
        <is>
          <t>JUMBO</t>
        </is>
      </c>
      <c r="E742" s="25" t="inlineStr">
        <is>
          <t>NBL-DSL</t>
        </is>
      </c>
      <c r="F742" s="79" t="inlineStr">
        <is>
          <t>30T</t>
        </is>
      </c>
      <c r="G742" s="204" t="inlineStr">
        <is>
          <t>BAJAJ</t>
        </is>
      </c>
      <c r="H742" s="204" t="inlineStr">
        <is>
          <t>Lagos</t>
        </is>
      </c>
      <c r="I742" s="159" t="inlineStr">
        <is>
          <t>Ejigbo (Osun)</t>
        </is>
      </c>
      <c r="J742" s="159" t="inlineStr">
        <is>
          <t>Osun</t>
        </is>
      </c>
      <c r="K742" s="238" t="n">
        <v>220</v>
      </c>
      <c r="L742" s="223">
        <f>K742*2</f>
        <v/>
      </c>
      <c r="M742" s="220">
        <f>ROUNDDOWN(L742*0.7,)</f>
        <v/>
      </c>
      <c r="N742" s="194" t="n">
        <v>10560</v>
      </c>
      <c r="O742" s="220" t="n">
        <v>1270000</v>
      </c>
    </row>
    <row r="743">
      <c r="A743" t="inlineStr">
        <is>
          <t>AFEEZ AJIBADE/Ebenezer</t>
        </is>
      </c>
      <c r="B743">
        <f>CONCATENATE(E743,"-",F743,"-",D743)</f>
        <v/>
      </c>
      <c r="C743" s="25">
        <f>CONCATENATE(G743,"-",F743,"-",D743)</f>
        <v/>
      </c>
      <c r="D743" s="25" t="inlineStr">
        <is>
          <t>JUMBO</t>
        </is>
      </c>
      <c r="E743" s="25" t="inlineStr">
        <is>
          <t>NBL-DSL</t>
        </is>
      </c>
      <c r="F743" s="79" t="inlineStr">
        <is>
          <t>30T</t>
        </is>
      </c>
      <c r="G743" s="204" t="inlineStr">
        <is>
          <t>BAJAJ</t>
        </is>
      </c>
      <c r="H743" s="204" t="inlineStr">
        <is>
          <t>Lagos</t>
        </is>
      </c>
      <c r="I743" s="157" t="inlineStr">
        <is>
          <t>Yauri</t>
        </is>
      </c>
      <c r="J743" s="157" t="inlineStr">
        <is>
          <t>Kebbi</t>
        </is>
      </c>
      <c r="K743" s="237" t="n">
        <v>760</v>
      </c>
      <c r="L743" s="223">
        <f>K743*2</f>
        <v/>
      </c>
      <c r="M743" s="220">
        <f>ROUNDDOWN(L743*0.7,)</f>
        <v/>
      </c>
      <c r="N743" s="194" t="n">
        <v>36480</v>
      </c>
      <c r="O743" s="220" t="n">
        <v>3230000</v>
      </c>
    </row>
    <row r="744">
      <c r="A744" t="inlineStr">
        <is>
          <t>AFEEZ AJIBADE/Ebenezer</t>
        </is>
      </c>
      <c r="B744">
        <f>CONCATENATE(E744,"-",F744,"-",D744)</f>
        <v/>
      </c>
      <c r="C744" s="25">
        <f>CONCATENATE(G744,"-",F744,"-",D744)</f>
        <v/>
      </c>
      <c r="D744" s="25" t="inlineStr">
        <is>
          <t>JUMBO</t>
        </is>
      </c>
      <c r="E744" s="25" t="inlineStr">
        <is>
          <t>NBL-DSL</t>
        </is>
      </c>
      <c r="F744" s="79" t="inlineStr">
        <is>
          <t>30T</t>
        </is>
      </c>
      <c r="G744" s="204" t="inlineStr">
        <is>
          <t>BAJAJ</t>
        </is>
      </c>
      <c r="H744" s="204" t="inlineStr">
        <is>
          <t>Lagos</t>
        </is>
      </c>
      <c r="I744" s="159" t="inlineStr">
        <is>
          <t>Zaria</t>
        </is>
      </c>
      <c r="J744" s="159" t="inlineStr">
        <is>
          <t>Kaduna</t>
        </is>
      </c>
      <c r="K744" s="238" t="n">
        <v>940</v>
      </c>
      <c r="L744" s="223">
        <f>K744*2</f>
        <v/>
      </c>
      <c r="M744" s="220">
        <f>ROUNDDOWN(L744*0.7,)</f>
        <v/>
      </c>
      <c r="N744" s="194" t="n">
        <v>45120</v>
      </c>
      <c r="O744" s="220" t="n">
        <v>3890000</v>
      </c>
    </row>
    <row r="745">
      <c r="A745" t="inlineStr">
        <is>
          <t>AFEEZ AJIBADE/Ebenezer</t>
        </is>
      </c>
      <c r="B745">
        <f>CONCATENATE(E745,"-",F745,"-",D745)</f>
        <v/>
      </c>
      <c r="C745" s="25">
        <f>CONCATENATE(G745,"-",F745,"-",D745)</f>
        <v/>
      </c>
      <c r="D745" s="25" t="inlineStr">
        <is>
          <t>JUMBO</t>
        </is>
      </c>
      <c r="E745" s="25" t="inlineStr">
        <is>
          <t>NBL-DSL</t>
        </is>
      </c>
      <c r="F745" s="79" t="inlineStr">
        <is>
          <t>30T</t>
        </is>
      </c>
      <c r="G745" s="204" t="inlineStr">
        <is>
          <t>BAJAJ</t>
        </is>
      </c>
      <c r="H745" s="204" t="inlineStr">
        <is>
          <t>Lagos</t>
        </is>
      </c>
      <c r="I745" s="157" t="inlineStr">
        <is>
          <t>Birnin Kebbi</t>
        </is>
      </c>
      <c r="J745" s="157" t="inlineStr">
        <is>
          <t>Kebbi</t>
        </is>
      </c>
      <c r="K745" s="237" t="n">
        <v>980</v>
      </c>
      <c r="L745" s="223">
        <f>K745*2</f>
        <v/>
      </c>
      <c r="M745" s="220">
        <f>ROUNDDOWN(L745*0.7,)</f>
        <v/>
      </c>
      <c r="N745" s="194" t="n">
        <v>47040</v>
      </c>
      <c r="O745" s="220" t="n">
        <v>3980000</v>
      </c>
    </row>
    <row r="746">
      <c r="A746" t="inlineStr">
        <is>
          <t>AFEEZ AJIBADE/Ebenezer</t>
        </is>
      </c>
      <c r="B746">
        <f>CONCATENATE(E746,"-",F746,"-",D746)</f>
        <v/>
      </c>
      <c r="C746" s="25">
        <f>CONCATENATE(G746,"-",F746,"-",D746)</f>
        <v/>
      </c>
      <c r="D746" s="25" t="inlineStr">
        <is>
          <t>JUMBO</t>
        </is>
      </c>
      <c r="E746" s="25" t="inlineStr">
        <is>
          <t>NBL-DSL</t>
        </is>
      </c>
      <c r="F746" s="63" t="inlineStr">
        <is>
          <t>45T</t>
        </is>
      </c>
      <c r="G746" s="204" t="inlineStr">
        <is>
          <t>ATLANTIC PVC</t>
        </is>
      </c>
      <c r="H746" s="204" t="inlineStr">
        <is>
          <t>Lagos</t>
        </is>
      </c>
      <c r="I746" s="25" t="inlineStr">
        <is>
          <t>Aba</t>
        </is>
      </c>
      <c r="J746" s="25" t="inlineStr">
        <is>
          <t>Abia</t>
        </is>
      </c>
      <c r="K746" s="214" t="n">
        <v>608</v>
      </c>
      <c r="L746" s="223" t="n">
        <v>1216</v>
      </c>
      <c r="M746" s="220">
        <f>ROUNDDOWN(L746*0.7,)</f>
        <v/>
      </c>
      <c r="N746" s="194" t="n">
        <v>29184</v>
      </c>
      <c r="O746" s="220" t="n">
        <v>2750000</v>
      </c>
    </row>
    <row r="747">
      <c r="A747" t="inlineStr">
        <is>
          <t>AFEEZ AJIBADE/Ebenezer</t>
        </is>
      </c>
      <c r="B747">
        <f>CONCATENATE(E747,"-",F747,"-",D747)</f>
        <v/>
      </c>
      <c r="C747" s="25">
        <f>CONCATENATE(G747,"-",F747,"-",D747)</f>
        <v/>
      </c>
      <c r="D747" s="25" t="inlineStr">
        <is>
          <t>JUMBO</t>
        </is>
      </c>
      <c r="E747" s="25" t="inlineStr">
        <is>
          <t>NBL-DSL</t>
        </is>
      </c>
      <c r="F747" s="63" t="inlineStr">
        <is>
          <t>45T</t>
        </is>
      </c>
      <c r="G747" s="204" t="inlineStr">
        <is>
          <t>ATLANTIC PVC</t>
        </is>
      </c>
      <c r="H747" s="204" t="inlineStr">
        <is>
          <t>Lagos</t>
        </is>
      </c>
      <c r="I747" s="25" t="inlineStr">
        <is>
          <t>Ikot Ekpene</t>
        </is>
      </c>
      <c r="J747" s="25" t="inlineStr">
        <is>
          <t>Akwa Ibom</t>
        </is>
      </c>
      <c r="K747" s="189" t="n">
        <v>648</v>
      </c>
      <c r="L747" s="223" t="n">
        <v>1296</v>
      </c>
      <c r="M747" s="220">
        <f>ROUNDDOWN(L747*0.7,)</f>
        <v/>
      </c>
      <c r="N747" s="194" t="n">
        <v>31104</v>
      </c>
      <c r="O747" s="220" t="n">
        <v>3100000</v>
      </c>
    </row>
    <row r="748">
      <c r="A748" t="inlineStr">
        <is>
          <t>AFEEZ AJIBADE/Ebenezer</t>
        </is>
      </c>
      <c r="B748">
        <f>CONCATENATE(E748,"-",F748,"-",D748)</f>
        <v/>
      </c>
      <c r="C748" s="25">
        <f>CONCATENATE(G748,"-",F748,"-",D748)</f>
        <v/>
      </c>
      <c r="D748" s="25" t="inlineStr">
        <is>
          <t>JUMBO</t>
        </is>
      </c>
      <c r="E748" s="25" t="inlineStr">
        <is>
          <t>NBL-DSL</t>
        </is>
      </c>
      <c r="F748" s="63" t="inlineStr">
        <is>
          <t>45T</t>
        </is>
      </c>
      <c r="G748" s="204" t="inlineStr">
        <is>
          <t>ATLANTIC PVC</t>
        </is>
      </c>
      <c r="H748" s="204" t="inlineStr">
        <is>
          <t>Lagos</t>
        </is>
      </c>
      <c r="I748" s="25" t="inlineStr">
        <is>
          <t>Oron</t>
        </is>
      </c>
      <c r="J748" s="25" t="inlineStr">
        <is>
          <t>Akwa Ibom</t>
        </is>
      </c>
      <c r="K748" s="189" t="n">
        <v>740</v>
      </c>
      <c r="L748" s="223" t="n">
        <v>1480</v>
      </c>
      <c r="M748" s="220">
        <f>ROUNDDOWN(L748*0.7,)</f>
        <v/>
      </c>
      <c r="N748" s="194" t="n">
        <v>35520</v>
      </c>
      <c r="O748" s="220" t="n">
        <v>3320000</v>
      </c>
    </row>
    <row r="749">
      <c r="A749" t="inlineStr">
        <is>
          <t>AFEEZ AJIBADE/Ebenezer</t>
        </is>
      </c>
      <c r="B749">
        <f>CONCATENATE(E749,"-",F749,"-",D749)</f>
        <v/>
      </c>
      <c r="C749" s="25">
        <f>CONCATENATE(G749,"-",F749,"-",D749)</f>
        <v/>
      </c>
      <c r="D749" s="25" t="inlineStr">
        <is>
          <t>JUMBO</t>
        </is>
      </c>
      <c r="E749" s="25" t="inlineStr">
        <is>
          <t>NBL-DSL</t>
        </is>
      </c>
      <c r="F749" s="63" t="inlineStr">
        <is>
          <t>45T</t>
        </is>
      </c>
      <c r="G749" s="204" t="inlineStr">
        <is>
          <t>ATLANTIC PVC</t>
        </is>
      </c>
      <c r="H749" s="204" t="inlineStr">
        <is>
          <t>Lagos</t>
        </is>
      </c>
      <c r="I749" s="25" t="inlineStr">
        <is>
          <t>Onitsha</t>
        </is>
      </c>
      <c r="J749" s="25" t="inlineStr">
        <is>
          <t>Anambra</t>
        </is>
      </c>
      <c r="K749" s="189" t="n">
        <v>459</v>
      </c>
      <c r="L749" s="223" t="n">
        <v>918</v>
      </c>
      <c r="M749" s="220">
        <f>ROUNDDOWN(L749*0.7,)</f>
        <v/>
      </c>
      <c r="N749" s="194" t="n">
        <v>22032</v>
      </c>
      <c r="O749" s="220" t="n">
        <v>2130000</v>
      </c>
    </row>
    <row r="750">
      <c r="A750" t="inlineStr">
        <is>
          <t>AFEEZ AJIBADE/Ebenezer</t>
        </is>
      </c>
      <c r="B750">
        <f>CONCATENATE(E750,"-",F750,"-",D750)</f>
        <v/>
      </c>
      <c r="C750" s="25">
        <f>CONCATENATE(G750,"-",F750,"-",D750)</f>
        <v/>
      </c>
      <c r="D750" s="25" t="inlineStr">
        <is>
          <t>JUMBO</t>
        </is>
      </c>
      <c r="E750" s="25" t="inlineStr">
        <is>
          <t>NBL-DSL</t>
        </is>
      </c>
      <c r="F750" s="63" t="inlineStr">
        <is>
          <t>45T</t>
        </is>
      </c>
      <c r="G750" s="204" t="inlineStr">
        <is>
          <t>ATLANTIC PVC</t>
        </is>
      </c>
      <c r="H750" s="204" t="inlineStr">
        <is>
          <t>Lagos</t>
        </is>
      </c>
      <c r="I750" s="25" t="inlineStr">
        <is>
          <t>Yenagoa</t>
        </is>
      </c>
      <c r="J750" s="25" t="inlineStr">
        <is>
          <t>Bayelsa</t>
        </is>
      </c>
      <c r="K750" s="189" t="n">
        <v>546</v>
      </c>
      <c r="L750" s="223" t="n">
        <v>1092</v>
      </c>
      <c r="M750" s="220">
        <f>ROUNDDOWN(L750*0.7,)</f>
        <v/>
      </c>
      <c r="N750" s="194" t="n">
        <v>26208</v>
      </c>
      <c r="O750" s="220" t="n">
        <v>2600000</v>
      </c>
    </row>
    <row r="751">
      <c r="A751" t="inlineStr">
        <is>
          <t>AFEEZ AJIBADE/Ebenezer</t>
        </is>
      </c>
      <c r="B751">
        <f>CONCATENATE(E751,"-",F751,"-",D751)</f>
        <v/>
      </c>
      <c r="C751" s="25">
        <f>CONCATENATE(G751,"-",F751,"-",D751)</f>
        <v/>
      </c>
      <c r="D751" s="25" t="inlineStr">
        <is>
          <t>JUMBO</t>
        </is>
      </c>
      <c r="E751" s="25" t="inlineStr">
        <is>
          <t>NBL-DSL</t>
        </is>
      </c>
      <c r="F751" s="63" t="inlineStr">
        <is>
          <t>45T</t>
        </is>
      </c>
      <c r="G751" s="204" t="inlineStr">
        <is>
          <t>ATLANTIC PVC</t>
        </is>
      </c>
      <c r="H751" s="204" t="inlineStr">
        <is>
          <t>Lagos</t>
        </is>
      </c>
      <c r="I751" s="25" t="inlineStr">
        <is>
          <t>Makurdi</t>
        </is>
      </c>
      <c r="J751" s="25" t="inlineStr">
        <is>
          <t>Benue</t>
        </is>
      </c>
      <c r="K751" s="189" t="n">
        <v>808</v>
      </c>
      <c r="L751" s="223" t="n">
        <v>1616</v>
      </c>
      <c r="M751" s="220">
        <f>ROUNDDOWN(L751*0.7,)</f>
        <v/>
      </c>
      <c r="N751" s="194" t="n">
        <v>38784</v>
      </c>
      <c r="O751" s="220" t="n">
        <v>3740000</v>
      </c>
    </row>
    <row r="752">
      <c r="A752" t="inlineStr">
        <is>
          <t>AFEEZ AJIBADE/Ebenezer</t>
        </is>
      </c>
      <c r="B752">
        <f>CONCATENATE(E752,"-",F752,"-",D752)</f>
        <v/>
      </c>
      <c r="C752" s="25">
        <f>CONCATENATE(G752,"-",F752,"-",D752)</f>
        <v/>
      </c>
      <c r="D752" s="25" t="inlineStr">
        <is>
          <t>JUMBO</t>
        </is>
      </c>
      <c r="E752" s="25" t="inlineStr">
        <is>
          <t>NBL-DSL</t>
        </is>
      </c>
      <c r="F752" s="63" t="inlineStr">
        <is>
          <t>45T</t>
        </is>
      </c>
      <c r="G752" s="204" t="inlineStr">
        <is>
          <t>ATLANTIC PVC</t>
        </is>
      </c>
      <c r="H752" s="204" t="inlineStr">
        <is>
          <t>Lagos</t>
        </is>
      </c>
      <c r="I752" s="25" t="inlineStr">
        <is>
          <t>Calabar</t>
        </is>
      </c>
      <c r="J752" s="25" t="inlineStr">
        <is>
          <t>Cross River</t>
        </is>
      </c>
      <c r="K752" s="189" t="n">
        <v>754</v>
      </c>
      <c r="L752" s="223" t="n">
        <v>1508</v>
      </c>
      <c r="M752" s="220">
        <f>ROUNDDOWN(L752*0.7,)</f>
        <v/>
      </c>
      <c r="N752" s="194" t="n">
        <v>36192</v>
      </c>
      <c r="O752" s="220" t="n">
        <v>3350000</v>
      </c>
    </row>
    <row r="753">
      <c r="A753" t="inlineStr">
        <is>
          <t>AFEEZ AJIBADE/Ebenezer</t>
        </is>
      </c>
      <c r="B753">
        <f>CONCATENATE(E753,"-",F753,"-",D753)</f>
        <v/>
      </c>
      <c r="C753" s="25">
        <f>CONCATENATE(G753,"-",F753,"-",D753)</f>
        <v/>
      </c>
      <c r="D753" s="25" t="inlineStr">
        <is>
          <t>JUMBO</t>
        </is>
      </c>
      <c r="E753" s="25" t="inlineStr">
        <is>
          <t>NBL-DSL</t>
        </is>
      </c>
      <c r="F753" s="63" t="inlineStr">
        <is>
          <t>45T</t>
        </is>
      </c>
      <c r="G753" s="204" t="inlineStr">
        <is>
          <t>ATLANTIC PVC</t>
        </is>
      </c>
      <c r="H753" s="204" t="inlineStr">
        <is>
          <t>Lagos</t>
        </is>
      </c>
      <c r="I753" s="25" t="inlineStr">
        <is>
          <t>Abakaliki</t>
        </is>
      </c>
      <c r="J753" s="25" t="inlineStr">
        <is>
          <t>Ebonyi</t>
        </is>
      </c>
      <c r="K753" s="189" t="n">
        <v>633</v>
      </c>
      <c r="L753" s="223" t="n">
        <v>1266</v>
      </c>
      <c r="M753" s="220">
        <f>ROUNDDOWN(L753*0.7,)</f>
        <v/>
      </c>
      <c r="N753" s="194" t="n">
        <v>30384</v>
      </c>
      <c r="O753" s="220" t="n">
        <v>2800000</v>
      </c>
    </row>
    <row r="754">
      <c r="A754" t="inlineStr">
        <is>
          <t>AFEEZ AJIBADE/Ebenezer</t>
        </is>
      </c>
      <c r="B754">
        <f>CONCATENATE(E754,"-",F754,"-",D754)</f>
        <v/>
      </c>
      <c r="C754" s="25">
        <f>CONCATENATE(G754,"-",F754,"-",D754)</f>
        <v/>
      </c>
      <c r="D754" s="25" t="inlineStr">
        <is>
          <t>JUMBO</t>
        </is>
      </c>
      <c r="E754" s="25" t="inlineStr">
        <is>
          <t>NBL-DSL</t>
        </is>
      </c>
      <c r="F754" s="63" t="inlineStr">
        <is>
          <t>45T</t>
        </is>
      </c>
      <c r="G754" s="204" t="inlineStr">
        <is>
          <t>ATLANTIC PVC</t>
        </is>
      </c>
      <c r="H754" s="204" t="inlineStr">
        <is>
          <t>Lagos</t>
        </is>
      </c>
      <c r="I754" s="25" t="inlineStr">
        <is>
          <t>Enugu</t>
        </is>
      </c>
      <c r="J754" s="25" t="inlineStr">
        <is>
          <t>Enugu</t>
        </is>
      </c>
      <c r="K754" s="189" t="n">
        <v>560.5</v>
      </c>
      <c r="L754" s="223" t="n">
        <v>1121</v>
      </c>
      <c r="M754" s="220">
        <f>ROUNDDOWN(L754*0.7,)</f>
        <v/>
      </c>
      <c r="N754" s="194" t="n">
        <v>26904</v>
      </c>
      <c r="O754" s="220" t="n">
        <v>2630000</v>
      </c>
    </row>
    <row r="755">
      <c r="A755" t="inlineStr">
        <is>
          <t>AFEEZ AJIBADE/Ebenezer</t>
        </is>
      </c>
      <c r="B755">
        <f>CONCATENATE(E755,"-",F755,"-",D755)</f>
        <v/>
      </c>
      <c r="C755" s="25">
        <f>CONCATENATE(G755,"-",F755,"-",D755)</f>
        <v/>
      </c>
      <c r="D755" s="25" t="inlineStr">
        <is>
          <t>JUMBO</t>
        </is>
      </c>
      <c r="E755" s="25" t="inlineStr">
        <is>
          <t>NBL-DSL</t>
        </is>
      </c>
      <c r="F755" s="63" t="inlineStr">
        <is>
          <t>45T</t>
        </is>
      </c>
      <c r="G755" s="204" t="inlineStr">
        <is>
          <t>ATLANTIC PVC</t>
        </is>
      </c>
      <c r="H755" s="204" t="inlineStr">
        <is>
          <t>Lagos</t>
        </is>
      </c>
      <c r="I755" s="25" t="inlineStr">
        <is>
          <t>Nsukka</t>
        </is>
      </c>
      <c r="J755" s="25" t="inlineStr">
        <is>
          <t>Enugu</t>
        </is>
      </c>
      <c r="K755" s="189" t="n">
        <v>563</v>
      </c>
      <c r="L755" s="223" t="n">
        <v>1126</v>
      </c>
      <c r="M755" s="220">
        <f>ROUNDDOWN(L755*0.7,)</f>
        <v/>
      </c>
      <c r="N755" s="194" t="n">
        <v>27024</v>
      </c>
      <c r="O755" s="220" t="n">
        <v>2640000</v>
      </c>
    </row>
    <row r="756">
      <c r="A756" t="inlineStr">
        <is>
          <t>AFEEZ AJIBADE/Ebenezer</t>
        </is>
      </c>
      <c r="B756">
        <f>CONCATENATE(E756,"-",F756,"-",D756)</f>
        <v/>
      </c>
      <c r="C756" s="25">
        <f>CONCATENATE(G756,"-",F756,"-",D756)</f>
        <v/>
      </c>
      <c r="D756" s="25" t="inlineStr">
        <is>
          <t>JUMBO</t>
        </is>
      </c>
      <c r="E756" s="25" t="inlineStr">
        <is>
          <t>NBL-DSL</t>
        </is>
      </c>
      <c r="F756" s="63" t="inlineStr">
        <is>
          <t>45T</t>
        </is>
      </c>
      <c r="G756" s="204" t="inlineStr">
        <is>
          <t>ATLANTIC PVC</t>
        </is>
      </c>
      <c r="H756" s="204" t="inlineStr">
        <is>
          <t>Lagos</t>
        </is>
      </c>
      <c r="I756" s="25" t="inlineStr">
        <is>
          <t>Owerri</t>
        </is>
      </c>
      <c r="J756" s="25" t="inlineStr">
        <is>
          <t>Imo</t>
        </is>
      </c>
      <c r="K756" s="189" t="n">
        <v>567</v>
      </c>
      <c r="L756" s="223" t="n">
        <v>1134</v>
      </c>
      <c r="M756" s="220">
        <f>ROUNDDOWN(L756*0.7,)</f>
        <v/>
      </c>
      <c r="N756" s="194" t="n">
        <v>27216</v>
      </c>
      <c r="O756" s="220" t="n">
        <v>2650000</v>
      </c>
    </row>
    <row r="757">
      <c r="A757" t="inlineStr">
        <is>
          <t>AFEEZ AJIBADE/Ebenezer</t>
        </is>
      </c>
      <c r="B757">
        <f>CONCATENATE(E757,"-",F757,"-",D757)</f>
        <v/>
      </c>
      <c r="C757" s="25">
        <f>CONCATENATE(G757,"-",F757,"-",D757)</f>
        <v/>
      </c>
      <c r="D757" s="25" t="inlineStr">
        <is>
          <t>JUMBO</t>
        </is>
      </c>
      <c r="E757" s="25" t="inlineStr">
        <is>
          <t>NBL-DSL</t>
        </is>
      </c>
      <c r="F757" s="63" t="inlineStr">
        <is>
          <t>45T</t>
        </is>
      </c>
      <c r="G757" s="204" t="inlineStr">
        <is>
          <t>ATLANTIC PVC</t>
        </is>
      </c>
      <c r="H757" s="204" t="inlineStr">
        <is>
          <t>Lagos</t>
        </is>
      </c>
      <c r="I757" s="25" t="inlineStr">
        <is>
          <t>Port Harcourt</t>
        </is>
      </c>
      <c r="J757" s="25" t="inlineStr">
        <is>
          <t>Rivers</t>
        </is>
      </c>
      <c r="K757" s="189" t="n">
        <v>601</v>
      </c>
      <c r="L757" s="223" t="n">
        <v>1202</v>
      </c>
      <c r="M757" s="220">
        <f>ROUNDDOWN(L757*0.7,)</f>
        <v/>
      </c>
      <c r="N757" s="194" t="n">
        <v>28848</v>
      </c>
      <c r="O757" s="220" t="n">
        <v>2730000</v>
      </c>
    </row>
    <row r="758">
      <c r="A758" t="inlineStr">
        <is>
          <t>AFEEZ AJIBADE/Ebenezer</t>
        </is>
      </c>
      <c r="B758">
        <f>CONCATENATE(E758,"-",F758,"-",D758)</f>
        <v/>
      </c>
      <c r="C758" s="25">
        <f>CONCATENATE(G758,"-",F758,"-",D758)</f>
        <v/>
      </c>
      <c r="D758" s="25" t="inlineStr">
        <is>
          <t>JUMBO</t>
        </is>
      </c>
      <c r="E758" s="25" t="inlineStr">
        <is>
          <t>NBL-DSL</t>
        </is>
      </c>
      <c r="F758" s="63" t="inlineStr">
        <is>
          <t>45T</t>
        </is>
      </c>
      <c r="G758" s="204" t="inlineStr">
        <is>
          <t>ATLANTIC PVC</t>
        </is>
      </c>
      <c r="H758" s="204" t="inlineStr">
        <is>
          <t>Lagos</t>
        </is>
      </c>
      <c r="I758" s="25" t="inlineStr">
        <is>
          <t>Uyo</t>
        </is>
      </c>
      <c r="J758" s="25" t="inlineStr">
        <is>
          <t>Akwa Ibom</t>
        </is>
      </c>
      <c r="K758" s="189" t="n">
        <v>678</v>
      </c>
      <c r="L758" s="223" t="n">
        <v>1356</v>
      </c>
      <c r="M758" s="220">
        <f>ROUNDDOWN(L758*0.7,)</f>
        <v/>
      </c>
      <c r="N758" s="194" t="n">
        <v>32544</v>
      </c>
      <c r="O758" s="220" t="n">
        <v>3170000</v>
      </c>
    </row>
    <row r="759">
      <c r="A759" t="inlineStr">
        <is>
          <t>AFEEZ AJIBADE/Ebenezer</t>
        </is>
      </c>
      <c r="B759">
        <f>CONCATENATE(E759,"-",F759,"-",D759)</f>
        <v/>
      </c>
      <c r="C759" s="25">
        <f>CONCATENATE(G759,"-",F759,"-",D759)</f>
        <v/>
      </c>
      <c r="D759" s="25" t="inlineStr">
        <is>
          <t>JUMBO</t>
        </is>
      </c>
      <c r="E759" s="25" t="inlineStr">
        <is>
          <t>NBL-DSL</t>
        </is>
      </c>
      <c r="F759" s="63" t="inlineStr">
        <is>
          <t>45T</t>
        </is>
      </c>
      <c r="G759" s="204" t="inlineStr">
        <is>
          <t>ATLANTIC PVC</t>
        </is>
      </c>
      <c r="H759" s="204" t="inlineStr">
        <is>
          <t>Lagos</t>
        </is>
      </c>
      <c r="I759" s="25" t="inlineStr">
        <is>
          <t>Umunze</t>
        </is>
      </c>
      <c r="J759" s="25" t="inlineStr">
        <is>
          <t>Anambra</t>
        </is>
      </c>
      <c r="K759" s="189" t="n">
        <v>529</v>
      </c>
      <c r="L759" s="223" t="n">
        <v>1058</v>
      </c>
      <c r="M759" s="220">
        <f>ROUNDDOWN(L759*0.7,)</f>
        <v/>
      </c>
      <c r="N759" s="194" t="n">
        <v>25392</v>
      </c>
      <c r="O759" s="220" t="n">
        <v>2560000</v>
      </c>
    </row>
    <row r="760">
      <c r="A760" t="inlineStr">
        <is>
          <t>AFEEZ AJIBADE/Ebenezer</t>
        </is>
      </c>
      <c r="B760">
        <f>CONCATENATE(E760,"-",F760,"-",D760)</f>
        <v/>
      </c>
      <c r="C760" s="25">
        <f>CONCATENATE(G760,"-",F760,"-",D760)</f>
        <v/>
      </c>
      <c r="D760" s="25" t="inlineStr">
        <is>
          <t>JUMBO</t>
        </is>
      </c>
      <c r="E760" s="25" t="inlineStr">
        <is>
          <t>NBL-DSL</t>
        </is>
      </c>
      <c r="F760" s="63" t="inlineStr">
        <is>
          <t>45T</t>
        </is>
      </c>
      <c r="G760" s="204" t="inlineStr">
        <is>
          <t>ATLANTIC PVC</t>
        </is>
      </c>
      <c r="H760" s="204" t="inlineStr">
        <is>
          <t>Lagos</t>
        </is>
      </c>
      <c r="I760" s="25" t="inlineStr">
        <is>
          <t>Abak</t>
        </is>
      </c>
      <c r="J760" s="25" t="inlineStr">
        <is>
          <t>Akwa Ibom</t>
        </is>
      </c>
      <c r="K760" s="189" t="n">
        <v>668.5</v>
      </c>
      <c r="L760" s="223" t="n">
        <v>1337</v>
      </c>
      <c r="M760" s="220">
        <f>ROUNDDOWN(L760*0.7,)</f>
        <v/>
      </c>
      <c r="N760" s="194" t="n">
        <v>32088</v>
      </c>
      <c r="O760" s="220" t="n">
        <v>3150000</v>
      </c>
    </row>
    <row r="761">
      <c r="A761" t="inlineStr">
        <is>
          <t>AFEEZ AJIBADE/Ebenezer</t>
        </is>
      </c>
      <c r="B761">
        <f>CONCATENATE(E761,"-",F761,"-",D761)</f>
        <v/>
      </c>
      <c r="C761" s="25">
        <f>CONCATENATE(G761,"-",F761,"-",D761)</f>
        <v/>
      </c>
      <c r="D761" s="25" t="inlineStr">
        <is>
          <t>JUMBO</t>
        </is>
      </c>
      <c r="E761" s="25" t="inlineStr">
        <is>
          <t>NBL-DSL</t>
        </is>
      </c>
      <c r="F761" s="63" t="inlineStr">
        <is>
          <t>45T</t>
        </is>
      </c>
      <c r="G761" s="204" t="inlineStr">
        <is>
          <t>ATLANTIC PVC</t>
        </is>
      </c>
      <c r="H761" s="204" t="inlineStr">
        <is>
          <t>Lagos</t>
        </is>
      </c>
      <c r="I761" s="25" t="inlineStr">
        <is>
          <t>Awka</t>
        </is>
      </c>
      <c r="J761" s="25" t="inlineStr">
        <is>
          <t>Anambra</t>
        </is>
      </c>
      <c r="K761" s="189" t="n">
        <v>498</v>
      </c>
      <c r="L761" s="223" t="n">
        <v>996</v>
      </c>
      <c r="M761" s="220">
        <f>ROUNDDOWN(L761*0.7,)</f>
        <v/>
      </c>
      <c r="N761" s="194" t="n">
        <v>23904</v>
      </c>
      <c r="O761" s="220" t="n">
        <v>2490000</v>
      </c>
    </row>
    <row r="762">
      <c r="A762" t="inlineStr">
        <is>
          <t>AFEEZ AJIBADE/Ebenezer</t>
        </is>
      </c>
      <c r="B762">
        <f>CONCATENATE(E762,"-",F762,"-",D762)</f>
        <v/>
      </c>
      <c r="C762" s="25">
        <f>CONCATENATE(G762,"-",F762,"-",D762)</f>
        <v/>
      </c>
      <c r="D762" s="25" t="inlineStr">
        <is>
          <t>JUMBO</t>
        </is>
      </c>
      <c r="E762" s="25" t="inlineStr">
        <is>
          <t>NBL-DSL</t>
        </is>
      </c>
      <c r="F762" s="63" t="inlineStr">
        <is>
          <t>45T</t>
        </is>
      </c>
      <c r="G762" s="204" t="inlineStr">
        <is>
          <t>ATLANTIC PVC</t>
        </is>
      </c>
      <c r="H762" s="204" t="inlineStr">
        <is>
          <t>Lagos</t>
        </is>
      </c>
      <c r="I762" s="25" t="inlineStr">
        <is>
          <t>Ikom</t>
        </is>
      </c>
      <c r="J762" s="25" t="inlineStr">
        <is>
          <t>Cross River</t>
        </is>
      </c>
      <c r="K762" s="189" t="n">
        <v>776</v>
      </c>
      <c r="L762" s="223" t="n">
        <v>1552</v>
      </c>
      <c r="M762" s="220">
        <f>ROUNDDOWN(L762*0.7,)</f>
        <v/>
      </c>
      <c r="N762" s="194" t="n">
        <v>37248</v>
      </c>
      <c r="O762" s="220" t="n">
        <v>3400000</v>
      </c>
    </row>
    <row r="763">
      <c r="A763" t="inlineStr">
        <is>
          <t>AFEEZ AJIBADE/Ebenezer</t>
        </is>
      </c>
      <c r="B763">
        <f>CONCATENATE(E763,"-",F763,"-",D763)</f>
        <v/>
      </c>
      <c r="C763" s="25">
        <f>CONCATENATE(G763,"-",F763,"-",D763)</f>
        <v/>
      </c>
      <c r="D763" s="25" t="inlineStr">
        <is>
          <t>JUMBO</t>
        </is>
      </c>
      <c r="E763" s="25" t="inlineStr">
        <is>
          <t>NBL-DSL</t>
        </is>
      </c>
      <c r="F763" s="63" t="inlineStr">
        <is>
          <t>45T</t>
        </is>
      </c>
      <c r="G763" s="204" t="inlineStr">
        <is>
          <t>ATLANTIC PVC</t>
        </is>
      </c>
      <c r="H763" s="204" t="inlineStr">
        <is>
          <t>Lagos</t>
        </is>
      </c>
      <c r="I763" s="25" t="inlineStr">
        <is>
          <t>Obubra</t>
        </is>
      </c>
      <c r="J763" s="25" t="inlineStr">
        <is>
          <t>Cross River</t>
        </is>
      </c>
      <c r="K763" s="189" t="n">
        <v>717</v>
      </c>
      <c r="L763" s="223" t="n">
        <v>1434</v>
      </c>
      <c r="M763" s="220">
        <f>ROUNDDOWN(L763*0.7,)</f>
        <v/>
      </c>
      <c r="N763" s="194" t="n">
        <v>34416</v>
      </c>
      <c r="O763" s="220" t="n">
        <v>3260000</v>
      </c>
    </row>
    <row r="764">
      <c r="A764" t="inlineStr">
        <is>
          <t>AFEEZ AJIBADE/Ebenezer</t>
        </is>
      </c>
      <c r="B764">
        <f>CONCATENATE(E764,"-",F764,"-",D764)</f>
        <v/>
      </c>
      <c r="C764" s="25">
        <f>CONCATENATE(G764,"-",F764,"-",D764)</f>
        <v/>
      </c>
      <c r="D764" s="25" t="inlineStr">
        <is>
          <t>JUMBO</t>
        </is>
      </c>
      <c r="E764" s="25" t="inlineStr">
        <is>
          <t>NBL-DSL</t>
        </is>
      </c>
      <c r="F764" s="63" t="inlineStr">
        <is>
          <t>45T</t>
        </is>
      </c>
      <c r="G764" s="204" t="inlineStr">
        <is>
          <t>ATLANTIC PVC</t>
        </is>
      </c>
      <c r="H764" s="204" t="inlineStr">
        <is>
          <t>Lagos</t>
        </is>
      </c>
      <c r="I764" s="25" t="inlineStr">
        <is>
          <t>Bori</t>
        </is>
      </c>
      <c r="J764" s="25" t="inlineStr">
        <is>
          <t>Rivers</t>
        </is>
      </c>
      <c r="K764" s="189" t="n">
        <v>654</v>
      </c>
      <c r="L764" s="223" t="n">
        <v>1308</v>
      </c>
      <c r="M764" s="220">
        <f>ROUNDDOWN(L764*0.7,)</f>
        <v/>
      </c>
      <c r="N764" s="194" t="n">
        <v>31392</v>
      </c>
      <c r="O764" s="220" t="n">
        <v>3120000</v>
      </c>
    </row>
    <row r="765">
      <c r="A765" t="inlineStr">
        <is>
          <t>AFEEZ AJIBADE/Ebenezer</t>
        </is>
      </c>
      <c r="B765">
        <f>CONCATENATE(E765,"-",F765,"-",D765)</f>
        <v/>
      </c>
      <c r="C765" s="25">
        <f>CONCATENATE(G765,"-",F765,"-",D765)</f>
        <v/>
      </c>
      <c r="D765" s="25" t="inlineStr">
        <is>
          <t>JUMBO</t>
        </is>
      </c>
      <c r="E765" s="25" t="inlineStr">
        <is>
          <t>NBL-DSL</t>
        </is>
      </c>
      <c r="F765" s="63" t="inlineStr">
        <is>
          <t>45T</t>
        </is>
      </c>
      <c r="G765" s="204" t="inlineStr">
        <is>
          <t>ATLANTIC PVC</t>
        </is>
      </c>
      <c r="H765" s="204" t="inlineStr">
        <is>
          <t>Lagos</t>
        </is>
      </c>
      <c r="I765" s="25" t="inlineStr">
        <is>
          <t>Eket</t>
        </is>
      </c>
      <c r="J765" s="25" t="inlineStr">
        <is>
          <t>Akwa Ibom</t>
        </is>
      </c>
      <c r="K765" s="189" t="n">
        <v>710.5</v>
      </c>
      <c r="L765" s="223" t="n">
        <v>1421</v>
      </c>
      <c r="M765" s="220">
        <f>ROUNDDOWN(L765*0.7,)</f>
        <v/>
      </c>
      <c r="N765" s="194" t="n">
        <v>34104</v>
      </c>
      <c r="O765" s="220" t="n">
        <v>3250000</v>
      </c>
    </row>
    <row r="766">
      <c r="A766" t="inlineStr">
        <is>
          <t>AFEEZ AJIBADE/Ebenezer</t>
        </is>
      </c>
      <c r="B766">
        <f>CONCATENATE(E766,"-",F766,"-",D766)</f>
        <v/>
      </c>
      <c r="C766" s="25">
        <f>CONCATENATE(G766,"-",F766,"-",D766)</f>
        <v/>
      </c>
      <c r="D766" s="25" t="inlineStr">
        <is>
          <t>JUMBO</t>
        </is>
      </c>
      <c r="E766" s="25" t="inlineStr">
        <is>
          <t>NBL-DSL</t>
        </is>
      </c>
      <c r="F766" s="63" t="inlineStr">
        <is>
          <t>45T</t>
        </is>
      </c>
      <c r="G766" s="204" t="inlineStr">
        <is>
          <t>ATLANTIC PVC</t>
        </is>
      </c>
      <c r="H766" s="204" t="inlineStr">
        <is>
          <t>Lagos</t>
        </is>
      </c>
      <c r="I766" s="25" t="inlineStr">
        <is>
          <t>Bauchi</t>
        </is>
      </c>
      <c r="J766" s="25" t="inlineStr">
        <is>
          <t>Bauchi</t>
        </is>
      </c>
      <c r="K766" s="189" t="n">
        <v>1185</v>
      </c>
      <c r="L766" s="223" t="n">
        <v>2370</v>
      </c>
      <c r="M766" s="220">
        <f>ROUNDDOWN(L766*0.7,)</f>
        <v/>
      </c>
      <c r="N766" s="194" t="n">
        <v>56880</v>
      </c>
      <c r="O766" s="220" t="n">
        <v>5150000</v>
      </c>
    </row>
    <row r="767">
      <c r="A767" t="inlineStr">
        <is>
          <t>AFEEZ AJIBADE/Ebenezer</t>
        </is>
      </c>
      <c r="B767">
        <f>CONCATENATE(E767,"-",F767,"-",D767)</f>
        <v/>
      </c>
      <c r="C767" s="25">
        <f>CONCATENATE(G767,"-",F767,"-",D767)</f>
        <v/>
      </c>
      <c r="D767" s="25" t="inlineStr">
        <is>
          <t>JUMBO</t>
        </is>
      </c>
      <c r="E767" s="25" t="inlineStr">
        <is>
          <t>NBL-DSL</t>
        </is>
      </c>
      <c r="F767" s="63" t="inlineStr">
        <is>
          <t>45T</t>
        </is>
      </c>
      <c r="G767" s="204" t="inlineStr">
        <is>
          <t>ATLANTIC PVC</t>
        </is>
      </c>
      <c r="H767" s="204" t="inlineStr">
        <is>
          <t>Lagos</t>
        </is>
      </c>
      <c r="I767" s="25" t="inlineStr">
        <is>
          <t>Maiduguri</t>
        </is>
      </c>
      <c r="J767" s="25" t="inlineStr">
        <is>
          <t>Borno</t>
        </is>
      </c>
      <c r="K767" s="189" t="n">
        <v>1560</v>
      </c>
      <c r="L767" s="223" t="n">
        <v>3120</v>
      </c>
      <c r="M767" s="220">
        <f>ROUNDDOWN(L767*0.7,)</f>
        <v/>
      </c>
      <c r="N767" s="194" t="n">
        <v>74880</v>
      </c>
      <c r="O767" s="220" t="n">
        <v>6560000</v>
      </c>
    </row>
    <row r="768">
      <c r="A768" t="inlineStr">
        <is>
          <t>AFEEZ AJIBADE/Ebenezer</t>
        </is>
      </c>
      <c r="B768">
        <f>CONCATENATE(E768,"-",F768,"-",D768)</f>
        <v/>
      </c>
      <c r="C768" s="25">
        <f>CONCATENATE(G768,"-",F768,"-",D768)</f>
        <v/>
      </c>
      <c r="D768" s="25" t="inlineStr">
        <is>
          <t>JUMBO</t>
        </is>
      </c>
      <c r="E768" s="25" t="inlineStr">
        <is>
          <t>NBL-DSL</t>
        </is>
      </c>
      <c r="F768" s="63" t="inlineStr">
        <is>
          <t>45T</t>
        </is>
      </c>
      <c r="G768" s="204" t="inlineStr">
        <is>
          <t>ATLANTIC PVC</t>
        </is>
      </c>
      <c r="H768" s="204" t="inlineStr">
        <is>
          <t>Lagos</t>
        </is>
      </c>
      <c r="I768" s="25" t="inlineStr">
        <is>
          <t>Abuja</t>
        </is>
      </c>
      <c r="J768" s="25" t="inlineStr">
        <is>
          <t>FCT</t>
        </is>
      </c>
      <c r="K768" s="189" t="n">
        <v>786.5</v>
      </c>
      <c r="L768" s="223" t="n">
        <v>1573</v>
      </c>
      <c r="M768" s="220">
        <f>ROUNDDOWN(L768*0.7,)</f>
        <v/>
      </c>
      <c r="N768" s="194" t="n">
        <v>37752</v>
      </c>
      <c r="O768" s="220" t="n">
        <v>3430000</v>
      </c>
    </row>
    <row r="769">
      <c r="A769" t="inlineStr">
        <is>
          <t>AFEEZ AJIBADE/Ebenezer</t>
        </is>
      </c>
      <c r="B769">
        <f>CONCATENATE(E769,"-",F769,"-",D769)</f>
        <v/>
      </c>
      <c r="C769" s="25">
        <f>CONCATENATE(G769,"-",F769,"-",D769)</f>
        <v/>
      </c>
      <c r="D769" s="25" t="inlineStr">
        <is>
          <t>JUMBO</t>
        </is>
      </c>
      <c r="E769" s="25" t="inlineStr">
        <is>
          <t>NBL-DSL</t>
        </is>
      </c>
      <c r="F769" s="63" t="inlineStr">
        <is>
          <t>45T</t>
        </is>
      </c>
      <c r="G769" s="204" t="inlineStr">
        <is>
          <t>ATLANTIC PVC</t>
        </is>
      </c>
      <c r="H769" s="204" t="inlineStr">
        <is>
          <t>Lagos</t>
        </is>
      </c>
      <c r="I769" s="25" t="inlineStr">
        <is>
          <t>Gombe</t>
        </is>
      </c>
      <c r="J769" s="25" t="inlineStr">
        <is>
          <t>Gombe</t>
        </is>
      </c>
      <c r="K769" s="189" t="n">
        <v>1349</v>
      </c>
      <c r="L769" s="223" t="n">
        <v>2698</v>
      </c>
      <c r="M769" s="220">
        <f>ROUNDDOWN(L769*0.7,)</f>
        <v/>
      </c>
      <c r="N769" s="194" t="n">
        <v>64752</v>
      </c>
      <c r="O769" s="220" t="n">
        <v>5800000</v>
      </c>
    </row>
    <row r="770">
      <c r="A770" t="inlineStr">
        <is>
          <t>AFEEZ AJIBADE/Ebenezer</t>
        </is>
      </c>
      <c r="B770">
        <f>CONCATENATE(E770,"-",F770,"-",D770)</f>
        <v/>
      </c>
      <c r="C770" s="25">
        <f>CONCATENATE(G770,"-",F770,"-",D770)</f>
        <v/>
      </c>
      <c r="D770" s="25" t="inlineStr">
        <is>
          <t>JUMBO</t>
        </is>
      </c>
      <c r="E770" s="25" t="inlineStr">
        <is>
          <t>NBL-DSL</t>
        </is>
      </c>
      <c r="F770" s="63" t="inlineStr">
        <is>
          <t>45T</t>
        </is>
      </c>
      <c r="G770" s="204" t="inlineStr">
        <is>
          <t>ATLANTIC PVC</t>
        </is>
      </c>
      <c r="H770" s="204" t="inlineStr">
        <is>
          <t>Lagos</t>
        </is>
      </c>
      <c r="I770" s="25" t="inlineStr">
        <is>
          <t>Kaduna</t>
        </is>
      </c>
      <c r="J770" s="25" t="inlineStr">
        <is>
          <t>Kaduna</t>
        </is>
      </c>
      <c r="K770" s="189" t="n">
        <v>794.5</v>
      </c>
      <c r="L770" s="223" t="n">
        <v>1589</v>
      </c>
      <c r="M770" s="220">
        <f>ROUNDDOWN(L770*0.7,)</f>
        <v/>
      </c>
      <c r="N770" s="194" t="n">
        <v>38136</v>
      </c>
      <c r="O770" s="220" t="n">
        <v>3450000</v>
      </c>
    </row>
    <row r="771">
      <c r="A771" t="inlineStr">
        <is>
          <t>AFEEZ AJIBADE/Ebenezer</t>
        </is>
      </c>
      <c r="B771">
        <f>CONCATENATE(E771,"-",F771,"-",D771)</f>
        <v/>
      </c>
      <c r="C771" s="25">
        <f>CONCATENATE(G771,"-",F771,"-",D771)</f>
        <v/>
      </c>
      <c r="D771" s="25" t="inlineStr">
        <is>
          <t>JUMBO</t>
        </is>
      </c>
      <c r="E771" s="25" t="inlineStr">
        <is>
          <t>NBL-DSL</t>
        </is>
      </c>
      <c r="F771" s="63" t="inlineStr">
        <is>
          <t>45T</t>
        </is>
      </c>
      <c r="G771" s="204" t="inlineStr">
        <is>
          <t>ATLANTIC PVC</t>
        </is>
      </c>
      <c r="H771" s="204" t="inlineStr">
        <is>
          <t>Lagos</t>
        </is>
      </c>
      <c r="I771" s="25" t="inlineStr">
        <is>
          <t>Zaria</t>
        </is>
      </c>
      <c r="J771" s="25" t="inlineStr">
        <is>
          <t>Kaduna</t>
        </is>
      </c>
      <c r="K771" s="189" t="n">
        <v>878.5</v>
      </c>
      <c r="L771" s="223" t="n">
        <v>1757</v>
      </c>
      <c r="M771" s="220">
        <f>ROUNDDOWN(L771*0.7,)</f>
        <v/>
      </c>
      <c r="N771" s="194" t="n">
        <v>42168</v>
      </c>
      <c r="O771" s="220" t="n">
        <v>3910000</v>
      </c>
    </row>
    <row r="772">
      <c r="A772" t="inlineStr">
        <is>
          <t>AFEEZ AJIBADE/Ebenezer</t>
        </is>
      </c>
      <c r="B772">
        <f>CONCATENATE(E772,"-",F772,"-",D772)</f>
        <v/>
      </c>
      <c r="C772" s="25">
        <f>CONCATENATE(G772,"-",F772,"-",D772)</f>
        <v/>
      </c>
      <c r="D772" s="25" t="inlineStr">
        <is>
          <t>JUMBO</t>
        </is>
      </c>
      <c r="E772" s="25" t="inlineStr">
        <is>
          <t>NBL-DSL</t>
        </is>
      </c>
      <c r="F772" s="63" t="inlineStr">
        <is>
          <t>45T</t>
        </is>
      </c>
      <c r="G772" s="204" t="inlineStr">
        <is>
          <t>ATLANTIC PVC</t>
        </is>
      </c>
      <c r="H772" s="204" t="inlineStr">
        <is>
          <t>Lagos</t>
        </is>
      </c>
      <c r="I772" s="25" t="inlineStr">
        <is>
          <t>Kano</t>
        </is>
      </c>
      <c r="J772" s="25" t="inlineStr">
        <is>
          <t>Kano</t>
        </is>
      </c>
      <c r="K772" s="189" t="n">
        <v>1013.5</v>
      </c>
      <c r="L772" s="223" t="n">
        <v>2027</v>
      </c>
      <c r="M772" s="220">
        <f>ROUNDDOWN(L772*0.7,)</f>
        <v/>
      </c>
      <c r="N772" s="194" t="n">
        <v>48648</v>
      </c>
      <c r="O772" s="220" t="n">
        <v>4480000</v>
      </c>
    </row>
    <row r="773">
      <c r="A773" t="inlineStr">
        <is>
          <t>AFEEZ AJIBADE/Ebenezer</t>
        </is>
      </c>
      <c r="B773">
        <f>CONCATENATE(E773,"-",F773,"-",D773)</f>
        <v/>
      </c>
      <c r="C773" s="25">
        <f>CONCATENATE(G773,"-",F773,"-",D773)</f>
        <v/>
      </c>
      <c r="D773" s="25" t="inlineStr">
        <is>
          <t>JUMBO</t>
        </is>
      </c>
      <c r="E773" s="25" t="inlineStr">
        <is>
          <t>NBL-DSL</t>
        </is>
      </c>
      <c r="F773" s="63" t="inlineStr">
        <is>
          <t>45T</t>
        </is>
      </c>
      <c r="G773" s="204" t="inlineStr">
        <is>
          <t>ATLANTIC PVC</t>
        </is>
      </c>
      <c r="H773" s="204" t="inlineStr">
        <is>
          <t>Lagos</t>
        </is>
      </c>
      <c r="I773" s="25" t="inlineStr">
        <is>
          <t>Ajaokuta</t>
        </is>
      </c>
      <c r="J773" s="25" t="inlineStr">
        <is>
          <t>Kogi</t>
        </is>
      </c>
      <c r="K773" s="189" t="n">
        <v>539.5</v>
      </c>
      <c r="L773" s="223" t="n">
        <v>1079</v>
      </c>
      <c r="M773" s="220">
        <f>ROUNDDOWN(L773*0.7,)</f>
        <v/>
      </c>
      <c r="N773" s="194" t="n">
        <v>25896</v>
      </c>
      <c r="O773" s="220" t="n">
        <v>2580000</v>
      </c>
    </row>
    <row r="774">
      <c r="A774" t="inlineStr">
        <is>
          <t>AFEEZ AJIBADE/Ebenezer</t>
        </is>
      </c>
      <c r="B774">
        <f>CONCATENATE(E774,"-",F774,"-",D774)</f>
        <v/>
      </c>
      <c r="C774" s="25">
        <f>CONCATENATE(G774,"-",F774,"-",D774)</f>
        <v/>
      </c>
      <c r="D774" s="25" t="inlineStr">
        <is>
          <t>JUMBO</t>
        </is>
      </c>
      <c r="E774" s="25" t="inlineStr">
        <is>
          <t>NBL-DSL</t>
        </is>
      </c>
      <c r="F774" s="63" t="inlineStr">
        <is>
          <t>45T</t>
        </is>
      </c>
      <c r="G774" s="204" t="inlineStr">
        <is>
          <t>ATLANTIC PVC</t>
        </is>
      </c>
      <c r="H774" s="204" t="inlineStr">
        <is>
          <t>Lagos</t>
        </is>
      </c>
      <c r="I774" s="25" t="inlineStr">
        <is>
          <t>Lokoja</t>
        </is>
      </c>
      <c r="J774" s="25" t="inlineStr">
        <is>
          <t>Kogi</t>
        </is>
      </c>
      <c r="K774" s="189" t="n">
        <v>548.5</v>
      </c>
      <c r="L774" s="223" t="n">
        <v>1097</v>
      </c>
      <c r="M774" s="220">
        <f>ROUNDDOWN(L774*0.7,)</f>
        <v/>
      </c>
      <c r="N774" s="194" t="n">
        <v>26328</v>
      </c>
      <c r="O774" s="220" t="n">
        <v>2610000</v>
      </c>
    </row>
    <row r="775">
      <c r="A775" t="inlineStr">
        <is>
          <t>AFEEZ AJIBADE/Ebenezer</t>
        </is>
      </c>
      <c r="B775">
        <f>CONCATENATE(E775,"-",F775,"-",D775)</f>
        <v/>
      </c>
      <c r="C775" s="25">
        <f>CONCATENATE(G775,"-",F775,"-",D775)</f>
        <v/>
      </c>
      <c r="D775" s="25" t="inlineStr">
        <is>
          <t>JUMBO</t>
        </is>
      </c>
      <c r="E775" s="25" t="inlineStr">
        <is>
          <t>NBL-DSL</t>
        </is>
      </c>
      <c r="F775" s="63" t="inlineStr">
        <is>
          <t>45T</t>
        </is>
      </c>
      <c r="G775" s="204" t="inlineStr">
        <is>
          <t>ATLANTIC PVC</t>
        </is>
      </c>
      <c r="H775" s="204" t="inlineStr">
        <is>
          <t>Lagos</t>
        </is>
      </c>
      <c r="I775" s="25" t="inlineStr">
        <is>
          <t>Ayangba</t>
        </is>
      </c>
      <c r="J775" s="25" t="inlineStr">
        <is>
          <t>Kogi</t>
        </is>
      </c>
      <c r="K775" s="189" t="n">
        <v>587</v>
      </c>
      <c r="L775" s="223" t="n">
        <v>1174</v>
      </c>
      <c r="M775" s="220">
        <f>ROUNDDOWN(L775*0.7,)</f>
        <v/>
      </c>
      <c r="N775" s="194" t="n">
        <v>28176</v>
      </c>
      <c r="O775" s="220" t="n">
        <v>2700000</v>
      </c>
    </row>
    <row r="776">
      <c r="A776" t="inlineStr">
        <is>
          <t>AFEEZ AJIBADE/Ebenezer</t>
        </is>
      </c>
      <c r="B776">
        <f>CONCATENATE(E776,"-",F776,"-",D776)</f>
        <v/>
      </c>
      <c r="C776" s="25">
        <f>CONCATENATE(G776,"-",F776,"-",D776)</f>
        <v/>
      </c>
      <c r="D776" s="25" t="inlineStr">
        <is>
          <t>JUMBO</t>
        </is>
      </c>
      <c r="E776" s="25" t="inlineStr">
        <is>
          <t>NBL-DSL</t>
        </is>
      </c>
      <c r="F776" s="63" t="inlineStr">
        <is>
          <t>45T</t>
        </is>
      </c>
      <c r="G776" s="204" t="inlineStr">
        <is>
          <t>ATLANTIC PVC</t>
        </is>
      </c>
      <c r="H776" s="204" t="inlineStr">
        <is>
          <t>Lagos</t>
        </is>
      </c>
      <c r="I776" s="25" t="inlineStr">
        <is>
          <t>Okene</t>
        </is>
      </c>
      <c r="J776" s="25" t="inlineStr">
        <is>
          <t>Kogi</t>
        </is>
      </c>
      <c r="K776" s="189" t="n">
        <v>475.5</v>
      </c>
      <c r="L776" s="223" t="n">
        <v>951</v>
      </c>
      <c r="M776" s="220">
        <f>ROUNDDOWN(L776*0.7,)</f>
        <v/>
      </c>
      <c r="N776" s="194" t="n">
        <v>22824</v>
      </c>
      <c r="O776" s="220" t="n">
        <v>2170000</v>
      </c>
    </row>
    <row r="777">
      <c r="A777" t="inlineStr">
        <is>
          <t>AFEEZ AJIBADE/Ebenezer</t>
        </is>
      </c>
      <c r="B777">
        <f>CONCATENATE(E777,"-",F777,"-",D777)</f>
        <v/>
      </c>
      <c r="C777" s="25">
        <f>CONCATENATE(G777,"-",F777,"-",D777)</f>
        <v/>
      </c>
      <c r="D777" s="25" t="inlineStr">
        <is>
          <t>JUMBO</t>
        </is>
      </c>
      <c r="E777" s="25" t="inlineStr">
        <is>
          <t>NBL-DSL</t>
        </is>
      </c>
      <c r="F777" s="63" t="inlineStr">
        <is>
          <t>45T</t>
        </is>
      </c>
      <c r="G777" s="204" t="inlineStr">
        <is>
          <t>ATLANTIC PVC</t>
        </is>
      </c>
      <c r="H777" s="204" t="inlineStr">
        <is>
          <t>Lagos</t>
        </is>
      </c>
      <c r="I777" s="25" t="inlineStr">
        <is>
          <t>Akwanga</t>
        </is>
      </c>
      <c r="J777" s="25" t="inlineStr">
        <is>
          <t>Nasarawa</t>
        </is>
      </c>
      <c r="K777" s="189" t="n">
        <v>904</v>
      </c>
      <c r="L777" s="223" t="n">
        <v>1808</v>
      </c>
      <c r="M777" s="220">
        <f>ROUNDDOWN(L777*0.7,)</f>
        <v/>
      </c>
      <c r="N777" s="194" t="n">
        <v>43392</v>
      </c>
      <c r="O777" s="220" t="n">
        <v>3970000</v>
      </c>
    </row>
    <row r="778">
      <c r="A778" t="inlineStr">
        <is>
          <t>AFEEZ AJIBADE/Ebenezer</t>
        </is>
      </c>
      <c r="B778">
        <f>CONCATENATE(E778,"-",F778,"-",D778)</f>
        <v/>
      </c>
      <c r="C778" s="25">
        <f>CONCATENATE(G778,"-",F778,"-",D778)</f>
        <v/>
      </c>
      <c r="D778" s="25" t="inlineStr">
        <is>
          <t>JUMBO</t>
        </is>
      </c>
      <c r="E778" s="25" t="inlineStr">
        <is>
          <t>NBL-DSL</t>
        </is>
      </c>
      <c r="F778" s="63" t="inlineStr">
        <is>
          <t>45T</t>
        </is>
      </c>
      <c r="G778" s="204" t="inlineStr">
        <is>
          <t>ATLANTIC PVC</t>
        </is>
      </c>
      <c r="H778" s="204" t="inlineStr">
        <is>
          <t>Lagos</t>
        </is>
      </c>
      <c r="I778" s="25" t="inlineStr">
        <is>
          <t>Keffi</t>
        </is>
      </c>
      <c r="J778" s="25" t="inlineStr">
        <is>
          <t>Nasarawa</t>
        </is>
      </c>
      <c r="K778" s="189" t="n">
        <v>840</v>
      </c>
      <c r="L778" s="223" t="n">
        <v>1680</v>
      </c>
      <c r="M778" s="220">
        <f>ROUNDDOWN(L778*0.7,)</f>
        <v/>
      </c>
      <c r="N778" s="194" t="n">
        <v>40320</v>
      </c>
      <c r="O778" s="220" t="n">
        <v>3820000</v>
      </c>
    </row>
    <row r="779">
      <c r="A779" t="inlineStr">
        <is>
          <t>AFEEZ AJIBADE/Ebenezer</t>
        </is>
      </c>
      <c r="B779">
        <f>CONCATENATE(E779,"-",F779,"-",D779)</f>
        <v/>
      </c>
      <c r="C779" s="25">
        <f>CONCATENATE(G779,"-",F779,"-",D779)</f>
        <v/>
      </c>
      <c r="D779" s="25" t="inlineStr">
        <is>
          <t>JUMBO</t>
        </is>
      </c>
      <c r="E779" s="25" t="inlineStr">
        <is>
          <t>NBL-DSL</t>
        </is>
      </c>
      <c r="F779" s="63" t="inlineStr">
        <is>
          <t>45T</t>
        </is>
      </c>
      <c r="G779" s="204" t="inlineStr">
        <is>
          <t>ATLANTIC PVC</t>
        </is>
      </c>
      <c r="H779" s="204" t="inlineStr">
        <is>
          <t>Lagos</t>
        </is>
      </c>
      <c r="I779" s="25" t="inlineStr">
        <is>
          <t>Lafia</t>
        </is>
      </c>
      <c r="J779" s="25" t="inlineStr">
        <is>
          <t>Nasarawa</t>
        </is>
      </c>
      <c r="K779" s="189" t="n">
        <v>907.5</v>
      </c>
      <c r="L779" s="223" t="n">
        <v>1815</v>
      </c>
      <c r="M779" s="220">
        <f>ROUNDDOWN(L779*0.7,)</f>
        <v/>
      </c>
      <c r="N779" s="194" t="n">
        <v>43560</v>
      </c>
      <c r="O779" s="220" t="n">
        <v>3970000</v>
      </c>
    </row>
    <row r="780">
      <c r="A780" t="inlineStr">
        <is>
          <t>AFEEZ AJIBADE/Ebenezer</t>
        </is>
      </c>
      <c r="B780">
        <f>CONCATENATE(E780,"-",F780,"-",D780)</f>
        <v/>
      </c>
      <c r="C780" s="25">
        <f>CONCATENATE(G780,"-",F780,"-",D780)</f>
        <v/>
      </c>
      <c r="D780" s="25" t="inlineStr">
        <is>
          <t>JUMBO</t>
        </is>
      </c>
      <c r="E780" s="25" t="inlineStr">
        <is>
          <t>NBL-DSL</t>
        </is>
      </c>
      <c r="F780" s="63" t="inlineStr">
        <is>
          <t>45T</t>
        </is>
      </c>
      <c r="G780" s="204" t="inlineStr">
        <is>
          <t>ATLANTIC PVC</t>
        </is>
      </c>
      <c r="H780" s="204" t="inlineStr">
        <is>
          <t>Lagos</t>
        </is>
      </c>
      <c r="I780" s="25" t="inlineStr">
        <is>
          <t>Kontagora</t>
        </is>
      </c>
      <c r="J780" s="25" t="inlineStr">
        <is>
          <t>Niger</t>
        </is>
      </c>
      <c r="K780" s="189" t="n">
        <v>584.5</v>
      </c>
      <c r="L780" s="223" t="n">
        <v>1169</v>
      </c>
      <c r="M780" s="220">
        <f>ROUNDDOWN(L780*0.7,)</f>
        <v/>
      </c>
      <c r="N780" s="194" t="n">
        <v>28056</v>
      </c>
      <c r="O780" s="220" t="n">
        <v>2690000</v>
      </c>
    </row>
    <row r="781">
      <c r="A781" t="inlineStr">
        <is>
          <t>AFEEZ AJIBADE/Ebenezer</t>
        </is>
      </c>
      <c r="B781">
        <f>CONCATENATE(E781,"-",F781,"-",D781)</f>
        <v/>
      </c>
      <c r="C781" s="25">
        <f>CONCATENATE(G781,"-",F781,"-",D781)</f>
        <v/>
      </c>
      <c r="D781" s="25" t="inlineStr">
        <is>
          <t>JUMBO</t>
        </is>
      </c>
      <c r="E781" s="25" t="inlineStr">
        <is>
          <t>NBL-DSL</t>
        </is>
      </c>
      <c r="F781" s="63" t="inlineStr">
        <is>
          <t>45T</t>
        </is>
      </c>
      <c r="G781" s="204" t="inlineStr">
        <is>
          <t>ATLANTIC PVC</t>
        </is>
      </c>
      <c r="H781" s="204" t="inlineStr">
        <is>
          <t>Lagos</t>
        </is>
      </c>
      <c r="I781" s="25" t="inlineStr">
        <is>
          <t>Minna</t>
        </is>
      </c>
      <c r="J781" s="25" t="inlineStr">
        <is>
          <t>Niger</t>
        </is>
      </c>
      <c r="K781" s="189" t="n">
        <v>626.5</v>
      </c>
      <c r="L781" s="223" t="n">
        <v>1253</v>
      </c>
      <c r="M781" s="220">
        <f>ROUNDDOWN(L781*0.7,)</f>
        <v/>
      </c>
      <c r="N781" s="194" t="n">
        <v>30072</v>
      </c>
      <c r="O781" s="220" t="n">
        <v>2790000</v>
      </c>
    </row>
    <row r="782">
      <c r="A782" t="inlineStr">
        <is>
          <t>AFEEZ AJIBADE/Ebenezer</t>
        </is>
      </c>
      <c r="B782">
        <f>CONCATENATE(E782,"-",F782,"-",D782)</f>
        <v/>
      </c>
      <c r="C782" s="25">
        <f>CONCATENATE(G782,"-",F782,"-",D782)</f>
        <v/>
      </c>
      <c r="D782" s="25" t="inlineStr">
        <is>
          <t>JUMBO</t>
        </is>
      </c>
      <c r="E782" s="25" t="inlineStr">
        <is>
          <t>NBL-DSL</t>
        </is>
      </c>
      <c r="F782" s="63" t="inlineStr">
        <is>
          <t>45T</t>
        </is>
      </c>
      <c r="G782" s="204" t="inlineStr">
        <is>
          <t>ATLANTIC PVC</t>
        </is>
      </c>
      <c r="H782" s="204" t="inlineStr">
        <is>
          <t>Lagos</t>
        </is>
      </c>
      <c r="I782" s="25" t="inlineStr">
        <is>
          <t>Jos</t>
        </is>
      </c>
      <c r="J782" s="25" t="inlineStr">
        <is>
          <t>Plateau</t>
        </is>
      </c>
      <c r="K782" s="189" t="n">
        <v>1025</v>
      </c>
      <c r="L782" s="223" t="n">
        <v>2050</v>
      </c>
      <c r="M782" s="220">
        <f>ROUNDDOWN(L782*0.7,)</f>
        <v/>
      </c>
      <c r="N782" s="194" t="n">
        <v>49200</v>
      </c>
      <c r="O782" s="220" t="n">
        <v>4510000</v>
      </c>
    </row>
    <row r="783">
      <c r="A783" t="inlineStr">
        <is>
          <t>AFEEZ AJIBADE/Ebenezer</t>
        </is>
      </c>
      <c r="B783">
        <f>CONCATENATE(E783,"-",F783,"-",D783)</f>
        <v/>
      </c>
      <c r="C783" s="25">
        <f>CONCATENATE(G783,"-",F783,"-",D783)</f>
        <v/>
      </c>
      <c r="D783" s="25" t="inlineStr">
        <is>
          <t>JUMBO</t>
        </is>
      </c>
      <c r="E783" s="25" t="inlineStr">
        <is>
          <t>NBL-DSL</t>
        </is>
      </c>
      <c r="F783" s="63" t="inlineStr">
        <is>
          <t>45T</t>
        </is>
      </c>
      <c r="G783" s="204" t="inlineStr">
        <is>
          <t>ATLANTIC PVC</t>
        </is>
      </c>
      <c r="H783" s="204" t="inlineStr">
        <is>
          <t>Lagos</t>
        </is>
      </c>
      <c r="I783" s="25" t="inlineStr">
        <is>
          <t>Shendam</t>
        </is>
      </c>
      <c r="J783" s="25" t="inlineStr">
        <is>
          <t>Plateau</t>
        </is>
      </c>
      <c r="K783" s="189" t="n">
        <v>1033</v>
      </c>
      <c r="L783" s="223" t="n">
        <v>2066</v>
      </c>
      <c r="M783" s="220">
        <f>ROUNDDOWN(L783*0.7,)</f>
        <v/>
      </c>
      <c r="N783" s="194" t="n">
        <v>49584</v>
      </c>
      <c r="O783" s="220" t="n">
        <v>4530000</v>
      </c>
    </row>
    <row r="784">
      <c r="A784" t="inlineStr">
        <is>
          <t>AFEEZ AJIBADE/Ebenezer</t>
        </is>
      </c>
      <c r="B784">
        <f>CONCATENATE(E784,"-",F784,"-",D784)</f>
        <v/>
      </c>
      <c r="C784" s="25">
        <f>CONCATENATE(G784,"-",F784,"-",D784)</f>
        <v/>
      </c>
      <c r="D784" s="25" t="inlineStr">
        <is>
          <t>JUMBO</t>
        </is>
      </c>
      <c r="E784" s="25" t="inlineStr">
        <is>
          <t>NBL-DSL</t>
        </is>
      </c>
      <c r="F784" s="63" t="inlineStr">
        <is>
          <t>45T</t>
        </is>
      </c>
      <c r="G784" s="204" t="inlineStr">
        <is>
          <t>ATLANTIC PVC</t>
        </is>
      </c>
      <c r="H784" s="204" t="inlineStr">
        <is>
          <t>Lagos</t>
        </is>
      </c>
      <c r="I784" s="25" t="inlineStr">
        <is>
          <t>Sokoto</t>
        </is>
      </c>
      <c r="J784" s="25" t="inlineStr">
        <is>
          <t>Sokoto</t>
        </is>
      </c>
      <c r="K784" s="189" t="n">
        <v>991.5</v>
      </c>
      <c r="L784" s="223" t="n">
        <v>1983</v>
      </c>
      <c r="M784" s="220">
        <f>ROUNDDOWN(L784*0.7,)</f>
        <v/>
      </c>
      <c r="N784" s="194" t="n">
        <v>47592</v>
      </c>
      <c r="O784" s="220" t="n">
        <v>4430000</v>
      </c>
    </row>
    <row r="785">
      <c r="A785" t="inlineStr">
        <is>
          <t>AFEEZ AJIBADE/Ebenezer</t>
        </is>
      </c>
      <c r="B785">
        <f>CONCATENATE(E785,"-",F785,"-",D785)</f>
        <v/>
      </c>
      <c r="C785" s="25">
        <f>CONCATENATE(G785,"-",F785,"-",D785)</f>
        <v/>
      </c>
      <c r="D785" s="25" t="inlineStr">
        <is>
          <t>JUMBO</t>
        </is>
      </c>
      <c r="E785" s="25" t="inlineStr">
        <is>
          <t>NBL-DSL</t>
        </is>
      </c>
      <c r="F785" s="63" t="inlineStr">
        <is>
          <t>45T</t>
        </is>
      </c>
      <c r="G785" s="204" t="inlineStr">
        <is>
          <t>ATLANTIC PVC</t>
        </is>
      </c>
      <c r="H785" s="204" t="inlineStr">
        <is>
          <t>Lagos</t>
        </is>
      </c>
      <c r="I785" s="25" t="inlineStr">
        <is>
          <t>Birnin Kebbi</t>
        </is>
      </c>
      <c r="J785" s="25" t="inlineStr">
        <is>
          <t>Kebbi</t>
        </is>
      </c>
      <c r="K785" s="189" t="n">
        <v>885</v>
      </c>
      <c r="L785" s="223" t="n">
        <v>1770</v>
      </c>
      <c r="M785" s="220">
        <f>ROUNDDOWN(L785*0.7,)</f>
        <v/>
      </c>
      <c r="N785" s="194" t="n">
        <v>42480</v>
      </c>
      <c r="O785" s="220" t="n">
        <v>3920000</v>
      </c>
    </row>
    <row r="786">
      <c r="A786" t="inlineStr">
        <is>
          <t>AFEEZ AJIBADE/Ebenezer</t>
        </is>
      </c>
      <c r="B786">
        <f>CONCATENATE(E786,"-",F786,"-",D786)</f>
        <v/>
      </c>
      <c r="C786" s="25">
        <f>CONCATENATE(G786,"-",F786,"-",D786)</f>
        <v/>
      </c>
      <c r="D786" s="25" t="inlineStr">
        <is>
          <t>JUMBO</t>
        </is>
      </c>
      <c r="E786" s="25" t="inlineStr">
        <is>
          <t>NBL-DSL</t>
        </is>
      </c>
      <c r="F786" s="63" t="inlineStr">
        <is>
          <t>45T</t>
        </is>
      </c>
      <c r="G786" s="204" t="inlineStr">
        <is>
          <t>ATLANTIC PVC</t>
        </is>
      </c>
      <c r="H786" s="204" t="inlineStr">
        <is>
          <t>Lagos</t>
        </is>
      </c>
      <c r="I786" s="25" t="inlineStr">
        <is>
          <t>Illela</t>
        </is>
      </c>
      <c r="J786" s="25" t="inlineStr">
        <is>
          <t>Sokoto</t>
        </is>
      </c>
      <c r="K786" s="189" t="n">
        <v>995</v>
      </c>
      <c r="L786" s="223" t="n">
        <v>1990</v>
      </c>
      <c r="M786" s="220">
        <f>ROUNDDOWN(L786*0.7,)</f>
        <v/>
      </c>
      <c r="N786" s="194" t="n">
        <v>47760</v>
      </c>
      <c r="O786" s="220" t="n">
        <v>4440000</v>
      </c>
    </row>
    <row r="787">
      <c r="A787" t="inlineStr">
        <is>
          <t>AFEEZ AJIBADE/Ebenezer</t>
        </is>
      </c>
      <c r="B787">
        <f>CONCATENATE(E787,"-",F787,"-",D787)</f>
        <v/>
      </c>
      <c r="C787" s="25">
        <f>CONCATENATE(G787,"-",F787,"-",D787)</f>
        <v/>
      </c>
      <c r="D787" s="25" t="inlineStr">
        <is>
          <t>JUMBO</t>
        </is>
      </c>
      <c r="E787" s="25" t="inlineStr">
        <is>
          <t>NBL-DSL</t>
        </is>
      </c>
      <c r="F787" s="63" t="inlineStr">
        <is>
          <t>45T</t>
        </is>
      </c>
      <c r="G787" s="204" t="inlineStr">
        <is>
          <t>ATLANTIC PVC</t>
        </is>
      </c>
      <c r="H787" s="204" t="inlineStr">
        <is>
          <t>Lagos</t>
        </is>
      </c>
      <c r="I787" s="25" t="inlineStr">
        <is>
          <t>Jalingo</t>
        </is>
      </c>
      <c r="J787" s="25" t="inlineStr">
        <is>
          <t>Taraba</t>
        </is>
      </c>
      <c r="K787" s="189" t="n">
        <v>1169</v>
      </c>
      <c r="L787" s="223" t="n">
        <v>2338</v>
      </c>
      <c r="M787" s="220">
        <f>ROUNDDOWN(L787*0.7,)</f>
        <v/>
      </c>
      <c r="N787" s="194" t="n">
        <v>56112</v>
      </c>
      <c r="O787" s="220" t="n">
        <v>5110000</v>
      </c>
    </row>
    <row r="788">
      <c r="A788" t="inlineStr">
        <is>
          <t>AFEEZ AJIBADE/Ebenezer</t>
        </is>
      </c>
      <c r="B788">
        <f>CONCATENATE(E788,"-",F788,"-",D788)</f>
        <v/>
      </c>
      <c r="C788" s="25">
        <f>CONCATENATE(G788,"-",F788,"-",D788)</f>
        <v/>
      </c>
      <c r="D788" s="25" t="inlineStr">
        <is>
          <t>JUMBO</t>
        </is>
      </c>
      <c r="E788" s="25" t="inlineStr">
        <is>
          <t>NBL-DSL</t>
        </is>
      </c>
      <c r="F788" s="63" t="inlineStr">
        <is>
          <t>45T</t>
        </is>
      </c>
      <c r="G788" s="204" t="inlineStr">
        <is>
          <t>ATLANTIC PVC</t>
        </is>
      </c>
      <c r="H788" s="204" t="inlineStr">
        <is>
          <t>Lagos</t>
        </is>
      </c>
      <c r="I788" s="25" t="inlineStr">
        <is>
          <t>Wukari</t>
        </is>
      </c>
      <c r="J788" s="25" t="inlineStr">
        <is>
          <t>Taraba</t>
        </is>
      </c>
      <c r="K788" s="189" t="n">
        <v>948.5</v>
      </c>
      <c r="L788" s="223" t="n">
        <v>1897</v>
      </c>
      <c r="M788" s="220">
        <f>ROUNDDOWN(L788*0.7,)</f>
        <v/>
      </c>
      <c r="N788" s="194" t="n">
        <v>45528</v>
      </c>
      <c r="O788" s="220" t="n">
        <v>4070000</v>
      </c>
    </row>
    <row r="789">
      <c r="A789" t="inlineStr">
        <is>
          <t>AFEEZ AJIBADE/Ebenezer</t>
        </is>
      </c>
      <c r="B789">
        <f>CONCATENATE(E789,"-",F789,"-",D789)</f>
        <v/>
      </c>
      <c r="C789" s="25">
        <f>CONCATENATE(G789,"-",F789,"-",D789)</f>
        <v/>
      </c>
      <c r="D789" s="25" t="inlineStr">
        <is>
          <t>JUMBO</t>
        </is>
      </c>
      <c r="E789" s="25" t="inlineStr">
        <is>
          <t>NBL-DSL</t>
        </is>
      </c>
      <c r="F789" s="63" t="inlineStr">
        <is>
          <t>45T</t>
        </is>
      </c>
      <c r="G789" s="204" t="inlineStr">
        <is>
          <t>ATLANTIC PVC</t>
        </is>
      </c>
      <c r="H789" s="204" t="inlineStr">
        <is>
          <t>Lagos</t>
        </is>
      </c>
      <c r="I789" s="25" t="inlineStr">
        <is>
          <t>Gusau</t>
        </is>
      </c>
      <c r="J789" s="25" t="inlineStr">
        <is>
          <t>Zamfara</t>
        </is>
      </c>
      <c r="K789" s="189" t="n">
        <v>880.5</v>
      </c>
      <c r="L789" s="223" t="n">
        <v>1761</v>
      </c>
      <c r="M789" s="220">
        <f>ROUNDDOWN(L789*0.7,)</f>
        <v/>
      </c>
      <c r="N789" s="194" t="n">
        <v>42264</v>
      </c>
      <c r="O789" s="220" t="n">
        <v>3910000</v>
      </c>
    </row>
    <row r="790">
      <c r="A790" t="inlineStr">
        <is>
          <t>AFEEZ AJIBADE/Ebenezer</t>
        </is>
      </c>
      <c r="B790">
        <f>CONCATENATE(E790,"-",F790,"-",D790)</f>
        <v/>
      </c>
      <c r="C790" s="25">
        <f>CONCATENATE(G790,"-",F790,"-",D790)</f>
        <v/>
      </c>
      <c r="D790" s="25" t="inlineStr">
        <is>
          <t>JUMBO</t>
        </is>
      </c>
      <c r="E790" s="25" t="inlineStr">
        <is>
          <t>NBL-DSL</t>
        </is>
      </c>
      <c r="F790" s="63" t="inlineStr">
        <is>
          <t>45T</t>
        </is>
      </c>
      <c r="G790" s="204" t="inlineStr">
        <is>
          <t>ATLANTIC PVC</t>
        </is>
      </c>
      <c r="H790" s="204" t="inlineStr">
        <is>
          <t>Lagos</t>
        </is>
      </c>
      <c r="I790" s="25" t="inlineStr">
        <is>
          <t>Yola</t>
        </is>
      </c>
      <c r="J790" s="25" t="inlineStr">
        <is>
          <t>Adamawa</t>
        </is>
      </c>
      <c r="K790" s="189" t="n">
        <v>1332.5</v>
      </c>
      <c r="L790" s="223" t="n">
        <v>2665</v>
      </c>
      <c r="M790" s="220">
        <f>ROUNDDOWN(L790*0.7,)</f>
        <v/>
      </c>
      <c r="N790" s="194" t="n">
        <v>63960</v>
      </c>
      <c r="O790" s="220" t="n">
        <v>5760000</v>
      </c>
    </row>
    <row r="791">
      <c r="A791" t="inlineStr">
        <is>
          <t>AFEEZ AJIBADE/Ebenezer</t>
        </is>
      </c>
      <c r="B791">
        <f>CONCATENATE(E791,"-",F791,"-",D791)</f>
        <v/>
      </c>
      <c r="C791" s="25">
        <f>CONCATENATE(G791,"-",F791,"-",D791)</f>
        <v/>
      </c>
      <c r="D791" s="25" t="inlineStr">
        <is>
          <t>JUMBO</t>
        </is>
      </c>
      <c r="E791" s="25" t="inlineStr">
        <is>
          <t>NBL-DSL</t>
        </is>
      </c>
      <c r="F791" s="63" t="inlineStr">
        <is>
          <t>45T</t>
        </is>
      </c>
      <c r="G791" s="204" t="inlineStr">
        <is>
          <t>ATLANTIC PVC</t>
        </is>
      </c>
      <c r="H791" s="204" t="inlineStr">
        <is>
          <t>Lagos</t>
        </is>
      </c>
      <c r="I791" s="25" t="inlineStr">
        <is>
          <t>Mubi</t>
        </is>
      </c>
      <c r="J791" s="25" t="inlineStr">
        <is>
          <t>Adamawa</t>
        </is>
      </c>
      <c r="K791" s="189" t="n">
        <v>1508</v>
      </c>
      <c r="L791" s="223" t="n">
        <v>3016</v>
      </c>
      <c r="M791" s="220">
        <f>ROUNDDOWN(L791*0.7,)</f>
        <v/>
      </c>
      <c r="N791" s="194" t="n">
        <v>72384</v>
      </c>
      <c r="O791" s="220" t="n">
        <v>6430000</v>
      </c>
    </row>
    <row r="792">
      <c r="A792" t="inlineStr">
        <is>
          <t>AFEEZ AJIBADE/Ebenezer</t>
        </is>
      </c>
      <c r="B792">
        <f>CONCATENATE(E792,"-",F792,"-",D792)</f>
        <v/>
      </c>
      <c r="C792" s="25">
        <f>CONCATENATE(G792,"-",F792,"-",D792)</f>
        <v/>
      </c>
      <c r="D792" s="25" t="inlineStr">
        <is>
          <t>JUMBO</t>
        </is>
      </c>
      <c r="E792" s="25" t="inlineStr">
        <is>
          <t>NBL-DSL</t>
        </is>
      </c>
      <c r="F792" s="63" t="inlineStr">
        <is>
          <t>45T</t>
        </is>
      </c>
      <c r="G792" s="204" t="inlineStr">
        <is>
          <t>ATLANTIC PVC</t>
        </is>
      </c>
      <c r="H792" s="204" t="inlineStr">
        <is>
          <t>Lagos</t>
        </is>
      </c>
      <c r="I792" s="25" t="inlineStr">
        <is>
          <t>Madagali</t>
        </is>
      </c>
      <c r="J792" s="25" t="inlineStr">
        <is>
          <t>Adamawa</t>
        </is>
      </c>
      <c r="K792" s="189" t="n">
        <v>1711.5</v>
      </c>
      <c r="L792" s="223" t="n">
        <v>3423</v>
      </c>
      <c r="M792" s="220">
        <f>ROUNDDOWN(L792*0.7,)</f>
        <v/>
      </c>
      <c r="N792" s="194" t="n">
        <v>82152</v>
      </c>
      <c r="O792" s="220" t="n">
        <v>7170000</v>
      </c>
    </row>
    <row r="793">
      <c r="A793" t="inlineStr">
        <is>
          <t>AFEEZ AJIBADE/Ebenezer</t>
        </is>
      </c>
      <c r="B793">
        <f>CONCATENATE(E793,"-",F793,"-",D793)</f>
        <v/>
      </c>
      <c r="C793" s="25">
        <f>CONCATENATE(G793,"-",F793,"-",D793)</f>
        <v/>
      </c>
      <c r="D793" s="25" t="inlineStr">
        <is>
          <t>JUMBO</t>
        </is>
      </c>
      <c r="E793" s="25" t="inlineStr">
        <is>
          <t>NBL-DSL</t>
        </is>
      </c>
      <c r="F793" s="63" t="inlineStr">
        <is>
          <t>45T</t>
        </is>
      </c>
      <c r="G793" s="204" t="inlineStr">
        <is>
          <t>ATLANTIC PVC</t>
        </is>
      </c>
      <c r="H793" s="204" t="inlineStr">
        <is>
          <t>Lagos</t>
        </is>
      </c>
      <c r="I793" s="25" t="inlineStr">
        <is>
          <t>Bida</t>
        </is>
      </c>
      <c r="J793" s="25" t="inlineStr">
        <is>
          <t>Niger</t>
        </is>
      </c>
      <c r="K793" s="189" t="n">
        <v>541.5</v>
      </c>
      <c r="L793" s="223" t="n">
        <v>1083</v>
      </c>
      <c r="M793" s="220">
        <f>ROUNDDOWN(L793*0.7,)</f>
        <v/>
      </c>
      <c r="N793" s="194" t="n">
        <v>25992</v>
      </c>
      <c r="O793" s="220" t="n">
        <v>2590000</v>
      </c>
    </row>
    <row r="794">
      <c r="A794" t="inlineStr">
        <is>
          <t>AFEEZ AJIBADE/Ebenezer</t>
        </is>
      </c>
      <c r="B794">
        <f>CONCATENATE(E794,"-",F794,"-",D794)</f>
        <v/>
      </c>
      <c r="C794" s="25">
        <f>CONCATENATE(G794,"-",F794,"-",D794)</f>
        <v/>
      </c>
      <c r="D794" s="25" t="inlineStr">
        <is>
          <t>JUMBO</t>
        </is>
      </c>
      <c r="E794" s="25" t="inlineStr">
        <is>
          <t>NBL-DSL</t>
        </is>
      </c>
      <c r="F794" s="63" t="inlineStr">
        <is>
          <t>45T</t>
        </is>
      </c>
      <c r="G794" s="204" t="inlineStr">
        <is>
          <t>ATLANTIC PVC</t>
        </is>
      </c>
      <c r="H794" s="204" t="inlineStr">
        <is>
          <t>Lagos</t>
        </is>
      </c>
      <c r="I794" s="25" t="inlineStr">
        <is>
          <t>Katsina</t>
        </is>
      </c>
      <c r="J794" s="25" t="inlineStr">
        <is>
          <t>Katsina</t>
        </is>
      </c>
      <c r="K794" s="189" t="n">
        <v>956</v>
      </c>
      <c r="L794" s="223" t="n">
        <v>1912</v>
      </c>
      <c r="M794" s="220">
        <f>ROUNDDOWN(L794*0.7,)</f>
        <v/>
      </c>
      <c r="N794" s="194" t="n">
        <v>45888</v>
      </c>
      <c r="O794" s="220" t="n">
        <v>4090000</v>
      </c>
    </row>
    <row r="795">
      <c r="A795" t="inlineStr">
        <is>
          <t>AFEEZ AJIBADE/Ebenezer</t>
        </is>
      </c>
      <c r="B795">
        <f>CONCATENATE(E795,"-",F795,"-",D795)</f>
        <v/>
      </c>
      <c r="C795" s="25">
        <f>CONCATENATE(G795,"-",F795,"-",D795)</f>
        <v/>
      </c>
      <c r="D795" s="25" t="inlineStr">
        <is>
          <t>JUMBO</t>
        </is>
      </c>
      <c r="E795" s="25" t="inlineStr">
        <is>
          <t>NBL-DSL</t>
        </is>
      </c>
      <c r="F795" s="63" t="inlineStr">
        <is>
          <t>45T</t>
        </is>
      </c>
      <c r="G795" s="204" t="inlineStr">
        <is>
          <t>ATLANTIC PVC</t>
        </is>
      </c>
      <c r="H795" s="204" t="inlineStr">
        <is>
          <t>Lagos</t>
        </is>
      </c>
      <c r="I795" s="25" t="inlineStr">
        <is>
          <t>Jebba</t>
        </is>
      </c>
      <c r="J795" s="25" t="inlineStr">
        <is>
          <t>Kwara</t>
        </is>
      </c>
      <c r="K795" s="189" t="n">
        <v>374</v>
      </c>
      <c r="L795" s="223" t="n">
        <v>748</v>
      </c>
      <c r="M795" s="220">
        <f>ROUNDDOWN(L795*0.7,)</f>
        <v/>
      </c>
      <c r="N795" s="194" t="n">
        <v>17952</v>
      </c>
      <c r="O795" s="220" t="n">
        <v>1930000</v>
      </c>
    </row>
    <row r="796">
      <c r="A796" t="inlineStr">
        <is>
          <t>AFEEZ AJIBADE/Ebenezer</t>
        </is>
      </c>
      <c r="B796">
        <f>CONCATENATE(E796,"-",F796,"-",D796)</f>
        <v/>
      </c>
      <c r="C796" s="25">
        <f>CONCATENATE(G796,"-",F796,"-",D796)</f>
        <v/>
      </c>
      <c r="D796" s="25" t="inlineStr">
        <is>
          <t>JUMBO</t>
        </is>
      </c>
      <c r="E796" s="25" t="inlineStr">
        <is>
          <t>NBL-DSL</t>
        </is>
      </c>
      <c r="F796" s="63" t="inlineStr">
        <is>
          <t>45T</t>
        </is>
      </c>
      <c r="G796" s="204" t="inlineStr">
        <is>
          <t>ATLANTIC PVC</t>
        </is>
      </c>
      <c r="H796" s="204" t="inlineStr">
        <is>
          <t>Lagos</t>
        </is>
      </c>
      <c r="I796" s="25" t="inlineStr">
        <is>
          <t>Ilorin</t>
        </is>
      </c>
      <c r="J796" s="25" t="inlineStr">
        <is>
          <t>Kwara</t>
        </is>
      </c>
      <c r="K796" s="189" t="n">
        <v>305</v>
      </c>
      <c r="L796" s="223" t="n">
        <v>610</v>
      </c>
      <c r="M796" s="220">
        <f>ROUNDDOWN(L796*0.7,)</f>
        <v/>
      </c>
      <c r="N796" s="194" t="n">
        <v>14640</v>
      </c>
      <c r="O796" s="220" t="n">
        <v>1510000</v>
      </c>
    </row>
    <row r="797">
      <c r="A797" t="inlineStr">
        <is>
          <t>AFEEZ AJIBADE/Ebenezer</t>
        </is>
      </c>
      <c r="B797">
        <f>CONCATENATE(E797,"-",F797,"-",D797)</f>
        <v/>
      </c>
      <c r="C797" s="25">
        <f>CONCATENATE(G797,"-",F797,"-",D797)</f>
        <v/>
      </c>
      <c r="D797" s="25" t="inlineStr">
        <is>
          <t>JUMBO</t>
        </is>
      </c>
      <c r="E797" s="25" t="inlineStr">
        <is>
          <t>NBL-DSL</t>
        </is>
      </c>
      <c r="F797" s="63" t="inlineStr">
        <is>
          <t>45T</t>
        </is>
      </c>
      <c r="G797" s="204" t="inlineStr">
        <is>
          <t>ATLANTIC PVC</t>
        </is>
      </c>
      <c r="H797" s="204" t="inlineStr">
        <is>
          <t>Lagos</t>
        </is>
      </c>
      <c r="I797" s="25" t="inlineStr">
        <is>
          <t>Offa</t>
        </is>
      </c>
      <c r="J797" s="25" t="inlineStr">
        <is>
          <t>Kwara</t>
        </is>
      </c>
      <c r="K797" s="189" t="n">
        <v>278.5</v>
      </c>
      <c r="L797" s="223" t="n">
        <v>557</v>
      </c>
      <c r="M797" s="220">
        <f>ROUNDDOWN(L797*0.7,)</f>
        <v/>
      </c>
      <c r="N797" s="194" t="n">
        <v>13368</v>
      </c>
      <c r="O797" s="220" t="n">
        <v>1450000</v>
      </c>
    </row>
    <row r="798">
      <c r="A798" t="inlineStr">
        <is>
          <t>AFEEZ AJIBADE/Ebenezer</t>
        </is>
      </c>
      <c r="B798">
        <f>CONCATENATE(E798,"-",F798,"-",D798)</f>
        <v/>
      </c>
      <c r="C798" s="25">
        <f>CONCATENATE(G798,"-",F798,"-",D798)</f>
        <v/>
      </c>
      <c r="D798" s="25" t="inlineStr">
        <is>
          <t>JUMBO</t>
        </is>
      </c>
      <c r="E798" s="25" t="inlineStr">
        <is>
          <t>NBL-DSL</t>
        </is>
      </c>
      <c r="F798" s="63" t="inlineStr">
        <is>
          <t>45T</t>
        </is>
      </c>
      <c r="G798" s="204" t="inlineStr">
        <is>
          <t>ATLANTIC PVC</t>
        </is>
      </c>
      <c r="H798" s="204" t="inlineStr">
        <is>
          <t>Lagos</t>
        </is>
      </c>
      <c r="I798" s="25" t="inlineStr">
        <is>
          <t>Akure</t>
        </is>
      </c>
      <c r="J798" s="25" t="inlineStr">
        <is>
          <t>Ondo</t>
        </is>
      </c>
      <c r="K798" s="189" t="n">
        <v>301.5</v>
      </c>
      <c r="L798" s="223" t="n">
        <v>603</v>
      </c>
      <c r="M798" s="220">
        <f>ROUNDDOWN(L798*0.7,)</f>
        <v/>
      </c>
      <c r="N798" s="194" t="n">
        <v>14472</v>
      </c>
      <c r="O798" s="220" t="n">
        <v>1500000</v>
      </c>
    </row>
    <row r="799">
      <c r="A799" t="inlineStr">
        <is>
          <t>AFEEZ AJIBADE/Ebenezer</t>
        </is>
      </c>
      <c r="B799">
        <f>CONCATENATE(E799,"-",F799,"-",D799)</f>
        <v/>
      </c>
      <c r="C799" s="25">
        <f>CONCATENATE(G799,"-",F799,"-",D799)</f>
        <v/>
      </c>
      <c r="D799" s="25" t="inlineStr">
        <is>
          <t>JUMBO</t>
        </is>
      </c>
      <c r="E799" s="25" t="inlineStr">
        <is>
          <t>NBL-DSL</t>
        </is>
      </c>
      <c r="F799" s="63" t="inlineStr">
        <is>
          <t>45T</t>
        </is>
      </c>
      <c r="G799" s="204" t="inlineStr">
        <is>
          <t>ATLANTIC PVC</t>
        </is>
      </c>
      <c r="H799" s="204" t="inlineStr">
        <is>
          <t>Lagos</t>
        </is>
      </c>
      <c r="I799" s="25" t="inlineStr">
        <is>
          <t>Ibadan</t>
        </is>
      </c>
      <c r="J799" s="25" t="inlineStr">
        <is>
          <t>Oyo</t>
        </is>
      </c>
      <c r="K799" s="189" t="n">
        <v>135</v>
      </c>
      <c r="L799" s="223" t="n">
        <v>270</v>
      </c>
      <c r="M799" s="220">
        <f>ROUNDDOWN(L799*0.7,)</f>
        <v/>
      </c>
      <c r="N799" s="194" t="n">
        <v>6480</v>
      </c>
      <c r="O799" s="220" t="n">
        <v>850000</v>
      </c>
    </row>
    <row r="800">
      <c r="A800" t="inlineStr">
        <is>
          <t>AFEEZ AJIBADE/Ebenezer</t>
        </is>
      </c>
      <c r="B800">
        <f>CONCATENATE(E800,"-",F800,"-",D800)</f>
        <v/>
      </c>
      <c r="C800" s="25">
        <f>CONCATENATE(G800,"-",F800,"-",D800)</f>
        <v/>
      </c>
      <c r="D800" s="25" t="inlineStr">
        <is>
          <t>JUMBO</t>
        </is>
      </c>
      <c r="E800" s="25" t="inlineStr">
        <is>
          <t>NBL-DSL</t>
        </is>
      </c>
      <c r="F800" s="63" t="inlineStr">
        <is>
          <t>45T</t>
        </is>
      </c>
      <c r="G800" s="204" t="inlineStr">
        <is>
          <t>ATLANTIC PVC</t>
        </is>
      </c>
      <c r="H800" s="204" t="inlineStr">
        <is>
          <t>Lagos</t>
        </is>
      </c>
      <c r="I800" s="25" t="inlineStr">
        <is>
          <t>Iseyin</t>
        </is>
      </c>
      <c r="J800" s="25" t="inlineStr">
        <is>
          <t>Oyo</t>
        </is>
      </c>
      <c r="K800" s="189" t="n">
        <v>222.5</v>
      </c>
      <c r="L800" s="223" t="n">
        <v>445</v>
      </c>
      <c r="M800" s="220">
        <f>ROUNDDOWN(L800*0.7,)</f>
        <v/>
      </c>
      <c r="N800" s="194" t="n">
        <v>10680</v>
      </c>
      <c r="O800" s="220" t="n">
        <v>1320000</v>
      </c>
    </row>
    <row r="801">
      <c r="A801" t="inlineStr">
        <is>
          <t>AFEEZ AJIBADE/Ebenezer</t>
        </is>
      </c>
      <c r="B801">
        <f>CONCATENATE(E801,"-",F801,"-",D801)</f>
        <v/>
      </c>
      <c r="C801" s="25">
        <f>CONCATENATE(G801,"-",F801,"-",D801)</f>
        <v/>
      </c>
      <c r="D801" s="25" t="inlineStr">
        <is>
          <t>JUMBO</t>
        </is>
      </c>
      <c r="E801" s="25" t="inlineStr">
        <is>
          <t>NBL-DSL</t>
        </is>
      </c>
      <c r="F801" s="63" t="inlineStr">
        <is>
          <t>45T</t>
        </is>
      </c>
      <c r="G801" s="204" t="inlineStr">
        <is>
          <t>ATLANTIC PVC</t>
        </is>
      </c>
      <c r="H801" s="204" t="inlineStr">
        <is>
          <t>Lagos</t>
        </is>
      </c>
      <c r="I801" s="25" t="inlineStr">
        <is>
          <t>Ilaro</t>
        </is>
      </c>
      <c r="J801" s="25" t="inlineStr">
        <is>
          <t>Ogun</t>
        </is>
      </c>
      <c r="K801" s="189" t="n">
        <v>43</v>
      </c>
      <c r="L801" s="223" t="n">
        <v>86</v>
      </c>
      <c r="M801" s="220">
        <f>ROUNDDOWN(L801*0.7,)</f>
        <v/>
      </c>
      <c r="N801" s="194" t="n">
        <v>2064</v>
      </c>
      <c r="O801" s="220" t="n">
        <v>630000</v>
      </c>
    </row>
    <row r="802">
      <c r="A802" t="inlineStr">
        <is>
          <t>AFEEZ AJIBADE/Ebenezer</t>
        </is>
      </c>
      <c r="B802">
        <f>CONCATENATE(E802,"-",F802,"-",D802)</f>
        <v/>
      </c>
      <c r="C802" s="25">
        <f>CONCATENATE(G802,"-",F802,"-",D802)</f>
        <v/>
      </c>
      <c r="D802" s="25" t="inlineStr">
        <is>
          <t>JUMBO</t>
        </is>
      </c>
      <c r="E802" s="25" t="inlineStr">
        <is>
          <t>NBL-DSL</t>
        </is>
      </c>
      <c r="F802" s="63" t="inlineStr">
        <is>
          <t>45T</t>
        </is>
      </c>
      <c r="G802" s="204" t="inlineStr">
        <is>
          <t>ATLANTIC PVC</t>
        </is>
      </c>
      <c r="H802" s="204" t="inlineStr">
        <is>
          <t>Lagos</t>
        </is>
      </c>
      <c r="I802" s="25" t="inlineStr">
        <is>
          <t>Osogbo</t>
        </is>
      </c>
      <c r="J802" s="25" t="inlineStr">
        <is>
          <t>Osun</t>
        </is>
      </c>
      <c r="K802" s="189" t="n">
        <v>229.5</v>
      </c>
      <c r="L802" s="223" t="n">
        <v>459</v>
      </c>
      <c r="M802" s="220">
        <f>ROUNDDOWN(L802*0.7,)</f>
        <v/>
      </c>
      <c r="N802" s="194" t="n">
        <v>11016</v>
      </c>
      <c r="O802" s="220" t="n">
        <v>1330000</v>
      </c>
    </row>
    <row r="803">
      <c r="A803" t="inlineStr">
        <is>
          <t>AFEEZ AJIBADE/Ebenezer</t>
        </is>
      </c>
      <c r="B803">
        <f>CONCATENATE(E803,"-",F803,"-",D803)</f>
        <v/>
      </c>
      <c r="C803" s="25">
        <f>CONCATENATE(G803,"-",F803,"-",D803)</f>
        <v/>
      </c>
      <c r="D803" s="25" t="inlineStr">
        <is>
          <t>JUMBO</t>
        </is>
      </c>
      <c r="E803" s="25" t="inlineStr">
        <is>
          <t>NBL-DSL</t>
        </is>
      </c>
      <c r="F803" s="63" t="inlineStr">
        <is>
          <t>45T</t>
        </is>
      </c>
      <c r="G803" s="204" t="inlineStr">
        <is>
          <t>ATLANTIC PVC</t>
        </is>
      </c>
      <c r="H803" s="204" t="inlineStr">
        <is>
          <t>Lagos</t>
        </is>
      </c>
      <c r="I803" s="25" t="inlineStr">
        <is>
          <t>Ado-Ekiti</t>
        </is>
      </c>
      <c r="J803" s="25" t="inlineStr">
        <is>
          <t>Ekiti</t>
        </is>
      </c>
      <c r="K803" s="189" t="n">
        <v>325.5</v>
      </c>
      <c r="L803" s="223" t="n">
        <v>651</v>
      </c>
      <c r="M803" s="220">
        <f>ROUNDDOWN(L803*0.7,)</f>
        <v/>
      </c>
      <c r="N803" s="194" t="n">
        <v>15624</v>
      </c>
      <c r="O803" s="220" t="n">
        <v>1820000</v>
      </c>
    </row>
    <row r="804">
      <c r="A804" t="inlineStr">
        <is>
          <t>AFEEZ AJIBADE/Ebenezer</t>
        </is>
      </c>
      <c r="B804">
        <f>CONCATENATE(E804,"-",F804,"-",D804)</f>
        <v/>
      </c>
      <c r="C804" s="25">
        <f>CONCATENATE(G804,"-",F804,"-",D804)</f>
        <v/>
      </c>
      <c r="D804" s="25" t="inlineStr">
        <is>
          <t>JUMBO</t>
        </is>
      </c>
      <c r="E804" s="25" t="inlineStr">
        <is>
          <t>NBL-DSL</t>
        </is>
      </c>
      <c r="F804" s="63" t="inlineStr">
        <is>
          <t>45T</t>
        </is>
      </c>
      <c r="G804" s="204" t="inlineStr">
        <is>
          <t>ATLANTIC PVC</t>
        </is>
      </c>
      <c r="H804" s="204" t="inlineStr">
        <is>
          <t>Lagos</t>
        </is>
      </c>
      <c r="I804" s="25" t="inlineStr">
        <is>
          <t>Auchi</t>
        </is>
      </c>
      <c r="J804" s="25" t="inlineStr">
        <is>
          <t>Edo</t>
        </is>
      </c>
      <c r="K804" s="189" t="n">
        <v>433</v>
      </c>
      <c r="L804" s="223" t="n">
        <v>866</v>
      </c>
      <c r="M804" s="220">
        <f>ROUNDDOWN(L804*0.7,)</f>
        <v/>
      </c>
      <c r="N804" s="194" t="n">
        <v>20784</v>
      </c>
      <c r="O804" s="220" t="n">
        <v>2070000</v>
      </c>
    </row>
    <row r="805">
      <c r="A805" t="inlineStr">
        <is>
          <t>AFEEZ AJIBADE/Ebenezer</t>
        </is>
      </c>
      <c r="B805">
        <f>CONCATENATE(E805,"-",F805,"-",D805)</f>
        <v/>
      </c>
      <c r="C805" s="25">
        <f>CONCATENATE(G805,"-",F805,"-",D805)</f>
        <v/>
      </c>
      <c r="D805" s="25" t="inlineStr">
        <is>
          <t>JUMBO</t>
        </is>
      </c>
      <c r="E805" s="25" t="inlineStr">
        <is>
          <t>NBL-DSL</t>
        </is>
      </c>
      <c r="F805" s="63" t="inlineStr">
        <is>
          <t>45T</t>
        </is>
      </c>
      <c r="G805" s="204" t="inlineStr">
        <is>
          <t>ATLANTIC PVC</t>
        </is>
      </c>
      <c r="H805" s="204" t="inlineStr">
        <is>
          <t>Lagos</t>
        </is>
      </c>
      <c r="I805" s="25" t="inlineStr">
        <is>
          <t>Oja-Odan</t>
        </is>
      </c>
      <c r="J805" s="25" t="inlineStr">
        <is>
          <t>Ogun</t>
        </is>
      </c>
      <c r="K805" s="189" t="n">
        <v>98.5</v>
      </c>
      <c r="L805" s="223" t="n">
        <v>197</v>
      </c>
      <c r="M805" s="220">
        <f>ROUNDDOWN(L805*0.7,)</f>
        <v/>
      </c>
      <c r="N805" s="194" t="n">
        <v>4728</v>
      </c>
      <c r="O805" s="220" t="n">
        <v>760000</v>
      </c>
    </row>
    <row r="806">
      <c r="A806" t="inlineStr">
        <is>
          <t>AFEEZ AJIBADE/Ebenezer</t>
        </is>
      </c>
      <c r="B806">
        <f>CONCATENATE(E806,"-",F806,"-",D806)</f>
        <v/>
      </c>
      <c r="C806" s="25">
        <f>CONCATENATE(G806,"-",F806,"-",D806)</f>
        <v/>
      </c>
      <c r="D806" s="25" t="inlineStr">
        <is>
          <t>JUMBO</t>
        </is>
      </c>
      <c r="E806" s="25" t="inlineStr">
        <is>
          <t>NBL-DSL</t>
        </is>
      </c>
      <c r="F806" s="63" t="inlineStr">
        <is>
          <t>45T</t>
        </is>
      </c>
      <c r="G806" s="204" t="inlineStr">
        <is>
          <t>ATLANTIC PVC</t>
        </is>
      </c>
      <c r="H806" s="204" t="inlineStr">
        <is>
          <t>Lagos</t>
        </is>
      </c>
      <c r="I806" s="25" t="inlineStr">
        <is>
          <t>Kaiama</t>
        </is>
      </c>
      <c r="J806" s="25" t="inlineStr">
        <is>
          <t>Kwara</t>
        </is>
      </c>
      <c r="K806" s="189" t="n">
        <v>435</v>
      </c>
      <c r="L806" s="223" t="n">
        <v>870</v>
      </c>
      <c r="M806" s="220">
        <f>ROUNDDOWN(L806*0.7,)</f>
        <v/>
      </c>
      <c r="N806" s="194" t="n">
        <v>20880</v>
      </c>
      <c r="O806" s="220" t="n">
        <v>2080000</v>
      </c>
    </row>
    <row r="807">
      <c r="A807" t="inlineStr">
        <is>
          <t>AFEEZ AJIBADE/Ebenezer</t>
        </is>
      </c>
      <c r="B807">
        <f>CONCATENATE(E807,"-",F807,"-",D807)</f>
        <v/>
      </c>
      <c r="C807" s="25">
        <f>CONCATENATE(G807,"-",F807,"-",D807)</f>
        <v/>
      </c>
      <c r="D807" s="25" t="inlineStr">
        <is>
          <t>JUMBO</t>
        </is>
      </c>
      <c r="E807" s="25" t="inlineStr">
        <is>
          <t>NBL-DSL</t>
        </is>
      </c>
      <c r="F807" s="63" t="inlineStr">
        <is>
          <t>45T</t>
        </is>
      </c>
      <c r="G807" s="204" t="inlineStr">
        <is>
          <t>ATLANTIC PVC</t>
        </is>
      </c>
      <c r="H807" s="204" t="inlineStr">
        <is>
          <t>Lagos</t>
        </is>
      </c>
      <c r="I807" s="25" t="inlineStr">
        <is>
          <t>Imeko</t>
        </is>
      </c>
      <c r="J807" s="25" t="inlineStr">
        <is>
          <t>Ogun</t>
        </is>
      </c>
      <c r="K807" s="189" t="n">
        <v>179.5</v>
      </c>
      <c r="L807" s="223" t="n">
        <v>359</v>
      </c>
      <c r="M807" s="220">
        <f>ROUNDDOWN(L807*0.7,)</f>
        <v/>
      </c>
      <c r="N807" s="194" t="n">
        <v>8616</v>
      </c>
      <c r="O807" s="220" t="n">
        <v>1210000</v>
      </c>
    </row>
    <row r="808">
      <c r="A808" t="inlineStr">
        <is>
          <t>AFEEZ AJIBADE/Ebenezer</t>
        </is>
      </c>
      <c r="B808">
        <f>CONCATENATE(E808,"-",F808,"-",D808)</f>
        <v/>
      </c>
      <c r="C808" s="25">
        <f>CONCATENATE(G808,"-",F808,"-",D808)</f>
        <v/>
      </c>
      <c r="D808" s="25" t="inlineStr">
        <is>
          <t>JUMBO</t>
        </is>
      </c>
      <c r="E808" s="25" t="inlineStr">
        <is>
          <t>NBL-DSL</t>
        </is>
      </c>
      <c r="F808" s="63" t="inlineStr">
        <is>
          <t>45T</t>
        </is>
      </c>
      <c r="G808" s="204" t="inlineStr">
        <is>
          <t>ATLANTIC PVC</t>
        </is>
      </c>
      <c r="H808" s="204" t="inlineStr">
        <is>
          <t>Lagos</t>
        </is>
      </c>
      <c r="I808" s="25" t="inlineStr">
        <is>
          <t>Benin City</t>
        </is>
      </c>
      <c r="J808" s="25" t="inlineStr">
        <is>
          <t>Edo</t>
        </is>
      </c>
      <c r="K808" s="189" t="n">
        <v>320</v>
      </c>
      <c r="L808" s="223" t="n">
        <v>640</v>
      </c>
      <c r="M808" s="220">
        <f>ROUNDDOWN(L808*0.7,)</f>
        <v/>
      </c>
      <c r="N808" s="194" t="n">
        <v>15360</v>
      </c>
      <c r="O808" s="220" t="n">
        <v>1540000</v>
      </c>
    </row>
    <row r="809">
      <c r="A809" t="inlineStr">
        <is>
          <t>AFEEZ AJIBADE/Ebenezer</t>
        </is>
      </c>
      <c r="B809">
        <f>CONCATENATE(E809,"-",F809,"-",D809)</f>
        <v/>
      </c>
      <c r="C809" s="25">
        <f>CONCATENATE(G809,"-",F809,"-",D809)</f>
        <v/>
      </c>
      <c r="D809" s="25" t="inlineStr">
        <is>
          <t>JUMBO</t>
        </is>
      </c>
      <c r="E809" s="25" t="inlineStr">
        <is>
          <t>NBL-DSL</t>
        </is>
      </c>
      <c r="F809" s="63" t="inlineStr">
        <is>
          <t>45T</t>
        </is>
      </c>
      <c r="G809" s="204" t="inlineStr">
        <is>
          <t>ATLANTIC PVC</t>
        </is>
      </c>
      <c r="H809" s="204" t="inlineStr">
        <is>
          <t>Lagos</t>
        </is>
      </c>
      <c r="I809" s="25" t="inlineStr">
        <is>
          <t>Uromi</t>
        </is>
      </c>
      <c r="J809" s="25" t="inlineStr">
        <is>
          <t>Edo</t>
        </is>
      </c>
      <c r="K809" s="189" t="n">
        <v>413</v>
      </c>
      <c r="L809" s="223" t="n">
        <v>826</v>
      </c>
      <c r="M809" s="220">
        <f>ROUNDDOWN(L809*0.7,)</f>
        <v/>
      </c>
      <c r="N809" s="194" t="n">
        <v>19824</v>
      </c>
      <c r="O809" s="220" t="n">
        <v>2030000</v>
      </c>
    </row>
    <row r="810">
      <c r="A810" t="inlineStr">
        <is>
          <t>AFEEZ AJIBADE/Ebenezer</t>
        </is>
      </c>
      <c r="B810">
        <f>CONCATENATE(E810,"-",F810,"-",D810)</f>
        <v/>
      </c>
      <c r="C810" s="25">
        <f>CONCATENATE(G810,"-",F810,"-",D810)</f>
        <v/>
      </c>
      <c r="D810" s="25" t="inlineStr">
        <is>
          <t>JUMBO</t>
        </is>
      </c>
      <c r="E810" s="25" t="inlineStr">
        <is>
          <t>NBL-DSL</t>
        </is>
      </c>
      <c r="F810" s="63" t="inlineStr">
        <is>
          <t>45T</t>
        </is>
      </c>
      <c r="G810" s="204" t="inlineStr">
        <is>
          <t>ATLANTIC PVC</t>
        </is>
      </c>
      <c r="H810" s="204" t="inlineStr">
        <is>
          <t>Lagos</t>
        </is>
      </c>
      <c r="I810" s="25" t="inlineStr">
        <is>
          <t>Warri</t>
        </is>
      </c>
      <c r="J810" s="25" t="inlineStr">
        <is>
          <t>Delta</t>
        </is>
      </c>
      <c r="K810" s="189" t="n">
        <v>426.5</v>
      </c>
      <c r="L810" s="223" t="n">
        <v>853</v>
      </c>
      <c r="M810" s="220">
        <f>ROUNDDOWN(L810*0.7,)</f>
        <v/>
      </c>
      <c r="N810" s="194" t="n">
        <v>20472</v>
      </c>
      <c r="O810" s="220" t="n">
        <v>2060000</v>
      </c>
    </row>
    <row r="811">
      <c r="A811" t="inlineStr">
        <is>
          <t>AFEEZ AJIBADE/Ebenezer</t>
        </is>
      </c>
      <c r="B811">
        <f>CONCATENATE(E811,"-",F811,"-",D811)</f>
        <v/>
      </c>
      <c r="C811" s="25">
        <f>CONCATENATE(G811,"-",F811,"-",D811)</f>
        <v/>
      </c>
      <c r="D811" s="25" t="inlineStr">
        <is>
          <t>JUMBO</t>
        </is>
      </c>
      <c r="E811" s="25" t="inlineStr">
        <is>
          <t>NBL-DSL</t>
        </is>
      </c>
      <c r="F811" s="63" t="inlineStr">
        <is>
          <t>45T</t>
        </is>
      </c>
      <c r="G811" s="204" t="inlineStr">
        <is>
          <t>ATLANTIC PVC</t>
        </is>
      </c>
      <c r="H811" s="204" t="inlineStr">
        <is>
          <t>Lagos</t>
        </is>
      </c>
      <c r="I811" s="25" t="inlineStr">
        <is>
          <t>Zaki Biam</t>
        </is>
      </c>
      <c r="J811" s="25" t="inlineStr">
        <is>
          <t>Benue</t>
        </is>
      </c>
      <c r="K811" s="189" t="n">
        <v>900</v>
      </c>
      <c r="L811" s="223" t="n">
        <v>1800</v>
      </c>
      <c r="M811" s="220">
        <f>ROUNDDOWN(L811*0.7,)</f>
        <v/>
      </c>
      <c r="N811" s="194" t="n">
        <v>43200</v>
      </c>
      <c r="O811" s="220" t="n">
        <v>3960000</v>
      </c>
    </row>
    <row r="812">
      <c r="A812" t="inlineStr">
        <is>
          <t>AFEEZ AJIBADE/Ebenezer</t>
        </is>
      </c>
      <c r="B812">
        <f>CONCATENATE(E812,"-",F812,"-",D812)</f>
        <v/>
      </c>
      <c r="C812" s="25">
        <f>CONCATENATE(G812,"-",F812,"-",D812)</f>
        <v/>
      </c>
      <c r="D812" s="25" t="inlineStr">
        <is>
          <t>JUMBO</t>
        </is>
      </c>
      <c r="E812" s="25" t="inlineStr">
        <is>
          <t>NBL-DSL</t>
        </is>
      </c>
      <c r="F812" s="63" t="inlineStr">
        <is>
          <t>45T</t>
        </is>
      </c>
      <c r="G812" s="204" t="inlineStr">
        <is>
          <t>ATLANTIC PVC</t>
        </is>
      </c>
      <c r="H812" s="204" t="inlineStr">
        <is>
          <t>Lagos</t>
        </is>
      </c>
      <c r="I812" s="25" t="inlineStr">
        <is>
          <t>Katsina-Ala</t>
        </is>
      </c>
      <c r="J812" s="25" t="inlineStr">
        <is>
          <t>Benue</t>
        </is>
      </c>
      <c r="K812" s="189" t="n">
        <v>849</v>
      </c>
      <c r="L812" s="223" t="n">
        <v>1698</v>
      </c>
      <c r="M812" s="220">
        <f>ROUNDDOWN(L812*0.7,)</f>
        <v/>
      </c>
      <c r="N812" s="194" t="n">
        <v>40752</v>
      </c>
      <c r="O812" s="220" t="n">
        <v>3840000</v>
      </c>
    </row>
    <row r="813">
      <c r="A813" t="inlineStr">
        <is>
          <t>AFEEZ AJIBADE/Ebenezer</t>
        </is>
      </c>
      <c r="B813">
        <f>CONCATENATE(E813,"-",F813,"-",D813)</f>
        <v/>
      </c>
      <c r="C813" s="25">
        <f>CONCATENATE(G813,"-",F813,"-",D813)</f>
        <v/>
      </c>
      <c r="D813" s="25" t="inlineStr">
        <is>
          <t>JUMBO</t>
        </is>
      </c>
      <c r="E813" s="25" t="inlineStr">
        <is>
          <t>NBL-DSL</t>
        </is>
      </c>
      <c r="F813" s="63" t="inlineStr">
        <is>
          <t>45T</t>
        </is>
      </c>
      <c r="G813" s="204" t="inlineStr">
        <is>
          <t>ATLANTIC PVC</t>
        </is>
      </c>
      <c r="H813" s="204" t="inlineStr">
        <is>
          <t>Lagos</t>
        </is>
      </c>
      <c r="I813" s="25" t="inlineStr">
        <is>
          <t>Adikpo</t>
        </is>
      </c>
      <c r="J813" s="25" t="inlineStr">
        <is>
          <t>Benue</t>
        </is>
      </c>
      <c r="K813" s="189" t="n">
        <v>817.5</v>
      </c>
      <c r="L813" s="223" t="n">
        <v>1635</v>
      </c>
      <c r="M813" s="220">
        <f>ROUNDDOWN(L813*0.7,)</f>
        <v/>
      </c>
      <c r="N813" s="194" t="n">
        <v>39240</v>
      </c>
      <c r="O813" s="220" t="n">
        <v>3760000</v>
      </c>
    </row>
    <row r="814">
      <c r="A814" t="inlineStr">
        <is>
          <t>AFEEZ AJIBADE/Ebenezer</t>
        </is>
      </c>
      <c r="B814">
        <f>CONCATENATE(E814,"-",F814,"-",D814)</f>
        <v/>
      </c>
      <c r="C814" s="25">
        <f>CONCATENATE(G814,"-",F814,"-",D814)</f>
        <v/>
      </c>
      <c r="D814" s="25" t="inlineStr">
        <is>
          <t>JUMBO</t>
        </is>
      </c>
      <c r="E814" s="25" t="inlineStr">
        <is>
          <t>NBL-DSL</t>
        </is>
      </c>
      <c r="F814" s="63" t="inlineStr">
        <is>
          <t>45T</t>
        </is>
      </c>
      <c r="G814" s="204" t="inlineStr">
        <is>
          <t>ATLANTIC PVC</t>
        </is>
      </c>
      <c r="H814" s="204" t="inlineStr">
        <is>
          <t>Lagos</t>
        </is>
      </c>
      <c r="I814" s="25" t="inlineStr">
        <is>
          <t>Takum</t>
        </is>
      </c>
      <c r="J814" s="25" t="inlineStr">
        <is>
          <t>Taraba</t>
        </is>
      </c>
      <c r="K814" s="189" t="n">
        <v>926.5</v>
      </c>
      <c r="L814" s="223" t="n">
        <v>1853</v>
      </c>
      <c r="M814" s="220">
        <f>ROUNDDOWN(L814*0.7,)</f>
        <v/>
      </c>
      <c r="N814" s="194" t="n">
        <v>44472</v>
      </c>
      <c r="O814" s="220" t="n">
        <v>4020000</v>
      </c>
    </row>
    <row r="815">
      <c r="A815" t="inlineStr">
        <is>
          <t>AFEEZ AJIBADE/Ebenezer</t>
        </is>
      </c>
      <c r="B815">
        <f>CONCATENATE(E815,"-",F815,"-",D815)</f>
        <v/>
      </c>
      <c r="C815" s="25">
        <f>CONCATENATE(G815,"-",F815,"-",D815)</f>
        <v/>
      </c>
      <c r="D815" s="25" t="inlineStr">
        <is>
          <t>JUMBO</t>
        </is>
      </c>
      <c r="E815" s="25" t="inlineStr">
        <is>
          <t>NBL-DSL</t>
        </is>
      </c>
      <c r="F815" s="63" t="inlineStr">
        <is>
          <t>45T</t>
        </is>
      </c>
      <c r="G815" s="204" t="inlineStr">
        <is>
          <t>ATLANTIC PVC</t>
        </is>
      </c>
      <c r="H815" s="204" t="inlineStr">
        <is>
          <t>Lagos</t>
        </is>
      </c>
      <c r="I815" s="25" t="inlineStr">
        <is>
          <t>Mutum Biyu</t>
        </is>
      </c>
      <c r="J815" s="25" t="inlineStr">
        <is>
          <t>Taraba</t>
        </is>
      </c>
      <c r="K815" s="189" t="n">
        <v>1091.5</v>
      </c>
      <c r="L815" s="223" t="n">
        <v>2183</v>
      </c>
      <c r="M815" s="220">
        <f>ROUNDDOWN(L815*0.7,)</f>
        <v/>
      </c>
      <c r="N815" s="194" t="n">
        <v>52392</v>
      </c>
      <c r="O815" s="220" t="n">
        <v>4670000</v>
      </c>
    </row>
    <row r="816">
      <c r="A816" t="inlineStr">
        <is>
          <t>AFEEZ AJIBADE/Ebenezer</t>
        </is>
      </c>
      <c r="B816">
        <f>CONCATENATE(E816,"-",F816,"-",D816)</f>
        <v/>
      </c>
      <c r="C816" s="25">
        <f>CONCATENATE(G816,"-",F816,"-",D816)</f>
        <v/>
      </c>
      <c r="D816" s="25" t="inlineStr">
        <is>
          <t>JUMBO</t>
        </is>
      </c>
      <c r="E816" s="25" t="inlineStr">
        <is>
          <t>NBL-DSL</t>
        </is>
      </c>
      <c r="F816" s="63" t="inlineStr">
        <is>
          <t>45T</t>
        </is>
      </c>
      <c r="G816" s="204" t="inlineStr">
        <is>
          <t>ATLANTIC PVC</t>
        </is>
      </c>
      <c r="H816" s="204" t="inlineStr">
        <is>
          <t>Lagos</t>
        </is>
      </c>
      <c r="I816" s="25" t="inlineStr">
        <is>
          <t>Chikanda</t>
        </is>
      </c>
      <c r="J816" s="25" t="inlineStr">
        <is>
          <t>Kwara</t>
        </is>
      </c>
      <c r="K816" s="189" t="n">
        <v>458</v>
      </c>
      <c r="L816" s="223" t="n">
        <v>916</v>
      </c>
      <c r="M816" s="220">
        <f>ROUNDDOWN(L816*0.7,)</f>
        <v/>
      </c>
      <c r="N816" s="194" t="n">
        <v>21984</v>
      </c>
      <c r="O816" s="220" t="n">
        <v>2130000</v>
      </c>
    </row>
    <row r="817">
      <c r="A817" t="inlineStr">
        <is>
          <t>AFEEZ AJIBADE/Ebenezer</t>
        </is>
      </c>
      <c r="B817">
        <f>CONCATENATE(E817,"-",F817,"-",D817)</f>
        <v/>
      </c>
      <c r="C817" s="25">
        <f>CONCATENATE(G817,"-",F817,"-",D817)</f>
        <v/>
      </c>
      <c r="D817" s="25" t="inlineStr">
        <is>
          <t>JUMBO</t>
        </is>
      </c>
      <c r="E817" s="25" t="inlineStr">
        <is>
          <t>NBL-DSL</t>
        </is>
      </c>
      <c r="F817" s="63" t="inlineStr">
        <is>
          <t>45T</t>
        </is>
      </c>
      <c r="G817" s="204" t="inlineStr">
        <is>
          <t>ATLANTIC PVC</t>
        </is>
      </c>
      <c r="H817" s="204" t="inlineStr">
        <is>
          <t>Lagos</t>
        </is>
      </c>
      <c r="I817" s="25" t="inlineStr">
        <is>
          <t>Ifon</t>
        </is>
      </c>
      <c r="J817" s="25" t="inlineStr">
        <is>
          <t>Ondo</t>
        </is>
      </c>
      <c r="K817" s="189" t="n">
        <v>372.5</v>
      </c>
      <c r="L817" s="223" t="n">
        <v>745</v>
      </c>
      <c r="M817" s="220">
        <f>ROUNDDOWN(L817*0.7,)</f>
        <v/>
      </c>
      <c r="N817" s="194" t="n">
        <v>17880</v>
      </c>
      <c r="O817" s="220" t="n">
        <v>1930000</v>
      </c>
    </row>
    <row r="818">
      <c r="A818" t="inlineStr">
        <is>
          <t>AFEEZ AJIBADE/Ebenezer</t>
        </is>
      </c>
      <c r="B818">
        <f>CONCATENATE(E818,"-",F818,"-",D818)</f>
        <v/>
      </c>
      <c r="C818" s="25">
        <f>CONCATENATE(G818,"-",F818,"-",D818)</f>
        <v/>
      </c>
      <c r="D818" s="25" t="inlineStr">
        <is>
          <t>JUMBO</t>
        </is>
      </c>
      <c r="E818" s="25" t="inlineStr">
        <is>
          <t>NBL-DSL</t>
        </is>
      </c>
      <c r="F818" s="63" t="inlineStr">
        <is>
          <t>30T</t>
        </is>
      </c>
      <c r="G818" s="204" t="inlineStr">
        <is>
          <t>NIGER BISCUIT</t>
        </is>
      </c>
      <c r="H818" s="204" t="inlineStr">
        <is>
          <t>Lagos</t>
        </is>
      </c>
      <c r="I818" s="241" t="inlineStr">
        <is>
          <t>Port Harcourt</t>
        </is>
      </c>
      <c r="J818" s="241" t="inlineStr">
        <is>
          <t>Rivers</t>
        </is>
      </c>
      <c r="K818" s="214" t="n">
        <v>630</v>
      </c>
      <c r="L818" s="215">
        <f>K818*2</f>
        <v/>
      </c>
      <c r="M818" s="208">
        <f>ROUNDDOWN(L818*0.7,)</f>
        <v/>
      </c>
      <c r="N818" s="194" t="n">
        <v>30240</v>
      </c>
      <c r="O818" s="227" t="n">
        <v>2500000</v>
      </c>
    </row>
    <row r="819">
      <c r="A819" t="inlineStr">
        <is>
          <t>AFEEZ AJIBADE/Ebenezer</t>
        </is>
      </c>
      <c r="B819">
        <f>CONCATENATE(E819,"-",F819,"-",D819)</f>
        <v/>
      </c>
      <c r="C819" s="25">
        <f>CONCATENATE(G819,"-",F819,"-",D819)</f>
        <v/>
      </c>
      <c r="D819" s="25" t="inlineStr">
        <is>
          <t>JUMBO</t>
        </is>
      </c>
      <c r="E819" s="25" t="inlineStr">
        <is>
          <t>NBL-DSL</t>
        </is>
      </c>
      <c r="F819" s="63" t="inlineStr">
        <is>
          <t>30T</t>
        </is>
      </c>
      <c r="G819" s="204" t="inlineStr">
        <is>
          <t>NIGER BISCUIT</t>
        </is>
      </c>
      <c r="H819" s="204" t="inlineStr">
        <is>
          <t>Lagos</t>
        </is>
      </c>
      <c r="I819" s="205" t="inlineStr">
        <is>
          <t>Aba</t>
        </is>
      </c>
      <c r="J819" s="205" t="inlineStr">
        <is>
          <t>Abia</t>
        </is>
      </c>
      <c r="K819" s="214" t="n">
        <v>622</v>
      </c>
      <c r="L819" s="215">
        <f>K819*2</f>
        <v/>
      </c>
      <c r="M819" s="208">
        <f>ROUNDDOWN(L819*0.7,)</f>
        <v/>
      </c>
      <c r="N819" s="194" t="n">
        <v>29856</v>
      </c>
      <c r="O819" s="227" t="n">
        <v>2900000</v>
      </c>
    </row>
    <row r="820">
      <c r="A820" t="inlineStr">
        <is>
          <t>AFEEZ AJIBADE/Ebenezer</t>
        </is>
      </c>
      <c r="B820">
        <f>CONCATENATE(E820,"-",F820,"-",D820)</f>
        <v/>
      </c>
      <c r="C820" s="25">
        <f>CONCATENATE(G820,"-",F820,"-",D820)</f>
        <v/>
      </c>
      <c r="D820" s="25" t="inlineStr">
        <is>
          <t>JUMBO</t>
        </is>
      </c>
      <c r="E820" s="25" t="inlineStr">
        <is>
          <t>NBL-DSL</t>
        </is>
      </c>
      <c r="F820" s="63" t="inlineStr">
        <is>
          <t>30T</t>
        </is>
      </c>
      <c r="G820" s="204" t="inlineStr">
        <is>
          <t>NIGER BISCUIT</t>
        </is>
      </c>
      <c r="H820" s="204" t="inlineStr">
        <is>
          <t>Lagos</t>
        </is>
      </c>
      <c r="I820" s="25" t="inlineStr">
        <is>
          <t>Ikot Ekpene</t>
        </is>
      </c>
      <c r="J820" s="25" t="inlineStr">
        <is>
          <t>Akwa Ibom</t>
        </is>
      </c>
      <c r="K820" s="189" t="n">
        <v>648</v>
      </c>
      <c r="L820" s="223" t="n">
        <v>1296</v>
      </c>
      <c r="M820" s="220">
        <f>ROUNDDOWN(L820*0.7,)</f>
        <v/>
      </c>
      <c r="N820" s="194" t="n">
        <v>31104</v>
      </c>
      <c r="O820" s="227" t="n">
        <v>2950000</v>
      </c>
    </row>
    <row r="821">
      <c r="A821" t="inlineStr">
        <is>
          <t>AFEEZ AJIBADE/Ebenezer</t>
        </is>
      </c>
      <c r="B821">
        <f>CONCATENATE(E821,"-",F821,"-",D821)</f>
        <v/>
      </c>
      <c r="C821" s="25">
        <f>CONCATENATE(G821,"-",F821,"-",D821)</f>
        <v/>
      </c>
      <c r="D821" s="25" t="inlineStr">
        <is>
          <t>JUMBO</t>
        </is>
      </c>
      <c r="E821" s="25" t="inlineStr">
        <is>
          <t>NBL-DSL</t>
        </is>
      </c>
      <c r="F821" s="63" t="inlineStr">
        <is>
          <t>30T</t>
        </is>
      </c>
      <c r="G821" s="204" t="inlineStr">
        <is>
          <t>NIGER BISCUIT</t>
        </is>
      </c>
      <c r="H821" s="204" t="inlineStr">
        <is>
          <t>Lagos</t>
        </is>
      </c>
      <c r="I821" s="241" t="inlineStr">
        <is>
          <t>Abuja</t>
        </is>
      </c>
      <c r="J821" s="241" t="inlineStr">
        <is>
          <t>FCT</t>
        </is>
      </c>
      <c r="K821" s="214" t="n">
        <v>755</v>
      </c>
      <c r="L821" s="215">
        <f>K821*2</f>
        <v/>
      </c>
      <c r="M821" s="208">
        <f>ROUNDDOWN(L821*0.7,)</f>
        <v/>
      </c>
      <c r="N821" s="194" t="n">
        <v>36240</v>
      </c>
      <c r="O821" s="227" t="n">
        <v>2750000</v>
      </c>
    </row>
    <row r="822">
      <c r="A822" t="inlineStr">
        <is>
          <t>AFEEZ AJIBADE/Ebenezer</t>
        </is>
      </c>
      <c r="B822">
        <f>CONCATENATE(E822,"-",F822,"-",D822)</f>
        <v/>
      </c>
      <c r="C822" s="25">
        <f>CONCATENATE(G822,"-",F822,"-",D822)</f>
        <v/>
      </c>
      <c r="D822" s="25" t="inlineStr">
        <is>
          <t>JUMBO</t>
        </is>
      </c>
      <c r="E822" s="25" t="inlineStr">
        <is>
          <t>NBL-DSL</t>
        </is>
      </c>
      <c r="F822" s="63" t="inlineStr">
        <is>
          <t>30T</t>
        </is>
      </c>
      <c r="G822" s="204" t="inlineStr">
        <is>
          <t>NIGER BISCUIT</t>
        </is>
      </c>
      <c r="H822" s="204" t="inlineStr">
        <is>
          <t>Lagos</t>
        </is>
      </c>
      <c r="I822" s="241" t="inlineStr">
        <is>
          <t>Lafia</t>
        </is>
      </c>
      <c r="J822" s="241" t="inlineStr">
        <is>
          <t>Nasarawa</t>
        </is>
      </c>
      <c r="K822" s="189" t="n">
        <v>904</v>
      </c>
      <c r="L822" s="223" t="n">
        <v>1808</v>
      </c>
      <c r="M822" s="208">
        <f>ROUNDDOWN(L822*0.7,)</f>
        <v/>
      </c>
      <c r="N822" s="194" t="n">
        <v>43392</v>
      </c>
      <c r="O822" s="220" t="n">
        <v>3900000</v>
      </c>
    </row>
    <row r="823">
      <c r="A823" t="inlineStr">
        <is>
          <t>AFEEZ AJIBADE/Ebenezer</t>
        </is>
      </c>
      <c r="B823">
        <f>CONCATENATE(E823,"-",F823,"-",D823)</f>
        <v/>
      </c>
      <c r="C823" s="25">
        <f>CONCATENATE(G823,"-",F823,"-",D823)</f>
        <v/>
      </c>
      <c r="D823" s="25" t="inlineStr">
        <is>
          <t>JUMBO</t>
        </is>
      </c>
      <c r="E823" s="25" t="inlineStr">
        <is>
          <t>NBL-DSL</t>
        </is>
      </c>
      <c r="F823" s="63" t="inlineStr">
        <is>
          <t>30T</t>
        </is>
      </c>
      <c r="G823" s="204" t="inlineStr">
        <is>
          <t>NIGER BISCUIT</t>
        </is>
      </c>
      <c r="H823" s="204" t="inlineStr">
        <is>
          <t>Lagos</t>
        </is>
      </c>
      <c r="I823" s="167" t="inlineStr">
        <is>
          <t>Enugu</t>
        </is>
      </c>
      <c r="J823" s="167" t="inlineStr">
        <is>
          <t>Enugu</t>
        </is>
      </c>
      <c r="K823" s="189" t="n">
        <v>560.5</v>
      </c>
      <c r="L823" s="223" t="n">
        <v>1121</v>
      </c>
      <c r="M823" s="208">
        <f>ROUNDDOWN(L823*0.7,)</f>
        <v/>
      </c>
      <c r="N823" s="194" t="n">
        <v>26904</v>
      </c>
      <c r="O823" s="220" t="n">
        <v>2380000</v>
      </c>
    </row>
    <row r="824">
      <c r="A824" t="inlineStr">
        <is>
          <t>AFEEZ AJIBADE/Ebenezer</t>
        </is>
      </c>
      <c r="B824">
        <f>CONCATENATE(E824,"-",F824,"-",D824)</f>
        <v/>
      </c>
      <c r="C824" s="25">
        <f>CONCATENATE(G824,"-",F824,"-",D824)</f>
        <v/>
      </c>
      <c r="D824" s="25" t="inlineStr">
        <is>
          <t>JUMBO</t>
        </is>
      </c>
      <c r="E824" s="25" t="inlineStr">
        <is>
          <t>NBL-DSL</t>
        </is>
      </c>
      <c r="F824" s="63" t="inlineStr">
        <is>
          <t>30T</t>
        </is>
      </c>
      <c r="G824" s="204" t="inlineStr">
        <is>
          <t>NIGER BISCUIT</t>
        </is>
      </c>
      <c r="H824" s="204" t="inlineStr">
        <is>
          <t>Lagos</t>
        </is>
      </c>
      <c r="I824" s="242" t="inlineStr">
        <is>
          <t>Onitsha</t>
        </is>
      </c>
      <c r="J824" s="242" t="inlineStr">
        <is>
          <t>Anambra</t>
        </is>
      </c>
      <c r="K824" s="214" t="n">
        <v>450</v>
      </c>
      <c r="L824" s="218">
        <f>K824*2</f>
        <v/>
      </c>
      <c r="M824" s="208">
        <f>ROUNDDOWN(L824*0.7,)</f>
        <v/>
      </c>
      <c r="N824" s="194" t="n">
        <v>21600</v>
      </c>
      <c r="O824" s="220" t="n">
        <v>2100000</v>
      </c>
    </row>
    <row r="825">
      <c r="A825" t="inlineStr">
        <is>
          <t>AFEEZ AJIBADE/Ebenezer</t>
        </is>
      </c>
      <c r="B825">
        <f>CONCATENATE(E825,"-",F825,"-",D825)</f>
        <v/>
      </c>
      <c r="C825" s="25">
        <f>CONCATENATE(G825,"-",F825,"-",D825)</f>
        <v/>
      </c>
      <c r="D825" s="25" t="inlineStr">
        <is>
          <t>JUMBO</t>
        </is>
      </c>
      <c r="E825" s="25" t="inlineStr">
        <is>
          <t>NBL-DSL</t>
        </is>
      </c>
      <c r="F825" s="63" t="inlineStr">
        <is>
          <t>30T</t>
        </is>
      </c>
      <c r="G825" s="204" t="inlineStr">
        <is>
          <t>NIGER BISCUIT</t>
        </is>
      </c>
      <c r="H825" s="204" t="inlineStr">
        <is>
          <t>Lagos</t>
        </is>
      </c>
      <c r="I825" s="167" t="inlineStr">
        <is>
          <t>Owerri</t>
        </is>
      </c>
      <c r="J825" s="167" t="inlineStr">
        <is>
          <t>Imo</t>
        </is>
      </c>
      <c r="K825" s="189" t="n">
        <v>567</v>
      </c>
      <c r="L825" s="223" t="n">
        <v>1134</v>
      </c>
      <c r="M825" s="208">
        <f>ROUNDDOWN(L825*0.7,)</f>
        <v/>
      </c>
      <c r="N825" s="194" t="n">
        <v>27216</v>
      </c>
      <c r="O825" s="227" t="n">
        <v>2390000</v>
      </c>
    </row>
    <row r="826">
      <c r="A826" t="inlineStr">
        <is>
          <t>AFEEZ AJIBADE/Ebenezer</t>
        </is>
      </c>
      <c r="B826">
        <f>CONCATENATE(E826,"-",F826,"-",D826)</f>
        <v/>
      </c>
      <c r="C826" s="25">
        <f>CONCATENATE(G826,"-",F826,"-",D826)</f>
        <v/>
      </c>
      <c r="D826" s="25" t="inlineStr">
        <is>
          <t>JUMBO</t>
        </is>
      </c>
      <c r="E826" s="25" t="inlineStr">
        <is>
          <t>NBL-DSL</t>
        </is>
      </c>
      <c r="F826" s="63" t="inlineStr">
        <is>
          <t>30T</t>
        </is>
      </c>
      <c r="G826" s="204" t="inlineStr">
        <is>
          <t>NIGER BISCUIT</t>
        </is>
      </c>
      <c r="H826" s="204" t="inlineStr">
        <is>
          <t>Lagos</t>
        </is>
      </c>
      <c r="I826" s="241" t="inlineStr">
        <is>
          <t>Warri</t>
        </is>
      </c>
      <c r="J826" s="241" t="inlineStr">
        <is>
          <t>Delta</t>
        </is>
      </c>
      <c r="K826" s="214" t="n">
        <v>435</v>
      </c>
      <c r="L826" s="215">
        <f>K826*2</f>
        <v/>
      </c>
      <c r="M826" s="208">
        <f>ROUNDDOWN(L826*0.7,)</f>
        <v/>
      </c>
      <c r="N826" s="194" t="n">
        <v>20880</v>
      </c>
      <c r="O826" s="220" t="n">
        <v>1950000</v>
      </c>
    </row>
    <row r="827">
      <c r="A827" t="inlineStr">
        <is>
          <t>AFEEZ AJIBADE/Ebenezer</t>
        </is>
      </c>
      <c r="B827">
        <f>CONCATENATE(E827,"-",F827,"-",D827)</f>
        <v/>
      </c>
      <c r="C827" s="25">
        <f>CONCATENATE(G827,"-",F827,"-",D827)</f>
        <v/>
      </c>
      <c r="D827" s="25" t="inlineStr">
        <is>
          <t>JUMBO</t>
        </is>
      </c>
      <c r="E827" s="25" t="inlineStr">
        <is>
          <t>NBL-DSL</t>
        </is>
      </c>
      <c r="F827" s="63" t="inlineStr">
        <is>
          <t>30T</t>
        </is>
      </c>
      <c r="G827" s="204" t="inlineStr">
        <is>
          <t>NIGER BISCUIT</t>
        </is>
      </c>
      <c r="H827" s="204" t="inlineStr">
        <is>
          <t>Lagos</t>
        </is>
      </c>
      <c r="I827" s="241" t="inlineStr">
        <is>
          <t>Kwale</t>
        </is>
      </c>
      <c r="J827" s="241" t="inlineStr">
        <is>
          <t>Delta</t>
        </is>
      </c>
      <c r="K827" s="214" t="n">
        <v>435</v>
      </c>
      <c r="L827" s="215">
        <f>K827*2</f>
        <v/>
      </c>
      <c r="M827" s="208">
        <f>ROUNDDOWN(L827*0.7,)</f>
        <v/>
      </c>
      <c r="N827" s="194" t="n">
        <v>20880</v>
      </c>
      <c r="O827" s="220" t="n">
        <v>1950000</v>
      </c>
    </row>
    <row r="828">
      <c r="A828" t="inlineStr">
        <is>
          <t>AFEEZ AJIBADE/Ebenezer</t>
        </is>
      </c>
      <c r="B828">
        <f>CONCATENATE(E828,"-",F828,"-",D828)</f>
        <v/>
      </c>
      <c r="C828" s="25">
        <f>CONCATENATE(G828,"-",F828,"-",D828)</f>
        <v/>
      </c>
      <c r="D828" s="25" t="inlineStr">
        <is>
          <t>JUMBO</t>
        </is>
      </c>
      <c r="E828" s="25" t="inlineStr">
        <is>
          <t>NBL-DSL</t>
        </is>
      </c>
      <c r="F828" s="63" t="inlineStr">
        <is>
          <t>30T</t>
        </is>
      </c>
      <c r="G828" s="204" t="inlineStr">
        <is>
          <t>NIGER BISCUIT</t>
        </is>
      </c>
      <c r="H828" s="204" t="inlineStr">
        <is>
          <t>Lagos</t>
        </is>
      </c>
      <c r="I828" s="169" t="inlineStr">
        <is>
          <t>Abakaliki</t>
        </is>
      </c>
      <c r="J828" s="169" t="inlineStr">
        <is>
          <t>Ebonyi</t>
        </is>
      </c>
      <c r="K828" s="237" t="n">
        <v>650</v>
      </c>
      <c r="L828" s="223">
        <f>K828*2</f>
        <v/>
      </c>
      <c r="M828" s="208">
        <f>ROUNDDOWN(L828*0.7,)</f>
        <v/>
      </c>
      <c r="N828" s="194" t="n">
        <v>31200</v>
      </c>
      <c r="O828" s="220" t="n">
        <v>2850000</v>
      </c>
    </row>
    <row r="829">
      <c r="A829" t="inlineStr">
        <is>
          <t>AFEEZ AJIBADE/Ebenezer</t>
        </is>
      </c>
      <c r="B829">
        <f>CONCATENATE(E829,"-",F829,"-",D829)</f>
        <v/>
      </c>
      <c r="C829" s="25">
        <f>CONCATENATE(G829,"-",F829,"-",D829)</f>
        <v/>
      </c>
      <c r="D829" s="25" t="inlineStr">
        <is>
          <t>JUMBO</t>
        </is>
      </c>
      <c r="E829" s="25" t="inlineStr">
        <is>
          <t>NBL-DSL</t>
        </is>
      </c>
      <c r="F829" s="63" t="inlineStr">
        <is>
          <t>30T</t>
        </is>
      </c>
      <c r="G829" s="204" t="inlineStr">
        <is>
          <t>NIGER BISCUIT</t>
        </is>
      </c>
      <c r="H829" s="204" t="inlineStr">
        <is>
          <t>Lagos</t>
        </is>
      </c>
      <c r="I829" s="25" t="inlineStr">
        <is>
          <t>Uyo</t>
        </is>
      </c>
      <c r="J829" s="25" t="inlineStr">
        <is>
          <t>Akwa Ibom</t>
        </is>
      </c>
      <c r="K829" s="189" t="n">
        <v>678</v>
      </c>
      <c r="L829" s="223" t="n">
        <v>1356</v>
      </c>
      <c r="M829" s="208">
        <f>ROUNDDOWN(L829*0.7,)</f>
        <v/>
      </c>
      <c r="N829" s="194" t="n">
        <v>32544</v>
      </c>
      <c r="O829" s="220" t="n">
        <v>2950000</v>
      </c>
    </row>
    <row r="830">
      <c r="A830" t="inlineStr">
        <is>
          <t>AFEEZ AJIBADE/Ebenezer</t>
        </is>
      </c>
      <c r="B830">
        <f>CONCATENATE(E830,"-",F830,"-",D830)</f>
        <v/>
      </c>
      <c r="C830" s="25">
        <f>CONCATENATE(G830,"-",F830,"-",D830)</f>
        <v/>
      </c>
      <c r="D830" s="25" t="inlineStr">
        <is>
          <t>JUMBO</t>
        </is>
      </c>
      <c r="E830" s="25" t="inlineStr">
        <is>
          <t>NBL-DSL</t>
        </is>
      </c>
      <c r="F830" s="63" t="inlineStr">
        <is>
          <t>30T</t>
        </is>
      </c>
      <c r="G830" s="204" t="inlineStr">
        <is>
          <t>NIGER BISCUIT</t>
        </is>
      </c>
      <c r="H830" s="204" t="inlineStr">
        <is>
          <t>Lagos</t>
        </is>
      </c>
      <c r="I830" s="205" t="inlineStr">
        <is>
          <t>Maiduguri</t>
        </is>
      </c>
      <c r="J830" s="205" t="inlineStr">
        <is>
          <t>Borno</t>
        </is>
      </c>
      <c r="K830" s="214" t="n">
        <v>1500</v>
      </c>
      <c r="L830" s="215">
        <f>K830*2</f>
        <v/>
      </c>
      <c r="M830" s="208">
        <f>ROUNDDOWN(L830*0.7,)</f>
        <v/>
      </c>
      <c r="N830" s="194" t="n">
        <v>72000</v>
      </c>
      <c r="O830" s="220" t="n">
        <v>5950000</v>
      </c>
    </row>
    <row r="831">
      <c r="A831" t="inlineStr">
        <is>
          <t>AFEEZ AJIBADE/Ebenezer</t>
        </is>
      </c>
      <c r="B831">
        <f>CONCATENATE(E831,"-",F831,"-",D831)</f>
        <v/>
      </c>
      <c r="C831" s="25">
        <f>CONCATENATE(G831,"-",F831,"-",D831)</f>
        <v/>
      </c>
      <c r="D831" s="25" t="inlineStr">
        <is>
          <t>JUMBO</t>
        </is>
      </c>
      <c r="E831" s="25" t="inlineStr">
        <is>
          <t>NBL-DSL</t>
        </is>
      </c>
      <c r="F831" s="79" t="inlineStr">
        <is>
          <t>45T</t>
        </is>
      </c>
      <c r="G831" s="209" t="inlineStr">
        <is>
          <t>ABBA SALEH</t>
        </is>
      </c>
      <c r="H831" s="210" t="inlineStr">
        <is>
          <t>Ogere</t>
        </is>
      </c>
      <c r="I831" s="210" t="inlineStr">
        <is>
          <t>Lafia</t>
        </is>
      </c>
      <c r="J831" s="210" t="inlineStr">
        <is>
          <t>Nasarawa</t>
        </is>
      </c>
      <c r="K831" s="211" t="n">
        <v>745</v>
      </c>
      <c r="L831" s="212">
        <f>K831*2</f>
        <v/>
      </c>
      <c r="M831" s="208">
        <f>ROUNDDOWN(L831*0.7,)</f>
        <v/>
      </c>
      <c r="N831" s="194" t="n">
        <v>35760</v>
      </c>
      <c r="O831" s="213">
        <f>#REF!</f>
        <v/>
      </c>
    </row>
    <row r="832">
      <c r="A832" t="inlineStr">
        <is>
          <t>AFEEZ AJIBADE/Ebenezer</t>
        </is>
      </c>
      <c r="B832">
        <f>CONCATENATE(E832,"-",F832,"-",D832)</f>
        <v/>
      </c>
      <c r="C832" s="25">
        <f>CONCATENATE(G832,"-",F832,"-",D832)</f>
        <v/>
      </c>
      <c r="D832" s="149" t="inlineStr">
        <is>
          <t>JUMBO</t>
        </is>
      </c>
      <c r="E832" s="149" t="inlineStr">
        <is>
          <t>NBL-DSL</t>
        </is>
      </c>
      <c r="F832" s="178" t="inlineStr">
        <is>
          <t>30T</t>
        </is>
      </c>
      <c r="G832" s="243" t="inlineStr">
        <is>
          <t>WALTER &amp; Hiffy</t>
        </is>
      </c>
      <c r="H832" s="243" t="inlineStr">
        <is>
          <t>Port Harcourt</t>
        </is>
      </c>
      <c r="I832" s="149" t="inlineStr">
        <is>
          <t>Benin City</t>
        </is>
      </c>
      <c r="J832" s="149" t="inlineStr">
        <is>
          <t>Edo</t>
        </is>
      </c>
      <c r="K832" s="189" t="n">
        <v>200</v>
      </c>
      <c r="L832" s="244">
        <f>K832*2</f>
        <v/>
      </c>
      <c r="M832" s="230">
        <f>ROUNDDOWN(L832*0.7,)</f>
        <v/>
      </c>
      <c r="N832" s="194" t="n">
        <v>9600</v>
      </c>
      <c r="O832" s="245">
        <f>#REF!</f>
        <v/>
      </c>
    </row>
    <row r="833">
      <c r="A833" s="25" t="inlineStr">
        <is>
          <t>AFEEZ AJIBADE/Ebenezer</t>
        </is>
      </c>
      <c r="B833" s="25">
        <f>CONCATENATE(E833,"-",F833,"-",D833)</f>
        <v/>
      </c>
      <c r="C833" s="25">
        <f>CONCATENATE(G833,"-",F833,"-",D833)</f>
        <v/>
      </c>
      <c r="D833" s="25" t="inlineStr">
        <is>
          <t>JUMBO</t>
        </is>
      </c>
      <c r="E833" s="25" t="inlineStr">
        <is>
          <t>NBL-DSL</t>
        </is>
      </c>
      <c r="F833" s="79" t="inlineStr">
        <is>
          <t>30T</t>
        </is>
      </c>
      <c r="G833" s="204" t="inlineStr">
        <is>
          <t>Lebruni</t>
        </is>
      </c>
      <c r="H833" s="204" t="inlineStr">
        <is>
          <t>Ibadan</t>
        </is>
      </c>
      <c r="I833" t="inlineStr">
        <is>
          <t>Kano</t>
        </is>
      </c>
      <c r="J833" t="inlineStr">
        <is>
          <t>Kano</t>
        </is>
      </c>
      <c r="K833" s="246" t="n">
        <v>933.5</v>
      </c>
      <c r="L833" s="236">
        <f>K833*2</f>
        <v/>
      </c>
      <c r="M833" s="220">
        <f>ROUNDDOWN(L833*0.7,)</f>
        <v/>
      </c>
      <c r="N833" s="194" t="n">
        <v>44808</v>
      </c>
      <c r="O833" s="227" t="n">
        <v>3432000</v>
      </c>
    </row>
    <row r="834">
      <c r="A834" s="25" t="inlineStr">
        <is>
          <t>AFEEZ AJIBADE/Ebenezer</t>
        </is>
      </c>
      <c r="B834" s="25">
        <f>CONCATENATE(E834,"-",F834,"-",D834)</f>
        <v/>
      </c>
      <c r="C834" s="25">
        <f>CONCATENATE(G834,"-",F834,"-",D834)</f>
        <v/>
      </c>
      <c r="D834" s="25" t="inlineStr">
        <is>
          <t>JUMBO</t>
        </is>
      </c>
      <c r="E834" s="25" t="inlineStr">
        <is>
          <t>NBL-DSL</t>
        </is>
      </c>
      <c r="F834" s="79" t="inlineStr">
        <is>
          <t>30T</t>
        </is>
      </c>
      <c r="G834" s="204" t="inlineStr">
        <is>
          <t>Lebruni</t>
        </is>
      </c>
      <c r="H834" s="204" t="inlineStr">
        <is>
          <t>Ibadan</t>
        </is>
      </c>
      <c r="I834" s="161" t="inlineStr">
        <is>
          <t>Abuja</t>
        </is>
      </c>
      <c r="J834" s="161" t="inlineStr">
        <is>
          <t>FCT</t>
        </is>
      </c>
      <c r="K834" s="246" t="n">
        <v>622.5</v>
      </c>
      <c r="L834" s="236">
        <f>K834*2</f>
        <v/>
      </c>
      <c r="M834" s="220">
        <f>ROUNDDOWN(L834*0.7,)</f>
        <v/>
      </c>
      <c r="N834" s="194" t="n">
        <v>29880</v>
      </c>
      <c r="O834" s="227" t="n">
        <v>2772000</v>
      </c>
    </row>
    <row r="835">
      <c r="A835" s="25" t="inlineStr">
        <is>
          <t>AFEEZ AJIBADE/Ebenezer</t>
        </is>
      </c>
      <c r="B835" s="25">
        <f>CONCATENATE(E835,"-",F835,"-",D835)</f>
        <v/>
      </c>
      <c r="C835" s="25">
        <f>CONCATENATE(G835,"-",F835,"-",D835)</f>
        <v/>
      </c>
      <c r="D835" s="25" t="inlineStr">
        <is>
          <t>JUMBO</t>
        </is>
      </c>
      <c r="E835" s="25" t="inlineStr">
        <is>
          <t>NBL-DSL</t>
        </is>
      </c>
      <c r="F835" s="79" t="inlineStr">
        <is>
          <t>30T</t>
        </is>
      </c>
      <c r="G835" s="204" t="inlineStr">
        <is>
          <t>Lebruni</t>
        </is>
      </c>
      <c r="H835" s="204" t="inlineStr">
        <is>
          <t>Ibadan</t>
        </is>
      </c>
      <c r="I835" s="161" t="inlineStr">
        <is>
          <t>Benin City</t>
        </is>
      </c>
      <c r="J835" s="161" t="inlineStr">
        <is>
          <t>Edo</t>
        </is>
      </c>
      <c r="K835" s="246" t="n">
        <v>286.5</v>
      </c>
      <c r="L835" s="236">
        <f>K835*2</f>
        <v/>
      </c>
      <c r="M835" s="220">
        <f>ROUNDDOWN(L835*0.7,)</f>
        <v/>
      </c>
      <c r="N835" s="194" t="n">
        <v>13752</v>
      </c>
      <c r="O835" s="227" t="n">
        <v>1518000</v>
      </c>
    </row>
    <row r="836">
      <c r="A836" s="25" t="inlineStr">
        <is>
          <t>AFEEZ AJIBADE/Ebenezer</t>
        </is>
      </c>
      <c r="B836" s="25">
        <f>CONCATENATE(E836,"-",F836,"-",D836)</f>
        <v/>
      </c>
      <c r="C836" s="25">
        <f>CONCATENATE(G836,"-",F836,"-",D836)</f>
        <v/>
      </c>
      <c r="D836" s="25" t="inlineStr">
        <is>
          <t>JUMBO</t>
        </is>
      </c>
      <c r="E836" s="25" t="inlineStr">
        <is>
          <t>NBL-DSL</t>
        </is>
      </c>
      <c r="F836" s="79" t="inlineStr">
        <is>
          <t>30T</t>
        </is>
      </c>
      <c r="G836" s="204" t="inlineStr">
        <is>
          <t>Lebruni</t>
        </is>
      </c>
      <c r="H836" s="204" t="inlineStr">
        <is>
          <t>Ibadan</t>
        </is>
      </c>
      <c r="I836" s="161" t="inlineStr">
        <is>
          <t>Port Harcourt</t>
        </is>
      </c>
      <c r="J836" s="161" t="inlineStr">
        <is>
          <t>Rivers</t>
        </is>
      </c>
      <c r="K836" s="246" t="n">
        <v>605</v>
      </c>
      <c r="L836" s="236">
        <f>K836*2</f>
        <v/>
      </c>
      <c r="M836" s="220">
        <f>ROUNDDOWN(L836*0.7,)</f>
        <v/>
      </c>
      <c r="N836" s="194" t="n">
        <v>29040</v>
      </c>
      <c r="O836" s="227" t="n">
        <v>2508000</v>
      </c>
    </row>
    <row r="837">
      <c r="A837" s="25" t="inlineStr">
        <is>
          <t>AFEEZ AJIBADE/Ebenezer</t>
        </is>
      </c>
      <c r="B837" s="25">
        <f>CONCATENATE(E837,"-",F837,"-",D837)</f>
        <v/>
      </c>
      <c r="C837" s="25">
        <f>CONCATENATE(G837,"-",F837,"-",D837)</f>
        <v/>
      </c>
      <c r="D837" s="25" t="inlineStr">
        <is>
          <t>JUMBO</t>
        </is>
      </c>
      <c r="E837" s="25" t="inlineStr">
        <is>
          <t>NBL-DSL</t>
        </is>
      </c>
      <c r="F837" s="79" t="inlineStr">
        <is>
          <t>30T</t>
        </is>
      </c>
      <c r="G837" s="204" t="inlineStr">
        <is>
          <t>Lebruni</t>
        </is>
      </c>
      <c r="H837" s="204" t="inlineStr">
        <is>
          <t>Ibadan</t>
        </is>
      </c>
      <c r="I837" s="161" t="inlineStr">
        <is>
          <t>Warri</t>
        </is>
      </c>
      <c r="J837" s="161" t="inlineStr">
        <is>
          <t>Delta</t>
        </is>
      </c>
      <c r="K837" s="246" t="n">
        <v>393</v>
      </c>
      <c r="L837" s="236">
        <f>K837*2</f>
        <v/>
      </c>
      <c r="M837" s="220">
        <f>ROUNDDOWN(L837*0.7,)</f>
        <v/>
      </c>
      <c r="N837" s="194" t="n">
        <v>18864</v>
      </c>
      <c r="O837" s="227" t="n">
        <v>1848000</v>
      </c>
    </row>
    <row r="838">
      <c r="A838" s="25" t="inlineStr">
        <is>
          <t>AFEEZ AJIBADE/Ebenezer</t>
        </is>
      </c>
      <c r="B838" s="25">
        <f>CONCATENATE(E838,"-",F838,"-",D838)</f>
        <v/>
      </c>
      <c r="C838" s="25">
        <f>CONCATENATE(G838,"-",F838,"-",D838)</f>
        <v/>
      </c>
      <c r="D838" s="25" t="inlineStr">
        <is>
          <t>JUMBO</t>
        </is>
      </c>
      <c r="E838" s="25" t="inlineStr">
        <is>
          <t>NBL-DSL</t>
        </is>
      </c>
      <c r="F838" s="79" t="inlineStr">
        <is>
          <t>30T</t>
        </is>
      </c>
      <c r="G838" s="204" t="inlineStr">
        <is>
          <t>Lebruni</t>
        </is>
      </c>
      <c r="H838" s="204" t="inlineStr">
        <is>
          <t>Ibadan</t>
        </is>
      </c>
      <c r="I838" s="161" t="inlineStr">
        <is>
          <t>Imo</t>
        </is>
      </c>
      <c r="J838" s="161" t="inlineStr">
        <is>
          <t>Imo</t>
        </is>
      </c>
      <c r="K838" s="246" t="n">
        <v>505.5</v>
      </c>
      <c r="L838" s="236">
        <f>K838*2</f>
        <v/>
      </c>
      <c r="M838" s="220">
        <f>ROUNDDOWN(L838*0.7,)</f>
        <v/>
      </c>
      <c r="N838" s="194" t="n">
        <v>24264</v>
      </c>
      <c r="O838" s="227" t="n">
        <v>2079000</v>
      </c>
    </row>
    <row r="839">
      <c r="A839" s="25" t="inlineStr">
        <is>
          <t>AFEEZ AJIBADE/Ebenezer</t>
        </is>
      </c>
      <c r="B839" s="25">
        <f>CONCATENATE(E839,"-",F839,"-",D839)</f>
        <v/>
      </c>
      <c r="C839" s="25">
        <f>CONCATENATE(G839,"-",F839,"-",D839)</f>
        <v/>
      </c>
      <c r="D839" s="25" t="inlineStr">
        <is>
          <t>JUMBO</t>
        </is>
      </c>
      <c r="E839" s="25" t="inlineStr">
        <is>
          <t>NBL-DSL</t>
        </is>
      </c>
      <c r="F839" s="79" t="inlineStr">
        <is>
          <t>30T</t>
        </is>
      </c>
      <c r="G839" s="204" t="inlineStr">
        <is>
          <t>Lebruni</t>
        </is>
      </c>
      <c r="H839" s="204" t="inlineStr">
        <is>
          <t>Ibadan</t>
        </is>
      </c>
      <c r="I839" s="161" t="inlineStr">
        <is>
          <t>Aba</t>
        </is>
      </c>
      <c r="J839" s="161" t="inlineStr">
        <is>
          <t>Abia</t>
        </is>
      </c>
      <c r="K839" s="246" t="n">
        <v>575</v>
      </c>
      <c r="L839" s="236">
        <f>K839*2</f>
        <v/>
      </c>
      <c r="M839" s="220">
        <f>ROUNDDOWN(L839*0.7,)</f>
        <v/>
      </c>
      <c r="N839" s="194" t="n">
        <v>27600</v>
      </c>
      <c r="O839" s="227" t="n">
        <v>2428800</v>
      </c>
    </row>
    <row r="840">
      <c r="A840" s="25" t="inlineStr">
        <is>
          <t>AFEEZ AJIBADE/Ebenezer</t>
        </is>
      </c>
      <c r="B840" s="25">
        <f>CONCATENATE(E840,"-",F840,"-",D840)</f>
        <v/>
      </c>
      <c r="C840" s="25">
        <f>CONCATENATE(G840,"-",F840,"-",D840)</f>
        <v/>
      </c>
      <c r="D840" s="25" t="inlineStr">
        <is>
          <t>JUMBO</t>
        </is>
      </c>
      <c r="E840" s="25" t="inlineStr">
        <is>
          <t>NBL-DSL</t>
        </is>
      </c>
      <c r="F840" s="79" t="inlineStr">
        <is>
          <t>30T</t>
        </is>
      </c>
      <c r="G840" s="204" t="inlineStr">
        <is>
          <t>Lebruni</t>
        </is>
      </c>
      <c r="H840" s="204" t="inlineStr">
        <is>
          <t>Ibadan</t>
        </is>
      </c>
      <c r="I840" s="161" t="inlineStr">
        <is>
          <t>Akure</t>
        </is>
      </c>
      <c r="J840" s="161" t="inlineStr">
        <is>
          <t>Ondo</t>
        </is>
      </c>
      <c r="K840" s="246" t="n">
        <v>240</v>
      </c>
      <c r="L840" s="236">
        <f>K840*2</f>
        <v/>
      </c>
      <c r="M840" s="220">
        <f>ROUNDDOWN(L840*0.7,)</f>
        <v/>
      </c>
      <c r="N840" s="194" t="n">
        <v>11520</v>
      </c>
      <c r="O840" s="227" t="n">
        <v>1452000</v>
      </c>
    </row>
    <row r="841">
      <c r="A841" s="25" t="inlineStr">
        <is>
          <t>AFEEZ AJIBADE/Ebenezer</t>
        </is>
      </c>
      <c r="B841" s="25">
        <f>CONCATENATE(E841,"-",F841,"-",D841)</f>
        <v/>
      </c>
      <c r="C841" s="25">
        <f>CONCATENATE(G841,"-",F841,"-",D841)</f>
        <v/>
      </c>
      <c r="D841" s="25" t="inlineStr">
        <is>
          <t>JUMBO</t>
        </is>
      </c>
      <c r="E841" s="25" t="inlineStr">
        <is>
          <t>NBL-DSL</t>
        </is>
      </c>
      <c r="F841" s="79" t="inlineStr">
        <is>
          <t>30T</t>
        </is>
      </c>
      <c r="G841" s="204" t="inlineStr">
        <is>
          <t>Lebruni</t>
        </is>
      </c>
      <c r="H841" s="204" t="inlineStr">
        <is>
          <t>Ibadan</t>
        </is>
      </c>
      <c r="I841" s="161" t="inlineStr">
        <is>
          <t>Ikom</t>
        </is>
      </c>
      <c r="J841" s="161" t="inlineStr">
        <is>
          <t>Cross River</t>
        </is>
      </c>
      <c r="K841" s="246" t="n">
        <v>750</v>
      </c>
      <c r="L841" s="236">
        <f>K841*2</f>
        <v/>
      </c>
      <c r="M841" s="220">
        <f>ROUNDDOWN(L841*0.7,)</f>
        <v/>
      </c>
      <c r="N841" s="194" t="n">
        <v>36000</v>
      </c>
      <c r="O841" s="227" t="n">
        <v>3036000</v>
      </c>
    </row>
    <row r="842">
      <c r="A842" s="25" t="inlineStr">
        <is>
          <t>AFEEZ AJIBADE/Ebenezer</t>
        </is>
      </c>
      <c r="B842" s="25">
        <f>CONCATENATE(E842,"-",F842,"-",D842)</f>
        <v/>
      </c>
      <c r="C842" s="25">
        <f>CONCATENATE(G842,"-",F842,"-",D842)</f>
        <v/>
      </c>
      <c r="D842" s="25" t="inlineStr">
        <is>
          <t>JUMBO</t>
        </is>
      </c>
      <c r="E842" s="25" t="inlineStr">
        <is>
          <t>NBL-DSL</t>
        </is>
      </c>
      <c r="F842" s="79" t="inlineStr">
        <is>
          <t>30T</t>
        </is>
      </c>
      <c r="G842" s="204" t="inlineStr">
        <is>
          <t>Lebruni</t>
        </is>
      </c>
      <c r="H842" s="204" t="inlineStr">
        <is>
          <t>Ibadan</t>
        </is>
      </c>
      <c r="I842" t="inlineStr">
        <is>
          <t>Abeokuta</t>
        </is>
      </c>
      <c r="J842" t="inlineStr">
        <is>
          <t>Ogun</t>
        </is>
      </c>
      <c r="K842" s="246" t="n">
        <v>104.5</v>
      </c>
      <c r="L842" s="236">
        <f>K842*2</f>
        <v/>
      </c>
      <c r="M842" s="220">
        <f>ROUNDDOWN(L842*0.7,)</f>
        <v/>
      </c>
      <c r="N842" s="194" t="n">
        <v>5016</v>
      </c>
      <c r="O842" s="227" t="n">
        <v>792000</v>
      </c>
    </row>
    <row r="843">
      <c r="A843" s="25" t="inlineStr">
        <is>
          <t>AFEEZ AJIBADE/Ebenezer</t>
        </is>
      </c>
      <c r="B843" s="25">
        <f>CONCATENATE(E843,"-",F843,"-",D843)</f>
        <v/>
      </c>
      <c r="C843" s="25">
        <f>CONCATENATE(G843,"-",F843,"-",D843)</f>
        <v/>
      </c>
      <c r="D843" s="25" t="inlineStr">
        <is>
          <t>JUMBO</t>
        </is>
      </c>
      <c r="E843" s="25" t="inlineStr">
        <is>
          <t>NBL-DSL</t>
        </is>
      </c>
      <c r="F843" s="79" t="inlineStr">
        <is>
          <t>30T</t>
        </is>
      </c>
      <c r="G843" s="204" t="inlineStr">
        <is>
          <t>Lebruni</t>
        </is>
      </c>
      <c r="H843" s="204" t="inlineStr">
        <is>
          <t>Ibadan</t>
        </is>
      </c>
      <c r="I843" t="inlineStr">
        <is>
          <t>Idiroko</t>
        </is>
      </c>
      <c r="J843" t="inlineStr">
        <is>
          <t>Ogun</t>
        </is>
      </c>
      <c r="K843" s="246" t="n">
        <v>170</v>
      </c>
      <c r="L843" s="236">
        <f>K843*2</f>
        <v/>
      </c>
      <c r="M843" s="220">
        <f>ROUNDDOWN(L843*0.7,)</f>
        <v/>
      </c>
      <c r="N843" s="194" t="n">
        <v>8160</v>
      </c>
      <c r="O843" s="247" t="n">
        <v>1200000</v>
      </c>
    </row>
    <row r="844">
      <c r="A844" s="25" t="inlineStr">
        <is>
          <t>AFEEZ AJIBADE/Ebenezer</t>
        </is>
      </c>
      <c r="B844" s="25">
        <f>CONCATENATE(E844,"-",F844,"-",D844)</f>
        <v/>
      </c>
      <c r="C844" s="25">
        <f>CONCATENATE(G844,"-",F844,"-",D844)</f>
        <v/>
      </c>
      <c r="D844" s="25" t="inlineStr">
        <is>
          <t>JUMBO</t>
        </is>
      </c>
      <c r="E844" s="25" t="inlineStr">
        <is>
          <t>NBL-DSL</t>
        </is>
      </c>
      <c r="F844" s="79" t="inlineStr">
        <is>
          <t>30T</t>
        </is>
      </c>
      <c r="G844" s="204" t="inlineStr">
        <is>
          <t>Lebruni</t>
        </is>
      </c>
      <c r="H844" s="204" t="inlineStr">
        <is>
          <t>Ibadan</t>
        </is>
      </c>
      <c r="I844" t="inlineStr">
        <is>
          <t>Ibafo</t>
        </is>
      </c>
      <c r="J844" t="inlineStr">
        <is>
          <t>Ogun</t>
        </is>
      </c>
      <c r="K844" s="246" t="n">
        <v>0</v>
      </c>
      <c r="L844" s="236" t="n">
        <v>95</v>
      </c>
      <c r="M844" s="220">
        <f>ROUNDDOWN(L844*0.7,)</f>
        <v/>
      </c>
      <c r="N844" s="194" t="n">
        <v>2280</v>
      </c>
      <c r="O844" s="227" t="n">
        <v>528000</v>
      </c>
    </row>
    <row r="845">
      <c r="A845" s="25" t="inlineStr">
        <is>
          <t>AFEEZ AJIBADE/Ebenezer</t>
        </is>
      </c>
      <c r="B845" s="25">
        <f>CONCATENATE(E845,"-",F845,"-",D845)</f>
        <v/>
      </c>
      <c r="C845" s="25">
        <f>CONCATENATE(G845,"-",F845,"-",D845)</f>
        <v/>
      </c>
      <c r="D845" s="25" t="inlineStr">
        <is>
          <t>JUMBO</t>
        </is>
      </c>
      <c r="E845" s="25" t="inlineStr">
        <is>
          <t>NBL-DSL</t>
        </is>
      </c>
      <c r="F845" s="79" t="inlineStr">
        <is>
          <t>30T</t>
        </is>
      </c>
      <c r="G845" s="204" t="inlineStr">
        <is>
          <t>Lebruni</t>
        </is>
      </c>
      <c r="H845" s="204" t="inlineStr">
        <is>
          <t>Ibadan</t>
        </is>
      </c>
      <c r="I845" t="inlineStr">
        <is>
          <t>Sango-Ota</t>
        </is>
      </c>
      <c r="J845" t="inlineStr">
        <is>
          <t>Ogun</t>
        </is>
      </c>
      <c r="K845" s="246" t="n">
        <v>127.5</v>
      </c>
      <c r="L845" s="236">
        <f>K845*2</f>
        <v/>
      </c>
      <c r="M845" s="220">
        <f>ROUNDDOWN(L845*0.7,)</f>
        <v/>
      </c>
      <c r="N845" s="194" t="n">
        <v>6120</v>
      </c>
      <c r="O845" s="227" t="n">
        <v>858000</v>
      </c>
    </row>
    <row r="846">
      <c r="A846" s="25" t="inlineStr">
        <is>
          <t>AFEEZ AJIBADE/Ebenezer</t>
        </is>
      </c>
      <c r="B846" s="25">
        <f>CONCATENATE(E846,"-",F846,"-",D846)</f>
        <v/>
      </c>
      <c r="C846" s="25">
        <f>CONCATENATE(G846,"-",F846,"-",D846)</f>
        <v/>
      </c>
      <c r="D846" s="25" t="inlineStr">
        <is>
          <t>JUMBO</t>
        </is>
      </c>
      <c r="E846" s="25" t="inlineStr">
        <is>
          <t>NBL-DSL</t>
        </is>
      </c>
      <c r="F846" s="79" t="inlineStr">
        <is>
          <t>30T</t>
        </is>
      </c>
      <c r="G846" s="204" t="inlineStr">
        <is>
          <t>Lebruni</t>
        </is>
      </c>
      <c r="H846" s="204" t="inlineStr">
        <is>
          <t>Ibadan</t>
        </is>
      </c>
      <c r="I846" t="inlineStr">
        <is>
          <t>Sagamu</t>
        </is>
      </c>
      <c r="J846" t="inlineStr">
        <is>
          <t>Ogun</t>
        </is>
      </c>
      <c r="K846" s="246" t="n">
        <v>75</v>
      </c>
      <c r="L846" s="236">
        <f>K846*2</f>
        <v/>
      </c>
      <c r="M846" s="220">
        <f>ROUNDDOWN(L846*0.7,)</f>
        <v/>
      </c>
      <c r="N846" s="194" t="n">
        <v>3600</v>
      </c>
      <c r="O846" s="227" t="n">
        <v>528000</v>
      </c>
    </row>
    <row r="847">
      <c r="A847" s="25" t="inlineStr">
        <is>
          <t>AFEEZ AJIBADE/Ebenezer</t>
        </is>
      </c>
      <c r="B847" s="25">
        <f>CONCATENATE(E847,"-",F847,"-",D847)</f>
        <v/>
      </c>
      <c r="C847" s="25">
        <f>CONCATENATE(G847,"-",F847,"-",D847)</f>
        <v/>
      </c>
      <c r="D847" s="25" t="inlineStr">
        <is>
          <t>JUMBO</t>
        </is>
      </c>
      <c r="E847" s="25" t="inlineStr">
        <is>
          <t>NBL-DSL</t>
        </is>
      </c>
      <c r="F847" s="79" t="inlineStr">
        <is>
          <t>30T</t>
        </is>
      </c>
      <c r="G847" s="204" t="inlineStr">
        <is>
          <t>Lebruni</t>
        </is>
      </c>
      <c r="H847" s="204" t="inlineStr">
        <is>
          <t>Ibadan</t>
        </is>
      </c>
      <c r="I847" t="inlineStr">
        <is>
          <t>Ilorin</t>
        </is>
      </c>
      <c r="J847" t="inlineStr">
        <is>
          <t>Kwara</t>
        </is>
      </c>
      <c r="K847" s="246" t="n">
        <v>210</v>
      </c>
      <c r="L847" s="236">
        <f>K847*2</f>
        <v/>
      </c>
      <c r="M847" s="220">
        <f>ROUNDDOWN(L847*0.7,)</f>
        <v/>
      </c>
      <c r="N847" s="194" t="n">
        <v>10080</v>
      </c>
      <c r="O847" s="227" t="n">
        <v>1056000</v>
      </c>
    </row>
    <row r="848">
      <c r="A848" s="25" t="inlineStr">
        <is>
          <t>AFEEZ AJIBADE/Ebenezer</t>
        </is>
      </c>
      <c r="B848" s="25">
        <f>CONCATENATE(E848,"-",F848,"-",D848)</f>
        <v/>
      </c>
      <c r="C848" s="25">
        <f>CONCATENATE(G848,"-",F848,"-",D848)</f>
        <v/>
      </c>
      <c r="D848" s="25" t="inlineStr">
        <is>
          <t>JUMBO</t>
        </is>
      </c>
      <c r="E848" s="25" t="inlineStr">
        <is>
          <t>NBL-DSL</t>
        </is>
      </c>
      <c r="F848" s="79" t="inlineStr">
        <is>
          <t>30T</t>
        </is>
      </c>
      <c r="G848" s="204" t="inlineStr">
        <is>
          <t>Lebruni</t>
        </is>
      </c>
      <c r="H848" s="204" t="inlineStr">
        <is>
          <t>Ibadan</t>
        </is>
      </c>
      <c r="I848" t="inlineStr">
        <is>
          <t>Agbor</t>
        </is>
      </c>
      <c r="J848" t="inlineStr">
        <is>
          <t>Delta</t>
        </is>
      </c>
      <c r="K848" s="246" t="n">
        <v>350</v>
      </c>
      <c r="L848" s="236">
        <f>K848*2</f>
        <v/>
      </c>
      <c r="M848" s="220">
        <f>ROUNDDOWN(L848*0.7,)</f>
        <v/>
      </c>
      <c r="N848" s="194" t="n">
        <v>16800</v>
      </c>
      <c r="O848" s="227" t="n">
        <v>1897500</v>
      </c>
    </row>
    <row r="849">
      <c r="A849" s="25" t="inlineStr">
        <is>
          <t>AFEEZ AJIBADE/Ebenezer</t>
        </is>
      </c>
      <c r="B849" s="25">
        <f>CONCATENATE(E849,"-",F849,"-",D849)</f>
        <v/>
      </c>
      <c r="C849" s="25">
        <f>CONCATENATE(G849,"-",F849,"-",D849)</f>
        <v/>
      </c>
      <c r="D849" s="25" t="inlineStr">
        <is>
          <t>JUMBO</t>
        </is>
      </c>
      <c r="E849" s="25" t="inlineStr">
        <is>
          <t>NBL-DSL</t>
        </is>
      </c>
      <c r="F849" s="79" t="inlineStr">
        <is>
          <t>30T</t>
        </is>
      </c>
      <c r="G849" s="204" t="inlineStr">
        <is>
          <t>Lebruni</t>
        </is>
      </c>
      <c r="H849" s="204" t="inlineStr">
        <is>
          <t>Ibadan</t>
        </is>
      </c>
      <c r="I849" t="inlineStr">
        <is>
          <t>Awka</t>
        </is>
      </c>
      <c r="J849" t="inlineStr">
        <is>
          <t>Anambra</t>
        </is>
      </c>
      <c r="K849" t="n">
        <v>465</v>
      </c>
      <c r="L849" s="236">
        <f>K849*2</f>
        <v/>
      </c>
      <c r="M849" s="220">
        <f>ROUNDDOWN(L849*0.7,)</f>
        <v/>
      </c>
      <c r="N849" s="194" t="n">
        <v>22320</v>
      </c>
      <c r="O849" s="227" t="n">
        <v>2079000</v>
      </c>
    </row>
    <row r="850">
      <c r="A850" s="25" t="inlineStr">
        <is>
          <t>AFEEZ AJIBADE/Ebenezer</t>
        </is>
      </c>
      <c r="B850" s="25">
        <f>CONCATENATE(E850,"-",F850,"-",D850)</f>
        <v/>
      </c>
      <c r="C850" s="25">
        <f>CONCATENATE(G850,"-",F850,"-",D850)</f>
        <v/>
      </c>
      <c r="D850" s="25" t="inlineStr">
        <is>
          <t>JUMBO</t>
        </is>
      </c>
      <c r="E850" s="25" t="inlineStr">
        <is>
          <t>NBL-DSL</t>
        </is>
      </c>
      <c r="F850" s="79" t="inlineStr">
        <is>
          <t>30T</t>
        </is>
      </c>
      <c r="G850" s="204" t="inlineStr">
        <is>
          <t>Lebruni</t>
        </is>
      </c>
      <c r="H850" s="204" t="inlineStr">
        <is>
          <t>Ibadan</t>
        </is>
      </c>
      <c r="I850" t="inlineStr">
        <is>
          <t>Calabar</t>
        </is>
      </c>
      <c r="J850" t="inlineStr">
        <is>
          <t>Cross River</t>
        </is>
      </c>
      <c r="K850" t="n">
        <v>717.5</v>
      </c>
      <c r="L850" s="236">
        <f>K850*2</f>
        <v/>
      </c>
      <c r="M850" s="220">
        <f>ROUNDDOWN(L850*0.7,)</f>
        <v/>
      </c>
      <c r="N850" s="194" t="n">
        <v>34440</v>
      </c>
      <c r="O850" s="227" t="n">
        <v>3036000</v>
      </c>
    </row>
    <row r="851">
      <c r="A851" s="25" t="inlineStr">
        <is>
          <t>AFEEZ AJIBADE/Ebenezer</t>
        </is>
      </c>
      <c r="B851" s="25">
        <f>CONCATENATE(E851,"-",F851,"-",D851)</f>
        <v/>
      </c>
      <c r="C851" s="25">
        <f>CONCATENATE(G851,"-",F851,"-",D851)</f>
        <v/>
      </c>
      <c r="D851" s="25" t="inlineStr">
        <is>
          <t>JUMBO</t>
        </is>
      </c>
      <c r="E851" s="25" t="inlineStr">
        <is>
          <t>NBL-DSL</t>
        </is>
      </c>
      <c r="F851" s="79" t="inlineStr">
        <is>
          <t>30T</t>
        </is>
      </c>
      <c r="G851" s="204" t="inlineStr">
        <is>
          <t>Lebruni</t>
        </is>
      </c>
      <c r="H851" s="204" t="inlineStr">
        <is>
          <t>Ibadan</t>
        </is>
      </c>
      <c r="I851" t="inlineStr">
        <is>
          <t>Enugu</t>
        </is>
      </c>
      <c r="J851" t="inlineStr">
        <is>
          <t>Enugu</t>
        </is>
      </c>
      <c r="K851" t="n">
        <v>527.5</v>
      </c>
      <c r="L851" s="236">
        <f>K851*2</f>
        <v/>
      </c>
      <c r="M851" s="220">
        <f>ROUNDDOWN(L851*0.7,)</f>
        <v/>
      </c>
      <c r="N851" s="194" t="n">
        <v>25320</v>
      </c>
      <c r="O851" s="227" t="n">
        <v>2376000</v>
      </c>
    </row>
    <row r="852">
      <c r="A852" s="25" t="inlineStr">
        <is>
          <t>AFEEZ AJIBADE/Ebenezer</t>
        </is>
      </c>
      <c r="B852" s="25">
        <f>CONCATENATE(E852,"-",F852,"-",D852)</f>
        <v/>
      </c>
      <c r="C852" s="25">
        <f>CONCATENATE(G852,"-",F852,"-",D852)</f>
        <v/>
      </c>
      <c r="D852" s="25" t="inlineStr">
        <is>
          <t>JUMBO</t>
        </is>
      </c>
      <c r="E852" s="25" t="inlineStr">
        <is>
          <t>NBL-DSL</t>
        </is>
      </c>
      <c r="F852" s="79" t="inlineStr">
        <is>
          <t>30T</t>
        </is>
      </c>
      <c r="G852" s="204" t="inlineStr">
        <is>
          <t>Lebruni</t>
        </is>
      </c>
      <c r="H852" s="204" t="inlineStr">
        <is>
          <t>Ibadan</t>
        </is>
      </c>
      <c r="I852" t="inlineStr">
        <is>
          <t>Gboko</t>
        </is>
      </c>
      <c r="J852" t="inlineStr">
        <is>
          <t>Benue</t>
        </is>
      </c>
      <c r="K852" t="n">
        <v>700</v>
      </c>
      <c r="L852" s="236">
        <f>K852*2</f>
        <v/>
      </c>
      <c r="M852" s="220">
        <f>ROUNDDOWN(L852*0.7,)</f>
        <v/>
      </c>
      <c r="N852" s="194" t="n">
        <v>33600</v>
      </c>
      <c r="O852" s="227" t="n">
        <v>2772000</v>
      </c>
    </row>
    <row r="853">
      <c r="A853" s="25" t="inlineStr">
        <is>
          <t>AFEEZ AJIBADE/Ebenezer</t>
        </is>
      </c>
      <c r="B853" s="25">
        <f>CONCATENATE(E853,"-",F853,"-",D853)</f>
        <v/>
      </c>
      <c r="C853" s="25">
        <f>CONCATENATE(G853,"-",F853,"-",D853)</f>
        <v/>
      </c>
      <c r="D853" s="25" t="inlineStr">
        <is>
          <t>JUMBO</t>
        </is>
      </c>
      <c r="E853" s="25" t="inlineStr">
        <is>
          <t>NBL-DSL</t>
        </is>
      </c>
      <c r="F853" s="79" t="inlineStr">
        <is>
          <t>30T</t>
        </is>
      </c>
      <c r="G853" s="204" t="inlineStr">
        <is>
          <t>Lebruni</t>
        </is>
      </c>
      <c r="H853" s="204" t="inlineStr">
        <is>
          <t>Ibadan</t>
        </is>
      </c>
      <c r="I853" t="inlineStr">
        <is>
          <t>Ibadan (Toll Gate)</t>
        </is>
      </c>
      <c r="J853" t="inlineStr">
        <is>
          <t>Oyo</t>
        </is>
      </c>
      <c r="K853" t="n">
        <v>42.5</v>
      </c>
      <c r="L853" s="236">
        <f>K853*2</f>
        <v/>
      </c>
      <c r="M853" s="220">
        <f>ROUNDDOWN(L853*0.7,)</f>
        <v/>
      </c>
      <c r="N853" s="194" t="n">
        <v>2040</v>
      </c>
      <c r="O853" s="227" t="n">
        <v>528000</v>
      </c>
    </row>
    <row r="854">
      <c r="A854" s="25" t="inlineStr">
        <is>
          <t>AFEEZ AJIBADE/Ebenezer</t>
        </is>
      </c>
      <c r="B854" s="25">
        <f>CONCATENATE(E854,"-",F854,"-",D854)</f>
        <v/>
      </c>
      <c r="C854" s="25">
        <f>CONCATENATE(G854,"-",F854,"-",D854)</f>
        <v/>
      </c>
      <c r="D854" s="25" t="inlineStr">
        <is>
          <t>JUMBO</t>
        </is>
      </c>
      <c r="E854" s="25" t="inlineStr">
        <is>
          <t>NBL-DSL</t>
        </is>
      </c>
      <c r="F854" s="79" t="inlineStr">
        <is>
          <t>30T</t>
        </is>
      </c>
      <c r="G854" s="204" t="inlineStr">
        <is>
          <t>Lebruni</t>
        </is>
      </c>
      <c r="H854" s="204" t="inlineStr">
        <is>
          <t>Ibadan</t>
        </is>
      </c>
      <c r="I854" t="inlineStr">
        <is>
          <t>Ibadan (Town)</t>
        </is>
      </c>
      <c r="J854" t="inlineStr">
        <is>
          <t>Oyo</t>
        </is>
      </c>
      <c r="K854" t="n">
        <v>42.5</v>
      </c>
      <c r="L854" s="236">
        <f>K854*2</f>
        <v/>
      </c>
      <c r="M854" s="220">
        <f>ROUNDDOWN(L854*0.7,)</f>
        <v/>
      </c>
      <c r="N854" s="194" t="n">
        <v>2040</v>
      </c>
      <c r="O854" s="227" t="n">
        <v>528000</v>
      </c>
    </row>
    <row r="855">
      <c r="A855" s="25" t="inlineStr">
        <is>
          <t>AFEEZ AJIBADE/Ebenezer</t>
        </is>
      </c>
      <c r="B855" s="25">
        <f>CONCATENATE(E855,"-",F855,"-",D855)</f>
        <v/>
      </c>
      <c r="C855" s="25">
        <f>CONCATENATE(G855,"-",F855,"-",D855)</f>
        <v/>
      </c>
      <c r="D855" s="25" t="inlineStr">
        <is>
          <t>JUMBO</t>
        </is>
      </c>
      <c r="E855" s="25" t="inlineStr">
        <is>
          <t>NBL-DSL</t>
        </is>
      </c>
      <c r="F855" s="79" t="inlineStr">
        <is>
          <t>30T</t>
        </is>
      </c>
      <c r="G855" s="204" t="inlineStr">
        <is>
          <t>Lebruni</t>
        </is>
      </c>
      <c r="H855" s="204" t="inlineStr">
        <is>
          <t>Ibadan</t>
        </is>
      </c>
      <c r="I855" t="inlineStr">
        <is>
          <t>Ogbomoso</t>
        </is>
      </c>
      <c r="J855" t="inlineStr">
        <is>
          <t>Oyo</t>
        </is>
      </c>
      <c r="K855" t="n">
        <v>145</v>
      </c>
      <c r="L855" s="236">
        <f>K855*2</f>
        <v/>
      </c>
      <c r="M855" s="220">
        <f>ROUNDDOWN(L855*0.7,)</f>
        <v/>
      </c>
      <c r="N855" s="194" t="n">
        <v>6960</v>
      </c>
      <c r="O855" s="227" t="n">
        <v>660000</v>
      </c>
    </row>
    <row r="856">
      <c r="A856" s="25" t="inlineStr">
        <is>
          <t>AFEEZ AJIBADE/Ebenezer</t>
        </is>
      </c>
      <c r="B856" s="25">
        <f>CONCATENATE(E856,"-",F856,"-",D856)</f>
        <v/>
      </c>
      <c r="C856" s="25">
        <f>CONCATENATE(G856,"-",F856,"-",D856)</f>
        <v/>
      </c>
      <c r="D856" s="25" t="inlineStr">
        <is>
          <t>JUMBO</t>
        </is>
      </c>
      <c r="E856" s="25" t="inlineStr">
        <is>
          <t>NBL-DSL</t>
        </is>
      </c>
      <c r="F856" s="79" t="inlineStr">
        <is>
          <t>30T</t>
        </is>
      </c>
      <c r="G856" s="204" t="inlineStr">
        <is>
          <t>Lebruni</t>
        </is>
      </c>
      <c r="H856" s="204" t="inlineStr">
        <is>
          <t>Ibadan</t>
        </is>
      </c>
      <c r="I856" t="inlineStr">
        <is>
          <t>Jos</t>
        </is>
      </c>
      <c r="J856" t="inlineStr">
        <is>
          <t>Plateau</t>
        </is>
      </c>
      <c r="K856" t="n">
        <v>945</v>
      </c>
      <c r="L856" s="236">
        <f>K856*2</f>
        <v/>
      </c>
      <c r="M856" s="220">
        <f>ROUNDDOWN(L856*0.7,)</f>
        <v/>
      </c>
      <c r="N856" s="194" t="n">
        <v>45360</v>
      </c>
      <c r="O856" s="227" t="n">
        <v>3702600</v>
      </c>
    </row>
    <row r="857">
      <c r="A857" s="25" t="inlineStr">
        <is>
          <t>AFEEZ AJIBADE/Ebenezer</t>
        </is>
      </c>
      <c r="B857" s="25">
        <f>CONCATENATE(E857,"-",F857,"-",D857)</f>
        <v/>
      </c>
      <c r="C857" s="25">
        <f>CONCATENATE(G857,"-",F857,"-",D857)</f>
        <v/>
      </c>
      <c r="D857" s="25" t="inlineStr">
        <is>
          <t>JUMBO</t>
        </is>
      </c>
      <c r="E857" s="25" t="inlineStr">
        <is>
          <t>NBL-DSL</t>
        </is>
      </c>
      <c r="F857" s="79" t="inlineStr">
        <is>
          <t>30T</t>
        </is>
      </c>
      <c r="G857" s="204" t="inlineStr">
        <is>
          <t>Lebruni</t>
        </is>
      </c>
      <c r="H857" s="204" t="inlineStr">
        <is>
          <t>Ibadan</t>
        </is>
      </c>
      <c r="I857" t="inlineStr">
        <is>
          <t>Kaduna</t>
        </is>
      </c>
      <c r="J857" t="inlineStr">
        <is>
          <t>Kaduna</t>
        </is>
      </c>
      <c r="K857" t="n">
        <v>710</v>
      </c>
      <c r="L857" s="236">
        <f>K857*2</f>
        <v/>
      </c>
      <c r="M857" s="220">
        <f>ROUNDDOWN(L857*0.7,)</f>
        <v/>
      </c>
      <c r="N857" s="194" t="n">
        <v>34080</v>
      </c>
      <c r="O857" s="227" t="n">
        <v>3366000</v>
      </c>
    </row>
    <row r="858">
      <c r="A858" s="25" t="inlineStr">
        <is>
          <t>AFEEZ AJIBADE/Ebenezer</t>
        </is>
      </c>
      <c r="B858" s="25">
        <f>CONCATENATE(E858,"-",F858,"-",D858)</f>
        <v/>
      </c>
      <c r="C858" s="25">
        <f>CONCATENATE(G858,"-",F858,"-",D858)</f>
        <v/>
      </c>
      <c r="D858" s="25" t="inlineStr">
        <is>
          <t>JUMBO</t>
        </is>
      </c>
      <c r="E858" s="25" t="inlineStr">
        <is>
          <t>NBL-DSL</t>
        </is>
      </c>
      <c r="F858" s="79" t="inlineStr">
        <is>
          <t>30T</t>
        </is>
      </c>
      <c r="G858" s="204" t="inlineStr">
        <is>
          <t>Lebruni</t>
        </is>
      </c>
      <c r="H858" s="204" t="inlineStr">
        <is>
          <t>Ibadan</t>
        </is>
      </c>
      <c r="I858" t="inlineStr">
        <is>
          <t>Ikeja</t>
        </is>
      </c>
      <c r="J858" t="inlineStr">
        <is>
          <t>Lagos</t>
        </is>
      </c>
      <c r="K858" t="n">
        <v>110</v>
      </c>
      <c r="L858" s="236">
        <f>K858*2</f>
        <v/>
      </c>
      <c r="M858" s="220">
        <f>ROUNDDOWN(L858*0.7,)</f>
        <v/>
      </c>
      <c r="N858" s="194" t="n">
        <v>5280</v>
      </c>
      <c r="O858" s="227" t="n">
        <v>660000</v>
      </c>
    </row>
    <row r="859">
      <c r="A859" s="25" t="inlineStr">
        <is>
          <t>AFEEZ AJIBADE/Ebenezer</t>
        </is>
      </c>
      <c r="B859" s="25">
        <f>CONCATENATE(E859,"-",F859,"-",D859)</f>
        <v/>
      </c>
      <c r="C859" s="25">
        <f>CONCATENATE(G859,"-",F859,"-",D859)</f>
        <v/>
      </c>
      <c r="D859" s="25" t="inlineStr">
        <is>
          <t>JUMBO</t>
        </is>
      </c>
      <c r="E859" s="25" t="inlineStr">
        <is>
          <t>NBL-DSL</t>
        </is>
      </c>
      <c r="F859" s="79" t="inlineStr">
        <is>
          <t>30T</t>
        </is>
      </c>
      <c r="G859" s="204" t="inlineStr">
        <is>
          <t>Lebruni</t>
        </is>
      </c>
      <c r="H859" s="204" t="inlineStr">
        <is>
          <t>Ibadan</t>
        </is>
      </c>
      <c r="I859" t="inlineStr">
        <is>
          <t>Lagos Island</t>
        </is>
      </c>
      <c r="J859" t="inlineStr">
        <is>
          <t>Lagos</t>
        </is>
      </c>
      <c r="K859" t="n">
        <v>130</v>
      </c>
      <c r="L859" s="236">
        <f>K859*2</f>
        <v/>
      </c>
      <c r="M859" s="220">
        <f>ROUNDDOWN(L859*0.7,)</f>
        <v/>
      </c>
      <c r="N859" s="194" t="n">
        <v>6240</v>
      </c>
      <c r="O859" s="227" t="n">
        <v>693000</v>
      </c>
    </row>
    <row r="860">
      <c r="A860" s="25" t="inlineStr">
        <is>
          <t>AFEEZ AJIBADE/Ebenezer</t>
        </is>
      </c>
      <c r="B860" s="25">
        <f>CONCATENATE(E860,"-",F860,"-",D860)</f>
        <v/>
      </c>
      <c r="C860" s="25">
        <f>CONCATENATE(G860,"-",F860,"-",D860)</f>
        <v/>
      </c>
      <c r="D860" s="25" t="inlineStr">
        <is>
          <t>JUMBO</t>
        </is>
      </c>
      <c r="E860" s="25" t="inlineStr">
        <is>
          <t>NBL-DSL</t>
        </is>
      </c>
      <c r="F860" s="79" t="inlineStr">
        <is>
          <t>30T</t>
        </is>
      </c>
      <c r="G860" s="204" t="inlineStr">
        <is>
          <t>Lebruni</t>
        </is>
      </c>
      <c r="H860" s="204" t="inlineStr">
        <is>
          <t>Ibadan</t>
        </is>
      </c>
      <c r="I860" t="inlineStr">
        <is>
          <t>Lekki</t>
        </is>
      </c>
      <c r="J860" t="inlineStr">
        <is>
          <t>Lagos</t>
        </is>
      </c>
      <c r="K860" t="n">
        <v>140</v>
      </c>
      <c r="L860" s="236">
        <f>K860*2</f>
        <v/>
      </c>
      <c r="M860" s="220">
        <f>ROUNDDOWN(L860*0.7,)</f>
        <v/>
      </c>
      <c r="N860" s="194" t="n">
        <v>6720</v>
      </c>
      <c r="O860" s="227" t="n">
        <v>957000</v>
      </c>
    </row>
    <row r="861">
      <c r="A861" s="25" t="inlineStr">
        <is>
          <t>AFEEZ AJIBADE/Ebenezer</t>
        </is>
      </c>
      <c r="B861" s="25">
        <f>CONCATENATE(E861,"-",F861,"-",D861)</f>
        <v/>
      </c>
      <c r="C861" s="25">
        <f>CONCATENATE(G861,"-",F861,"-",D861)</f>
        <v/>
      </c>
      <c r="D861" s="25" t="inlineStr">
        <is>
          <t>JUMBO</t>
        </is>
      </c>
      <c r="E861" s="25" t="inlineStr">
        <is>
          <t>NBL-DSL</t>
        </is>
      </c>
      <c r="F861" s="79" t="inlineStr">
        <is>
          <t>30T</t>
        </is>
      </c>
      <c r="G861" s="204" t="inlineStr">
        <is>
          <t>Lebruni</t>
        </is>
      </c>
      <c r="H861" s="204" t="inlineStr">
        <is>
          <t>Ibadan</t>
        </is>
      </c>
      <c r="I861" t="inlineStr">
        <is>
          <t>Minna</t>
        </is>
      </c>
      <c r="J861" t="inlineStr">
        <is>
          <t>Niger</t>
        </is>
      </c>
      <c r="K861" t="n">
        <v>532.5</v>
      </c>
      <c r="L861" s="236">
        <f>K861*2</f>
        <v/>
      </c>
      <c r="M861" s="220">
        <f>ROUNDDOWN(L861*0.7,)</f>
        <v/>
      </c>
      <c r="N861" s="194" t="n">
        <v>25560</v>
      </c>
      <c r="O861" s="227" t="n">
        <v>2838000</v>
      </c>
    </row>
    <row r="862">
      <c r="A862" s="25" t="inlineStr">
        <is>
          <t>AFEEZ AJIBADE/Ebenezer</t>
        </is>
      </c>
      <c r="B862" s="25">
        <f>CONCATENATE(E862,"-",F862,"-",D862)</f>
        <v/>
      </c>
      <c r="C862" s="25">
        <f>CONCATENATE(G862,"-",F862,"-",D862)</f>
        <v/>
      </c>
      <c r="D862" s="25" t="inlineStr">
        <is>
          <t>JUMBO</t>
        </is>
      </c>
      <c r="E862" s="25" t="inlineStr">
        <is>
          <t>NBL-DSL</t>
        </is>
      </c>
      <c r="F862" s="79" t="inlineStr">
        <is>
          <t>30T</t>
        </is>
      </c>
      <c r="G862" s="204" t="inlineStr">
        <is>
          <t>Lebruni</t>
        </is>
      </c>
      <c r="H862" s="204" t="inlineStr">
        <is>
          <t>Ibadan</t>
        </is>
      </c>
      <c r="I862" t="inlineStr">
        <is>
          <t>Onitsha</t>
        </is>
      </c>
      <c r="J862" t="inlineStr">
        <is>
          <t>Anambra</t>
        </is>
      </c>
      <c r="K862" t="n">
        <v>430</v>
      </c>
      <c r="L862" s="236">
        <f>K862*2</f>
        <v/>
      </c>
      <c r="M862" s="220">
        <f>ROUNDDOWN(L862*0.7,)</f>
        <v/>
      </c>
      <c r="N862" s="194" t="n">
        <v>20640</v>
      </c>
      <c r="O862" s="227" t="n">
        <v>2049300</v>
      </c>
    </row>
    <row r="863">
      <c r="A863" s="25" t="inlineStr">
        <is>
          <t>AFEEZ AJIBADE/Ebenezer</t>
        </is>
      </c>
      <c r="B863" s="25">
        <f>CONCATENATE(E863,"-",F863,"-",D863)</f>
        <v/>
      </c>
      <c r="C863" s="25">
        <f>CONCATENATE(G863,"-",F863,"-",D863)</f>
        <v/>
      </c>
      <c r="D863" s="25" t="inlineStr">
        <is>
          <t>JUMBO</t>
        </is>
      </c>
      <c r="E863" s="25" t="inlineStr">
        <is>
          <t>NBL-DSL</t>
        </is>
      </c>
      <c r="F863" s="79" t="inlineStr">
        <is>
          <t>30T</t>
        </is>
      </c>
      <c r="G863" s="204" t="inlineStr">
        <is>
          <t>Lebruni</t>
        </is>
      </c>
      <c r="H863" s="204" t="inlineStr">
        <is>
          <t>Ibadan</t>
        </is>
      </c>
      <c r="I863" t="inlineStr">
        <is>
          <t>Asaba</t>
        </is>
      </c>
      <c r="J863" t="inlineStr">
        <is>
          <t>Delta</t>
        </is>
      </c>
      <c r="K863" t="n">
        <v>410</v>
      </c>
      <c r="L863" s="236">
        <f>K863*2</f>
        <v/>
      </c>
      <c r="M863" s="220">
        <f>ROUNDDOWN(L863*0.7,)</f>
        <v/>
      </c>
      <c r="N863" s="194" t="n">
        <v>19680</v>
      </c>
      <c r="O863" s="227" t="n">
        <v>2003760</v>
      </c>
    </row>
    <row r="864">
      <c r="A864" s="25" t="inlineStr">
        <is>
          <t>AFEEZ AJIBADE/Ebenezer</t>
        </is>
      </c>
      <c r="B864" s="25">
        <f>CONCATENATE(E864,"-",F864,"-",D864)</f>
        <v/>
      </c>
      <c r="C864" s="25">
        <f>CONCATENATE(G864,"-",F864,"-",D864)</f>
        <v/>
      </c>
      <c r="D864" s="25" t="inlineStr">
        <is>
          <t>JUMBO</t>
        </is>
      </c>
      <c r="E864" s="25" t="inlineStr">
        <is>
          <t>NBL-DSL</t>
        </is>
      </c>
      <c r="F864" s="79" t="inlineStr">
        <is>
          <t>30T</t>
        </is>
      </c>
      <c r="G864" s="204" t="inlineStr">
        <is>
          <t>Lebruni</t>
        </is>
      </c>
      <c r="H864" s="204" t="inlineStr">
        <is>
          <t>Ibadan</t>
        </is>
      </c>
      <c r="I864" t="inlineStr">
        <is>
          <t>Ondo</t>
        </is>
      </c>
      <c r="J864" t="inlineStr">
        <is>
          <t>Ondo</t>
        </is>
      </c>
      <c r="K864" t="n">
        <v>175.5</v>
      </c>
      <c r="L864" s="236">
        <f>K864*2</f>
        <v/>
      </c>
      <c r="M864" s="220">
        <f>ROUNDDOWN(L864*0.7,)</f>
        <v/>
      </c>
      <c r="N864" s="194" t="n">
        <v>8424</v>
      </c>
      <c r="O864" s="227" t="n">
        <v>1452000</v>
      </c>
    </row>
    <row r="865">
      <c r="A865" s="25" t="inlineStr">
        <is>
          <t>AFEEZ AJIBADE/Ebenezer</t>
        </is>
      </c>
      <c r="B865" s="25">
        <f>CONCATENATE(E865,"-",F865,"-",D865)</f>
        <v/>
      </c>
      <c r="C865" s="25">
        <f>CONCATENATE(G865,"-",F865,"-",D865)</f>
        <v/>
      </c>
      <c r="D865" s="25" t="inlineStr">
        <is>
          <t>JUMBO</t>
        </is>
      </c>
      <c r="E865" s="25" t="inlineStr">
        <is>
          <t>NBL-DSL</t>
        </is>
      </c>
      <c r="F865" s="79" t="inlineStr">
        <is>
          <t>30T</t>
        </is>
      </c>
      <c r="G865" s="204" t="inlineStr">
        <is>
          <t>Lebruni</t>
        </is>
      </c>
      <c r="H865" s="204" t="inlineStr">
        <is>
          <t>Ibadan</t>
        </is>
      </c>
      <c r="I865" t="inlineStr">
        <is>
          <t>Umuahia</t>
        </is>
      </c>
      <c r="J865" t="inlineStr">
        <is>
          <t>Abia</t>
        </is>
      </c>
      <c r="K865" t="n">
        <v>565</v>
      </c>
      <c r="L865" s="236">
        <f>K865*2</f>
        <v/>
      </c>
      <c r="M865" s="220">
        <f>ROUNDDOWN(L865*0.7,)</f>
        <v/>
      </c>
      <c r="N865" s="194" t="n">
        <v>27120</v>
      </c>
      <c r="O865" s="227" t="n">
        <v>2310000</v>
      </c>
    </row>
    <row r="866">
      <c r="A866" s="25" t="inlineStr">
        <is>
          <t>AFEEZ AJIBADE/Ebenezer</t>
        </is>
      </c>
      <c r="B866" s="25">
        <f>CONCATENATE(E866,"-",F866,"-",D866)</f>
        <v/>
      </c>
      <c r="C866" s="25">
        <f>CONCATENATE(G866,"-",F866,"-",D866)</f>
        <v/>
      </c>
      <c r="D866" s="25" t="inlineStr">
        <is>
          <t>JUMBO</t>
        </is>
      </c>
      <c r="E866" s="25" t="inlineStr">
        <is>
          <t>NBL-DSL</t>
        </is>
      </c>
      <c r="F866" s="79" t="inlineStr">
        <is>
          <t>30T</t>
        </is>
      </c>
      <c r="G866" s="204" t="inlineStr">
        <is>
          <t>Lebruni</t>
        </is>
      </c>
      <c r="H866" s="204" t="inlineStr">
        <is>
          <t>Ibadan</t>
        </is>
      </c>
      <c r="I866" t="inlineStr">
        <is>
          <t>Osogbo</t>
        </is>
      </c>
      <c r="J866" t="inlineStr">
        <is>
          <t>Osun</t>
        </is>
      </c>
      <c r="K866" t="n">
        <v>135</v>
      </c>
      <c r="L866" s="236">
        <f>K866*2</f>
        <v/>
      </c>
      <c r="M866" s="220">
        <f>ROUNDDOWN(L866*0.7,)</f>
        <v/>
      </c>
      <c r="N866" s="194" t="n">
        <v>6480</v>
      </c>
      <c r="O866" s="227" t="n">
        <v>1254000</v>
      </c>
    </row>
    <row r="867">
      <c r="A867" s="25" t="inlineStr">
        <is>
          <t>AFEEZ AJIBADE/Ebenezer</t>
        </is>
      </c>
      <c r="B867" s="25">
        <f>CONCATENATE(E867,"-",F867,"-",D867)</f>
        <v/>
      </c>
      <c r="C867" s="25">
        <f>CONCATENATE(G867,"-",F867,"-",D867)</f>
        <v/>
      </c>
      <c r="D867" s="25" t="inlineStr">
        <is>
          <t>JUMBO</t>
        </is>
      </c>
      <c r="E867" s="25" t="inlineStr">
        <is>
          <t>NBL-DSL</t>
        </is>
      </c>
      <c r="F867" s="79" t="inlineStr">
        <is>
          <t>40T</t>
        </is>
      </c>
      <c r="G867" s="204" t="inlineStr">
        <is>
          <t>Lebruni</t>
        </is>
      </c>
      <c r="H867" s="204" t="inlineStr">
        <is>
          <t>Ibadan</t>
        </is>
      </c>
      <c r="I867" t="inlineStr">
        <is>
          <t>Kano</t>
        </is>
      </c>
      <c r="J867" t="inlineStr">
        <is>
          <t>Kano</t>
        </is>
      </c>
      <c r="K867" s="246" t="n">
        <v>933.5</v>
      </c>
      <c r="L867" s="236">
        <f>K867*2</f>
        <v/>
      </c>
      <c r="M867" s="220">
        <f>ROUNDDOWN(L867*0.7,)</f>
        <v/>
      </c>
      <c r="N867" s="194" t="n">
        <v>44808</v>
      </c>
      <c r="O867" s="248" t="n">
        <v>4290000</v>
      </c>
    </row>
    <row r="868">
      <c r="A868" s="25" t="inlineStr">
        <is>
          <t>AFEEZ AJIBADE/Ebenezer</t>
        </is>
      </c>
      <c r="B868" s="25">
        <f>CONCATENATE(E868,"-",F868,"-",D868)</f>
        <v/>
      </c>
      <c r="C868" s="25">
        <f>CONCATENATE(G868,"-",F868,"-",D868)</f>
        <v/>
      </c>
      <c r="D868" s="25" t="inlineStr">
        <is>
          <t>JUMBO</t>
        </is>
      </c>
      <c r="E868" s="25" t="inlineStr">
        <is>
          <t>NBL-DSL</t>
        </is>
      </c>
      <c r="F868" s="79" t="inlineStr">
        <is>
          <t>40T</t>
        </is>
      </c>
      <c r="G868" s="204" t="inlineStr">
        <is>
          <t>Lebruni</t>
        </is>
      </c>
      <c r="H868" s="204" t="inlineStr">
        <is>
          <t>Ibadan</t>
        </is>
      </c>
      <c r="I868" s="161" t="inlineStr">
        <is>
          <t>Abuja</t>
        </is>
      </c>
      <c r="J868" s="161" t="inlineStr">
        <is>
          <t>FCT</t>
        </is>
      </c>
      <c r="K868" s="246" t="n">
        <v>622.5</v>
      </c>
      <c r="L868" s="236">
        <f>K868*2</f>
        <v/>
      </c>
      <c r="M868" s="220">
        <f>ROUNDDOWN(L868*0.7,)</f>
        <v/>
      </c>
      <c r="N868" s="194" t="n">
        <v>29880</v>
      </c>
      <c r="O868" s="189" t="n">
        <v>3500000</v>
      </c>
    </row>
    <row r="869">
      <c r="A869" s="25" t="inlineStr">
        <is>
          <t>AFEEZ AJIBADE/Ebenezer</t>
        </is>
      </c>
      <c r="B869" s="25">
        <f>CONCATENATE(E869,"-",F869,"-",D869)</f>
        <v/>
      </c>
      <c r="C869" s="25">
        <f>CONCATENATE(G869,"-",F869,"-",D869)</f>
        <v/>
      </c>
      <c r="D869" s="25" t="inlineStr">
        <is>
          <t>JUMBO</t>
        </is>
      </c>
      <c r="E869" s="25" t="inlineStr">
        <is>
          <t>NBL-DSL</t>
        </is>
      </c>
      <c r="F869" s="79" t="inlineStr">
        <is>
          <t>40T</t>
        </is>
      </c>
      <c r="G869" s="204" t="inlineStr">
        <is>
          <t>Lebruni</t>
        </is>
      </c>
      <c r="H869" s="204" t="inlineStr">
        <is>
          <t>Ibadan</t>
        </is>
      </c>
      <c r="I869" s="161" t="inlineStr">
        <is>
          <t>Benin City</t>
        </is>
      </c>
      <c r="J869" s="161" t="inlineStr">
        <is>
          <t>Edo</t>
        </is>
      </c>
      <c r="K869" s="246" t="n">
        <v>286.5</v>
      </c>
      <c r="L869" s="236">
        <f>K869*2</f>
        <v/>
      </c>
      <c r="M869" s="220">
        <f>ROUNDDOWN(L869*0.7,)</f>
        <v/>
      </c>
      <c r="N869" s="194" t="n">
        <v>13752</v>
      </c>
      <c r="O869" s="189" t="n">
        <v>1900000</v>
      </c>
    </row>
    <row r="870">
      <c r="A870" s="25" t="inlineStr">
        <is>
          <t>AFEEZ AJIBADE/Ebenezer</t>
        </is>
      </c>
      <c r="B870" s="25">
        <f>CONCATENATE(E870,"-",F870,"-",D870)</f>
        <v/>
      </c>
      <c r="C870" s="25">
        <f>CONCATENATE(G870,"-",F870,"-",D870)</f>
        <v/>
      </c>
      <c r="D870" s="25" t="inlineStr">
        <is>
          <t>JUMBO</t>
        </is>
      </c>
      <c r="E870" s="25" t="inlineStr">
        <is>
          <t>NBL-DSL</t>
        </is>
      </c>
      <c r="F870" s="79" t="inlineStr">
        <is>
          <t>40T</t>
        </is>
      </c>
      <c r="G870" s="204" t="inlineStr">
        <is>
          <t>Lebruni</t>
        </is>
      </c>
      <c r="H870" s="204" t="inlineStr">
        <is>
          <t>Ibadan</t>
        </is>
      </c>
      <c r="I870" s="161" t="inlineStr">
        <is>
          <t>Port Harcourt</t>
        </is>
      </c>
      <c r="J870" s="161" t="inlineStr">
        <is>
          <t>Rivers</t>
        </is>
      </c>
      <c r="K870" s="246" t="n">
        <v>605</v>
      </c>
      <c r="L870" s="236">
        <f>K870*2</f>
        <v/>
      </c>
      <c r="M870" s="220">
        <f>ROUNDDOWN(L870*0.7,)</f>
        <v/>
      </c>
      <c r="N870" s="194" t="n">
        <v>29040</v>
      </c>
      <c r="O870" s="189" t="n">
        <v>3140000</v>
      </c>
    </row>
    <row r="871">
      <c r="A871" s="25" t="inlineStr">
        <is>
          <t>AFEEZ AJIBADE/Ebenezer</t>
        </is>
      </c>
      <c r="B871" s="25">
        <f>CONCATENATE(E871,"-",F871,"-",D871)</f>
        <v/>
      </c>
      <c r="C871" s="25">
        <f>CONCATENATE(G871,"-",F871,"-",D871)</f>
        <v/>
      </c>
      <c r="D871" s="25" t="inlineStr">
        <is>
          <t>JUMBO</t>
        </is>
      </c>
      <c r="E871" s="25" t="inlineStr">
        <is>
          <t>NBL-DSL</t>
        </is>
      </c>
      <c r="F871" s="79" t="inlineStr">
        <is>
          <t>40T</t>
        </is>
      </c>
      <c r="G871" s="204" t="inlineStr">
        <is>
          <t>Lebruni</t>
        </is>
      </c>
      <c r="H871" s="204" t="inlineStr">
        <is>
          <t>Ibadan</t>
        </is>
      </c>
      <c r="I871" s="161" t="inlineStr">
        <is>
          <t>Warri</t>
        </is>
      </c>
      <c r="J871" s="161" t="inlineStr">
        <is>
          <t>Delta</t>
        </is>
      </c>
      <c r="K871" s="246" t="n">
        <v>393</v>
      </c>
      <c r="L871" s="236">
        <f>K871*2</f>
        <v/>
      </c>
      <c r="M871" s="220">
        <f>ROUNDDOWN(L871*0.7,)</f>
        <v/>
      </c>
      <c r="N871" s="194" t="n">
        <v>18864</v>
      </c>
      <c r="O871" s="189" t="n">
        <v>2310000</v>
      </c>
    </row>
    <row r="872">
      <c r="A872" s="25" t="inlineStr">
        <is>
          <t>AFEEZ AJIBADE/Ebenezer</t>
        </is>
      </c>
      <c r="B872" s="25">
        <f>CONCATENATE(E872,"-",F872,"-",D872)</f>
        <v/>
      </c>
      <c r="C872" s="25">
        <f>CONCATENATE(G872,"-",F872,"-",D872)</f>
        <v/>
      </c>
      <c r="D872" s="25" t="inlineStr">
        <is>
          <t>JUMBO</t>
        </is>
      </c>
      <c r="E872" s="25" t="inlineStr">
        <is>
          <t>NBL-DSL</t>
        </is>
      </c>
      <c r="F872" s="79" t="inlineStr">
        <is>
          <t>40T</t>
        </is>
      </c>
      <c r="G872" s="204" t="inlineStr">
        <is>
          <t>Lebruni</t>
        </is>
      </c>
      <c r="H872" s="204" t="inlineStr">
        <is>
          <t>Ibadan</t>
        </is>
      </c>
      <c r="I872" s="161" t="inlineStr">
        <is>
          <t>Imo</t>
        </is>
      </c>
      <c r="J872" s="161" t="inlineStr">
        <is>
          <t>Imo</t>
        </is>
      </c>
      <c r="K872" s="246" t="n">
        <v>505.5</v>
      </c>
      <c r="L872" s="236">
        <f>K872*2</f>
        <v/>
      </c>
      <c r="M872" s="220">
        <f>ROUNDDOWN(L872*0.7,)</f>
        <v/>
      </c>
      <c r="N872" s="194" t="n">
        <v>24264</v>
      </c>
      <c r="O872" s="189" t="n">
        <v>2600000</v>
      </c>
    </row>
    <row r="873">
      <c r="A873" s="25" t="inlineStr">
        <is>
          <t>AFEEZ AJIBADE/Ebenezer</t>
        </is>
      </c>
      <c r="B873" s="25">
        <f>CONCATENATE(E873,"-",F873,"-",D873)</f>
        <v/>
      </c>
      <c r="C873" s="25">
        <f>CONCATENATE(G873,"-",F873,"-",D873)</f>
        <v/>
      </c>
      <c r="D873" s="25" t="inlineStr">
        <is>
          <t>JUMBO</t>
        </is>
      </c>
      <c r="E873" s="25" t="inlineStr">
        <is>
          <t>NBL-DSL</t>
        </is>
      </c>
      <c r="F873" s="79" t="inlineStr">
        <is>
          <t>40T</t>
        </is>
      </c>
      <c r="G873" s="204" t="inlineStr">
        <is>
          <t>Lebruni</t>
        </is>
      </c>
      <c r="H873" s="204" t="inlineStr">
        <is>
          <t>Ibadan</t>
        </is>
      </c>
      <c r="I873" s="161" t="inlineStr">
        <is>
          <t>Aba</t>
        </is>
      </c>
      <c r="J873" s="161" t="inlineStr">
        <is>
          <t>Abia</t>
        </is>
      </c>
      <c r="K873" s="246" t="n">
        <v>575</v>
      </c>
      <c r="L873" s="236">
        <f>K873*2</f>
        <v/>
      </c>
      <c r="M873" s="220">
        <f>ROUNDDOWN(L873*0.7,)</f>
        <v/>
      </c>
      <c r="N873" s="194" t="n">
        <v>27600</v>
      </c>
      <c r="O873" s="189" t="n">
        <v>3040000</v>
      </c>
    </row>
    <row r="874">
      <c r="A874" s="25" t="inlineStr">
        <is>
          <t>AFEEZ AJIBADE/Ebenezer</t>
        </is>
      </c>
      <c r="B874" s="25">
        <f>CONCATENATE(E874,"-",F874,"-",D874)</f>
        <v/>
      </c>
      <c r="C874" s="25">
        <f>CONCATENATE(G874,"-",F874,"-",D874)</f>
        <v/>
      </c>
      <c r="D874" s="25" t="inlineStr">
        <is>
          <t>JUMBO</t>
        </is>
      </c>
      <c r="E874" s="25" t="inlineStr">
        <is>
          <t>NBL-DSL</t>
        </is>
      </c>
      <c r="F874" s="79" t="inlineStr">
        <is>
          <t>40T</t>
        </is>
      </c>
      <c r="G874" s="204" t="inlineStr">
        <is>
          <t>Lebruni</t>
        </is>
      </c>
      <c r="H874" s="204" t="inlineStr">
        <is>
          <t>Ibadan</t>
        </is>
      </c>
      <c r="I874" s="161" t="inlineStr">
        <is>
          <t>Akure</t>
        </is>
      </c>
      <c r="J874" s="161" t="inlineStr">
        <is>
          <t>Ondo</t>
        </is>
      </c>
      <c r="K874" s="246" t="n">
        <v>240</v>
      </c>
      <c r="L874" s="236">
        <f>K874*2</f>
        <v/>
      </c>
      <c r="M874" s="220">
        <f>ROUNDDOWN(L874*0.7,)</f>
        <v/>
      </c>
      <c r="N874" s="194" t="n">
        <v>11520</v>
      </c>
      <c r="O874" s="189" t="n">
        <v>1820000</v>
      </c>
    </row>
    <row r="875">
      <c r="A875" s="25" t="inlineStr">
        <is>
          <t>AFEEZ AJIBADE/Ebenezer</t>
        </is>
      </c>
      <c r="B875" s="25">
        <f>CONCATENATE(E875,"-",F875,"-",D875)</f>
        <v/>
      </c>
      <c r="C875" s="25">
        <f>CONCATENATE(G875,"-",F875,"-",D875)</f>
        <v/>
      </c>
      <c r="D875" s="25" t="inlineStr">
        <is>
          <t>JUMBO</t>
        </is>
      </c>
      <c r="E875" s="25" t="inlineStr">
        <is>
          <t>NBL-DSL</t>
        </is>
      </c>
      <c r="F875" s="79" t="inlineStr">
        <is>
          <t>40T</t>
        </is>
      </c>
      <c r="G875" s="204" t="inlineStr">
        <is>
          <t>Lebruni</t>
        </is>
      </c>
      <c r="H875" s="204" t="inlineStr">
        <is>
          <t>Ibadan</t>
        </is>
      </c>
      <c r="I875" s="161" t="inlineStr">
        <is>
          <t>Ikom</t>
        </is>
      </c>
      <c r="J875" s="161" t="inlineStr">
        <is>
          <t>Cross River</t>
        </is>
      </c>
      <c r="K875" s="246" t="n">
        <v>750</v>
      </c>
      <c r="L875" s="236">
        <f>K875*2</f>
        <v/>
      </c>
      <c r="M875" s="220">
        <f>ROUNDDOWN(L875*0.7,)</f>
        <v/>
      </c>
      <c r="N875" s="194" t="n">
        <v>36000</v>
      </c>
      <c r="O875" s="189" t="n">
        <v>3800000</v>
      </c>
    </row>
    <row r="876">
      <c r="A876" s="25" t="inlineStr">
        <is>
          <t>AFEEZ AJIBADE/Ebenezer</t>
        </is>
      </c>
      <c r="B876" s="25">
        <f>CONCATENATE(E876,"-",F876,"-",D876)</f>
        <v/>
      </c>
      <c r="C876" s="25">
        <f>CONCATENATE(G876,"-",F876,"-",D876)</f>
        <v/>
      </c>
      <c r="D876" s="25" t="inlineStr">
        <is>
          <t>JUMBO</t>
        </is>
      </c>
      <c r="E876" s="25" t="inlineStr">
        <is>
          <t>NBL-DSL</t>
        </is>
      </c>
      <c r="F876" s="79" t="inlineStr">
        <is>
          <t>40T</t>
        </is>
      </c>
      <c r="G876" s="204" t="inlineStr">
        <is>
          <t>Lebruni</t>
        </is>
      </c>
      <c r="H876" s="204" t="inlineStr">
        <is>
          <t>Ibadan</t>
        </is>
      </c>
      <c r="I876" t="inlineStr">
        <is>
          <t>Abeokuta</t>
        </is>
      </c>
      <c r="J876" t="inlineStr">
        <is>
          <t>Ogun</t>
        </is>
      </c>
      <c r="K876" s="246" t="n">
        <v>104.5</v>
      </c>
      <c r="L876" s="236">
        <f>K876*2</f>
        <v/>
      </c>
      <c r="M876" s="220">
        <f>ROUNDDOWN(L876*0.7,)</f>
        <v/>
      </c>
      <c r="N876" s="194" t="n">
        <v>5016</v>
      </c>
      <c r="O876" s="189" t="n">
        <v>990000</v>
      </c>
    </row>
    <row r="877">
      <c r="A877" s="25" t="inlineStr">
        <is>
          <t>AFEEZ AJIBADE/Ebenezer</t>
        </is>
      </c>
      <c r="B877" s="25">
        <f>CONCATENATE(E877,"-",F877,"-",D877)</f>
        <v/>
      </c>
      <c r="C877" s="25">
        <f>CONCATENATE(G877,"-",F877,"-",D877)</f>
        <v/>
      </c>
      <c r="D877" s="25" t="inlineStr">
        <is>
          <t>JUMBO</t>
        </is>
      </c>
      <c r="E877" s="25" t="inlineStr">
        <is>
          <t>NBL-DSL</t>
        </is>
      </c>
      <c r="F877" s="79" t="inlineStr">
        <is>
          <t>40T</t>
        </is>
      </c>
      <c r="G877" s="204" t="inlineStr">
        <is>
          <t>Lebruni</t>
        </is>
      </c>
      <c r="H877" s="204" t="inlineStr">
        <is>
          <t>Ibadan</t>
        </is>
      </c>
      <c r="I877" t="inlineStr">
        <is>
          <t>Idiroko</t>
        </is>
      </c>
      <c r="J877" t="inlineStr">
        <is>
          <t>Ogun</t>
        </is>
      </c>
      <c r="K877" s="246" t="n">
        <v>170</v>
      </c>
      <c r="L877" s="236">
        <f>K877*2</f>
        <v/>
      </c>
      <c r="M877" s="220">
        <f>ROUNDDOWN(L877*0.7,)</f>
        <v/>
      </c>
      <c r="N877" s="194" t="n">
        <v>8160</v>
      </c>
      <c r="O877" s="189">
        <f>1250000</f>
        <v/>
      </c>
    </row>
    <row r="878">
      <c r="A878" s="25" t="inlineStr">
        <is>
          <t>AFEEZ AJIBADE/Ebenezer</t>
        </is>
      </c>
      <c r="B878" s="25">
        <f>CONCATENATE(E878,"-",F878,"-",D878)</f>
        <v/>
      </c>
      <c r="C878" s="25">
        <f>CONCATENATE(G878,"-",F878,"-",D878)</f>
        <v/>
      </c>
      <c r="D878" s="25" t="inlineStr">
        <is>
          <t>JUMBO</t>
        </is>
      </c>
      <c r="E878" s="25" t="inlineStr">
        <is>
          <t>NBL-DSL</t>
        </is>
      </c>
      <c r="F878" s="79" t="inlineStr">
        <is>
          <t>40T</t>
        </is>
      </c>
      <c r="G878" s="204" t="inlineStr">
        <is>
          <t>Lebruni</t>
        </is>
      </c>
      <c r="H878" s="204" t="inlineStr">
        <is>
          <t>Ibadan</t>
        </is>
      </c>
      <c r="I878" t="inlineStr">
        <is>
          <t>Ibafo</t>
        </is>
      </c>
      <c r="J878" t="inlineStr">
        <is>
          <t>Ogun</t>
        </is>
      </c>
      <c r="K878" s="246" t="n">
        <v>0</v>
      </c>
      <c r="L878" s="236" t="n">
        <v>95</v>
      </c>
      <c r="M878" s="220">
        <f>ROUNDDOWN(L878*0.7,)</f>
        <v/>
      </c>
      <c r="N878" s="194" t="n">
        <v>2280</v>
      </c>
      <c r="O878" s="189" t="n">
        <v>660000</v>
      </c>
    </row>
    <row r="879">
      <c r="A879" s="25" t="inlineStr">
        <is>
          <t>AFEEZ AJIBADE/Ebenezer</t>
        </is>
      </c>
      <c r="B879" s="25">
        <f>CONCATENATE(E879,"-",F879,"-",D879)</f>
        <v/>
      </c>
      <c r="C879" s="25">
        <f>CONCATENATE(G879,"-",F879,"-",D879)</f>
        <v/>
      </c>
      <c r="D879" s="25" t="inlineStr">
        <is>
          <t>JUMBO</t>
        </is>
      </c>
      <c r="E879" s="25" t="inlineStr">
        <is>
          <t>NBL-DSL</t>
        </is>
      </c>
      <c r="F879" s="79" t="inlineStr">
        <is>
          <t>40T</t>
        </is>
      </c>
      <c r="G879" s="204" t="inlineStr">
        <is>
          <t>Lebruni</t>
        </is>
      </c>
      <c r="H879" s="204" t="inlineStr">
        <is>
          <t>Ibadan</t>
        </is>
      </c>
      <c r="I879" t="inlineStr">
        <is>
          <t>Sango-Ota</t>
        </is>
      </c>
      <c r="J879" t="inlineStr">
        <is>
          <t>Ogun</t>
        </is>
      </c>
      <c r="K879" s="246" t="n">
        <v>127.5</v>
      </c>
      <c r="L879" s="236">
        <f>K879*2</f>
        <v/>
      </c>
      <c r="M879" s="220">
        <f>ROUNDDOWN(L879*0.7,)</f>
        <v/>
      </c>
      <c r="N879" s="194" t="n">
        <v>6120</v>
      </c>
      <c r="O879" s="189" t="n">
        <v>1080000</v>
      </c>
    </row>
    <row r="880">
      <c r="A880" s="25" t="inlineStr">
        <is>
          <t>AFEEZ AJIBADE/Ebenezer</t>
        </is>
      </c>
      <c r="B880" s="25">
        <f>CONCATENATE(E880,"-",F880,"-",D880)</f>
        <v/>
      </c>
      <c r="C880" s="25">
        <f>CONCATENATE(G880,"-",F880,"-",D880)</f>
        <v/>
      </c>
      <c r="D880" s="25" t="inlineStr">
        <is>
          <t>JUMBO</t>
        </is>
      </c>
      <c r="E880" s="25" t="inlineStr">
        <is>
          <t>NBL-DSL</t>
        </is>
      </c>
      <c r="F880" s="79" t="inlineStr">
        <is>
          <t>40T</t>
        </is>
      </c>
      <c r="G880" s="204" t="inlineStr">
        <is>
          <t>Lebruni</t>
        </is>
      </c>
      <c r="H880" s="204" t="inlineStr">
        <is>
          <t>Ibadan</t>
        </is>
      </c>
      <c r="I880" t="inlineStr">
        <is>
          <t>Sagamu</t>
        </is>
      </c>
      <c r="J880" t="inlineStr">
        <is>
          <t>Ogun</t>
        </is>
      </c>
      <c r="K880" s="246" t="n">
        <v>75</v>
      </c>
      <c r="L880" s="236">
        <f>K880*2</f>
        <v/>
      </c>
      <c r="M880" s="220">
        <f>ROUNDDOWN(L880*0.7,)</f>
        <v/>
      </c>
      <c r="N880" s="194" t="n">
        <v>3600</v>
      </c>
      <c r="O880" s="189" t="n">
        <v>660000</v>
      </c>
    </row>
    <row r="881">
      <c r="A881" s="25" t="inlineStr">
        <is>
          <t>AFEEZ AJIBADE/Ebenezer</t>
        </is>
      </c>
      <c r="B881" s="25">
        <f>CONCATENATE(E881,"-",F881,"-",D881)</f>
        <v/>
      </c>
      <c r="C881" s="25">
        <f>CONCATENATE(G881,"-",F881,"-",D881)</f>
        <v/>
      </c>
      <c r="D881" s="25" t="inlineStr">
        <is>
          <t>JUMBO</t>
        </is>
      </c>
      <c r="E881" s="25" t="inlineStr">
        <is>
          <t>NBL-DSL</t>
        </is>
      </c>
      <c r="F881" s="79" t="inlineStr">
        <is>
          <t>40T</t>
        </is>
      </c>
      <c r="G881" s="204" t="inlineStr">
        <is>
          <t>Lebruni</t>
        </is>
      </c>
      <c r="H881" s="204" t="inlineStr">
        <is>
          <t>Ibadan</t>
        </is>
      </c>
      <c r="I881" t="inlineStr">
        <is>
          <t>Ilorin</t>
        </is>
      </c>
      <c r="J881" t="inlineStr">
        <is>
          <t>Kwara</t>
        </is>
      </c>
      <c r="K881" s="246" t="n">
        <v>210</v>
      </c>
      <c r="L881" s="236">
        <f>K881*2</f>
        <v/>
      </c>
      <c r="M881" s="220">
        <f>ROUNDDOWN(L881*0.7,)</f>
        <v/>
      </c>
      <c r="N881" s="194" t="n">
        <v>10080</v>
      </c>
      <c r="O881" s="189" t="n">
        <v>1320000</v>
      </c>
    </row>
    <row r="882">
      <c r="A882" s="25" t="inlineStr">
        <is>
          <t>AFEEZ AJIBADE/Ebenezer</t>
        </is>
      </c>
      <c r="B882" s="25">
        <f>CONCATENATE(E882,"-",F882,"-",D882)</f>
        <v/>
      </c>
      <c r="C882" s="25">
        <f>CONCATENATE(G882,"-",F882,"-",D882)</f>
        <v/>
      </c>
      <c r="D882" s="25" t="inlineStr">
        <is>
          <t>JUMBO</t>
        </is>
      </c>
      <c r="E882" s="25" t="inlineStr">
        <is>
          <t>NBL-DSL</t>
        </is>
      </c>
      <c r="F882" s="79" t="inlineStr">
        <is>
          <t>40T</t>
        </is>
      </c>
      <c r="G882" s="204" t="inlineStr">
        <is>
          <t>Lebruni</t>
        </is>
      </c>
      <c r="H882" s="204" t="inlineStr">
        <is>
          <t>Ibadan</t>
        </is>
      </c>
      <c r="I882" t="inlineStr">
        <is>
          <t>Agbor</t>
        </is>
      </c>
      <c r="J882" t="inlineStr">
        <is>
          <t>Delta</t>
        </is>
      </c>
      <c r="K882" s="246" t="n">
        <v>350</v>
      </c>
      <c r="L882" s="236">
        <f>K882*2</f>
        <v/>
      </c>
      <c r="M882" s="220">
        <f>ROUNDDOWN(L882*0.7,)</f>
        <v/>
      </c>
      <c r="N882" s="194" t="n">
        <v>16800</v>
      </c>
      <c r="O882" s="189" t="n">
        <v>2380000</v>
      </c>
    </row>
    <row r="883">
      <c r="A883" s="25" t="inlineStr">
        <is>
          <t>AFEEZ AJIBADE/Ebenezer</t>
        </is>
      </c>
      <c r="B883" s="25">
        <f>CONCATENATE(E883,"-",F883,"-",D883)</f>
        <v/>
      </c>
      <c r="C883" s="25">
        <f>CONCATENATE(G883,"-",F883,"-",D883)</f>
        <v/>
      </c>
      <c r="D883" s="25" t="inlineStr">
        <is>
          <t>JUMBO</t>
        </is>
      </c>
      <c r="E883" s="25" t="inlineStr">
        <is>
          <t>NBL-DSL</t>
        </is>
      </c>
      <c r="F883" s="79" t="inlineStr">
        <is>
          <t>40T</t>
        </is>
      </c>
      <c r="G883" s="204" t="inlineStr">
        <is>
          <t>Lebruni</t>
        </is>
      </c>
      <c r="H883" s="204" t="inlineStr">
        <is>
          <t>Ibadan</t>
        </is>
      </c>
      <c r="I883" t="inlineStr">
        <is>
          <t>Awka</t>
        </is>
      </c>
      <c r="J883" t="inlineStr">
        <is>
          <t>Anambra</t>
        </is>
      </c>
      <c r="K883" t="n">
        <v>465</v>
      </c>
      <c r="L883" s="236">
        <f>K883*2</f>
        <v/>
      </c>
      <c r="M883" s="220">
        <f>ROUNDDOWN(L883*0.7,)</f>
        <v/>
      </c>
      <c r="N883" s="194" t="n">
        <v>22320</v>
      </c>
      <c r="O883" s="189" t="n">
        <v>2600000</v>
      </c>
    </row>
    <row r="884">
      <c r="A884" s="25" t="inlineStr">
        <is>
          <t>AFEEZ AJIBADE/Ebenezer</t>
        </is>
      </c>
      <c r="B884" s="25">
        <f>CONCATENATE(E884,"-",F884,"-",D884)</f>
        <v/>
      </c>
      <c r="C884" s="25">
        <f>CONCATENATE(G884,"-",F884,"-",D884)</f>
        <v/>
      </c>
      <c r="D884" s="25" t="inlineStr">
        <is>
          <t>JUMBO</t>
        </is>
      </c>
      <c r="E884" s="25" t="inlineStr">
        <is>
          <t>NBL-DSL</t>
        </is>
      </c>
      <c r="F884" s="79" t="inlineStr">
        <is>
          <t>40T</t>
        </is>
      </c>
      <c r="G884" s="204" t="inlineStr">
        <is>
          <t>Lebruni</t>
        </is>
      </c>
      <c r="H884" s="204" t="inlineStr">
        <is>
          <t>Ibadan</t>
        </is>
      </c>
      <c r="I884" t="inlineStr">
        <is>
          <t>Calabar</t>
        </is>
      </c>
      <c r="J884" t="inlineStr">
        <is>
          <t>Cross River</t>
        </is>
      </c>
      <c r="K884" t="n">
        <v>717.5</v>
      </c>
      <c r="L884" s="236">
        <f>K884*2</f>
        <v/>
      </c>
      <c r="M884" s="220">
        <f>ROUNDDOWN(L884*0.7,)</f>
        <v/>
      </c>
      <c r="N884" s="194" t="n">
        <v>34440</v>
      </c>
      <c r="O884" s="189" t="n">
        <v>3800000</v>
      </c>
    </row>
    <row r="885">
      <c r="A885" s="25" t="inlineStr">
        <is>
          <t>AFEEZ AJIBADE/Ebenezer</t>
        </is>
      </c>
      <c r="B885" s="25">
        <f>CONCATENATE(E885,"-",F885,"-",D885)</f>
        <v/>
      </c>
      <c r="C885" s="25">
        <f>CONCATENATE(G885,"-",F885,"-",D885)</f>
        <v/>
      </c>
      <c r="D885" s="25" t="inlineStr">
        <is>
          <t>JUMBO</t>
        </is>
      </c>
      <c r="E885" s="25" t="inlineStr">
        <is>
          <t>NBL-DSL</t>
        </is>
      </c>
      <c r="F885" s="79" t="inlineStr">
        <is>
          <t>40T</t>
        </is>
      </c>
      <c r="G885" s="204" t="inlineStr">
        <is>
          <t>Lebruni</t>
        </is>
      </c>
      <c r="H885" s="204" t="inlineStr">
        <is>
          <t>Ibadan</t>
        </is>
      </c>
      <c r="I885" t="inlineStr">
        <is>
          <t>Enugu</t>
        </is>
      </c>
      <c r="J885" t="inlineStr">
        <is>
          <t>Enugu</t>
        </is>
      </c>
      <c r="K885" t="n">
        <v>527.5</v>
      </c>
      <c r="L885" s="236">
        <f>K885*2</f>
        <v/>
      </c>
      <c r="M885" s="220">
        <f>ROUNDDOWN(L885*0.7,)</f>
        <v/>
      </c>
      <c r="N885" s="194" t="n">
        <v>25320</v>
      </c>
      <c r="O885" s="189" t="n">
        <v>2970000</v>
      </c>
    </row>
    <row r="886">
      <c r="A886" s="25" t="inlineStr">
        <is>
          <t>AFEEZ AJIBADE/Ebenezer</t>
        </is>
      </c>
      <c r="B886" s="25">
        <f>CONCATENATE(E886,"-",F886,"-",D886)</f>
        <v/>
      </c>
      <c r="C886" s="25">
        <f>CONCATENATE(G886,"-",F886,"-",D886)</f>
        <v/>
      </c>
      <c r="D886" s="25" t="inlineStr">
        <is>
          <t>JUMBO</t>
        </is>
      </c>
      <c r="E886" s="25" t="inlineStr">
        <is>
          <t>NBL-DSL</t>
        </is>
      </c>
      <c r="F886" s="79" t="inlineStr">
        <is>
          <t>40T</t>
        </is>
      </c>
      <c r="G886" s="204" t="inlineStr">
        <is>
          <t>Lebruni</t>
        </is>
      </c>
      <c r="H886" s="204" t="inlineStr">
        <is>
          <t>Ibadan</t>
        </is>
      </c>
      <c r="I886" t="inlineStr">
        <is>
          <t>Gboko</t>
        </is>
      </c>
      <c r="J886" t="inlineStr">
        <is>
          <t>Benue</t>
        </is>
      </c>
      <c r="K886" t="n">
        <v>700</v>
      </c>
      <c r="L886" s="236">
        <f>K886*2</f>
        <v/>
      </c>
      <c r="M886" s="220">
        <f>ROUNDDOWN(L886*0.7,)</f>
        <v/>
      </c>
      <c r="N886" s="194" t="n">
        <v>33600</v>
      </c>
      <c r="O886" s="189" t="n">
        <v>3470000</v>
      </c>
    </row>
    <row r="887">
      <c r="A887" s="25" t="inlineStr">
        <is>
          <t>AFEEZ AJIBADE/Ebenezer</t>
        </is>
      </c>
      <c r="B887" s="25">
        <f>CONCATENATE(E887,"-",F887,"-",D887)</f>
        <v/>
      </c>
      <c r="C887" s="25">
        <f>CONCATENATE(G887,"-",F887,"-",D887)</f>
        <v/>
      </c>
      <c r="D887" s="25" t="inlineStr">
        <is>
          <t>JUMBO</t>
        </is>
      </c>
      <c r="E887" s="25" t="inlineStr">
        <is>
          <t>NBL-DSL</t>
        </is>
      </c>
      <c r="F887" s="79" t="inlineStr">
        <is>
          <t>40T</t>
        </is>
      </c>
      <c r="G887" s="204" t="inlineStr">
        <is>
          <t>Lebruni</t>
        </is>
      </c>
      <c r="H887" s="204" t="inlineStr">
        <is>
          <t>Ibadan</t>
        </is>
      </c>
      <c r="I887" t="inlineStr">
        <is>
          <t>Ibadan (Toll Gate)</t>
        </is>
      </c>
      <c r="J887" t="inlineStr">
        <is>
          <t>Oyo</t>
        </is>
      </c>
      <c r="K887" t="n">
        <v>42.5</v>
      </c>
      <c r="L887" s="236">
        <f>K887*2</f>
        <v/>
      </c>
      <c r="M887" s="220">
        <f>ROUNDDOWN(L887*0.7,)</f>
        <v/>
      </c>
      <c r="N887" s="194" t="n">
        <v>2040</v>
      </c>
      <c r="O887" s="189" t="n">
        <v>660000</v>
      </c>
    </row>
    <row r="888">
      <c r="A888" s="25" t="inlineStr">
        <is>
          <t>AFEEZ AJIBADE/Ebenezer</t>
        </is>
      </c>
      <c r="B888" s="25">
        <f>CONCATENATE(E888,"-",F888,"-",D888)</f>
        <v/>
      </c>
      <c r="C888" s="25">
        <f>CONCATENATE(G888,"-",F888,"-",D888)</f>
        <v/>
      </c>
      <c r="D888" s="25" t="inlineStr">
        <is>
          <t>JUMBO</t>
        </is>
      </c>
      <c r="E888" s="25" t="inlineStr">
        <is>
          <t>NBL-DSL</t>
        </is>
      </c>
      <c r="F888" s="79" t="inlineStr">
        <is>
          <t>40T</t>
        </is>
      </c>
      <c r="G888" s="204" t="inlineStr">
        <is>
          <t>Lebruni</t>
        </is>
      </c>
      <c r="H888" s="204" t="inlineStr">
        <is>
          <t>Ibadan</t>
        </is>
      </c>
      <c r="I888" t="inlineStr">
        <is>
          <t>Ibadan (Town)</t>
        </is>
      </c>
      <c r="J888" t="inlineStr">
        <is>
          <t>Oyo</t>
        </is>
      </c>
      <c r="K888" t="n">
        <v>42.5</v>
      </c>
      <c r="L888" s="236">
        <f>K888*2</f>
        <v/>
      </c>
      <c r="M888" s="220">
        <f>ROUNDDOWN(L888*0.7,)</f>
        <v/>
      </c>
      <c r="N888" s="194" t="n">
        <v>2040</v>
      </c>
      <c r="O888" s="189" t="n">
        <v>660000</v>
      </c>
    </row>
    <row r="889">
      <c r="A889" s="25" t="inlineStr">
        <is>
          <t>AFEEZ AJIBADE/Ebenezer</t>
        </is>
      </c>
      <c r="B889" s="25">
        <f>CONCATENATE(E889,"-",F889,"-",D889)</f>
        <v/>
      </c>
      <c r="C889" s="25">
        <f>CONCATENATE(G889,"-",F889,"-",D889)</f>
        <v/>
      </c>
      <c r="D889" s="25" t="inlineStr">
        <is>
          <t>JUMBO</t>
        </is>
      </c>
      <c r="E889" s="25" t="inlineStr">
        <is>
          <t>NBL-DSL</t>
        </is>
      </c>
      <c r="F889" s="79" t="inlineStr">
        <is>
          <t>40T</t>
        </is>
      </c>
      <c r="G889" s="204" t="inlineStr">
        <is>
          <t>Lebruni</t>
        </is>
      </c>
      <c r="H889" s="204" t="inlineStr">
        <is>
          <t>Ibadan</t>
        </is>
      </c>
      <c r="I889" t="inlineStr">
        <is>
          <t>Ogbomoso</t>
        </is>
      </c>
      <c r="J889" t="inlineStr">
        <is>
          <t>Oyo</t>
        </is>
      </c>
      <c r="K889" t="n">
        <v>145</v>
      </c>
      <c r="L889" s="236">
        <f>K889*2</f>
        <v/>
      </c>
      <c r="M889" s="220">
        <f>ROUNDDOWN(L889*0.7,)</f>
        <v/>
      </c>
      <c r="N889" s="194" t="n">
        <v>6960</v>
      </c>
      <c r="O889" s="189" t="n">
        <v>830000</v>
      </c>
    </row>
    <row r="890">
      <c r="A890" s="25" t="inlineStr">
        <is>
          <t>AFEEZ AJIBADE/Ebenezer</t>
        </is>
      </c>
      <c r="B890" s="25">
        <f>CONCATENATE(E890,"-",F890,"-",D890)</f>
        <v/>
      </c>
      <c r="C890" s="25">
        <f>CONCATENATE(G890,"-",F890,"-",D890)</f>
        <v/>
      </c>
      <c r="D890" s="25" t="inlineStr">
        <is>
          <t>JUMBO</t>
        </is>
      </c>
      <c r="E890" s="25" t="inlineStr">
        <is>
          <t>NBL-DSL</t>
        </is>
      </c>
      <c r="F890" s="79" t="inlineStr">
        <is>
          <t>40T</t>
        </is>
      </c>
      <c r="G890" s="204" t="inlineStr">
        <is>
          <t>Lebruni</t>
        </is>
      </c>
      <c r="H890" s="204" t="inlineStr">
        <is>
          <t>Ibadan</t>
        </is>
      </c>
      <c r="I890" t="inlineStr">
        <is>
          <t>Jos</t>
        </is>
      </c>
      <c r="J890" t="inlineStr">
        <is>
          <t>Plateau</t>
        </is>
      </c>
      <c r="K890" t="n">
        <v>945</v>
      </c>
      <c r="L890" s="236">
        <f>K890*2</f>
        <v/>
      </c>
      <c r="M890" s="220">
        <f>ROUNDDOWN(L890*0.7,)</f>
        <v/>
      </c>
      <c r="N890" s="194" t="n">
        <v>45360</v>
      </c>
      <c r="O890" s="189" t="n">
        <v>4630000</v>
      </c>
    </row>
    <row r="891">
      <c r="A891" s="25" t="inlineStr">
        <is>
          <t>AFEEZ AJIBADE/Ebenezer</t>
        </is>
      </c>
      <c r="B891" s="25">
        <f>CONCATENATE(E891,"-",F891,"-",D891)</f>
        <v/>
      </c>
      <c r="C891" s="25">
        <f>CONCATENATE(G891,"-",F891,"-",D891)</f>
        <v/>
      </c>
      <c r="D891" s="25" t="inlineStr">
        <is>
          <t>JUMBO</t>
        </is>
      </c>
      <c r="E891" s="25" t="inlineStr">
        <is>
          <t>NBL-DSL</t>
        </is>
      </c>
      <c r="F891" s="79" t="inlineStr">
        <is>
          <t>40T</t>
        </is>
      </c>
      <c r="G891" s="204" t="inlineStr">
        <is>
          <t>Lebruni</t>
        </is>
      </c>
      <c r="H891" s="204" t="inlineStr">
        <is>
          <t>Ibadan</t>
        </is>
      </c>
      <c r="I891" t="inlineStr">
        <is>
          <t>Kaduna</t>
        </is>
      </c>
      <c r="J891" t="inlineStr">
        <is>
          <t>Kaduna</t>
        </is>
      </c>
      <c r="K891" t="n">
        <v>710</v>
      </c>
      <c r="L891" s="236">
        <f>K891*2</f>
        <v/>
      </c>
      <c r="M891" s="220">
        <f>ROUNDDOWN(L891*0.7,)</f>
        <v/>
      </c>
      <c r="N891" s="194" t="n">
        <v>34080</v>
      </c>
      <c r="O891" s="189" t="n">
        <v>4210000</v>
      </c>
    </row>
    <row r="892">
      <c r="A892" s="25" t="inlineStr">
        <is>
          <t>AFEEZ AJIBADE/Ebenezer</t>
        </is>
      </c>
      <c r="B892" s="25">
        <f>CONCATENATE(E892,"-",F892,"-",D892)</f>
        <v/>
      </c>
      <c r="C892" s="25">
        <f>CONCATENATE(G892,"-",F892,"-",D892)</f>
        <v/>
      </c>
      <c r="D892" s="25" t="inlineStr">
        <is>
          <t>JUMBO</t>
        </is>
      </c>
      <c r="E892" s="25" t="inlineStr">
        <is>
          <t>NBL-DSL</t>
        </is>
      </c>
      <c r="F892" s="79" t="inlineStr">
        <is>
          <t>40T</t>
        </is>
      </c>
      <c r="G892" s="204" t="inlineStr">
        <is>
          <t>Lebruni</t>
        </is>
      </c>
      <c r="H892" s="204" t="inlineStr">
        <is>
          <t>Ibadan</t>
        </is>
      </c>
      <c r="I892" t="inlineStr">
        <is>
          <t>Ikeja</t>
        </is>
      </c>
      <c r="J892" t="inlineStr">
        <is>
          <t>Lagos</t>
        </is>
      </c>
      <c r="K892" t="n">
        <v>110</v>
      </c>
      <c r="L892" s="236">
        <f>K892*2</f>
        <v/>
      </c>
      <c r="M892" s="220">
        <f>ROUNDDOWN(L892*0.7,)</f>
        <v/>
      </c>
      <c r="N892" s="194" t="n">
        <v>5280</v>
      </c>
      <c r="O892" s="189" t="n">
        <v>830000</v>
      </c>
    </row>
    <row r="893">
      <c r="A893" s="25" t="inlineStr">
        <is>
          <t>AFEEZ AJIBADE/Ebenezer</t>
        </is>
      </c>
      <c r="B893" s="25">
        <f>CONCATENATE(E893,"-",F893,"-",D893)</f>
        <v/>
      </c>
      <c r="C893" s="25">
        <f>CONCATENATE(G893,"-",F893,"-",D893)</f>
        <v/>
      </c>
      <c r="D893" s="25" t="inlineStr">
        <is>
          <t>JUMBO</t>
        </is>
      </c>
      <c r="E893" s="25" t="inlineStr">
        <is>
          <t>NBL-DSL</t>
        </is>
      </c>
      <c r="F893" s="79" t="inlineStr">
        <is>
          <t>40T</t>
        </is>
      </c>
      <c r="G893" s="204" t="inlineStr">
        <is>
          <t>Lebruni</t>
        </is>
      </c>
      <c r="H893" s="204" t="inlineStr">
        <is>
          <t>Ibadan</t>
        </is>
      </c>
      <c r="I893" t="inlineStr">
        <is>
          <t>Lagos Island</t>
        </is>
      </c>
      <c r="J893" t="inlineStr">
        <is>
          <t>Lagos</t>
        </is>
      </c>
      <c r="K893" t="n">
        <v>130</v>
      </c>
      <c r="L893" s="236">
        <f>K893*2</f>
        <v/>
      </c>
      <c r="M893" s="220">
        <f>ROUNDDOWN(L893*0.7,)</f>
        <v/>
      </c>
      <c r="N893" s="194" t="n">
        <v>6240</v>
      </c>
      <c r="O893" s="189" t="n">
        <v>870000</v>
      </c>
    </row>
    <row r="894">
      <c r="A894" s="25" t="inlineStr">
        <is>
          <t>AFEEZ AJIBADE/Ebenezer</t>
        </is>
      </c>
      <c r="B894" s="25">
        <f>CONCATENATE(E894,"-",F894,"-",D894)</f>
        <v/>
      </c>
      <c r="C894" s="25">
        <f>CONCATENATE(G894,"-",F894,"-",D894)</f>
        <v/>
      </c>
      <c r="D894" s="25" t="inlineStr">
        <is>
          <t>JUMBO</t>
        </is>
      </c>
      <c r="E894" s="25" t="inlineStr">
        <is>
          <t>NBL-DSL</t>
        </is>
      </c>
      <c r="F894" s="79" t="inlineStr">
        <is>
          <t>40T</t>
        </is>
      </c>
      <c r="G894" s="204" t="inlineStr">
        <is>
          <t>Lebruni</t>
        </is>
      </c>
      <c r="H894" s="204" t="inlineStr">
        <is>
          <t>Ibadan</t>
        </is>
      </c>
      <c r="I894" t="inlineStr">
        <is>
          <t>Lekki</t>
        </is>
      </c>
      <c r="J894" t="inlineStr">
        <is>
          <t>Lagos</t>
        </is>
      </c>
      <c r="K894" t="n">
        <v>140</v>
      </c>
      <c r="L894" s="236">
        <f>K894*2</f>
        <v/>
      </c>
      <c r="M894" s="220">
        <f>ROUNDDOWN(L894*0.7,)</f>
        <v/>
      </c>
      <c r="N894" s="194" t="n">
        <v>6720</v>
      </c>
      <c r="O894" s="189" t="n">
        <v>1200000</v>
      </c>
    </row>
    <row r="895">
      <c r="A895" s="25" t="inlineStr">
        <is>
          <t>AFEEZ AJIBADE/Ebenezer</t>
        </is>
      </c>
      <c r="B895" s="25">
        <f>CONCATENATE(E895,"-",F895,"-",D895)</f>
        <v/>
      </c>
      <c r="C895" s="25">
        <f>CONCATENATE(G895,"-",F895,"-",D895)</f>
        <v/>
      </c>
      <c r="D895" s="25" t="inlineStr">
        <is>
          <t>JUMBO</t>
        </is>
      </c>
      <c r="E895" s="25" t="inlineStr">
        <is>
          <t>NBL-DSL</t>
        </is>
      </c>
      <c r="F895" s="79" t="inlineStr">
        <is>
          <t>40T</t>
        </is>
      </c>
      <c r="G895" s="204" t="inlineStr">
        <is>
          <t>Lebruni</t>
        </is>
      </c>
      <c r="H895" s="204" t="inlineStr">
        <is>
          <t>Ibadan</t>
        </is>
      </c>
      <c r="I895" t="inlineStr">
        <is>
          <t>Minna</t>
        </is>
      </c>
      <c r="J895" t="inlineStr">
        <is>
          <t>Niger</t>
        </is>
      </c>
      <c r="K895" t="n">
        <v>532.5</v>
      </c>
      <c r="L895" s="236">
        <f>K895*2</f>
        <v/>
      </c>
      <c r="M895" s="220">
        <f>ROUNDDOWN(L895*0.7,)</f>
        <v/>
      </c>
      <c r="N895" s="194" t="n">
        <v>25560</v>
      </c>
      <c r="O895" s="189" t="n">
        <v>3550000</v>
      </c>
    </row>
    <row r="896">
      <c r="A896" s="25" t="inlineStr">
        <is>
          <t>AFEEZ AJIBADE/Ebenezer</t>
        </is>
      </c>
      <c r="B896" s="25">
        <f>CONCATENATE(E896,"-",F896,"-",D896)</f>
        <v/>
      </c>
      <c r="C896" s="25">
        <f>CONCATENATE(G896,"-",F896,"-",D896)</f>
        <v/>
      </c>
      <c r="D896" s="25" t="inlineStr">
        <is>
          <t>JUMBO</t>
        </is>
      </c>
      <c r="E896" s="25" t="inlineStr">
        <is>
          <t>NBL-DSL</t>
        </is>
      </c>
      <c r="F896" s="79" t="inlineStr">
        <is>
          <t>40T</t>
        </is>
      </c>
      <c r="G896" s="204" t="inlineStr">
        <is>
          <t>Lebruni</t>
        </is>
      </c>
      <c r="H896" s="204" t="inlineStr">
        <is>
          <t>Ibadan</t>
        </is>
      </c>
      <c r="I896" t="inlineStr">
        <is>
          <t>Onitsha</t>
        </is>
      </c>
      <c r="J896" t="inlineStr">
        <is>
          <t>Anambra</t>
        </is>
      </c>
      <c r="K896" t="n">
        <v>430</v>
      </c>
      <c r="L896" s="236">
        <f>K896*2</f>
        <v/>
      </c>
      <c r="M896" s="220">
        <f>ROUNDDOWN(L896*0.7,)</f>
        <v/>
      </c>
      <c r="N896" s="194" t="n">
        <v>20640</v>
      </c>
      <c r="O896" s="189" t="n">
        <v>2570000</v>
      </c>
    </row>
    <row r="897">
      <c r="A897" s="25" t="inlineStr">
        <is>
          <t>AFEEZ AJIBADE/Ebenezer</t>
        </is>
      </c>
      <c r="B897" s="25">
        <f>CONCATENATE(E897,"-",F897,"-",D897)</f>
        <v/>
      </c>
      <c r="C897" s="25">
        <f>CONCATENATE(G897,"-",F897,"-",D897)</f>
        <v/>
      </c>
      <c r="D897" s="25" t="inlineStr">
        <is>
          <t>JUMBO</t>
        </is>
      </c>
      <c r="E897" s="25" t="inlineStr">
        <is>
          <t>NBL-DSL</t>
        </is>
      </c>
      <c r="F897" s="79" t="inlineStr">
        <is>
          <t>40T</t>
        </is>
      </c>
      <c r="G897" s="204" t="inlineStr">
        <is>
          <t>Lebruni</t>
        </is>
      </c>
      <c r="H897" s="204" t="inlineStr">
        <is>
          <t>Ibadan</t>
        </is>
      </c>
      <c r="I897" t="inlineStr">
        <is>
          <t>Asaba</t>
        </is>
      </c>
      <c r="J897" t="inlineStr">
        <is>
          <t>Delta</t>
        </is>
      </c>
      <c r="K897" t="n">
        <v>410</v>
      </c>
      <c r="L897" s="236">
        <f>K897*2</f>
        <v/>
      </c>
      <c r="M897" s="220">
        <f>ROUNDDOWN(L897*0.7,)</f>
        <v/>
      </c>
      <c r="N897" s="194" t="n">
        <v>19680</v>
      </c>
      <c r="O897" s="189" t="n">
        <v>2510000</v>
      </c>
    </row>
    <row r="898">
      <c r="A898" s="25" t="inlineStr">
        <is>
          <t>AFEEZ AJIBADE/Ebenezer</t>
        </is>
      </c>
      <c r="B898" s="25">
        <f>CONCATENATE(E898,"-",F898,"-",D898)</f>
        <v/>
      </c>
      <c r="C898" s="25">
        <f>CONCATENATE(G898,"-",F898,"-",D898)</f>
        <v/>
      </c>
      <c r="D898" s="25" t="inlineStr">
        <is>
          <t>JUMBO</t>
        </is>
      </c>
      <c r="E898" s="25" t="inlineStr">
        <is>
          <t>NBL-DSL</t>
        </is>
      </c>
      <c r="F898" s="79" t="inlineStr">
        <is>
          <t>40T</t>
        </is>
      </c>
      <c r="G898" s="204" t="inlineStr">
        <is>
          <t>Lebruni</t>
        </is>
      </c>
      <c r="H898" s="204" t="inlineStr">
        <is>
          <t>Ibadan</t>
        </is>
      </c>
      <c r="I898" t="inlineStr">
        <is>
          <t>Ondo</t>
        </is>
      </c>
      <c r="J898" t="inlineStr">
        <is>
          <t>Ondo</t>
        </is>
      </c>
      <c r="K898" t="n">
        <v>175.5</v>
      </c>
      <c r="L898" s="236">
        <f>K898*2</f>
        <v/>
      </c>
      <c r="M898" s="220">
        <f>ROUNDDOWN(L898*0.7,)</f>
        <v/>
      </c>
      <c r="N898" s="194" t="n">
        <v>8424</v>
      </c>
      <c r="O898" s="189" t="n">
        <v>1820000</v>
      </c>
    </row>
    <row r="899">
      <c r="A899" s="25" t="inlineStr">
        <is>
          <t>AFEEZ AJIBADE/Ebenezer</t>
        </is>
      </c>
      <c r="B899" s="25">
        <f>CONCATENATE(E899,"-",F899,"-",D899)</f>
        <v/>
      </c>
      <c r="C899" s="25">
        <f>CONCATENATE(G899,"-",F899,"-",D899)</f>
        <v/>
      </c>
      <c r="D899" s="25" t="inlineStr">
        <is>
          <t>JUMBO</t>
        </is>
      </c>
      <c r="E899" s="25" t="inlineStr">
        <is>
          <t>NBL-DSL</t>
        </is>
      </c>
      <c r="F899" s="79" t="inlineStr">
        <is>
          <t>40T</t>
        </is>
      </c>
      <c r="G899" s="204" t="inlineStr">
        <is>
          <t>Lebruni</t>
        </is>
      </c>
      <c r="H899" s="204" t="inlineStr">
        <is>
          <t>Ibadan</t>
        </is>
      </c>
      <c r="I899" t="inlineStr">
        <is>
          <t>Umuahia</t>
        </is>
      </c>
      <c r="J899" t="inlineStr">
        <is>
          <t>Abia</t>
        </is>
      </c>
      <c r="K899" t="n">
        <v>565</v>
      </c>
      <c r="L899" s="236">
        <f>K899*2</f>
        <v/>
      </c>
      <c r="M899" s="220">
        <f>ROUNDDOWN(L899*0.7,)</f>
        <v/>
      </c>
      <c r="N899" s="194" t="n">
        <v>27120</v>
      </c>
      <c r="O899" s="189" t="n">
        <v>2890000</v>
      </c>
    </row>
    <row r="900">
      <c r="A900" s="25" t="inlineStr">
        <is>
          <t>AFEEZ AJIBADE/Ebenezer</t>
        </is>
      </c>
      <c r="B900" s="25">
        <f>CONCATENATE(E900,"-",F900,"-",D900)</f>
        <v/>
      </c>
      <c r="C900" s="25">
        <f>CONCATENATE(G900,"-",F900,"-",D900)</f>
        <v/>
      </c>
      <c r="D900" s="25" t="inlineStr">
        <is>
          <t>JUMBO</t>
        </is>
      </c>
      <c r="E900" s="25" t="inlineStr">
        <is>
          <t>NBL-DSL</t>
        </is>
      </c>
      <c r="F900" s="79" t="inlineStr">
        <is>
          <t>40T</t>
        </is>
      </c>
      <c r="G900" s="204" t="inlineStr">
        <is>
          <t>Lebruni</t>
        </is>
      </c>
      <c r="H900" s="204" t="inlineStr">
        <is>
          <t>Ibadan</t>
        </is>
      </c>
      <c r="I900" t="inlineStr">
        <is>
          <t>Osogbo</t>
        </is>
      </c>
      <c r="J900" t="inlineStr">
        <is>
          <t>Osun</t>
        </is>
      </c>
      <c r="K900" t="n">
        <v>135</v>
      </c>
      <c r="L900" s="236">
        <f>K900*2</f>
        <v/>
      </c>
      <c r="M900" s="220">
        <f>ROUNDDOWN(L900*0.7,)</f>
        <v/>
      </c>
      <c r="N900" s="194" t="n">
        <v>6480</v>
      </c>
      <c r="O900" s="189" t="n">
        <v>1570000</v>
      </c>
    </row>
    <row r="901">
      <c r="A901" s="25" t="inlineStr">
        <is>
          <t>AFEEZ AJIBADE/Ebenezer</t>
        </is>
      </c>
      <c r="B901" s="25">
        <f>CONCATENATE(E901,"-",F901,"-",D901)</f>
        <v/>
      </c>
      <c r="C901" s="25">
        <f>CONCATENATE(G901,"-",F901,"-",D901)</f>
        <v/>
      </c>
      <c r="D901" s="25" t="inlineStr">
        <is>
          <t>JUMBO</t>
        </is>
      </c>
      <c r="E901" s="25" t="inlineStr">
        <is>
          <t>NBL-DSL</t>
        </is>
      </c>
      <c r="F901" s="79" t="inlineStr">
        <is>
          <t>45T</t>
        </is>
      </c>
      <c r="G901" s="204" t="inlineStr">
        <is>
          <t>Lebruni</t>
        </is>
      </c>
      <c r="H901" s="204" t="inlineStr">
        <is>
          <t>Ibadan</t>
        </is>
      </c>
      <c r="I901" t="inlineStr">
        <is>
          <t>Kano</t>
        </is>
      </c>
      <c r="J901" t="inlineStr">
        <is>
          <t>Kano</t>
        </is>
      </c>
      <c r="K901" s="246" t="n">
        <v>933.5</v>
      </c>
      <c r="L901" s="236">
        <f>K901*2</f>
        <v/>
      </c>
      <c r="M901" s="220">
        <f>ROUNDDOWN(L901*0.7,)</f>
        <v/>
      </c>
      <c r="N901" s="194" t="n">
        <v>44808</v>
      </c>
      <c r="O901" s="249" t="n">
        <v>4690400</v>
      </c>
    </row>
    <row r="902">
      <c r="A902" s="25" t="inlineStr">
        <is>
          <t>AFEEZ AJIBADE/Ebenezer</t>
        </is>
      </c>
      <c r="B902" s="25">
        <f>CONCATENATE(E902,"-",F902,"-",D902)</f>
        <v/>
      </c>
      <c r="C902" s="25">
        <f>CONCATENATE(G902,"-",F902,"-",D902)</f>
        <v/>
      </c>
      <c r="D902" s="25" t="inlineStr">
        <is>
          <t>JUMBO</t>
        </is>
      </c>
      <c r="E902" s="25" t="inlineStr">
        <is>
          <t>NBL-DSL</t>
        </is>
      </c>
      <c r="F902" s="79" t="inlineStr">
        <is>
          <t>45T</t>
        </is>
      </c>
      <c r="G902" s="204" t="inlineStr">
        <is>
          <t>Lebruni</t>
        </is>
      </c>
      <c r="H902" s="204" t="inlineStr">
        <is>
          <t>Ibadan</t>
        </is>
      </c>
      <c r="I902" s="161" t="inlineStr">
        <is>
          <t>Abuja</t>
        </is>
      </c>
      <c r="J902" s="161" t="inlineStr">
        <is>
          <t>FCT</t>
        </is>
      </c>
      <c r="K902" s="246" t="n">
        <v>622.5</v>
      </c>
      <c r="L902" s="236">
        <f>K902*2</f>
        <v/>
      </c>
      <c r="M902" s="220">
        <f>ROUNDDOWN(L902*0.7,)</f>
        <v/>
      </c>
      <c r="N902" s="194" t="n">
        <v>29880</v>
      </c>
      <c r="O902" s="249" t="n">
        <v>3788400</v>
      </c>
    </row>
    <row r="903">
      <c r="A903" s="25" t="inlineStr">
        <is>
          <t>AFEEZ AJIBADE/Ebenezer</t>
        </is>
      </c>
      <c r="B903" s="25">
        <f>CONCATENATE(E903,"-",F903,"-",D903)</f>
        <v/>
      </c>
      <c r="C903" s="25">
        <f>CONCATENATE(G903,"-",F903,"-",D903)</f>
        <v/>
      </c>
      <c r="D903" s="25" t="inlineStr">
        <is>
          <t>JUMBO</t>
        </is>
      </c>
      <c r="E903" s="25" t="inlineStr">
        <is>
          <t>NBL-DSL</t>
        </is>
      </c>
      <c r="F903" s="79" t="inlineStr">
        <is>
          <t>45T</t>
        </is>
      </c>
      <c r="G903" s="204" t="inlineStr">
        <is>
          <t>Lebruni</t>
        </is>
      </c>
      <c r="H903" s="204" t="inlineStr">
        <is>
          <t>Ibadan</t>
        </is>
      </c>
      <c r="I903" s="161" t="inlineStr">
        <is>
          <t>Benin City</t>
        </is>
      </c>
      <c r="J903" s="161" t="inlineStr">
        <is>
          <t>Edo</t>
        </is>
      </c>
      <c r="K903" s="246" t="n">
        <v>286.5</v>
      </c>
      <c r="L903" s="236">
        <f>K903*2</f>
        <v/>
      </c>
      <c r="M903" s="220">
        <f>ROUNDDOWN(L903*0.7,)</f>
        <v/>
      </c>
      <c r="N903" s="194" t="n">
        <v>13752</v>
      </c>
      <c r="O903" s="249" t="n">
        <v>2074600</v>
      </c>
    </row>
    <row r="904">
      <c r="A904" s="25" t="inlineStr">
        <is>
          <t>AFEEZ AJIBADE/Ebenezer</t>
        </is>
      </c>
      <c r="B904" s="25">
        <f>CONCATENATE(E904,"-",F904,"-",D904)</f>
        <v/>
      </c>
      <c r="C904" s="25">
        <f>CONCATENATE(G904,"-",F904,"-",D904)</f>
        <v/>
      </c>
      <c r="D904" s="25" t="inlineStr">
        <is>
          <t>JUMBO</t>
        </is>
      </c>
      <c r="E904" s="25" t="inlineStr">
        <is>
          <t>NBL-DSL</t>
        </is>
      </c>
      <c r="F904" s="79" t="inlineStr">
        <is>
          <t>45T</t>
        </is>
      </c>
      <c r="G904" s="204" t="inlineStr">
        <is>
          <t>Lebruni</t>
        </is>
      </c>
      <c r="H904" s="204" t="inlineStr">
        <is>
          <t>Ibadan</t>
        </is>
      </c>
      <c r="I904" s="161" t="inlineStr">
        <is>
          <t>Port Harcourt</t>
        </is>
      </c>
      <c r="J904" s="161" t="inlineStr">
        <is>
          <t>Rivers</t>
        </is>
      </c>
      <c r="K904" s="246" t="n">
        <v>605</v>
      </c>
      <c r="L904" s="236">
        <f>K904*2</f>
        <v/>
      </c>
      <c r="M904" s="220">
        <f>ROUNDDOWN(L904*0.7,)</f>
        <v/>
      </c>
      <c r="N904" s="194" t="n">
        <v>29040</v>
      </c>
      <c r="O904" s="249" t="n">
        <v>3427600</v>
      </c>
    </row>
    <row r="905">
      <c r="A905" s="25" t="inlineStr">
        <is>
          <t>AFEEZ AJIBADE/Ebenezer</t>
        </is>
      </c>
      <c r="B905" s="25">
        <f>CONCATENATE(E905,"-",F905,"-",D905)</f>
        <v/>
      </c>
      <c r="C905" s="25">
        <f>CONCATENATE(G905,"-",F905,"-",D905)</f>
        <v/>
      </c>
      <c r="D905" s="25" t="inlineStr">
        <is>
          <t>JUMBO</t>
        </is>
      </c>
      <c r="E905" s="25" t="inlineStr">
        <is>
          <t>NBL-DSL</t>
        </is>
      </c>
      <c r="F905" s="79" t="inlineStr">
        <is>
          <t>45T</t>
        </is>
      </c>
      <c r="G905" s="204" t="inlineStr">
        <is>
          <t>Lebruni</t>
        </is>
      </c>
      <c r="H905" s="204" t="inlineStr">
        <is>
          <t>Ibadan</t>
        </is>
      </c>
      <c r="I905" s="161" t="inlineStr">
        <is>
          <t>Warri</t>
        </is>
      </c>
      <c r="J905" s="161" t="inlineStr">
        <is>
          <t>Delta</t>
        </is>
      </c>
      <c r="K905" s="246" t="n">
        <v>393</v>
      </c>
      <c r="L905" s="236">
        <f>K905*2</f>
        <v/>
      </c>
      <c r="M905" s="220">
        <f>ROUNDDOWN(L905*0.7,)</f>
        <v/>
      </c>
      <c r="N905" s="194" t="n">
        <v>18864</v>
      </c>
      <c r="O905" s="249" t="n">
        <v>2525600</v>
      </c>
    </row>
    <row r="906">
      <c r="A906" s="25" t="inlineStr">
        <is>
          <t>AFEEZ AJIBADE/Ebenezer</t>
        </is>
      </c>
      <c r="B906" s="25">
        <f>CONCATENATE(E906,"-",F906,"-",D906)</f>
        <v/>
      </c>
      <c r="C906" s="25">
        <f>CONCATENATE(G906,"-",F906,"-",D906)</f>
        <v/>
      </c>
      <c r="D906" s="25" t="inlineStr">
        <is>
          <t>JUMBO</t>
        </is>
      </c>
      <c r="E906" s="25" t="inlineStr">
        <is>
          <t>NBL-DSL</t>
        </is>
      </c>
      <c r="F906" s="79" t="inlineStr">
        <is>
          <t>45T</t>
        </is>
      </c>
      <c r="G906" s="204" t="inlineStr">
        <is>
          <t>Lebruni</t>
        </is>
      </c>
      <c r="H906" s="204" t="inlineStr">
        <is>
          <t>Ibadan</t>
        </is>
      </c>
      <c r="I906" s="161" t="inlineStr">
        <is>
          <t>Imo</t>
        </is>
      </c>
      <c r="J906" s="161" t="inlineStr">
        <is>
          <t>Imo</t>
        </is>
      </c>
      <c r="K906" s="246" t="n">
        <v>505.5</v>
      </c>
      <c r="L906" s="236">
        <f>K906*2</f>
        <v/>
      </c>
      <c r="M906" s="220">
        <f>ROUNDDOWN(L906*0.7,)</f>
        <v/>
      </c>
      <c r="N906" s="194" t="n">
        <v>24264</v>
      </c>
      <c r="O906" s="249" t="n">
        <v>2841300</v>
      </c>
    </row>
    <row r="907">
      <c r="A907" s="25" t="inlineStr">
        <is>
          <t>AFEEZ AJIBADE/Ebenezer</t>
        </is>
      </c>
      <c r="B907" s="25">
        <f>CONCATENATE(E907,"-",F907,"-",D907)</f>
        <v/>
      </c>
      <c r="C907" s="25">
        <f>CONCATENATE(G907,"-",F907,"-",D907)</f>
        <v/>
      </c>
      <c r="D907" s="25" t="inlineStr">
        <is>
          <t>JUMBO</t>
        </is>
      </c>
      <c r="E907" s="25" t="inlineStr">
        <is>
          <t>NBL-DSL</t>
        </is>
      </c>
      <c r="F907" s="79" t="inlineStr">
        <is>
          <t>45T</t>
        </is>
      </c>
      <c r="G907" s="204" t="inlineStr">
        <is>
          <t>Lebruni</t>
        </is>
      </c>
      <c r="H907" s="204" t="inlineStr">
        <is>
          <t>Ibadan</t>
        </is>
      </c>
      <c r="I907" s="161" t="inlineStr">
        <is>
          <t>Aba</t>
        </is>
      </c>
      <c r="J907" s="161" t="inlineStr">
        <is>
          <t>Abia</t>
        </is>
      </c>
      <c r="K907" s="246" t="n">
        <v>575</v>
      </c>
      <c r="L907" s="236">
        <f>K907*2</f>
        <v/>
      </c>
      <c r="M907" s="220">
        <f>ROUNDDOWN(L907*0.7,)</f>
        <v/>
      </c>
      <c r="N907" s="194" t="n">
        <v>27600</v>
      </c>
      <c r="O907" s="249" t="n">
        <v>3319360</v>
      </c>
    </row>
    <row r="908">
      <c r="A908" s="25" t="inlineStr">
        <is>
          <t>AFEEZ AJIBADE/Ebenezer</t>
        </is>
      </c>
      <c r="B908" s="25">
        <f>CONCATENATE(E908,"-",F908,"-",D908)</f>
        <v/>
      </c>
      <c r="C908" s="25">
        <f>CONCATENATE(G908,"-",F908,"-",D908)</f>
        <v/>
      </c>
      <c r="D908" s="25" t="inlineStr">
        <is>
          <t>JUMBO</t>
        </is>
      </c>
      <c r="E908" s="25" t="inlineStr">
        <is>
          <t>NBL-DSL</t>
        </is>
      </c>
      <c r="F908" s="79" t="inlineStr">
        <is>
          <t>45T</t>
        </is>
      </c>
      <c r="G908" s="204" t="inlineStr">
        <is>
          <t>Lebruni</t>
        </is>
      </c>
      <c r="H908" s="204" t="inlineStr">
        <is>
          <t>Ibadan</t>
        </is>
      </c>
      <c r="I908" s="161" t="inlineStr">
        <is>
          <t>Akure</t>
        </is>
      </c>
      <c r="J908" s="161" t="inlineStr">
        <is>
          <t>Ondo</t>
        </is>
      </c>
      <c r="K908" s="246" t="n">
        <v>240</v>
      </c>
      <c r="L908" s="236">
        <f>K908*2</f>
        <v/>
      </c>
      <c r="M908" s="220">
        <f>ROUNDDOWN(L908*0.7,)</f>
        <v/>
      </c>
      <c r="N908" s="194" t="n">
        <v>11520</v>
      </c>
      <c r="O908" s="249" t="n">
        <v>1984400</v>
      </c>
    </row>
    <row r="909">
      <c r="A909" s="25" t="inlineStr">
        <is>
          <t>AFEEZ AJIBADE/Ebenezer</t>
        </is>
      </c>
      <c r="B909" s="25">
        <f>CONCATENATE(E909,"-",F909,"-",D909)</f>
        <v/>
      </c>
      <c r="C909" s="25">
        <f>CONCATENATE(G909,"-",F909,"-",D909)</f>
        <v/>
      </c>
      <c r="D909" s="25" t="inlineStr">
        <is>
          <t>JUMBO</t>
        </is>
      </c>
      <c r="E909" s="25" t="inlineStr">
        <is>
          <t>NBL-DSL</t>
        </is>
      </c>
      <c r="F909" s="79" t="inlineStr">
        <is>
          <t>45T</t>
        </is>
      </c>
      <c r="G909" s="204" t="inlineStr">
        <is>
          <t>Lebruni</t>
        </is>
      </c>
      <c r="H909" s="204" t="inlineStr">
        <is>
          <t>Ibadan</t>
        </is>
      </c>
      <c r="I909" s="161" t="inlineStr">
        <is>
          <t>Ikom</t>
        </is>
      </c>
      <c r="J909" s="161" t="inlineStr">
        <is>
          <t>Cross River</t>
        </is>
      </c>
      <c r="K909" s="246" t="n">
        <v>750</v>
      </c>
      <c r="L909" s="236">
        <f>K909*2</f>
        <v/>
      </c>
      <c r="M909" s="220">
        <f>ROUNDDOWN(L909*0.7,)</f>
        <v/>
      </c>
      <c r="N909" s="194" t="n">
        <v>36000</v>
      </c>
      <c r="O909" s="249" t="n">
        <v>4149200</v>
      </c>
    </row>
    <row r="910">
      <c r="A910" s="25" t="inlineStr">
        <is>
          <t>AFEEZ AJIBADE/Ebenezer</t>
        </is>
      </c>
      <c r="B910" s="25">
        <f>CONCATENATE(E910,"-",F910,"-",D910)</f>
        <v/>
      </c>
      <c r="C910" s="25">
        <f>CONCATENATE(G910,"-",F910,"-",D910)</f>
        <v/>
      </c>
      <c r="D910" s="25" t="inlineStr">
        <is>
          <t>JUMBO</t>
        </is>
      </c>
      <c r="E910" s="25" t="inlineStr">
        <is>
          <t>NBL-DSL</t>
        </is>
      </c>
      <c r="F910" s="79" t="inlineStr">
        <is>
          <t>45T</t>
        </is>
      </c>
      <c r="G910" s="204" t="inlineStr">
        <is>
          <t>Lebruni</t>
        </is>
      </c>
      <c r="H910" s="204" t="inlineStr">
        <is>
          <t>Ibadan</t>
        </is>
      </c>
      <c r="I910" t="inlineStr">
        <is>
          <t>Abeokuta</t>
        </is>
      </c>
      <c r="J910" t="inlineStr">
        <is>
          <t>Ogun</t>
        </is>
      </c>
      <c r="K910" s="246" t="n">
        <v>104.5</v>
      </c>
      <c r="L910" s="236">
        <f>K910*2</f>
        <v/>
      </c>
      <c r="M910" s="220">
        <f>ROUNDDOWN(L910*0.7,)</f>
        <v/>
      </c>
      <c r="N910" s="194" t="n">
        <v>5016</v>
      </c>
      <c r="O910" s="249" t="n">
        <v>1082400</v>
      </c>
    </row>
    <row r="911">
      <c r="A911" s="25" t="inlineStr">
        <is>
          <t>AFEEZ AJIBADE/Ebenezer</t>
        </is>
      </c>
      <c r="B911" s="25">
        <f>CONCATENATE(E911,"-",F911,"-",D911)</f>
        <v/>
      </c>
      <c r="C911" s="25">
        <f>CONCATENATE(G911,"-",F911,"-",D911)</f>
        <v/>
      </c>
      <c r="D911" s="25" t="inlineStr">
        <is>
          <t>JUMBO</t>
        </is>
      </c>
      <c r="E911" s="25" t="inlineStr">
        <is>
          <t>NBL-DSL</t>
        </is>
      </c>
      <c r="F911" s="79" t="inlineStr">
        <is>
          <t>45T</t>
        </is>
      </c>
      <c r="G911" s="204" t="inlineStr">
        <is>
          <t>Lebruni</t>
        </is>
      </c>
      <c r="H911" s="204" t="inlineStr">
        <is>
          <t>Ibadan</t>
        </is>
      </c>
      <c r="I911" t="inlineStr">
        <is>
          <t>Idiroko</t>
        </is>
      </c>
      <c r="J911" t="inlineStr">
        <is>
          <t>Ogun</t>
        </is>
      </c>
      <c r="K911" s="246" t="n">
        <v>170</v>
      </c>
      <c r="L911" s="236">
        <f>K911*2</f>
        <v/>
      </c>
      <c r="M911" s="220">
        <f>ROUNDDOWN(L911*0.7,)</f>
        <v/>
      </c>
      <c r="N911" s="194" t="n">
        <v>8160</v>
      </c>
      <c r="O911" s="249" t="n">
        <v>1350000</v>
      </c>
    </row>
    <row r="912">
      <c r="A912" s="25" t="inlineStr">
        <is>
          <t>AFEEZ AJIBADE/Ebenezer</t>
        </is>
      </c>
      <c r="B912" s="25">
        <f>CONCATENATE(E912,"-",F912,"-",D912)</f>
        <v/>
      </c>
      <c r="C912" s="25">
        <f>CONCATENATE(G912,"-",F912,"-",D912)</f>
        <v/>
      </c>
      <c r="D912" s="25" t="inlineStr">
        <is>
          <t>JUMBO</t>
        </is>
      </c>
      <c r="E912" s="25" t="inlineStr">
        <is>
          <t>NBL-DSL</t>
        </is>
      </c>
      <c r="F912" s="79" t="inlineStr">
        <is>
          <t>45T</t>
        </is>
      </c>
      <c r="G912" s="204" t="inlineStr">
        <is>
          <t>Lebruni</t>
        </is>
      </c>
      <c r="H912" s="204" t="inlineStr">
        <is>
          <t>Ibadan</t>
        </is>
      </c>
      <c r="I912" t="inlineStr">
        <is>
          <t>Ibafo</t>
        </is>
      </c>
      <c r="J912" t="inlineStr">
        <is>
          <t>Ogun</t>
        </is>
      </c>
      <c r="K912" s="246" t="n">
        <v>0</v>
      </c>
      <c r="L912" s="236" t="n">
        <v>95</v>
      </c>
      <c r="M912" s="220">
        <f>ROUNDDOWN(L912*0.7,)</f>
        <v/>
      </c>
      <c r="N912" s="194" t="n">
        <v>2280</v>
      </c>
      <c r="O912" s="249" t="n">
        <v>721600</v>
      </c>
    </row>
    <row r="913">
      <c r="A913" s="25" t="inlineStr">
        <is>
          <t>AFEEZ AJIBADE/Ebenezer</t>
        </is>
      </c>
      <c r="B913" s="25">
        <f>CONCATENATE(E913,"-",F913,"-",D913)</f>
        <v/>
      </c>
      <c r="C913" s="25">
        <f>CONCATENATE(G913,"-",F913,"-",D913)</f>
        <v/>
      </c>
      <c r="D913" s="25" t="inlineStr">
        <is>
          <t>JUMBO</t>
        </is>
      </c>
      <c r="E913" s="25" t="inlineStr">
        <is>
          <t>NBL-DSL</t>
        </is>
      </c>
      <c r="F913" s="79" t="inlineStr">
        <is>
          <t>45T</t>
        </is>
      </c>
      <c r="G913" s="204" t="inlineStr">
        <is>
          <t>Lebruni</t>
        </is>
      </c>
      <c r="H913" s="204" t="inlineStr">
        <is>
          <t>Ibadan</t>
        </is>
      </c>
      <c r="I913" t="inlineStr">
        <is>
          <t>Sango-Ota</t>
        </is>
      </c>
      <c r="J913" t="inlineStr">
        <is>
          <t>Ogun</t>
        </is>
      </c>
      <c r="K913" s="246" t="n">
        <v>127.5</v>
      </c>
      <c r="L913" s="236">
        <f>K913*2</f>
        <v/>
      </c>
      <c r="M913" s="220">
        <f>ROUNDDOWN(L913*0.7,)</f>
        <v/>
      </c>
      <c r="N913" s="194" t="n">
        <v>6120</v>
      </c>
      <c r="O913" s="249" t="n">
        <v>1172600</v>
      </c>
    </row>
    <row r="914">
      <c r="A914" s="25" t="inlineStr">
        <is>
          <t>AFEEZ AJIBADE/Ebenezer</t>
        </is>
      </c>
      <c r="B914" s="25">
        <f>CONCATENATE(E914,"-",F914,"-",D914)</f>
        <v/>
      </c>
      <c r="C914" s="25">
        <f>CONCATENATE(G914,"-",F914,"-",D914)</f>
        <v/>
      </c>
      <c r="D914" s="25" t="inlineStr">
        <is>
          <t>JUMBO</t>
        </is>
      </c>
      <c r="E914" s="25" t="inlineStr">
        <is>
          <t>NBL-DSL</t>
        </is>
      </c>
      <c r="F914" s="79" t="inlineStr">
        <is>
          <t>45T</t>
        </is>
      </c>
      <c r="G914" s="204" t="inlineStr">
        <is>
          <t>Lebruni</t>
        </is>
      </c>
      <c r="H914" s="204" t="inlineStr">
        <is>
          <t>Ibadan</t>
        </is>
      </c>
      <c r="I914" t="inlineStr">
        <is>
          <t>Sagamu</t>
        </is>
      </c>
      <c r="J914" t="inlineStr">
        <is>
          <t>Ogun</t>
        </is>
      </c>
      <c r="K914" s="246" t="n">
        <v>75</v>
      </c>
      <c r="L914" s="236">
        <f>K914*2</f>
        <v/>
      </c>
      <c r="M914" s="220">
        <f>ROUNDDOWN(L914*0.7,)</f>
        <v/>
      </c>
      <c r="N914" s="194" t="n">
        <v>3600</v>
      </c>
      <c r="O914" s="249" t="n">
        <v>721600</v>
      </c>
    </row>
    <row r="915">
      <c r="A915" s="25" t="inlineStr">
        <is>
          <t>AFEEZ AJIBADE/Ebenezer</t>
        </is>
      </c>
      <c r="B915" s="25">
        <f>CONCATENATE(E915,"-",F915,"-",D915)</f>
        <v/>
      </c>
      <c r="C915" s="25">
        <f>CONCATENATE(G915,"-",F915,"-",D915)</f>
        <v/>
      </c>
      <c r="D915" s="25" t="inlineStr">
        <is>
          <t>JUMBO</t>
        </is>
      </c>
      <c r="E915" s="25" t="inlineStr">
        <is>
          <t>NBL-DSL</t>
        </is>
      </c>
      <c r="F915" s="79" t="inlineStr">
        <is>
          <t>45T</t>
        </is>
      </c>
      <c r="G915" s="204" t="inlineStr">
        <is>
          <t>Lebruni</t>
        </is>
      </c>
      <c r="H915" s="204" t="inlineStr">
        <is>
          <t>Ibadan</t>
        </is>
      </c>
      <c r="I915" t="inlineStr">
        <is>
          <t>Ilorin</t>
        </is>
      </c>
      <c r="J915" t="inlineStr">
        <is>
          <t>Kwara</t>
        </is>
      </c>
      <c r="K915" s="246" t="n">
        <v>210</v>
      </c>
      <c r="L915" s="236">
        <f>K915*2</f>
        <v/>
      </c>
      <c r="M915" s="220">
        <f>ROUNDDOWN(L915*0.7,)</f>
        <v/>
      </c>
      <c r="N915" s="194" t="n">
        <v>10080</v>
      </c>
      <c r="O915" s="249" t="n">
        <v>1443200</v>
      </c>
    </row>
    <row r="916">
      <c r="A916" s="25" t="inlineStr">
        <is>
          <t>AFEEZ AJIBADE/Ebenezer</t>
        </is>
      </c>
      <c r="B916" s="25">
        <f>CONCATENATE(E916,"-",F916,"-",D916)</f>
        <v/>
      </c>
      <c r="C916" s="25">
        <f>CONCATENATE(G916,"-",F916,"-",D916)</f>
        <v/>
      </c>
      <c r="D916" s="25" t="inlineStr">
        <is>
          <t>JUMBO</t>
        </is>
      </c>
      <c r="E916" s="25" t="inlineStr">
        <is>
          <t>NBL-DSL</t>
        </is>
      </c>
      <c r="F916" s="79" t="inlineStr">
        <is>
          <t>45T</t>
        </is>
      </c>
      <c r="G916" s="204" t="inlineStr">
        <is>
          <t>Lebruni</t>
        </is>
      </c>
      <c r="H916" s="204" t="inlineStr">
        <is>
          <t>Ibadan</t>
        </is>
      </c>
      <c r="I916" t="inlineStr">
        <is>
          <t>Agbor</t>
        </is>
      </c>
      <c r="J916" t="inlineStr">
        <is>
          <t>Delta</t>
        </is>
      </c>
      <c r="K916" s="246" t="n">
        <v>350</v>
      </c>
      <c r="L916" s="236">
        <f>K916*2</f>
        <v/>
      </c>
      <c r="M916" s="220">
        <f>ROUNDDOWN(L916*0.7,)</f>
        <v/>
      </c>
      <c r="N916" s="194" t="n">
        <v>16800</v>
      </c>
      <c r="O916" s="249" t="n">
        <v>2593250</v>
      </c>
    </row>
    <row r="917">
      <c r="A917" s="25" t="inlineStr">
        <is>
          <t>AFEEZ AJIBADE/Ebenezer</t>
        </is>
      </c>
      <c r="B917" s="25">
        <f>CONCATENATE(E917,"-",F917,"-",D917)</f>
        <v/>
      </c>
      <c r="C917" s="25">
        <f>CONCATENATE(G917,"-",F917,"-",D917)</f>
        <v/>
      </c>
      <c r="D917" s="25" t="inlineStr">
        <is>
          <t>JUMBO</t>
        </is>
      </c>
      <c r="E917" s="25" t="inlineStr">
        <is>
          <t>NBL-DSL</t>
        </is>
      </c>
      <c r="F917" s="79" t="inlineStr">
        <is>
          <t>45T</t>
        </is>
      </c>
      <c r="G917" s="204" t="inlineStr">
        <is>
          <t>Lebruni</t>
        </is>
      </c>
      <c r="H917" s="204" t="inlineStr">
        <is>
          <t>Ibadan</t>
        </is>
      </c>
      <c r="I917" t="inlineStr">
        <is>
          <t>Awka</t>
        </is>
      </c>
      <c r="J917" t="inlineStr">
        <is>
          <t>Anambra</t>
        </is>
      </c>
      <c r="K917" t="n">
        <v>465</v>
      </c>
      <c r="L917" s="236">
        <f>K917*2</f>
        <v/>
      </c>
      <c r="M917" s="220">
        <f>ROUNDDOWN(L917*0.7,)</f>
        <v/>
      </c>
      <c r="N917" s="194" t="n">
        <v>22320</v>
      </c>
      <c r="O917" s="249" t="n">
        <v>2841300</v>
      </c>
    </row>
    <row r="918">
      <c r="A918" s="25" t="inlineStr">
        <is>
          <t>AFEEZ AJIBADE/Ebenezer</t>
        </is>
      </c>
      <c r="B918" s="25">
        <f>CONCATENATE(E918,"-",F918,"-",D918)</f>
        <v/>
      </c>
      <c r="C918" s="25">
        <f>CONCATENATE(G918,"-",F918,"-",D918)</f>
        <v/>
      </c>
      <c r="D918" s="25" t="inlineStr">
        <is>
          <t>JUMBO</t>
        </is>
      </c>
      <c r="E918" s="25" t="inlineStr">
        <is>
          <t>NBL-DSL</t>
        </is>
      </c>
      <c r="F918" s="79" t="inlineStr">
        <is>
          <t>45T</t>
        </is>
      </c>
      <c r="G918" s="204" t="inlineStr">
        <is>
          <t>Lebruni</t>
        </is>
      </c>
      <c r="H918" s="204" t="inlineStr">
        <is>
          <t>Ibadan</t>
        </is>
      </c>
      <c r="I918" t="inlineStr">
        <is>
          <t>Calabar</t>
        </is>
      </c>
      <c r="J918" t="inlineStr">
        <is>
          <t>Cross River</t>
        </is>
      </c>
      <c r="K918" t="n">
        <v>717.5</v>
      </c>
      <c r="L918" s="236">
        <f>K918*2</f>
        <v/>
      </c>
      <c r="M918" s="220">
        <f>ROUNDDOWN(L918*0.7,)</f>
        <v/>
      </c>
      <c r="N918" s="194" t="n">
        <v>34440</v>
      </c>
      <c r="O918" s="249" t="n">
        <v>4149200</v>
      </c>
    </row>
    <row r="919">
      <c r="A919" s="25" t="inlineStr">
        <is>
          <t>AFEEZ AJIBADE/Ebenezer</t>
        </is>
      </c>
      <c r="B919" s="25">
        <f>CONCATENATE(E919,"-",F919,"-",D919)</f>
        <v/>
      </c>
      <c r="C919" s="25">
        <f>CONCATENATE(G919,"-",F919,"-",D919)</f>
        <v/>
      </c>
      <c r="D919" s="25" t="inlineStr">
        <is>
          <t>JUMBO</t>
        </is>
      </c>
      <c r="E919" s="25" t="inlineStr">
        <is>
          <t>NBL-DSL</t>
        </is>
      </c>
      <c r="F919" s="79" t="inlineStr">
        <is>
          <t>45T</t>
        </is>
      </c>
      <c r="G919" s="204" t="inlineStr">
        <is>
          <t>Lebruni</t>
        </is>
      </c>
      <c r="H919" s="204" t="inlineStr">
        <is>
          <t>Ibadan</t>
        </is>
      </c>
      <c r="I919" t="inlineStr">
        <is>
          <t>Enugu</t>
        </is>
      </c>
      <c r="J919" t="inlineStr">
        <is>
          <t>Enugu</t>
        </is>
      </c>
      <c r="K919" t="n">
        <v>527.5</v>
      </c>
      <c r="L919" s="236">
        <f>K919*2</f>
        <v/>
      </c>
      <c r="M919" s="220">
        <f>ROUNDDOWN(L919*0.7,)</f>
        <v/>
      </c>
      <c r="N919" s="194" t="n">
        <v>25320</v>
      </c>
      <c r="O919" s="249" t="n">
        <v>3247200</v>
      </c>
    </row>
    <row r="920">
      <c r="A920" s="25" t="inlineStr">
        <is>
          <t>AFEEZ AJIBADE/Ebenezer</t>
        </is>
      </c>
      <c r="B920" s="25">
        <f>CONCATENATE(E920,"-",F920,"-",D920)</f>
        <v/>
      </c>
      <c r="C920" s="25">
        <f>CONCATENATE(G920,"-",F920,"-",D920)</f>
        <v/>
      </c>
      <c r="D920" s="25" t="inlineStr">
        <is>
          <t>JUMBO</t>
        </is>
      </c>
      <c r="E920" s="25" t="inlineStr">
        <is>
          <t>NBL-DSL</t>
        </is>
      </c>
      <c r="F920" s="79" t="inlineStr">
        <is>
          <t>45T</t>
        </is>
      </c>
      <c r="G920" s="204" t="inlineStr">
        <is>
          <t>Lebruni</t>
        </is>
      </c>
      <c r="H920" s="204" t="inlineStr">
        <is>
          <t>Ibadan</t>
        </is>
      </c>
      <c r="I920" t="inlineStr">
        <is>
          <t>Gboko</t>
        </is>
      </c>
      <c r="J920" t="inlineStr">
        <is>
          <t>Benue</t>
        </is>
      </c>
      <c r="K920" t="n">
        <v>700</v>
      </c>
      <c r="L920" s="236">
        <f>K920*2</f>
        <v/>
      </c>
      <c r="M920" s="220">
        <f>ROUNDDOWN(L920*0.7,)</f>
        <v/>
      </c>
      <c r="N920" s="194" t="n">
        <v>33600</v>
      </c>
      <c r="O920" s="249" t="n">
        <v>3788400</v>
      </c>
    </row>
    <row r="921">
      <c r="A921" s="25" t="inlineStr">
        <is>
          <t>AFEEZ AJIBADE/Ebenezer</t>
        </is>
      </c>
      <c r="B921" s="25">
        <f>CONCATENATE(E921,"-",F921,"-",D921)</f>
        <v/>
      </c>
      <c r="C921" s="25">
        <f>CONCATENATE(G921,"-",F921,"-",D921)</f>
        <v/>
      </c>
      <c r="D921" s="25" t="inlineStr">
        <is>
          <t>JUMBO</t>
        </is>
      </c>
      <c r="E921" s="25" t="inlineStr">
        <is>
          <t>NBL-DSL</t>
        </is>
      </c>
      <c r="F921" s="79" t="inlineStr">
        <is>
          <t>45T</t>
        </is>
      </c>
      <c r="G921" s="204" t="inlineStr">
        <is>
          <t>Lebruni</t>
        </is>
      </c>
      <c r="H921" s="204" t="inlineStr">
        <is>
          <t>Ibadan</t>
        </is>
      </c>
      <c r="I921" t="inlineStr">
        <is>
          <t>Ibadan (Toll Gate)</t>
        </is>
      </c>
      <c r="J921" t="inlineStr">
        <is>
          <t>Oyo</t>
        </is>
      </c>
      <c r="K921" t="n">
        <v>42.5</v>
      </c>
      <c r="L921" s="236">
        <f>K921*2</f>
        <v/>
      </c>
      <c r="M921" s="220">
        <f>ROUNDDOWN(L921*0.7,)</f>
        <v/>
      </c>
      <c r="N921" s="194" t="n">
        <v>2040</v>
      </c>
      <c r="O921" s="249" t="n">
        <v>721600</v>
      </c>
    </row>
    <row r="922">
      <c r="A922" s="25" t="inlineStr">
        <is>
          <t>AFEEZ AJIBADE/Ebenezer</t>
        </is>
      </c>
      <c r="B922" s="25">
        <f>CONCATENATE(E922,"-",F922,"-",D922)</f>
        <v/>
      </c>
      <c r="C922" s="25">
        <f>CONCATENATE(G922,"-",F922,"-",D922)</f>
        <v/>
      </c>
      <c r="D922" s="25" t="inlineStr">
        <is>
          <t>JUMBO</t>
        </is>
      </c>
      <c r="E922" s="25" t="inlineStr">
        <is>
          <t>NBL-DSL</t>
        </is>
      </c>
      <c r="F922" s="79" t="inlineStr">
        <is>
          <t>45T</t>
        </is>
      </c>
      <c r="G922" s="204" t="inlineStr">
        <is>
          <t>Lebruni</t>
        </is>
      </c>
      <c r="H922" s="204" t="inlineStr">
        <is>
          <t>Ibadan</t>
        </is>
      </c>
      <c r="I922" t="inlineStr">
        <is>
          <t>Ibadan (Town)</t>
        </is>
      </c>
      <c r="J922" t="inlineStr">
        <is>
          <t>Oyo</t>
        </is>
      </c>
      <c r="K922" t="n">
        <v>42.5</v>
      </c>
      <c r="L922" s="236">
        <f>K922*2</f>
        <v/>
      </c>
      <c r="M922" s="220">
        <f>ROUNDDOWN(L922*0.7,)</f>
        <v/>
      </c>
      <c r="N922" s="194" t="n">
        <v>2040</v>
      </c>
      <c r="O922" s="249" t="n">
        <v>721600</v>
      </c>
    </row>
    <row r="923">
      <c r="A923" s="25" t="inlineStr">
        <is>
          <t>AFEEZ AJIBADE/Ebenezer</t>
        </is>
      </c>
      <c r="B923" s="25">
        <f>CONCATENATE(E923,"-",F923,"-",D923)</f>
        <v/>
      </c>
      <c r="C923" s="25">
        <f>CONCATENATE(G923,"-",F923,"-",D923)</f>
        <v/>
      </c>
      <c r="D923" s="25" t="inlineStr">
        <is>
          <t>JUMBO</t>
        </is>
      </c>
      <c r="E923" s="25" t="inlineStr">
        <is>
          <t>NBL-DSL</t>
        </is>
      </c>
      <c r="F923" s="79" t="inlineStr">
        <is>
          <t>45T</t>
        </is>
      </c>
      <c r="G923" s="204" t="inlineStr">
        <is>
          <t>Lebruni</t>
        </is>
      </c>
      <c r="H923" s="204" t="inlineStr">
        <is>
          <t>Ibadan</t>
        </is>
      </c>
      <c r="I923" t="inlineStr">
        <is>
          <t>Ogbomoso</t>
        </is>
      </c>
      <c r="J923" t="inlineStr">
        <is>
          <t>Oyo</t>
        </is>
      </c>
      <c r="K923" t="n">
        <v>145</v>
      </c>
      <c r="L923" s="236">
        <f>K923*2</f>
        <v/>
      </c>
      <c r="M923" s="220">
        <f>ROUNDDOWN(L923*0.7,)</f>
        <v/>
      </c>
      <c r="N923" s="194" t="n">
        <v>6960</v>
      </c>
      <c r="O923" s="249" t="n">
        <v>902000</v>
      </c>
    </row>
    <row r="924">
      <c r="A924" s="25" t="inlineStr">
        <is>
          <t>AFEEZ AJIBADE/Ebenezer</t>
        </is>
      </c>
      <c r="B924" s="25">
        <f>CONCATENATE(E924,"-",F924,"-",D924)</f>
        <v/>
      </c>
      <c r="C924" s="25">
        <f>CONCATENATE(G924,"-",F924,"-",D924)</f>
        <v/>
      </c>
      <c r="D924" s="25" t="inlineStr">
        <is>
          <t>JUMBO</t>
        </is>
      </c>
      <c r="E924" s="25" t="inlineStr">
        <is>
          <t>NBL-DSL</t>
        </is>
      </c>
      <c r="F924" s="79" t="inlineStr">
        <is>
          <t>45T</t>
        </is>
      </c>
      <c r="G924" s="204" t="inlineStr">
        <is>
          <t>Lebruni</t>
        </is>
      </c>
      <c r="H924" s="204" t="inlineStr">
        <is>
          <t>Ibadan</t>
        </is>
      </c>
      <c r="I924" t="inlineStr">
        <is>
          <t>Jos</t>
        </is>
      </c>
      <c r="J924" t="inlineStr">
        <is>
          <t>Plateau</t>
        </is>
      </c>
      <c r="K924" t="n">
        <v>945</v>
      </c>
      <c r="L924" s="236">
        <f>K924*2</f>
        <v/>
      </c>
      <c r="M924" s="220">
        <f>ROUNDDOWN(L924*0.7,)</f>
        <v/>
      </c>
      <c r="N924" s="194" t="n">
        <v>45360</v>
      </c>
      <c r="O924" s="249" t="n">
        <v>5060220</v>
      </c>
    </row>
    <row r="925">
      <c r="A925" s="25" t="inlineStr">
        <is>
          <t>AFEEZ AJIBADE/Ebenezer</t>
        </is>
      </c>
      <c r="B925" s="25">
        <f>CONCATENATE(E925,"-",F925,"-",D925)</f>
        <v/>
      </c>
      <c r="C925" s="25">
        <f>CONCATENATE(G925,"-",F925,"-",D925)</f>
        <v/>
      </c>
      <c r="D925" s="25" t="inlineStr">
        <is>
          <t>JUMBO</t>
        </is>
      </c>
      <c r="E925" s="25" t="inlineStr">
        <is>
          <t>NBL-DSL</t>
        </is>
      </c>
      <c r="F925" s="79" t="inlineStr">
        <is>
          <t>45T</t>
        </is>
      </c>
      <c r="G925" s="204" t="inlineStr">
        <is>
          <t>Lebruni</t>
        </is>
      </c>
      <c r="H925" s="204" t="inlineStr">
        <is>
          <t>Ibadan</t>
        </is>
      </c>
      <c r="I925" t="inlineStr">
        <is>
          <t>Kaduna</t>
        </is>
      </c>
      <c r="J925" t="inlineStr">
        <is>
          <t>Kaduna</t>
        </is>
      </c>
      <c r="K925" t="n">
        <v>710</v>
      </c>
      <c r="L925" s="236">
        <f>K925*2</f>
        <v/>
      </c>
      <c r="M925" s="220">
        <f>ROUNDDOWN(L925*0.7,)</f>
        <v/>
      </c>
      <c r="N925" s="194" t="n">
        <v>34080</v>
      </c>
      <c r="O925" s="249" t="n">
        <v>4600200</v>
      </c>
    </row>
    <row r="926">
      <c r="A926" s="25" t="inlineStr">
        <is>
          <t>AFEEZ AJIBADE/Ebenezer</t>
        </is>
      </c>
      <c r="B926" s="25">
        <f>CONCATENATE(E926,"-",F926,"-",D926)</f>
        <v/>
      </c>
      <c r="C926" s="25">
        <f>CONCATENATE(G926,"-",F926,"-",D926)</f>
        <v/>
      </c>
      <c r="D926" s="25" t="inlineStr">
        <is>
          <t>JUMBO</t>
        </is>
      </c>
      <c r="E926" s="25" t="inlineStr">
        <is>
          <t>NBL-DSL</t>
        </is>
      </c>
      <c r="F926" s="79" t="inlineStr">
        <is>
          <t>45T</t>
        </is>
      </c>
      <c r="G926" s="204" t="inlineStr">
        <is>
          <t>Lebruni</t>
        </is>
      </c>
      <c r="H926" s="204" t="inlineStr">
        <is>
          <t>Ibadan</t>
        </is>
      </c>
      <c r="I926" t="inlineStr">
        <is>
          <t>Ikeja</t>
        </is>
      </c>
      <c r="J926" t="inlineStr">
        <is>
          <t>Lagos</t>
        </is>
      </c>
      <c r="K926" t="n">
        <v>110</v>
      </c>
      <c r="L926" s="236">
        <f>K926*2</f>
        <v/>
      </c>
      <c r="M926" s="220">
        <f>ROUNDDOWN(L926*0.7,)</f>
        <v/>
      </c>
      <c r="N926" s="194" t="n">
        <v>5280</v>
      </c>
      <c r="O926" s="249" t="n">
        <v>902000</v>
      </c>
    </row>
    <row r="927">
      <c r="A927" s="25" t="inlineStr">
        <is>
          <t>AFEEZ AJIBADE/Ebenezer</t>
        </is>
      </c>
      <c r="B927" s="25">
        <f>CONCATENATE(E927,"-",F927,"-",D927)</f>
        <v/>
      </c>
      <c r="C927" s="25">
        <f>CONCATENATE(G927,"-",F927,"-",D927)</f>
        <v/>
      </c>
      <c r="D927" s="25" t="inlineStr">
        <is>
          <t>JUMBO</t>
        </is>
      </c>
      <c r="E927" s="25" t="inlineStr">
        <is>
          <t>NBL-DSL</t>
        </is>
      </c>
      <c r="F927" s="79" t="inlineStr">
        <is>
          <t>45T</t>
        </is>
      </c>
      <c r="G927" s="204" t="inlineStr">
        <is>
          <t>Lebruni</t>
        </is>
      </c>
      <c r="H927" s="204" t="inlineStr">
        <is>
          <t>Ibadan</t>
        </is>
      </c>
      <c r="I927" t="inlineStr">
        <is>
          <t>Lagos Island</t>
        </is>
      </c>
      <c r="J927" t="inlineStr">
        <is>
          <t>Lagos</t>
        </is>
      </c>
      <c r="K927" t="n">
        <v>130</v>
      </c>
      <c r="L927" s="236">
        <f>K927*2</f>
        <v/>
      </c>
      <c r="M927" s="220">
        <f>ROUNDDOWN(L927*0.7,)</f>
        <v/>
      </c>
      <c r="N927" s="194" t="n">
        <v>6240</v>
      </c>
      <c r="O927" s="249" t="n">
        <v>947100</v>
      </c>
    </row>
    <row r="928">
      <c r="A928" s="25" t="inlineStr">
        <is>
          <t>AFEEZ AJIBADE/Ebenezer</t>
        </is>
      </c>
      <c r="B928" s="25">
        <f>CONCATENATE(E928,"-",F928,"-",D928)</f>
        <v/>
      </c>
      <c r="C928" s="25">
        <f>CONCATENATE(G928,"-",F928,"-",D928)</f>
        <v/>
      </c>
      <c r="D928" s="25" t="inlineStr">
        <is>
          <t>JUMBO</t>
        </is>
      </c>
      <c r="E928" s="25" t="inlineStr">
        <is>
          <t>NBL-DSL</t>
        </is>
      </c>
      <c r="F928" s="79" t="inlineStr">
        <is>
          <t>45T</t>
        </is>
      </c>
      <c r="G928" s="204" t="inlineStr">
        <is>
          <t>Lebruni</t>
        </is>
      </c>
      <c r="H928" s="204" t="inlineStr">
        <is>
          <t>Ibadan</t>
        </is>
      </c>
      <c r="I928" t="inlineStr">
        <is>
          <t>Lekki</t>
        </is>
      </c>
      <c r="J928" t="inlineStr">
        <is>
          <t>Lagos</t>
        </is>
      </c>
      <c r="K928" t="n">
        <v>140</v>
      </c>
      <c r="L928" s="236">
        <f>K928*2</f>
        <v/>
      </c>
      <c r="M928" s="220">
        <f>ROUNDDOWN(L928*0.7,)</f>
        <v/>
      </c>
      <c r="N928" s="194" t="n">
        <v>6720</v>
      </c>
      <c r="O928" s="249" t="n">
        <v>1307900</v>
      </c>
    </row>
    <row r="929">
      <c r="A929" s="25" t="inlineStr">
        <is>
          <t>AFEEZ AJIBADE/Ebenezer</t>
        </is>
      </c>
      <c r="B929" s="25">
        <f>CONCATENATE(E929,"-",F929,"-",D929)</f>
        <v/>
      </c>
      <c r="C929" s="25">
        <f>CONCATENATE(G929,"-",F929,"-",D929)</f>
        <v/>
      </c>
      <c r="D929" s="25" t="inlineStr">
        <is>
          <t>JUMBO</t>
        </is>
      </c>
      <c r="E929" s="25" t="inlineStr">
        <is>
          <t>NBL-DSL</t>
        </is>
      </c>
      <c r="F929" s="79" t="inlineStr">
        <is>
          <t>45T</t>
        </is>
      </c>
      <c r="G929" s="204" t="inlineStr">
        <is>
          <t>Lebruni</t>
        </is>
      </c>
      <c r="H929" s="204" t="inlineStr">
        <is>
          <t>Ibadan</t>
        </is>
      </c>
      <c r="I929" t="inlineStr">
        <is>
          <t>Minna</t>
        </is>
      </c>
      <c r="J929" t="inlineStr">
        <is>
          <t>Niger</t>
        </is>
      </c>
      <c r="K929" t="n">
        <v>532.5</v>
      </c>
      <c r="L929" s="236">
        <f>K929*2</f>
        <v/>
      </c>
      <c r="M929" s="220">
        <f>ROUNDDOWN(L929*0.7,)</f>
        <v/>
      </c>
      <c r="N929" s="194" t="n">
        <v>25560</v>
      </c>
      <c r="O929" s="249" t="n">
        <v>3878600</v>
      </c>
    </row>
    <row r="930">
      <c r="A930" s="25" t="inlineStr">
        <is>
          <t>AFEEZ AJIBADE/Ebenezer</t>
        </is>
      </c>
      <c r="B930" s="25">
        <f>CONCATENATE(E930,"-",F930,"-",D930)</f>
        <v/>
      </c>
      <c r="C930" s="25">
        <f>CONCATENATE(G930,"-",F930,"-",D930)</f>
        <v/>
      </c>
      <c r="D930" s="25" t="inlineStr">
        <is>
          <t>JUMBO</t>
        </is>
      </c>
      <c r="E930" s="25" t="inlineStr">
        <is>
          <t>NBL-DSL</t>
        </is>
      </c>
      <c r="F930" s="79" t="inlineStr">
        <is>
          <t>45T</t>
        </is>
      </c>
      <c r="G930" s="204" t="inlineStr">
        <is>
          <t>Lebruni</t>
        </is>
      </c>
      <c r="H930" s="204" t="inlineStr">
        <is>
          <t>Ibadan</t>
        </is>
      </c>
      <c r="I930" t="inlineStr">
        <is>
          <t>Onitsha</t>
        </is>
      </c>
      <c r="J930" t="inlineStr">
        <is>
          <t>Anambra</t>
        </is>
      </c>
      <c r="K930" t="n">
        <v>430</v>
      </c>
      <c r="L930" s="236">
        <f>K930*2</f>
        <v/>
      </c>
      <c r="M930" s="220">
        <f>ROUNDDOWN(L930*0.7,)</f>
        <v/>
      </c>
      <c r="N930" s="194" t="n">
        <v>20640</v>
      </c>
      <c r="O930" s="249" t="n">
        <v>2800710</v>
      </c>
    </row>
    <row r="931">
      <c r="A931" s="25" t="inlineStr">
        <is>
          <t>AFEEZ AJIBADE/Ebenezer</t>
        </is>
      </c>
      <c r="B931" s="25">
        <f>CONCATENATE(E931,"-",F931,"-",D931)</f>
        <v/>
      </c>
      <c r="C931" s="25">
        <f>CONCATENATE(G931,"-",F931,"-",D931)</f>
        <v/>
      </c>
      <c r="D931" s="25" t="inlineStr">
        <is>
          <t>JUMBO</t>
        </is>
      </c>
      <c r="E931" s="25" t="inlineStr">
        <is>
          <t>NBL-DSL</t>
        </is>
      </c>
      <c r="F931" s="79" t="inlineStr">
        <is>
          <t>45T</t>
        </is>
      </c>
      <c r="G931" s="204" t="inlineStr">
        <is>
          <t>Lebruni</t>
        </is>
      </c>
      <c r="H931" s="204" t="inlineStr">
        <is>
          <t>Ibadan</t>
        </is>
      </c>
      <c r="I931" t="inlineStr">
        <is>
          <t>Asaba</t>
        </is>
      </c>
      <c r="J931" t="inlineStr">
        <is>
          <t>Delta</t>
        </is>
      </c>
      <c r="K931" t="n">
        <v>410</v>
      </c>
      <c r="L931" s="236">
        <f>K931*2</f>
        <v/>
      </c>
      <c r="M931" s="220">
        <f>ROUNDDOWN(L931*0.7,)</f>
        <v/>
      </c>
      <c r="N931" s="194" t="n">
        <v>19680</v>
      </c>
      <c r="O931" s="249" t="n">
        <v>2738472</v>
      </c>
    </row>
    <row r="932">
      <c r="A932" s="25" t="inlineStr">
        <is>
          <t>AFEEZ AJIBADE/Ebenezer</t>
        </is>
      </c>
      <c r="B932" s="25">
        <f>CONCATENATE(E932,"-",F932,"-",D932)</f>
        <v/>
      </c>
      <c r="C932" s="25">
        <f>CONCATENATE(G932,"-",F932,"-",D932)</f>
        <v/>
      </c>
      <c r="D932" s="25" t="inlineStr">
        <is>
          <t>JUMBO</t>
        </is>
      </c>
      <c r="E932" s="25" t="inlineStr">
        <is>
          <t>NBL-DSL</t>
        </is>
      </c>
      <c r="F932" s="79" t="inlineStr">
        <is>
          <t>45T</t>
        </is>
      </c>
      <c r="G932" s="204" t="inlineStr">
        <is>
          <t>Lebruni</t>
        </is>
      </c>
      <c r="H932" s="204" t="inlineStr">
        <is>
          <t>Ibadan</t>
        </is>
      </c>
      <c r="I932" t="inlineStr">
        <is>
          <t>Ondo</t>
        </is>
      </c>
      <c r="J932" t="inlineStr">
        <is>
          <t>Ondo</t>
        </is>
      </c>
      <c r="K932" t="n">
        <v>175.5</v>
      </c>
      <c r="L932" s="236">
        <f>K932*2</f>
        <v/>
      </c>
      <c r="M932" s="220">
        <f>ROUNDDOWN(L932*0.7,)</f>
        <v/>
      </c>
      <c r="N932" s="194" t="n">
        <v>8424</v>
      </c>
      <c r="O932" s="249" t="n">
        <v>1984400</v>
      </c>
    </row>
    <row r="933">
      <c r="A933" s="25" t="inlineStr">
        <is>
          <t>AFEEZ AJIBADE/Ebenezer</t>
        </is>
      </c>
      <c r="B933" s="25">
        <f>CONCATENATE(E933,"-",F933,"-",D933)</f>
        <v/>
      </c>
      <c r="C933" s="25">
        <f>CONCATENATE(G933,"-",F933,"-",D933)</f>
        <v/>
      </c>
      <c r="D933" s="25" t="inlineStr">
        <is>
          <t>JUMBO</t>
        </is>
      </c>
      <c r="E933" s="25" t="inlineStr">
        <is>
          <t>NBL-DSL</t>
        </is>
      </c>
      <c r="F933" s="79" t="inlineStr">
        <is>
          <t>45T</t>
        </is>
      </c>
      <c r="G933" s="204" t="inlineStr">
        <is>
          <t>Lebruni</t>
        </is>
      </c>
      <c r="H933" s="204" t="inlineStr">
        <is>
          <t>Ibadan</t>
        </is>
      </c>
      <c r="I933" t="inlineStr">
        <is>
          <t>Umuahia</t>
        </is>
      </c>
      <c r="J933" t="inlineStr">
        <is>
          <t>Abia</t>
        </is>
      </c>
      <c r="K933" t="n">
        <v>565</v>
      </c>
      <c r="L933" s="236">
        <f>K933*2</f>
        <v/>
      </c>
      <c r="M933" s="220">
        <f>ROUNDDOWN(L933*0.7,)</f>
        <v/>
      </c>
      <c r="N933" s="194" t="n">
        <v>27120</v>
      </c>
      <c r="O933" s="249" t="n">
        <v>3157000</v>
      </c>
    </row>
    <row r="934">
      <c r="A934" s="25" t="inlineStr">
        <is>
          <t>AFEEZ AJIBADE/Ebenezer</t>
        </is>
      </c>
      <c r="B934" s="25">
        <f>CONCATENATE(E934,"-",F934,"-",D934)</f>
        <v/>
      </c>
      <c r="C934" s="25">
        <f>CONCATENATE(G934,"-",F934,"-",D934)</f>
        <v/>
      </c>
      <c r="D934" s="25" t="inlineStr">
        <is>
          <t>JUMBO</t>
        </is>
      </c>
      <c r="E934" s="25" t="inlineStr">
        <is>
          <t>NBL-DSL</t>
        </is>
      </c>
      <c r="F934" s="79" t="inlineStr">
        <is>
          <t>45T</t>
        </is>
      </c>
      <c r="G934" s="204" t="inlineStr">
        <is>
          <t>Lebruni</t>
        </is>
      </c>
      <c r="H934" s="204" t="inlineStr">
        <is>
          <t>Ibadan</t>
        </is>
      </c>
      <c r="I934" t="inlineStr">
        <is>
          <t>Osogbo</t>
        </is>
      </c>
      <c r="J934" t="inlineStr">
        <is>
          <t>Osun</t>
        </is>
      </c>
      <c r="K934" t="n">
        <v>135</v>
      </c>
      <c r="L934" s="236">
        <f>K934*2</f>
        <v/>
      </c>
      <c r="M934" s="220">
        <f>ROUNDDOWN(L934*0.7,)</f>
        <v/>
      </c>
      <c r="N934" s="194" t="n">
        <v>6480</v>
      </c>
      <c r="O934" s="249" t="n">
        <v>1713800</v>
      </c>
    </row>
  </sheetData>
  <autoFilter ref="A7:O934"/>
  <conditionalFormatting sqref="I114:I171 I173:I189">
    <cfRule type="duplicateValues" priority="9" dxfId="0"/>
  </conditionalFormatting>
  <conditionalFormatting sqref="I190">
    <cfRule type="duplicateValues" priority="7" dxfId="0"/>
  </conditionalFormatting>
  <conditionalFormatting sqref="I191">
    <cfRule type="duplicateValues" priority="6" dxfId="0"/>
  </conditionalFormatting>
  <conditionalFormatting sqref="I192:I229">
    <cfRule type="duplicateValues" priority="8" dxfId="0"/>
  </conditionalFormatting>
  <conditionalFormatting sqref="I230:I272">
    <cfRule type="duplicateValues" priority="5" dxfId="0"/>
  </conditionalFormatting>
  <conditionalFormatting sqref="I258:I271">
    <cfRule type="duplicateValues" priority="4" dxfId="0"/>
  </conditionalFormatting>
  <dataValidations count="1">
    <dataValidation sqref="E114:E404" showDropDown="0" showInputMessage="1" showErrorMessage="1" allowBlank="1" type="list">
      <formula1>Division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4:BM609"/>
  <sheetViews>
    <sheetView topLeftCell="C1" workbookViewId="0">
      <selection activeCell="E11" sqref="E11"/>
    </sheetView>
  </sheetViews>
  <sheetFormatPr baseColWidth="8" defaultRowHeight="14.4"/>
  <cols>
    <col width="185.21875" bestFit="1" customWidth="1" min="1" max="1"/>
    <col width="97.77734375" bestFit="1" customWidth="1" min="2" max="2"/>
    <col width="21.6640625" bestFit="1" customWidth="1" min="3" max="3"/>
    <col width="33.77734375" bestFit="1" customWidth="1" min="4" max="4"/>
    <col width="42" bestFit="1" customWidth="1" min="5" max="5"/>
    <col width="16.109375" customWidth="1" min="6" max="6"/>
    <col width="17.6640625" customWidth="1" min="7" max="7"/>
    <col width="14" customWidth="1" min="8" max="8"/>
    <col width="23.5546875" bestFit="1" customWidth="1" min="9" max="9"/>
    <col width="17" customWidth="1" min="10" max="10"/>
    <col width="17.44140625" customWidth="1" min="11" max="11"/>
    <col width="47.88671875" bestFit="1" customWidth="1" min="12" max="12"/>
    <col width="11.33203125" customWidth="1" style="1" min="13" max="13"/>
    <col width="12.6640625" customWidth="1" style="188" min="14" max="14"/>
    <col width="13.44140625" customWidth="1" style="189" min="15" max="15"/>
    <col width="9.44140625" customWidth="1" min="16" max="16"/>
    <col width="13.33203125" customWidth="1" style="189" min="17" max="17"/>
    <col width="10.109375" customWidth="1" min="18" max="18"/>
    <col width="12.6640625" customWidth="1" min="19" max="22"/>
    <col width="10.6640625" customWidth="1" min="23" max="24"/>
    <col width="13.88671875" bestFit="1" customWidth="1" min="25" max="25"/>
    <col width="12.33203125" customWidth="1" min="26" max="26"/>
    <col width="13.109375" customWidth="1" min="27" max="27"/>
    <col width="13.88671875" customWidth="1" min="28" max="29"/>
    <col width="13" customWidth="1" min="30" max="30"/>
    <col width="13.33203125" customWidth="1" min="31" max="31"/>
    <col width="12.6640625" customWidth="1" min="32" max="39"/>
    <col width="13.88671875" customWidth="1" style="189" min="40" max="40"/>
    <col width="13.88671875" customWidth="1" min="41" max="43"/>
    <col width="14.33203125" customWidth="1" min="44" max="44"/>
    <col width="13.88671875" customWidth="1" min="45" max="45"/>
    <col width="17" customWidth="1" min="46" max="46"/>
    <col width="15.33203125" customWidth="1" min="47" max="47"/>
    <col width="13.88671875" customWidth="1" min="48" max="48"/>
    <col width="13.6640625" customWidth="1" min="49" max="49"/>
    <col width="13.6640625" customWidth="1" style="189" min="50" max="50"/>
    <col width="13.6640625" customWidth="1" style="5" min="51" max="51"/>
    <col width="16.6640625" bestFit="1" customWidth="1" min="52" max="52"/>
    <col width="13.88671875" bestFit="1" customWidth="1" min="53" max="53"/>
    <col width="12.6640625" bestFit="1" customWidth="1" min="54" max="54"/>
    <col width="12.44140625" bestFit="1" customWidth="1" min="55" max="55"/>
    <col width="11.33203125" bestFit="1" customWidth="1" min="56" max="56"/>
    <col width="10.5546875" bestFit="1" customWidth="1" min="57" max="57"/>
    <col width="12.33203125" bestFit="1" customWidth="1" min="58" max="58"/>
    <col width="13.109375" bestFit="1" customWidth="1" min="59" max="59"/>
    <col width="10.33203125" bestFit="1" customWidth="1" min="60" max="60"/>
    <col width="26.33203125" bestFit="1" customWidth="1" min="61" max="61"/>
    <col width="53.6640625" bestFit="1" customWidth="1" min="62" max="62"/>
    <col width="14.88671875" bestFit="1" customWidth="1" min="63" max="63"/>
    <col width="16.33203125" bestFit="1" customWidth="1" min="64" max="65"/>
    <col width="13.6640625" bestFit="1" customWidth="1" min="66" max="66"/>
    <col width="12.6640625" bestFit="1" customWidth="1" min="67" max="67"/>
  </cols>
  <sheetData>
    <row r="4">
      <c r="R4" s="189" t="n"/>
      <c r="S4" s="189" t="n"/>
      <c r="T4" s="189" t="n"/>
      <c r="U4" s="189" t="n"/>
      <c r="V4" s="189" t="n"/>
      <c r="W4" s="189" t="n"/>
      <c r="X4" s="189" t="n"/>
      <c r="Y4" s="189" t="n"/>
      <c r="Z4" s="189" t="n"/>
      <c r="AA4" s="189" t="n"/>
      <c r="AB4" s="189" t="n"/>
      <c r="AG4" s="190" t="n"/>
    </row>
    <row r="5">
      <c r="H5" s="189" t="n"/>
      <c r="I5" s="190" t="n"/>
      <c r="R5" s="189" t="n"/>
      <c r="S5" s="189" t="n"/>
      <c r="T5" s="189" t="n"/>
      <c r="U5" s="189" t="n"/>
      <c r="V5" s="189" t="n"/>
      <c r="W5" s="189" t="n"/>
      <c r="X5" s="189" t="n"/>
      <c r="Y5" s="189" t="n"/>
      <c r="Z5" s="189" t="n"/>
      <c r="AA5" s="189" t="n"/>
      <c r="AB5" s="189" t="n"/>
      <c r="AG5" s="5" t="n"/>
      <c r="AH5" s="190" t="n"/>
      <c r="AM5" s="190" t="n"/>
      <c r="AO5" s="190" t="n"/>
      <c r="AP5" s="190" t="n"/>
      <c r="AQ5" s="190" t="n"/>
      <c r="AS5">
        <f>500</f>
        <v/>
      </c>
      <c r="AV5" s="190" t="n"/>
      <c r="AW5" s="190" t="n"/>
    </row>
    <row r="6" ht="15" customHeight="1" thickBot="1">
      <c r="R6" s="189" t="n"/>
      <c r="S6" s="189" t="n"/>
      <c r="T6" s="189" t="n"/>
      <c r="U6" s="189" t="n"/>
      <c r="V6" s="189" t="n"/>
      <c r="W6" s="189">
        <f>'[1]Mapping DSL'!J2</f>
        <v/>
      </c>
      <c r="X6" s="189" t="n"/>
      <c r="Y6" s="189" t="n"/>
      <c r="Z6" s="189" t="n"/>
      <c r="AA6" s="189" t="n"/>
      <c r="AB6" s="189" t="n"/>
      <c r="AG6" s="190">
        <f>AG8/T8</f>
        <v/>
      </c>
      <c r="AH6" s="5" t="n"/>
      <c r="AI6" s="189" t="n">
        <v>1.05</v>
      </c>
      <c r="AJ6" s="189" t="n">
        <v>1.05</v>
      </c>
      <c r="AK6" s="189" t="n">
        <v>1</v>
      </c>
      <c r="AL6" s="189" t="n">
        <v>1</v>
      </c>
      <c r="AN6" s="189" t="n">
        <v>0</v>
      </c>
      <c r="AO6" s="6" t="n"/>
      <c r="AP6" s="6" t="n"/>
      <c r="AQ6" s="6" t="n"/>
      <c r="AW6" s="190" t="n"/>
      <c r="AX6" s="5" t="n"/>
      <c r="BK6" t="n">
        <v>1700</v>
      </c>
    </row>
    <row r="7" ht="57.6" customHeight="1">
      <c r="C7" s="7" t="inlineStr">
        <is>
          <t>Supervisor</t>
        </is>
      </c>
      <c r="D7" s="8" t="inlineStr">
        <is>
          <t>Fleet Group</t>
        </is>
      </c>
      <c r="E7" s="9" t="inlineStr">
        <is>
          <t xml:space="preserve">Contract Name </t>
        </is>
      </c>
      <c r="F7" s="9" t="inlineStr">
        <is>
          <t xml:space="preserve">Truck Size </t>
        </is>
      </c>
      <c r="G7" s="10" t="inlineStr">
        <is>
          <t>Divison</t>
        </is>
      </c>
      <c r="H7" s="9" t="inlineStr">
        <is>
          <t xml:space="preserve">Truck Tonnage </t>
        </is>
      </c>
      <c r="I7" s="11" t="inlineStr">
        <is>
          <t>Client</t>
        </is>
      </c>
      <c r="J7" s="11" t="inlineStr">
        <is>
          <t xml:space="preserve">Loading Point </t>
        </is>
      </c>
      <c r="K7" s="11" t="inlineStr">
        <is>
          <t>Destination</t>
        </is>
      </c>
      <c r="L7" s="12" t="inlineStr">
        <is>
          <t>State</t>
        </is>
      </c>
      <c r="M7" s="13" t="inlineStr">
        <is>
          <t>Region</t>
        </is>
      </c>
      <c r="N7" s="191" t="inlineStr">
        <is>
          <t>KM</t>
        </is>
      </c>
      <c r="O7" s="192" t="inlineStr">
        <is>
          <t xml:space="preserve">Total KM </t>
        </is>
      </c>
      <c r="P7" s="12" t="inlineStr">
        <is>
          <t xml:space="preserve">Days </t>
        </is>
      </c>
      <c r="Q7" s="250" t="inlineStr">
        <is>
          <t xml:space="preserve">Offloading </t>
        </is>
      </c>
      <c r="R7" s="12" t="inlineStr">
        <is>
          <t>Total Days</t>
        </is>
      </c>
      <c r="S7" s="11" t="inlineStr">
        <is>
          <t xml:space="preserve">Diesel Issuance </t>
        </is>
      </c>
      <c r="T7" s="17" t="inlineStr">
        <is>
          <t xml:space="preserve">Daily Fixed Rate </t>
        </is>
      </c>
      <c r="U7" s="12" t="inlineStr">
        <is>
          <t>MTC Rate /KM</t>
        </is>
      </c>
      <c r="V7" s="12" t="inlineStr">
        <is>
          <t>Tyre Rate/KM</t>
        </is>
      </c>
      <c r="W7" s="12" t="inlineStr">
        <is>
          <t>Diesel Rate Per KM</t>
        </is>
      </c>
      <c r="X7" s="12" t="inlineStr">
        <is>
          <t>Variable Road Expenses</t>
        </is>
      </c>
      <c r="Y7" s="12" t="inlineStr">
        <is>
          <t xml:space="preserve">Fixed Cost </t>
        </is>
      </c>
      <c r="Z7" s="12" t="inlineStr">
        <is>
          <t xml:space="preserve">MTC Cost </t>
        </is>
      </c>
      <c r="AA7" s="12" t="inlineStr">
        <is>
          <t xml:space="preserve">Tyre </t>
        </is>
      </c>
      <c r="AB7" s="12" t="inlineStr">
        <is>
          <t>Diesel</t>
        </is>
      </c>
      <c r="AC7" s="11" t="inlineStr">
        <is>
          <t>Road Expenses</t>
        </is>
      </c>
      <c r="AD7" s="12" t="inlineStr">
        <is>
          <t xml:space="preserve">Contingency </t>
        </is>
      </c>
      <c r="AE7" s="12" t="inlineStr">
        <is>
          <t>Addtioanl Road Expenses</t>
        </is>
      </c>
      <c r="AF7" s="12" t="inlineStr">
        <is>
          <t xml:space="preserve">Cost Per Trip </t>
        </is>
      </c>
      <c r="AG7" s="17" t="inlineStr">
        <is>
          <t>Fixed Selling</t>
        </is>
      </c>
      <c r="AH7" s="12" t="inlineStr">
        <is>
          <t>Selling Fixed</t>
        </is>
      </c>
      <c r="AI7" s="12" t="inlineStr">
        <is>
          <t>Selling MTC</t>
        </is>
      </c>
      <c r="AJ7" s="12" t="inlineStr">
        <is>
          <t>Selling Tyre</t>
        </is>
      </c>
      <c r="AK7" s="12" t="inlineStr">
        <is>
          <t>Selling Diesel</t>
        </is>
      </c>
      <c r="AL7" s="12" t="inlineStr">
        <is>
          <t>Selling Road Expenses</t>
        </is>
      </c>
      <c r="AM7" s="12" t="inlineStr">
        <is>
          <t>Total Selling Prices</t>
        </is>
      </c>
      <c r="AN7" s="250" t="inlineStr">
        <is>
          <t xml:space="preserve">Discount Rate </t>
        </is>
      </c>
      <c r="AO7" s="12" t="inlineStr">
        <is>
          <t xml:space="preserve">Price After Discount </t>
        </is>
      </c>
      <c r="AP7" s="12">
        <f>AD7</f>
        <v/>
      </c>
      <c r="AQ7" s="12">
        <f>AE7</f>
        <v/>
      </c>
      <c r="AR7" s="12" t="inlineStr">
        <is>
          <t xml:space="preserve">Final Price Price </t>
        </is>
      </c>
      <c r="AS7" s="12" t="inlineStr">
        <is>
          <t xml:space="preserve">Price Less Diesel </t>
        </is>
      </c>
      <c r="AT7" s="12" t="inlineStr">
        <is>
          <t xml:space="preserve">VAT On Fixed /Variable </t>
        </is>
      </c>
      <c r="AU7" s="12" t="inlineStr">
        <is>
          <t xml:space="preserve">Final Selling </t>
        </is>
      </c>
      <c r="AV7" s="11" t="inlineStr">
        <is>
          <t>Approved Client Price</t>
        </is>
      </c>
      <c r="AW7" s="12" t="inlineStr">
        <is>
          <t>Contractor</t>
        </is>
      </c>
      <c r="AX7" s="250" t="inlineStr">
        <is>
          <t>Margin Actual Price List VS Planned</t>
        </is>
      </c>
      <c r="AY7" s="19" t="inlineStr">
        <is>
          <t xml:space="preserve">% Margin Loss or Gain from Price List VS Client </t>
        </is>
      </c>
      <c r="AZ7" s="12" t="inlineStr">
        <is>
          <t xml:space="preserve">Profit Per Trip from Actual Cost </t>
        </is>
      </c>
      <c r="BA7" s="12" t="inlineStr">
        <is>
          <t xml:space="preserve">Less Variable and Fixed Variable </t>
        </is>
      </c>
      <c r="BB7" s="12" t="inlineStr">
        <is>
          <t xml:space="preserve">Profit On Fixed </t>
        </is>
      </c>
      <c r="BC7" s="12" t="inlineStr">
        <is>
          <t xml:space="preserve">% Profit on Fixed </t>
        </is>
      </c>
      <c r="BD7" s="12" t="inlineStr">
        <is>
          <t xml:space="preserve">Profit from Actual Cost </t>
        </is>
      </c>
      <c r="BE7" s="12" t="inlineStr">
        <is>
          <t xml:space="preserve">Fixed </t>
        </is>
      </c>
      <c r="BF7" s="12" t="inlineStr">
        <is>
          <t xml:space="preserve">Fixed Variable </t>
        </is>
      </c>
      <c r="BG7" s="12" t="inlineStr">
        <is>
          <t>Road Expenses</t>
        </is>
      </c>
      <c r="BH7" s="12" t="inlineStr">
        <is>
          <t xml:space="preserve">Diesel </t>
        </is>
      </c>
      <c r="BI7" s="20" t="inlineStr">
        <is>
          <t xml:space="preserve">Status </t>
        </is>
      </c>
      <c r="BJ7" s="21" t="inlineStr">
        <is>
          <t>Business Status</t>
        </is>
      </c>
      <c r="BK7" s="22" t="inlineStr">
        <is>
          <t>New Diesel Rate</t>
        </is>
      </c>
      <c r="BL7" s="22" t="inlineStr">
        <is>
          <t>Variation</t>
        </is>
      </c>
      <c r="BM7" s="22" t="inlineStr">
        <is>
          <t>Additonal Cost</t>
        </is>
      </c>
    </row>
    <row r="8">
      <c r="A8">
        <f>CONCATENATE(E8,F8,G8,H8,I8,J8,K8,L8)</f>
        <v/>
      </c>
      <c r="B8">
        <f>CONCATENATE(J8,"-&gt;",K8,"/",E8)</f>
        <v/>
      </c>
      <c r="C8" s="23" t="inlineStr">
        <is>
          <t>AFEEZ AJIBADE/Ebenezer</t>
        </is>
      </c>
      <c r="D8">
        <f>CONCATENATE(G8,"-",H8,"-",F8)</f>
        <v/>
      </c>
      <c r="E8" s="24" t="inlineStr">
        <is>
          <t>JAMARA-30T-NBL-DSL-JUMBO</t>
        </is>
      </c>
      <c r="F8" s="24" t="inlineStr">
        <is>
          <t>JUMBO</t>
        </is>
      </c>
      <c r="G8" s="25" t="inlineStr">
        <is>
          <t>NBL-DSL</t>
        </is>
      </c>
      <c r="H8" s="24" t="inlineStr">
        <is>
          <t>30T</t>
        </is>
      </c>
      <c r="I8" s="251" t="inlineStr">
        <is>
          <t>JAMARA</t>
        </is>
      </c>
      <c r="J8" s="251" t="inlineStr">
        <is>
          <t>Lagos</t>
        </is>
      </c>
      <c r="K8" s="251" t="inlineStr">
        <is>
          <t>Port Harcourt</t>
        </is>
      </c>
      <c r="L8" s="204" t="inlineStr">
        <is>
          <t>Rivers</t>
        </is>
      </c>
      <c r="M8" s="252" t="inlineStr">
        <is>
          <t>East</t>
        </is>
      </c>
      <c r="N8" s="253" t="n">
        <v>630</v>
      </c>
      <c r="O8" s="198">
        <f>N8*2</f>
        <v/>
      </c>
      <c r="P8" s="220">
        <f>ROUNDUP(O8/300,)</f>
        <v/>
      </c>
      <c r="Q8" s="220" t="n">
        <v>1</v>
      </c>
      <c r="R8" s="220">
        <f>Q8+P8</f>
        <v/>
      </c>
      <c r="S8" s="195">
        <f>ROUNDDOWN(O8*0.7,)</f>
        <v/>
      </c>
      <c r="T8" s="208">
        <f>_xlfn.XLOOKUP(G8,[1]Fx!$A$4:$A$12,[1]Fx!$B$4:$B$12)</f>
        <v/>
      </c>
      <c r="U8" s="208">
        <f>_xlfn.XLOOKUP(G8,[1]Fx!$A$4:$A$12,[1]Fx!$C$4:$C$12)</f>
        <v/>
      </c>
      <c r="V8" s="208">
        <f>_xlfn.XLOOKUP(G8,[1]Fx!$A$4:$A$12,[1]Fx!$D$4:$D$12)</f>
        <v/>
      </c>
      <c r="W8" s="208">
        <f>_xlfn.XLOOKUP(H8&amp;I8,'[1]Mapping DSL'!$H:$H,'[1]Mapping DSL'!$J:$J)</f>
        <v/>
      </c>
      <c r="X8" s="220">
        <f>_xlfn.XLOOKUP(G8,[1]Fx!$A$4:$A$12,[1]Fx!$E$4:$E$12)</f>
        <v/>
      </c>
      <c r="Y8" s="220">
        <f>T8*R8</f>
        <v/>
      </c>
      <c r="Z8" s="220">
        <f>U8*O8</f>
        <v/>
      </c>
      <c r="AA8" s="220">
        <f>V8*O8</f>
        <v/>
      </c>
      <c r="AB8" s="220">
        <f>W8*O8</f>
        <v/>
      </c>
      <c r="AC8" s="198">
        <f>X8*O8</f>
        <v/>
      </c>
      <c r="AD8" s="220" t="n">
        <v>0</v>
      </c>
      <c r="AE8" s="220" t="n">
        <v>0</v>
      </c>
      <c r="AF8" s="208">
        <f>SUM(Y8:AE8)</f>
        <v/>
      </c>
      <c r="AG8" s="254">
        <f>_xlfn.XLOOKUP(G8,[1]Fx!$A$16:$A$24,[1]Fx!$B$16:$B$24)</f>
        <v/>
      </c>
      <c r="AH8" s="208">
        <f>AG8*R8</f>
        <v/>
      </c>
      <c r="AI8" s="208">
        <f>$AI$6*Z8</f>
        <v/>
      </c>
      <c r="AJ8" s="208">
        <f>$AJ$6*AA8</f>
        <v/>
      </c>
      <c r="AK8" s="208">
        <f>$AK$6*AB8</f>
        <v/>
      </c>
      <c r="AL8" s="208">
        <f>$AL$6*AC8</f>
        <v/>
      </c>
      <c r="AM8" s="220">
        <f>SUM(AH8:AL8)</f>
        <v/>
      </c>
      <c r="AN8" s="220" t="n">
        <v>0</v>
      </c>
      <c r="AO8" s="220">
        <f>AN8*AH8</f>
        <v/>
      </c>
      <c r="AP8" s="220">
        <f>AD8</f>
        <v/>
      </c>
      <c r="AQ8" s="220">
        <f>AE8</f>
        <v/>
      </c>
      <c r="AR8" s="208">
        <f>AM8-AO8</f>
        <v/>
      </c>
      <c r="AS8" s="220">
        <f>AR8-AK8</f>
        <v/>
      </c>
      <c r="AT8" s="208">
        <f>AS8*1.075</f>
        <v/>
      </c>
      <c r="AU8" s="208">
        <f>ROUNDUP(AT8+AK8,-4)</f>
        <v/>
      </c>
      <c r="AV8" s="198" t="n">
        <v>2630000</v>
      </c>
      <c r="AW8" s="220" t="n"/>
      <c r="AX8" s="208">
        <f>AV8-AR8</f>
        <v/>
      </c>
      <c r="AY8" s="35">
        <f>AX8/AR8</f>
        <v/>
      </c>
      <c r="AZ8" s="208">
        <f>AV8-AF8</f>
        <v/>
      </c>
      <c r="BA8" s="215">
        <f>AV8-SUM(Z8:AC8)</f>
        <v/>
      </c>
      <c r="BB8" s="215">
        <f>BA8-Y8</f>
        <v/>
      </c>
      <c r="BC8" s="35">
        <f>BB8/BA8</f>
        <v/>
      </c>
      <c r="BD8" s="35">
        <f>IFERROR(AZ8/AV8,)</f>
        <v/>
      </c>
      <c r="BE8" s="255">
        <f>AV8-SUM(Z8:AC8)</f>
        <v/>
      </c>
      <c r="BF8" s="255">
        <f>AV8-BE8-AC8-AB8</f>
        <v/>
      </c>
      <c r="BG8" s="255">
        <f>AV8-BE8-BF8-AB8</f>
        <v/>
      </c>
      <c r="BH8" s="255">
        <f>AB8</f>
        <v/>
      </c>
      <c r="BI8">
        <f>IF(BD8&lt;0%,"Loss",IF(BD8&lt;5%,"On Cost Plus",IF(BD8&lt;10%,"Within","Exceed")))</f>
        <v/>
      </c>
      <c r="BJ8" t="inlineStr">
        <is>
          <t>Exceed</t>
        </is>
      </c>
      <c r="BK8">
        <f>0.51*$BK$6</f>
        <v/>
      </c>
      <c r="BL8" s="190">
        <f>BK8-W8</f>
        <v/>
      </c>
      <c r="BM8" s="189">
        <f>BL8*O8</f>
        <v/>
      </c>
    </row>
    <row r="9">
      <c r="A9">
        <f>CONCATENATE(E9,F9,G9,H9,I9,J9,K9,L9)</f>
        <v/>
      </c>
      <c r="B9">
        <f>CONCATENATE(J9,"-&gt;",K9,"/",E9)</f>
        <v/>
      </c>
      <c r="C9" s="23" t="inlineStr">
        <is>
          <t>AFEEZ AJIBADE/Ebenezer</t>
        </is>
      </c>
      <c r="D9">
        <f>CONCATENATE(G9,"-",H9,"-",F9)</f>
        <v/>
      </c>
      <c r="E9" s="24" t="inlineStr">
        <is>
          <t>JAMARA-30T-NBL-DSL-JUMBO</t>
        </is>
      </c>
      <c r="F9" s="24" t="inlineStr">
        <is>
          <t>JUMBO</t>
        </is>
      </c>
      <c r="G9" s="25" t="inlineStr">
        <is>
          <t>NBL-DSL</t>
        </is>
      </c>
      <c r="H9" s="24" t="inlineStr">
        <is>
          <t>30T</t>
        </is>
      </c>
      <c r="I9" s="251" t="inlineStr">
        <is>
          <t>JAMARA</t>
        </is>
      </c>
      <c r="J9" s="251" t="inlineStr">
        <is>
          <t>Lagos</t>
        </is>
      </c>
      <c r="K9" s="251" t="inlineStr">
        <is>
          <t>Abuja</t>
        </is>
      </c>
      <c r="L9" s="204" t="inlineStr">
        <is>
          <t>FCT</t>
        </is>
      </c>
      <c r="M9" s="252" t="inlineStr">
        <is>
          <t>North</t>
        </is>
      </c>
      <c r="N9" s="253" t="n">
        <v>755</v>
      </c>
      <c r="O9" s="198">
        <f>N9*2</f>
        <v/>
      </c>
      <c r="P9" s="220">
        <f>ROUNDUP(O9/300,)</f>
        <v/>
      </c>
      <c r="Q9" s="220" t="n">
        <v>1</v>
      </c>
      <c r="R9" s="220">
        <f>Q9+P9</f>
        <v/>
      </c>
      <c r="S9" s="195">
        <f>ROUNDDOWN(O9*0.7,)</f>
        <v/>
      </c>
      <c r="T9" s="208">
        <f>_xlfn.XLOOKUP(G9,[1]Fx!$A$4:$A$12,[1]Fx!$B$4:$B$12)</f>
        <v/>
      </c>
      <c r="U9" s="208">
        <f>_xlfn.XLOOKUP(G9,[1]Fx!$A$4:$A$12,[1]Fx!$C$4:$C$12)</f>
        <v/>
      </c>
      <c r="V9" s="208">
        <f>_xlfn.XLOOKUP(G9,[1]Fx!$A$4:$A$12,[1]Fx!$D$4:$D$12)</f>
        <v/>
      </c>
      <c r="W9" s="208">
        <f>_xlfn.XLOOKUP(H9&amp;I9,'[1]Mapping DSL'!$H:$H,'[1]Mapping DSL'!$J:$J)</f>
        <v/>
      </c>
      <c r="X9" s="220">
        <f>_xlfn.XLOOKUP(G9,[1]Fx!$A$4:$A$12,[1]Fx!$E$4:$E$12)</f>
        <v/>
      </c>
      <c r="Y9" s="220">
        <f>T9*R9</f>
        <v/>
      </c>
      <c r="Z9" s="220">
        <f>U9*O9</f>
        <v/>
      </c>
      <c r="AA9" s="220">
        <f>V9*O9</f>
        <v/>
      </c>
      <c r="AB9" s="220">
        <f>W9*O9</f>
        <v/>
      </c>
      <c r="AC9" s="198">
        <f>X9*O9</f>
        <v/>
      </c>
      <c r="AD9" s="220" t="n">
        <v>0</v>
      </c>
      <c r="AE9" s="220" t="n">
        <v>0</v>
      </c>
      <c r="AF9" s="208">
        <f>SUM(Y9:AE9)</f>
        <v/>
      </c>
      <c r="AG9" s="254">
        <f>_xlfn.XLOOKUP(G9,[1]Fx!$A$16:$A$24,[1]Fx!$B$16:$B$24)</f>
        <v/>
      </c>
      <c r="AH9" s="208">
        <f>AG9*R9</f>
        <v/>
      </c>
      <c r="AI9" s="208">
        <f>$AI$6*Z9</f>
        <v/>
      </c>
      <c r="AJ9" s="208">
        <f>$AJ$6*AA9</f>
        <v/>
      </c>
      <c r="AK9" s="208">
        <f>$AK$6*AB9</f>
        <v/>
      </c>
      <c r="AL9" s="208">
        <f>$AL$6*AC9</f>
        <v/>
      </c>
      <c r="AM9" s="220">
        <f>SUM(AH9:AL9)</f>
        <v/>
      </c>
      <c r="AN9" s="220" t="n">
        <v>0.12</v>
      </c>
      <c r="AO9" s="220">
        <f>AN9*AH9</f>
        <v/>
      </c>
      <c r="AP9" s="220">
        <f>AD9</f>
        <v/>
      </c>
      <c r="AQ9" s="220">
        <f>AE9</f>
        <v/>
      </c>
      <c r="AR9" s="208">
        <f>AM9-AO9</f>
        <v/>
      </c>
      <c r="AS9" s="220">
        <f>AR9-AK9</f>
        <v/>
      </c>
      <c r="AT9" s="208">
        <f>AS9*1.075</f>
        <v/>
      </c>
      <c r="AU9" s="208">
        <f>ROUNDUP(AT9+AK9,-4)</f>
        <v/>
      </c>
      <c r="AV9" s="198" t="n">
        <v>2970000</v>
      </c>
      <c r="AW9" s="220" t="n"/>
      <c r="AX9" s="208">
        <f>AV9-AR9</f>
        <v/>
      </c>
      <c r="AY9" s="35">
        <f>AX9/AR9</f>
        <v/>
      </c>
      <c r="AZ9" s="208">
        <f>AV9-AF9</f>
        <v/>
      </c>
      <c r="BA9" s="215">
        <f>AV9-SUM(Z9:AC9)</f>
        <v/>
      </c>
      <c r="BB9" s="215">
        <f>BA9-Y9</f>
        <v/>
      </c>
      <c r="BC9" s="35">
        <f>BB9/BA9</f>
        <v/>
      </c>
      <c r="BD9" s="35">
        <f>IFERROR(AZ9/AV9,)</f>
        <v/>
      </c>
      <c r="BE9" s="255">
        <f>AV9-SUM(Z9:AC9)</f>
        <v/>
      </c>
      <c r="BF9" s="255">
        <f>AV9-BE9-AC9-AB9</f>
        <v/>
      </c>
      <c r="BG9" s="255">
        <f>AV9-BE9-BF9-AB9</f>
        <v/>
      </c>
      <c r="BH9" s="255">
        <f>AB9</f>
        <v/>
      </c>
      <c r="BI9">
        <f>IF(BD9&lt;0%,"Loss",IF(BD9&lt;5%,"On Cost Plus",IF(BD9&lt;10%,"Within","Exceed")))</f>
        <v/>
      </c>
      <c r="BJ9" t="inlineStr">
        <is>
          <t>Exceed</t>
        </is>
      </c>
      <c r="BK9">
        <f>0.51*$BK$6</f>
        <v/>
      </c>
      <c r="BL9" s="190">
        <f>BK9-W9</f>
        <v/>
      </c>
      <c r="BM9" s="189">
        <f>BL9*O9</f>
        <v/>
      </c>
    </row>
    <row r="10">
      <c r="A10">
        <f>CONCATENATE(E10,F10,G10,H10,I10,J10,K10,L10)</f>
        <v/>
      </c>
      <c r="B10">
        <f>CONCATENATE(J10,"-&gt;",K10,"/",E10)</f>
        <v/>
      </c>
      <c r="C10" s="23" t="inlineStr">
        <is>
          <t>AFEEZ AJIBADE/Ebenezer</t>
        </is>
      </c>
      <c r="D10">
        <f>CONCATENATE(G10,"-",H10,"-",F10)</f>
        <v/>
      </c>
      <c r="E10" s="24" t="inlineStr">
        <is>
          <t>JAMARA-30T-NBL-DSL-JUMBO</t>
        </is>
      </c>
      <c r="F10" s="24" t="inlineStr">
        <is>
          <t>JUMBO</t>
        </is>
      </c>
      <c r="G10" s="25" t="inlineStr">
        <is>
          <t>NBL-DSL</t>
        </is>
      </c>
      <c r="H10" s="24" t="inlineStr">
        <is>
          <t>30T</t>
        </is>
      </c>
      <c r="I10" s="251" t="inlineStr">
        <is>
          <t>JAMARA</t>
        </is>
      </c>
      <c r="J10" s="251" t="inlineStr">
        <is>
          <t>Lagos</t>
        </is>
      </c>
      <c r="K10" s="253" t="inlineStr">
        <is>
          <t>Kano</t>
        </is>
      </c>
      <c r="L10" s="205" t="inlineStr">
        <is>
          <t>Kano</t>
        </is>
      </c>
      <c r="M10" s="256" t="inlineStr">
        <is>
          <t>North</t>
        </is>
      </c>
      <c r="N10" s="253" t="n">
        <v>1100</v>
      </c>
      <c r="O10" s="198">
        <f>N10*2</f>
        <v/>
      </c>
      <c r="P10" s="220">
        <f>ROUNDUP(O10/300,)</f>
        <v/>
      </c>
      <c r="Q10" s="220" t="n">
        <v>1</v>
      </c>
      <c r="R10" s="220">
        <f>Q10+P10</f>
        <v/>
      </c>
      <c r="S10" s="195">
        <f>ROUNDDOWN(O10*0.7,)</f>
        <v/>
      </c>
      <c r="T10" s="208">
        <f>_xlfn.XLOOKUP(G10,[1]Fx!$A$4:$A$12,[1]Fx!$B$4:$B$12)</f>
        <v/>
      </c>
      <c r="U10" s="208">
        <f>_xlfn.XLOOKUP(G10,[1]Fx!$A$4:$A$12,[1]Fx!$C$4:$C$12)</f>
        <v/>
      </c>
      <c r="V10" s="208">
        <f>_xlfn.XLOOKUP(G10,[1]Fx!$A$4:$A$12,[1]Fx!$D$4:$D$12)</f>
        <v/>
      </c>
      <c r="W10" s="208">
        <f>_xlfn.XLOOKUP(H10&amp;I10,'[1]Mapping DSL'!$H:$H,'[1]Mapping DSL'!$J:$J)</f>
        <v/>
      </c>
      <c r="X10" s="220">
        <f>_xlfn.XLOOKUP(G10,[1]Fx!$A$4:$A$12,[1]Fx!$E$4:$E$12)</f>
        <v/>
      </c>
      <c r="Y10" s="220">
        <f>T10*R10</f>
        <v/>
      </c>
      <c r="Z10" s="220">
        <f>U10*O10</f>
        <v/>
      </c>
      <c r="AA10" s="220">
        <f>V10*O10</f>
        <v/>
      </c>
      <c r="AB10" s="220">
        <f>W10*O10</f>
        <v/>
      </c>
      <c r="AC10" s="198">
        <f>X10*O10</f>
        <v/>
      </c>
      <c r="AD10" s="220" t="n">
        <v>0</v>
      </c>
      <c r="AE10" s="220" t="n">
        <v>0</v>
      </c>
      <c r="AF10" s="208">
        <f>SUM(Y10:AE10)</f>
        <v/>
      </c>
      <c r="AG10" s="254">
        <f>_xlfn.XLOOKUP(G10,[1]Fx!$A$16:$A$24,[1]Fx!$B$16:$B$24)</f>
        <v/>
      </c>
      <c r="AH10" s="208">
        <f>AG10*R10</f>
        <v/>
      </c>
      <c r="AI10" s="208">
        <f>$AI$6*Z10</f>
        <v/>
      </c>
      <c r="AJ10" s="208">
        <f>$AJ$6*AA10</f>
        <v/>
      </c>
      <c r="AK10" s="208">
        <f>$AK$6*AB10</f>
        <v/>
      </c>
      <c r="AL10" s="208">
        <f>$AL$6*AC10</f>
        <v/>
      </c>
      <c r="AM10" s="220">
        <f>SUM(AH10:AL10)</f>
        <v/>
      </c>
      <c r="AN10" s="220" t="n">
        <v>0.15</v>
      </c>
      <c r="AO10" s="220">
        <f>AN10*AH10</f>
        <v/>
      </c>
      <c r="AP10" s="220">
        <f>AD10</f>
        <v/>
      </c>
      <c r="AQ10" s="220">
        <f>AE10</f>
        <v/>
      </c>
      <c r="AR10" s="208">
        <f>AM10-AO10</f>
        <v/>
      </c>
      <c r="AS10" s="220">
        <f>AR10-AK10</f>
        <v/>
      </c>
      <c r="AT10" s="208">
        <f>AS10*1.075</f>
        <v/>
      </c>
      <c r="AU10" s="208">
        <f>ROUNDUP(AT10+AK10,-4)</f>
        <v/>
      </c>
      <c r="AV10" s="198" t="n">
        <v>3950000</v>
      </c>
      <c r="AW10" s="220" t="n"/>
      <c r="AX10" s="208">
        <f>AV10-AR10</f>
        <v/>
      </c>
      <c r="AY10" s="35">
        <f>AX10/AR10</f>
        <v/>
      </c>
      <c r="AZ10" s="208">
        <f>AV10-AF10</f>
        <v/>
      </c>
      <c r="BA10" s="215">
        <f>AV10-SUM(Z10:AC10)</f>
        <v/>
      </c>
      <c r="BB10" s="215">
        <f>BA10-Y10</f>
        <v/>
      </c>
      <c r="BC10" s="35">
        <f>BB10/BA10</f>
        <v/>
      </c>
      <c r="BD10" s="35">
        <f>IFERROR(AZ10/AV10,)</f>
        <v/>
      </c>
      <c r="BE10" s="255">
        <f>AV10-SUM(Z10:AC10)</f>
        <v/>
      </c>
      <c r="BF10" s="255">
        <f>AV10-BE10-AC10-AB10</f>
        <v/>
      </c>
      <c r="BG10" s="255">
        <f>AV10-BE10-BF10-AB10</f>
        <v/>
      </c>
      <c r="BH10" s="255">
        <f>AB10</f>
        <v/>
      </c>
      <c r="BI10">
        <f>IF(BD10&lt;0%,"Loss",IF(BD10&lt;5%,"On Cost Plus",IF(BD10&lt;10%,"Within","Exceed")))</f>
        <v/>
      </c>
      <c r="BJ10" t="inlineStr">
        <is>
          <t>Exceed</t>
        </is>
      </c>
      <c r="BK10">
        <f>0.51*$BK$6</f>
        <v/>
      </c>
      <c r="BL10" s="190">
        <f>BK10-W10</f>
        <v/>
      </c>
      <c r="BM10" s="189">
        <f>BL10*O10</f>
        <v/>
      </c>
    </row>
    <row r="11">
      <c r="A11">
        <f>CONCATENATE(E11,F11,G11,H11,I11,J11,K11,L11)</f>
        <v/>
      </c>
      <c r="B11">
        <f>CONCATENATE(J11,"-&gt;",K11,"/",E11)</f>
        <v/>
      </c>
      <c r="C11" s="23" t="inlineStr">
        <is>
          <t>AFEEZ AJIBADE/Ebenezer</t>
        </is>
      </c>
      <c r="D11">
        <f>CONCATENATE(G11,"-",H11,"-",F11)</f>
        <v/>
      </c>
      <c r="E11" s="24" t="inlineStr">
        <is>
          <t>JAMARA-30T-NBL-DSL-JUMBO</t>
        </is>
      </c>
      <c r="F11" s="24" t="inlineStr">
        <is>
          <t>JUMBO</t>
        </is>
      </c>
      <c r="G11" s="25" t="inlineStr">
        <is>
          <t>NBL-DSL</t>
        </is>
      </c>
      <c r="H11" s="24" t="inlineStr">
        <is>
          <t>30T</t>
        </is>
      </c>
      <c r="I11" s="251" t="inlineStr">
        <is>
          <t>JAMARA</t>
        </is>
      </c>
      <c r="J11" s="251" t="inlineStr">
        <is>
          <t>Lagos</t>
        </is>
      </c>
      <c r="K11" s="251" t="inlineStr">
        <is>
          <t>Ibadan</t>
        </is>
      </c>
      <c r="L11" s="204" t="inlineStr">
        <is>
          <t>Oyo</t>
        </is>
      </c>
      <c r="M11" s="252" t="inlineStr">
        <is>
          <t>North</t>
        </is>
      </c>
      <c r="N11" s="257" t="n">
        <v>120</v>
      </c>
      <c r="O11" s="198">
        <f>N11*2</f>
        <v/>
      </c>
      <c r="P11" s="220">
        <f>ROUNDUP(O11/300,)</f>
        <v/>
      </c>
      <c r="Q11" s="220" t="n">
        <v>1.5</v>
      </c>
      <c r="R11" s="220">
        <f>Q11+P11</f>
        <v/>
      </c>
      <c r="S11" s="195">
        <f>ROUNDDOWN(O11*0.7,)</f>
        <v/>
      </c>
      <c r="T11" s="208">
        <f>_xlfn.XLOOKUP(G11,[1]Fx!$A$4:$A$12,[1]Fx!$B$4:$B$12)</f>
        <v/>
      </c>
      <c r="U11" s="208">
        <f>_xlfn.XLOOKUP(G11,[1]Fx!$A$4:$A$12,[1]Fx!$C$4:$C$12)</f>
        <v/>
      </c>
      <c r="V11" s="208">
        <f>_xlfn.XLOOKUP(G11,[1]Fx!$A$4:$A$12,[1]Fx!$D$4:$D$12)</f>
        <v/>
      </c>
      <c r="W11" s="208">
        <f>_xlfn.XLOOKUP(H11&amp;I11,'[1]Mapping DSL'!$H:$H,'[1]Mapping DSL'!$J:$J)</f>
        <v/>
      </c>
      <c r="X11" s="220">
        <f>_xlfn.XLOOKUP(G11,[1]Fx!$A$4:$A$12,[1]Fx!$E$4:$E$12)</f>
        <v/>
      </c>
      <c r="Y11" s="220">
        <f>T11*R11</f>
        <v/>
      </c>
      <c r="Z11" s="220">
        <f>U11*O11</f>
        <v/>
      </c>
      <c r="AA11" s="220">
        <f>V11*O11</f>
        <v/>
      </c>
      <c r="AB11" s="220">
        <f>W11*O11</f>
        <v/>
      </c>
      <c r="AC11" s="198">
        <f>X11*O11</f>
        <v/>
      </c>
      <c r="AD11" s="220" t="n">
        <v>0</v>
      </c>
      <c r="AE11" s="220" t="n">
        <v>0</v>
      </c>
      <c r="AF11" s="208">
        <f>SUM(Y11:AE11)</f>
        <v/>
      </c>
      <c r="AG11" s="254">
        <f>_xlfn.XLOOKUP(G11,[1]Fx!$A$16:$A$24,[1]Fx!$B$16:$B$24)</f>
        <v/>
      </c>
      <c r="AH11" s="208">
        <f>AG11*R11</f>
        <v/>
      </c>
      <c r="AI11" s="208">
        <f>$AI$6*Z11</f>
        <v/>
      </c>
      <c r="AJ11" s="208">
        <f>$AJ$6*AA11</f>
        <v/>
      </c>
      <c r="AK11" s="208">
        <f>$AK$6*AB11</f>
        <v/>
      </c>
      <c r="AL11" s="208">
        <f>$AL$6*AC11</f>
        <v/>
      </c>
      <c r="AM11" s="220">
        <f>SUM(AH11:AL11)</f>
        <v/>
      </c>
      <c r="AN11" s="220" t="n">
        <v>0</v>
      </c>
      <c r="AO11" s="220">
        <f>AN11*AH11</f>
        <v/>
      </c>
      <c r="AP11" s="220">
        <f>AD11</f>
        <v/>
      </c>
      <c r="AQ11" s="220">
        <f>AE11</f>
        <v/>
      </c>
      <c r="AR11" s="208">
        <f>AM11-AO11</f>
        <v/>
      </c>
      <c r="AS11" s="220">
        <f>AR11-AK11</f>
        <v/>
      </c>
      <c r="AT11" s="208">
        <f>AS11*1.075</f>
        <v/>
      </c>
      <c r="AU11" s="208">
        <f>ROUNDUP(AT11+AK11,-4)</f>
        <v/>
      </c>
      <c r="AV11" s="198" t="n">
        <v>750000</v>
      </c>
      <c r="AW11" s="220" t="n"/>
      <c r="AX11" s="208">
        <f>AV11-AR11</f>
        <v/>
      </c>
      <c r="AY11" s="35">
        <f>AX11/AR11</f>
        <v/>
      </c>
      <c r="AZ11" s="208">
        <f>AV11-AF11</f>
        <v/>
      </c>
      <c r="BA11" s="215">
        <f>AV11-SUM(Z11:AC11)</f>
        <v/>
      </c>
      <c r="BB11" s="215">
        <f>BA11-Y11</f>
        <v/>
      </c>
      <c r="BC11" s="35">
        <f>BB11/BA11</f>
        <v/>
      </c>
      <c r="BD11" s="35">
        <f>IFERROR(AZ11/AV11,)</f>
        <v/>
      </c>
      <c r="BE11" s="255">
        <f>AV11-SUM(Z11:AC11)</f>
        <v/>
      </c>
      <c r="BF11" s="255">
        <f>AV11-BE11-AC11-AB11</f>
        <v/>
      </c>
      <c r="BG11" s="255">
        <f>AV11-BE11-BF11-AB11</f>
        <v/>
      </c>
      <c r="BH11" s="255">
        <f>AB11</f>
        <v/>
      </c>
      <c r="BI11">
        <f>IF(BD11&lt;0%,"Loss",IF(BD11&lt;5%,"On Cost Plus",IF(BD11&lt;10%,"Within","Exceed")))</f>
        <v/>
      </c>
      <c r="BJ11" t="inlineStr">
        <is>
          <t>Exceed</t>
        </is>
      </c>
      <c r="BK11">
        <f>0.51*$BK$6</f>
        <v/>
      </c>
      <c r="BL11" s="190">
        <f>BK11-W11</f>
        <v/>
      </c>
      <c r="BM11" s="189">
        <f>BL11*O11</f>
        <v/>
      </c>
    </row>
    <row r="12">
      <c r="A12">
        <f>CONCATENATE(E12,F12,G12,H12,I12,J12,K12,L12)</f>
        <v/>
      </c>
      <c r="B12">
        <f>CONCATENATE(J12,"-&gt;",K12,"/",E12)</f>
        <v/>
      </c>
      <c r="C12" s="23" t="inlineStr">
        <is>
          <t>AFEEZ AJIBADE/Ebenezer</t>
        </is>
      </c>
      <c r="D12">
        <f>CONCATENATE(G12,"-",H12,"-",F12)</f>
        <v/>
      </c>
      <c r="E12" s="24" t="inlineStr">
        <is>
          <t>Lacasera-45T-NBL-DSL-JUMBO</t>
        </is>
      </c>
      <c r="F12" s="24" t="inlineStr">
        <is>
          <t>JUMBO</t>
        </is>
      </c>
      <c r="G12" s="25" t="inlineStr">
        <is>
          <t>NBL-DSL</t>
        </is>
      </c>
      <c r="H12" s="24" t="inlineStr">
        <is>
          <t>45T</t>
        </is>
      </c>
      <c r="I12" s="251" t="inlineStr">
        <is>
          <t>Lacasera</t>
        </is>
      </c>
      <c r="J12" s="251" t="inlineStr">
        <is>
          <t>Lagos</t>
        </is>
      </c>
      <c r="K12" s="253" t="inlineStr">
        <is>
          <t>Aba</t>
        </is>
      </c>
      <c r="L12" s="205" t="inlineStr">
        <is>
          <t>Abia</t>
        </is>
      </c>
      <c r="M12" s="256" t="inlineStr">
        <is>
          <t>East</t>
        </is>
      </c>
      <c r="N12" s="253" t="n">
        <v>622</v>
      </c>
      <c r="O12" s="198">
        <f>N12*2</f>
        <v/>
      </c>
      <c r="P12" s="220">
        <f>ROUNDUP(O12/300,)</f>
        <v/>
      </c>
      <c r="Q12" s="220" t="n">
        <v>1</v>
      </c>
      <c r="R12" s="220">
        <f>Q12+P12</f>
        <v/>
      </c>
      <c r="S12" s="195">
        <f>ROUNDDOWN(O12*0.7,)</f>
        <v/>
      </c>
      <c r="T12" s="208">
        <f>_xlfn.XLOOKUP(G12,[1]Fx!$A$4:$A$12,[1]Fx!$B$4:$B$12)</f>
        <v/>
      </c>
      <c r="U12" s="208">
        <f>_xlfn.XLOOKUP(G12,[1]Fx!$A$4:$A$12,[1]Fx!$C$4:$C$12)</f>
        <v/>
      </c>
      <c r="V12" s="208">
        <f>_xlfn.XLOOKUP(G12,[1]Fx!$A$4:$A$12,[1]Fx!$D$4:$D$12)</f>
        <v/>
      </c>
      <c r="W12" s="208">
        <f>_xlfn.XLOOKUP(H12&amp;I12,'[1]Mapping DSL'!$H:$H,'[1]Mapping DSL'!$J:$J)</f>
        <v/>
      </c>
      <c r="X12" s="220">
        <f>_xlfn.XLOOKUP(G12,[1]Fx!$A$4:$A$12,[1]Fx!$E$4:$E$12)</f>
        <v/>
      </c>
      <c r="Y12" s="220">
        <f>T12*R12</f>
        <v/>
      </c>
      <c r="Z12" s="220">
        <f>U12*O12</f>
        <v/>
      </c>
      <c r="AA12" s="220">
        <f>V12*O12</f>
        <v/>
      </c>
      <c r="AB12" s="220">
        <f>W12*O12</f>
        <v/>
      </c>
      <c r="AC12" s="198">
        <f>X12*O12</f>
        <v/>
      </c>
      <c r="AD12" s="220" t="n">
        <v>0</v>
      </c>
      <c r="AE12" s="220" t="n">
        <v>0</v>
      </c>
      <c r="AF12" s="208">
        <f>SUM(Y12:AE12)</f>
        <v/>
      </c>
      <c r="AG12" s="254">
        <f>_xlfn.XLOOKUP(G12,[1]Fx!$A$16:$A$24,[1]Fx!$B$16:$B$24)</f>
        <v/>
      </c>
      <c r="AH12" s="208">
        <f>AG12*R12</f>
        <v/>
      </c>
      <c r="AI12" s="208">
        <f>$AI$6*Z12</f>
        <v/>
      </c>
      <c r="AJ12" s="208">
        <f>$AJ$6*AA12</f>
        <v/>
      </c>
      <c r="AK12" s="208">
        <f>$AK$6*AB12</f>
        <v/>
      </c>
      <c r="AL12" s="208">
        <f>$AL$6*AC12</f>
        <v/>
      </c>
      <c r="AM12" s="220">
        <f>SUM(AH12:AL12)</f>
        <v/>
      </c>
      <c r="AN12" s="220" t="n">
        <v>0</v>
      </c>
      <c r="AO12" s="220">
        <f>AN12*AH12</f>
        <v/>
      </c>
      <c r="AP12" s="220">
        <f>AD12</f>
        <v/>
      </c>
      <c r="AQ12" s="220">
        <f>AE12</f>
        <v/>
      </c>
      <c r="AR12" s="208">
        <f>AM12-AO12</f>
        <v/>
      </c>
      <c r="AS12" s="220">
        <f>AR12-AK12</f>
        <v/>
      </c>
      <c r="AT12" s="208">
        <f>AS12*1.075</f>
        <v/>
      </c>
      <c r="AU12" s="208">
        <f>ROUNDUP(AT12+AK12,-4)</f>
        <v/>
      </c>
      <c r="AV12" s="198" t="n">
        <v>2639315</v>
      </c>
      <c r="AW12" s="220" t="n"/>
      <c r="AX12" s="208">
        <f>AV12-AR12</f>
        <v/>
      </c>
      <c r="AY12" s="35">
        <f>AX12/AR12</f>
        <v/>
      </c>
      <c r="AZ12" s="208">
        <f>AV12-AF12</f>
        <v/>
      </c>
      <c r="BA12" s="215">
        <f>AV12-SUM(Z12:AC12)</f>
        <v/>
      </c>
      <c r="BB12" s="215">
        <f>BA12-Y12</f>
        <v/>
      </c>
      <c r="BC12" s="35">
        <f>BB12/BA12</f>
        <v/>
      </c>
      <c r="BD12" s="35">
        <f>IFERROR(AZ12/AV12,)</f>
        <v/>
      </c>
      <c r="BE12" s="255">
        <f>AV12-SUM(Z12:AC12)</f>
        <v/>
      </c>
      <c r="BF12" s="255">
        <f>AV12-BE12-AC12-AB12</f>
        <v/>
      </c>
      <c r="BG12" s="255">
        <f>AV12-BE12-BF12-AB12</f>
        <v/>
      </c>
      <c r="BH12" s="255">
        <f>AB12</f>
        <v/>
      </c>
      <c r="BI12">
        <f>IF(BD12&lt;0%,"Loss",IF(BD12&lt;5%,"On Cost Plus",IF(BD12&lt;10%,"Within","Exceed")))</f>
        <v/>
      </c>
      <c r="BJ12" t="inlineStr">
        <is>
          <t>Exceed</t>
        </is>
      </c>
      <c r="BK12">
        <f>0.51*$BK$6</f>
        <v/>
      </c>
      <c r="BL12" s="190">
        <f>BK12-W12</f>
        <v/>
      </c>
      <c r="BM12" s="189">
        <f>BL12*O12</f>
        <v/>
      </c>
    </row>
    <row r="13">
      <c r="A13">
        <f>CONCATENATE(E13,F13,G13,H13,I13,J13,K13,L13)</f>
        <v/>
      </c>
      <c r="B13">
        <f>CONCATENATE(J13,"-&gt;",K13,"/",E13)</f>
        <v/>
      </c>
      <c r="C13" s="23" t="inlineStr">
        <is>
          <t>AFEEZ AJIBADE/Ebenezer</t>
        </is>
      </c>
      <c r="D13">
        <f>CONCATENATE(G13,"-",H13,"-",F13)</f>
        <v/>
      </c>
      <c r="E13" s="24" t="inlineStr">
        <is>
          <t>Lacasera-45T-NBL-DSL-JUMBO</t>
        </is>
      </c>
      <c r="F13" s="24" t="inlineStr">
        <is>
          <t>JUMBO</t>
        </is>
      </c>
      <c r="G13" s="25" t="inlineStr">
        <is>
          <t>NBL-DSL</t>
        </is>
      </c>
      <c r="H13" s="24" t="inlineStr">
        <is>
          <t>45T</t>
        </is>
      </c>
      <c r="I13" s="251" t="inlineStr">
        <is>
          <t>Lacasera</t>
        </is>
      </c>
      <c r="J13" s="251" t="inlineStr">
        <is>
          <t>Lagos</t>
        </is>
      </c>
      <c r="K13" s="253" t="inlineStr">
        <is>
          <t>Port Harcourt</t>
        </is>
      </c>
      <c r="L13" s="205" t="inlineStr">
        <is>
          <t>Rivers</t>
        </is>
      </c>
      <c r="M13" s="256" t="inlineStr">
        <is>
          <t>East</t>
        </is>
      </c>
      <c r="N13" s="253" t="n">
        <v>628</v>
      </c>
      <c r="O13" s="198">
        <f>N13*2</f>
        <v/>
      </c>
      <c r="P13" s="220">
        <f>ROUNDUP(O13/300,)</f>
        <v/>
      </c>
      <c r="Q13" s="220" t="n">
        <v>1</v>
      </c>
      <c r="R13" s="220">
        <f>Q13+P13</f>
        <v/>
      </c>
      <c r="S13" s="195">
        <f>ROUNDDOWN(O13*0.7,)</f>
        <v/>
      </c>
      <c r="T13" s="208">
        <f>_xlfn.XLOOKUP(G13,[1]Fx!$A$4:$A$12,[1]Fx!$B$4:$B$12)</f>
        <v/>
      </c>
      <c r="U13" s="208">
        <f>_xlfn.XLOOKUP(G13,[1]Fx!$A$4:$A$12,[1]Fx!$C$4:$C$12)</f>
        <v/>
      </c>
      <c r="V13" s="208">
        <f>_xlfn.XLOOKUP(G13,[1]Fx!$A$4:$A$12,[1]Fx!$D$4:$D$12)</f>
        <v/>
      </c>
      <c r="W13" s="208">
        <f>_xlfn.XLOOKUP(H13&amp;I13,'[1]Mapping DSL'!$H:$H,'[1]Mapping DSL'!$J:$J)</f>
        <v/>
      </c>
      <c r="X13" s="220">
        <f>_xlfn.XLOOKUP(G13,[1]Fx!$A$4:$A$12,[1]Fx!$E$4:$E$12)</f>
        <v/>
      </c>
      <c r="Y13" s="220">
        <f>T13*R13</f>
        <v/>
      </c>
      <c r="Z13" s="220">
        <f>U13*O13</f>
        <v/>
      </c>
      <c r="AA13" s="220">
        <f>V13*O13</f>
        <v/>
      </c>
      <c r="AB13" s="220">
        <f>W13*O13</f>
        <v/>
      </c>
      <c r="AC13" s="198">
        <f>X13*O13</f>
        <v/>
      </c>
      <c r="AD13" s="220" t="n">
        <v>0</v>
      </c>
      <c r="AE13" s="220" t="n">
        <v>0</v>
      </c>
      <c r="AF13" s="208">
        <f>SUM(Y13:AE13)</f>
        <v/>
      </c>
      <c r="AG13" s="254">
        <f>_xlfn.XLOOKUP(G13,[1]Fx!$A$16:$A$24,[1]Fx!$B$16:$B$24)</f>
        <v/>
      </c>
      <c r="AH13" s="208">
        <f>AG13*R13</f>
        <v/>
      </c>
      <c r="AI13" s="208">
        <f>$AI$6*Z13</f>
        <v/>
      </c>
      <c r="AJ13" s="208">
        <f>$AJ$6*AA13</f>
        <v/>
      </c>
      <c r="AK13" s="208">
        <f>$AK$6*AB13</f>
        <v/>
      </c>
      <c r="AL13" s="208">
        <f>$AL$6*AC13</f>
        <v/>
      </c>
      <c r="AM13" s="220">
        <f>SUM(AH13:AL13)</f>
        <v/>
      </c>
      <c r="AN13" s="220" t="n">
        <v>0</v>
      </c>
      <c r="AO13" s="220">
        <f>AN13*AH13</f>
        <v/>
      </c>
      <c r="AP13" s="220">
        <f>AD13</f>
        <v/>
      </c>
      <c r="AQ13" s="220">
        <f>AE13</f>
        <v/>
      </c>
      <c r="AR13" s="208">
        <f>AM13-AO13</f>
        <v/>
      </c>
      <c r="AS13" s="220">
        <f>AR13-AK13</f>
        <v/>
      </c>
      <c r="AT13" s="208">
        <f>AS13*1.075</f>
        <v/>
      </c>
      <c r="AU13" s="208">
        <f>ROUNDUP(AT13+AK13,-4)</f>
        <v/>
      </c>
      <c r="AV13" s="198" t="n">
        <v>2741678</v>
      </c>
      <c r="AW13" s="220" t="n"/>
      <c r="AX13" s="208">
        <f>AV13-AR13</f>
        <v/>
      </c>
      <c r="AY13" s="35">
        <f>AX13/AR13</f>
        <v/>
      </c>
      <c r="AZ13" s="208">
        <f>AV13-AF13</f>
        <v/>
      </c>
      <c r="BA13" s="215">
        <f>AV13-SUM(Z13:AC13)</f>
        <v/>
      </c>
      <c r="BB13" s="215">
        <f>BA13-Y13</f>
        <v/>
      </c>
      <c r="BC13" s="35">
        <f>BB13/BA13</f>
        <v/>
      </c>
      <c r="BD13" s="35">
        <f>IFERROR(AZ13/AV13,)</f>
        <v/>
      </c>
      <c r="BE13" s="255">
        <f>AV13-SUM(Z13:AC13)</f>
        <v/>
      </c>
      <c r="BF13" s="255">
        <f>AV13-BE13-AC13-AB13</f>
        <v/>
      </c>
      <c r="BG13" s="255">
        <f>AV13-BE13-BF13-AB13</f>
        <v/>
      </c>
      <c r="BH13" s="255">
        <f>AB13</f>
        <v/>
      </c>
      <c r="BI13">
        <f>IF(BD13&lt;0%,"Loss",IF(BD13&lt;5%,"On Cost Plus",IF(BD13&lt;10%,"Within","Exceed")))</f>
        <v/>
      </c>
      <c r="BJ13" t="inlineStr">
        <is>
          <t>Exceed</t>
        </is>
      </c>
      <c r="BK13">
        <f>0.51*$BK$6</f>
        <v/>
      </c>
      <c r="BL13" s="190">
        <f>BK13-W13</f>
        <v/>
      </c>
      <c r="BM13" s="189">
        <f>BL13*O13</f>
        <v/>
      </c>
    </row>
    <row r="14">
      <c r="A14">
        <f>CONCATENATE(E14,F14,G14,H14,I14,J14,K14,L14)</f>
        <v/>
      </c>
      <c r="B14">
        <f>CONCATENATE(J14,"-&gt;",K14,"/",E14)</f>
        <v/>
      </c>
      <c r="C14" s="23" t="inlineStr">
        <is>
          <t>AFEEZ AJIBADE/Ebenezer</t>
        </is>
      </c>
      <c r="D14">
        <f>CONCATENATE(G14,"-",H14,"-",F14)</f>
        <v/>
      </c>
      <c r="E14" s="24" t="inlineStr">
        <is>
          <t>Lacasera-45T-NBL-DSL-JUMBO</t>
        </is>
      </c>
      <c r="F14" s="24" t="inlineStr">
        <is>
          <t>JUMBO</t>
        </is>
      </c>
      <c r="G14" s="25" t="inlineStr">
        <is>
          <t>NBL-DSL</t>
        </is>
      </c>
      <c r="H14" s="24" t="inlineStr">
        <is>
          <t>45T</t>
        </is>
      </c>
      <c r="I14" s="251" t="inlineStr">
        <is>
          <t>Lacasera</t>
        </is>
      </c>
      <c r="J14" s="251" t="inlineStr">
        <is>
          <t>Lagos</t>
        </is>
      </c>
      <c r="K14" s="253" t="inlineStr">
        <is>
          <t>Abuja</t>
        </is>
      </c>
      <c r="L14" s="205" t="inlineStr">
        <is>
          <t>FCT</t>
        </is>
      </c>
      <c r="M14" s="256" t="inlineStr">
        <is>
          <t>North</t>
        </is>
      </c>
      <c r="N14" s="253" t="n">
        <v>755</v>
      </c>
      <c r="O14" s="198">
        <f>N14*2</f>
        <v/>
      </c>
      <c r="P14" s="220">
        <f>ROUNDUP(O14/300,)</f>
        <v/>
      </c>
      <c r="Q14" s="220" t="n">
        <v>1</v>
      </c>
      <c r="R14" s="220">
        <f>Q14+P14</f>
        <v/>
      </c>
      <c r="S14" s="195">
        <f>ROUNDDOWN(O14*0.7,)</f>
        <v/>
      </c>
      <c r="T14" s="208">
        <f>_xlfn.XLOOKUP(G14,[1]Fx!$A$4:$A$12,[1]Fx!$B$4:$B$12)</f>
        <v/>
      </c>
      <c r="U14" s="208">
        <f>_xlfn.XLOOKUP(G14,[1]Fx!$A$4:$A$12,[1]Fx!$C$4:$C$12)</f>
        <v/>
      </c>
      <c r="V14" s="208">
        <f>_xlfn.XLOOKUP(G14,[1]Fx!$A$4:$A$12,[1]Fx!$D$4:$D$12)</f>
        <v/>
      </c>
      <c r="W14" s="208">
        <f>_xlfn.XLOOKUP(H14&amp;I14,'[1]Mapping DSL'!$H:$H,'[1]Mapping DSL'!$J:$J)</f>
        <v/>
      </c>
      <c r="X14" s="220">
        <f>_xlfn.XLOOKUP(G14,[1]Fx!$A$4:$A$12,[1]Fx!$E$4:$E$12)</f>
        <v/>
      </c>
      <c r="Y14" s="220">
        <f>T14*R14</f>
        <v/>
      </c>
      <c r="Z14" s="220">
        <f>U14*O14</f>
        <v/>
      </c>
      <c r="AA14" s="220">
        <f>V14*O14</f>
        <v/>
      </c>
      <c r="AB14" s="220">
        <f>W14*O14</f>
        <v/>
      </c>
      <c r="AC14" s="198">
        <f>X14*O14</f>
        <v/>
      </c>
      <c r="AD14" s="220" t="n">
        <v>0</v>
      </c>
      <c r="AE14" s="220" t="n">
        <v>0</v>
      </c>
      <c r="AF14" s="208">
        <f>SUM(Y14:AE14)</f>
        <v/>
      </c>
      <c r="AG14" s="254">
        <f>_xlfn.XLOOKUP(G14,[1]Fx!$A$16:$A$24,[1]Fx!$B$16:$B$24)</f>
        <v/>
      </c>
      <c r="AH14" s="208">
        <f>AG14*R14</f>
        <v/>
      </c>
      <c r="AI14" s="208">
        <f>$AI$6*Z14</f>
        <v/>
      </c>
      <c r="AJ14" s="208">
        <f>$AJ$6*AA14</f>
        <v/>
      </c>
      <c r="AK14" s="208">
        <f>$AK$6*AB14</f>
        <v/>
      </c>
      <c r="AL14" s="208">
        <f>$AL$6*AC14</f>
        <v/>
      </c>
      <c r="AM14" s="220">
        <f>SUM(AH14:AL14)</f>
        <v/>
      </c>
      <c r="AN14" s="220" t="n">
        <v>0</v>
      </c>
      <c r="AO14" s="220">
        <f>AN14*AH14</f>
        <v/>
      </c>
      <c r="AP14" s="220">
        <f>AD14</f>
        <v/>
      </c>
      <c r="AQ14" s="220">
        <f>AE14</f>
        <v/>
      </c>
      <c r="AR14" s="208">
        <f>AM14-AO14</f>
        <v/>
      </c>
      <c r="AS14" s="220">
        <f>AR14-AK14</f>
        <v/>
      </c>
      <c r="AT14" s="208">
        <f>AS14*1.075</f>
        <v/>
      </c>
      <c r="AU14" s="208">
        <f>ROUNDUP(AT14+AK14,-4)</f>
        <v/>
      </c>
      <c r="AV14" s="198" t="n">
        <v>3282163</v>
      </c>
      <c r="AW14" s="220" t="n"/>
      <c r="AX14" s="208">
        <f>AV14-AR14</f>
        <v/>
      </c>
      <c r="AY14" s="35">
        <f>AX14/AR14</f>
        <v/>
      </c>
      <c r="AZ14" s="208">
        <f>AV14-AF14</f>
        <v/>
      </c>
      <c r="BA14" s="215">
        <f>AV14-SUM(Z14:AC14)</f>
        <v/>
      </c>
      <c r="BB14" s="215">
        <f>BA14-Y14</f>
        <v/>
      </c>
      <c r="BC14" s="35">
        <f>BB14/BA14</f>
        <v/>
      </c>
      <c r="BD14" s="35">
        <f>IFERROR(AZ14/AV14,)</f>
        <v/>
      </c>
      <c r="BE14" s="255">
        <f>AV14-SUM(Z14:AC14)</f>
        <v/>
      </c>
      <c r="BF14" s="255">
        <f>AV14-BE14-AC14-AB14</f>
        <v/>
      </c>
      <c r="BG14" s="255">
        <f>AV14-BE14-BF14-AB14</f>
        <v/>
      </c>
      <c r="BH14" s="255">
        <f>AB14</f>
        <v/>
      </c>
      <c r="BI14">
        <f>IF(BD14&lt;0%,"Loss",IF(BD14&lt;5%,"On Cost Plus",IF(BD14&lt;10%,"Within","Exceed")))</f>
        <v/>
      </c>
      <c r="BJ14" t="inlineStr">
        <is>
          <t>Exceed</t>
        </is>
      </c>
      <c r="BK14">
        <f>0.51*$BK$6</f>
        <v/>
      </c>
      <c r="BL14" s="190">
        <f>BK14-W14</f>
        <v/>
      </c>
      <c r="BM14" s="189">
        <f>BL14*O14</f>
        <v/>
      </c>
    </row>
    <row r="15">
      <c r="A15">
        <f>CONCATENATE(E15,F15,G15,H15,I15,J15,K15,L15)</f>
        <v/>
      </c>
      <c r="B15">
        <f>CONCATENATE(J15,"-&gt;",K15,"/",E15)</f>
        <v/>
      </c>
      <c r="C15" s="23" t="inlineStr">
        <is>
          <t>AFEEZ AJIBADE/Ebenezer</t>
        </is>
      </c>
      <c r="D15">
        <f>CONCATENATE(G15,"-",H15,"-",F15)</f>
        <v/>
      </c>
      <c r="E15" s="24" t="inlineStr">
        <is>
          <t>Lacasera-45T-NBL-DSL-JUMBO</t>
        </is>
      </c>
      <c r="F15" s="24" t="inlineStr">
        <is>
          <t>JUMBO</t>
        </is>
      </c>
      <c r="G15" s="25" t="inlineStr">
        <is>
          <t>NBL-DSL</t>
        </is>
      </c>
      <c r="H15" s="24" t="inlineStr">
        <is>
          <t>45T</t>
        </is>
      </c>
      <c r="I15" s="251" t="inlineStr">
        <is>
          <t>Lacasera</t>
        </is>
      </c>
      <c r="J15" s="251" t="inlineStr">
        <is>
          <t>Lagos</t>
        </is>
      </c>
      <c r="K15" s="253" t="inlineStr">
        <is>
          <t>Kano</t>
        </is>
      </c>
      <c r="L15" s="205" t="inlineStr">
        <is>
          <t>Kano</t>
        </is>
      </c>
      <c r="M15" s="256" t="inlineStr">
        <is>
          <t>North</t>
        </is>
      </c>
      <c r="N15" s="253" t="n">
        <v>1142</v>
      </c>
      <c r="O15" s="198">
        <f>N15*2</f>
        <v/>
      </c>
      <c r="P15" s="220">
        <f>ROUNDUP(O15/300,)</f>
        <v/>
      </c>
      <c r="Q15" s="220" t="n">
        <v>1</v>
      </c>
      <c r="R15" s="220">
        <f>Q15+P15</f>
        <v/>
      </c>
      <c r="S15" s="195">
        <f>ROUNDDOWN(O15*0.7,)</f>
        <v/>
      </c>
      <c r="T15" s="208">
        <f>_xlfn.XLOOKUP(G15,[1]Fx!$A$4:$A$12,[1]Fx!$B$4:$B$12)</f>
        <v/>
      </c>
      <c r="U15" s="208">
        <f>_xlfn.XLOOKUP(G15,[1]Fx!$A$4:$A$12,[1]Fx!$C$4:$C$12)</f>
        <v/>
      </c>
      <c r="V15" s="208">
        <f>_xlfn.XLOOKUP(G15,[1]Fx!$A$4:$A$12,[1]Fx!$D$4:$D$12)</f>
        <v/>
      </c>
      <c r="W15" s="208">
        <f>_xlfn.XLOOKUP(H15&amp;I15,'[1]Mapping DSL'!$H:$H,'[1]Mapping DSL'!$J:$J)</f>
        <v/>
      </c>
      <c r="X15" s="220">
        <f>_xlfn.XLOOKUP(G15,[1]Fx!$A$4:$A$12,[1]Fx!$E$4:$E$12)</f>
        <v/>
      </c>
      <c r="Y15" s="220">
        <f>T15*R15</f>
        <v/>
      </c>
      <c r="Z15" s="220">
        <f>U15*O15</f>
        <v/>
      </c>
      <c r="AA15" s="220">
        <f>V15*O15</f>
        <v/>
      </c>
      <c r="AB15" s="220">
        <f>W15*O15</f>
        <v/>
      </c>
      <c r="AC15" s="198">
        <f>X15*O15</f>
        <v/>
      </c>
      <c r="AD15" s="220" t="n">
        <v>0</v>
      </c>
      <c r="AE15" s="220" t="n">
        <v>0</v>
      </c>
      <c r="AF15" s="208">
        <f>SUM(Y15:AE15)</f>
        <v/>
      </c>
      <c r="AG15" s="254">
        <f>_xlfn.XLOOKUP(G15,[1]Fx!$A$16:$A$24,[1]Fx!$B$16:$B$24)</f>
        <v/>
      </c>
      <c r="AH15" s="208">
        <f>AG15*R15</f>
        <v/>
      </c>
      <c r="AI15" s="208">
        <f>$AI$6*Z15</f>
        <v/>
      </c>
      <c r="AJ15" s="208">
        <f>$AJ$6*AA15</f>
        <v/>
      </c>
      <c r="AK15" s="208">
        <f>$AK$6*AB15</f>
        <v/>
      </c>
      <c r="AL15" s="208">
        <f>$AL$6*AC15</f>
        <v/>
      </c>
      <c r="AM15" s="220">
        <f>SUM(AH15:AL15)</f>
        <v/>
      </c>
      <c r="AN15" s="220" t="n">
        <v>0</v>
      </c>
      <c r="AO15" s="220">
        <f>AN15*AH15</f>
        <v/>
      </c>
      <c r="AP15" s="220">
        <f>AD15</f>
        <v/>
      </c>
      <c r="AQ15" s="220">
        <f>AE15</f>
        <v/>
      </c>
      <c r="AR15" s="208">
        <f>AM15-AO15</f>
        <v/>
      </c>
      <c r="AS15" s="220">
        <f>AR15-AK15</f>
        <v/>
      </c>
      <c r="AT15" s="208">
        <f>AS15*1.075</f>
        <v/>
      </c>
      <c r="AU15" s="208">
        <f>ROUNDUP(AT15+AK15,-4)</f>
        <v/>
      </c>
      <c r="AV15" s="198" t="n">
        <v>3710764</v>
      </c>
      <c r="AW15" s="220" t="n"/>
      <c r="AX15" s="208">
        <f>AV15-AR15</f>
        <v/>
      </c>
      <c r="AY15" s="35">
        <f>AX15/AR15</f>
        <v/>
      </c>
      <c r="AZ15" s="208">
        <f>AV15-AF15</f>
        <v/>
      </c>
      <c r="BA15" s="215">
        <f>AV15-SUM(Z15:AC15)</f>
        <v/>
      </c>
      <c r="BB15" s="215">
        <f>BA15-Y15</f>
        <v/>
      </c>
      <c r="BC15" s="35">
        <f>BB15/BA15</f>
        <v/>
      </c>
      <c r="BD15" s="35">
        <f>IFERROR(AZ15/AV15,)</f>
        <v/>
      </c>
      <c r="BE15" s="255">
        <f>AV15-SUM(Z15:AC15)</f>
        <v/>
      </c>
      <c r="BF15" s="255">
        <f>AV15-BE15-AC15-AB15</f>
        <v/>
      </c>
      <c r="BG15" s="255">
        <f>AV15-BE15-BF15-AB15</f>
        <v/>
      </c>
      <c r="BH15" s="255">
        <f>AB15</f>
        <v/>
      </c>
      <c r="BI15">
        <f>IF(BD15&lt;0%,"Loss",IF(BD15&lt;5%,"On Cost Plus",IF(BD15&lt;10%,"Within","Exceed")))</f>
        <v/>
      </c>
      <c r="BJ15" t="inlineStr">
        <is>
          <t>Exceed</t>
        </is>
      </c>
      <c r="BK15">
        <f>0.51*$BK$6</f>
        <v/>
      </c>
      <c r="BL15" s="190">
        <f>BK15-W15</f>
        <v/>
      </c>
      <c r="BM15" s="189">
        <f>BL15*O15</f>
        <v/>
      </c>
    </row>
    <row r="16">
      <c r="A16">
        <f>CONCATENATE(E16,F16,G16,H16,I16,J16,K16,L16)</f>
        <v/>
      </c>
      <c r="B16">
        <f>CONCATENATE(J16,"-&gt;",K16,"/",E16)</f>
        <v/>
      </c>
      <c r="C16" s="23" t="inlineStr">
        <is>
          <t>AFEEZ AJIBADE/Ebenezer</t>
        </is>
      </c>
      <c r="D16">
        <f>CONCATENATE(G16,"-",H16,"-",F16)</f>
        <v/>
      </c>
      <c r="E16" s="24" t="inlineStr">
        <is>
          <t>Lacasera-45T-NBL-DSL-JUMBO</t>
        </is>
      </c>
      <c r="F16" s="24" t="inlineStr">
        <is>
          <t>JUMBO</t>
        </is>
      </c>
      <c r="G16" s="25" t="inlineStr">
        <is>
          <t>NBL-DSL</t>
        </is>
      </c>
      <c r="H16" s="24" t="inlineStr">
        <is>
          <t>45T</t>
        </is>
      </c>
      <c r="I16" s="251" t="inlineStr">
        <is>
          <t>Lacasera</t>
        </is>
      </c>
      <c r="J16" s="251" t="inlineStr">
        <is>
          <t>Lagos</t>
        </is>
      </c>
      <c r="K16" s="253" t="inlineStr">
        <is>
          <t>Ibadan</t>
        </is>
      </c>
      <c r="L16" s="205" t="inlineStr">
        <is>
          <t>Oyo</t>
        </is>
      </c>
      <c r="M16" s="256" t="inlineStr">
        <is>
          <t>West</t>
        </is>
      </c>
      <c r="N16" s="253" t="n">
        <v>148</v>
      </c>
      <c r="O16" s="198">
        <f>N16*2</f>
        <v/>
      </c>
      <c r="P16" s="220">
        <f>ROUNDUP(O16/300,)</f>
        <v/>
      </c>
      <c r="Q16" s="220" t="n">
        <v>1</v>
      </c>
      <c r="R16" s="220">
        <f>Q16+P16</f>
        <v/>
      </c>
      <c r="S16" s="195">
        <f>ROUNDDOWN(O16*0.7,)</f>
        <v/>
      </c>
      <c r="T16" s="208">
        <f>_xlfn.XLOOKUP(G16,[1]Fx!$A$4:$A$12,[1]Fx!$B$4:$B$12)</f>
        <v/>
      </c>
      <c r="U16" s="208">
        <f>_xlfn.XLOOKUP(G16,[1]Fx!$A$4:$A$12,[1]Fx!$C$4:$C$12)</f>
        <v/>
      </c>
      <c r="V16" s="208">
        <f>_xlfn.XLOOKUP(G16,[1]Fx!$A$4:$A$12,[1]Fx!$D$4:$D$12)</f>
        <v/>
      </c>
      <c r="W16" s="208">
        <f>_xlfn.XLOOKUP(H16&amp;I16,'[1]Mapping DSL'!$H:$H,'[1]Mapping DSL'!$J:$J)</f>
        <v/>
      </c>
      <c r="X16" s="220">
        <f>_xlfn.XLOOKUP(G16,[1]Fx!$A$4:$A$12,[1]Fx!$E$4:$E$12)</f>
        <v/>
      </c>
      <c r="Y16" s="220">
        <f>T16*R16</f>
        <v/>
      </c>
      <c r="Z16" s="220">
        <f>U16*O16</f>
        <v/>
      </c>
      <c r="AA16" s="220">
        <f>V16*O16</f>
        <v/>
      </c>
      <c r="AB16" s="220">
        <f>W16*O16</f>
        <v/>
      </c>
      <c r="AC16" s="198">
        <f>X16*O16</f>
        <v/>
      </c>
      <c r="AD16" s="220" t="n">
        <v>0</v>
      </c>
      <c r="AE16" s="220" t="n">
        <v>0</v>
      </c>
      <c r="AF16" s="208">
        <f>SUM(Y16:AE16)</f>
        <v/>
      </c>
      <c r="AG16" s="254">
        <f>_xlfn.XLOOKUP(G16,[1]Fx!$A$16:$A$24,[1]Fx!$B$16:$B$24)</f>
        <v/>
      </c>
      <c r="AH16" s="208">
        <f>AG16*R16</f>
        <v/>
      </c>
      <c r="AI16" s="208">
        <f>$AI$6*Z16</f>
        <v/>
      </c>
      <c r="AJ16" s="208">
        <f>$AJ$6*AA16</f>
        <v/>
      </c>
      <c r="AK16" s="208">
        <f>$AK$6*AB16</f>
        <v/>
      </c>
      <c r="AL16" s="208">
        <f>$AL$6*AC16</f>
        <v/>
      </c>
      <c r="AM16" s="220">
        <f>SUM(AH16:AL16)</f>
        <v/>
      </c>
      <c r="AN16" s="220" t="n">
        <v>0</v>
      </c>
      <c r="AO16" s="220">
        <f>AN16*AH16</f>
        <v/>
      </c>
      <c r="AP16" s="220">
        <f>AD16</f>
        <v/>
      </c>
      <c r="AQ16" s="220">
        <f>AE16</f>
        <v/>
      </c>
      <c r="AR16" s="208">
        <f>AM16-AO16</f>
        <v/>
      </c>
      <c r="AS16" s="220">
        <f>AR16-AK16</f>
        <v/>
      </c>
      <c r="AT16" s="208">
        <f>AS16*1.075</f>
        <v/>
      </c>
      <c r="AU16" s="208">
        <f>ROUNDUP(AT16+AK16,-4)</f>
        <v/>
      </c>
      <c r="AV16" s="198" t="n">
        <v>879460</v>
      </c>
      <c r="AW16" s="220" t="n"/>
      <c r="AX16" s="208">
        <f>AV16-AR16</f>
        <v/>
      </c>
      <c r="AY16" s="35">
        <f>AX16/AR16</f>
        <v/>
      </c>
      <c r="AZ16" s="208">
        <f>AV16-AF16</f>
        <v/>
      </c>
      <c r="BA16" s="215">
        <f>AV16-SUM(Z16:AC16)</f>
        <v/>
      </c>
      <c r="BB16" s="215">
        <f>BA16-Y16</f>
        <v/>
      </c>
      <c r="BC16" s="35">
        <f>BB16/BA16</f>
        <v/>
      </c>
      <c r="BD16" s="35">
        <f>IFERROR(AZ16/AV16,)</f>
        <v/>
      </c>
      <c r="BE16" s="255">
        <f>AV16-SUM(Z16:AC16)</f>
        <v/>
      </c>
      <c r="BF16" s="255">
        <f>AV16-BE16-AC16-AB16</f>
        <v/>
      </c>
      <c r="BG16" s="255">
        <f>AV16-BE16-BF16-AB16</f>
        <v/>
      </c>
      <c r="BH16" s="255">
        <f>AB16</f>
        <v/>
      </c>
      <c r="BI16">
        <f>IF(BD16&lt;0%,"Loss",IF(BD16&lt;5%,"On Cost Plus",IF(BD16&lt;10%,"Within","Exceed")))</f>
        <v/>
      </c>
      <c r="BJ16" t="inlineStr">
        <is>
          <t>Exceed</t>
        </is>
      </c>
      <c r="BK16">
        <f>0.51*$BK$6</f>
        <v/>
      </c>
      <c r="BL16" s="190">
        <f>BK16-W16</f>
        <v/>
      </c>
      <c r="BM16" s="189">
        <f>BL16*O16</f>
        <v/>
      </c>
    </row>
    <row r="17">
      <c r="A17">
        <f>CONCATENATE(E17,F17,G17,H17,I17,J17,K17,L17)</f>
        <v/>
      </c>
      <c r="B17">
        <f>CONCATENATE(J17,"-&gt;",K17,"/",E17)</f>
        <v/>
      </c>
      <c r="C17" s="23" t="inlineStr">
        <is>
          <t>AFEEZ AJIBADE/Ebenezer</t>
        </is>
      </c>
      <c r="D17">
        <f>CONCATENATE(G17,"-",H17,"-",F17)</f>
        <v/>
      </c>
      <c r="E17" s="24" t="inlineStr">
        <is>
          <t>Lacasera-45T-NBL-DSL-JUMBO</t>
        </is>
      </c>
      <c r="F17" s="24" t="inlineStr">
        <is>
          <t>JUMBO</t>
        </is>
      </c>
      <c r="G17" s="25" t="inlineStr">
        <is>
          <t>NBL-DSL</t>
        </is>
      </c>
      <c r="H17" s="24" t="inlineStr">
        <is>
          <t>45T</t>
        </is>
      </c>
      <c r="I17" s="251" t="inlineStr">
        <is>
          <t>Lacasera</t>
        </is>
      </c>
      <c r="J17" s="251" t="inlineStr">
        <is>
          <t>Lagos</t>
        </is>
      </c>
      <c r="K17" s="253" t="inlineStr">
        <is>
          <t>Benin City</t>
        </is>
      </c>
      <c r="L17" s="204" t="inlineStr">
        <is>
          <t>Edo</t>
        </is>
      </c>
      <c r="M17" s="252" t="inlineStr">
        <is>
          <t>East</t>
        </is>
      </c>
      <c r="N17" s="257" t="n">
        <v>325</v>
      </c>
      <c r="O17" s="198">
        <f>N17*2</f>
        <v/>
      </c>
      <c r="P17" s="220">
        <f>ROUNDUP(O17/300,)</f>
        <v/>
      </c>
      <c r="Q17" s="220" t="n">
        <v>1</v>
      </c>
      <c r="R17" s="220">
        <f>Q17+P17</f>
        <v/>
      </c>
      <c r="S17" s="195">
        <f>ROUNDDOWN(O17*0.7,)</f>
        <v/>
      </c>
      <c r="T17" s="208">
        <f>_xlfn.XLOOKUP(G17,[1]Fx!$A$4:$A$12,[1]Fx!$B$4:$B$12)</f>
        <v/>
      </c>
      <c r="U17" s="208">
        <f>_xlfn.XLOOKUP(G17,[1]Fx!$A$4:$A$12,[1]Fx!$C$4:$C$12)</f>
        <v/>
      </c>
      <c r="V17" s="208">
        <f>_xlfn.XLOOKUP(G17,[1]Fx!$A$4:$A$12,[1]Fx!$D$4:$D$12)</f>
        <v/>
      </c>
      <c r="W17" s="208">
        <f>_xlfn.XLOOKUP(H17&amp;I17,'[1]Mapping DSL'!$H:$H,'[1]Mapping DSL'!$J:$J)</f>
        <v/>
      </c>
      <c r="X17" s="220">
        <f>_xlfn.XLOOKUP(G17,[1]Fx!$A$4:$A$12,[1]Fx!$E$4:$E$12)</f>
        <v/>
      </c>
      <c r="Y17" s="220">
        <f>T17*R17</f>
        <v/>
      </c>
      <c r="Z17" s="220">
        <f>U17*O17</f>
        <v/>
      </c>
      <c r="AA17" s="220">
        <f>V17*O17</f>
        <v/>
      </c>
      <c r="AB17" s="220">
        <f>W17*O17</f>
        <v/>
      </c>
      <c r="AC17" s="198">
        <f>X17*O17</f>
        <v/>
      </c>
      <c r="AD17" s="220" t="n">
        <v>0</v>
      </c>
      <c r="AE17" s="220" t="n">
        <v>0</v>
      </c>
      <c r="AF17" s="208">
        <f>SUM(Y17:AE17)</f>
        <v/>
      </c>
      <c r="AG17" s="254">
        <f>_xlfn.XLOOKUP(G17,[1]Fx!$A$16:$A$24,[1]Fx!$B$16:$B$24)</f>
        <v/>
      </c>
      <c r="AH17" s="208">
        <f>AG17*R17</f>
        <v/>
      </c>
      <c r="AI17" s="208">
        <f>$AI$6*Z17</f>
        <v/>
      </c>
      <c r="AJ17" s="208">
        <f>$AJ$6*AA17</f>
        <v/>
      </c>
      <c r="AK17" s="208">
        <f>$AK$6*AB17</f>
        <v/>
      </c>
      <c r="AL17" s="208">
        <f>$AL$6*AC17</f>
        <v/>
      </c>
      <c r="AM17" s="220">
        <f>SUM(AH17:AL17)</f>
        <v/>
      </c>
      <c r="AN17" s="220" t="n">
        <v>0</v>
      </c>
      <c r="AO17" s="220">
        <f>AN17*AH17</f>
        <v/>
      </c>
      <c r="AP17" s="220">
        <f>AD17</f>
        <v/>
      </c>
      <c r="AQ17" s="220">
        <f>AE17</f>
        <v/>
      </c>
      <c r="AR17" s="208">
        <f>AM17-AO17</f>
        <v/>
      </c>
      <c r="AS17" s="220">
        <f>AR17-AK17</f>
        <v/>
      </c>
      <c r="AT17" s="208">
        <f>AS17*1.075</f>
        <v/>
      </c>
      <c r="AU17" s="208">
        <f>ROUNDUP(AT17+AK17,-4)</f>
        <v/>
      </c>
      <c r="AV17" s="198" t="n">
        <v>1634564</v>
      </c>
      <c r="AW17" s="220" t="n"/>
      <c r="AX17" s="208">
        <f>AV17-AR17</f>
        <v/>
      </c>
      <c r="AY17" s="35">
        <f>AX17/AR17</f>
        <v/>
      </c>
      <c r="AZ17" s="208">
        <f>AV17-AF17</f>
        <v/>
      </c>
      <c r="BA17" s="215">
        <f>AV17-SUM(Z17:AC17)</f>
        <v/>
      </c>
      <c r="BB17" s="215">
        <f>BA17-Y17</f>
        <v/>
      </c>
      <c r="BC17" s="35">
        <f>BB17/BA17</f>
        <v/>
      </c>
      <c r="BD17" s="35">
        <f>IFERROR(AZ17/AV17,)</f>
        <v/>
      </c>
      <c r="BE17" s="255">
        <f>AV17-SUM(Z17:AC17)</f>
        <v/>
      </c>
      <c r="BF17" s="255">
        <f>AV17-BE17-AC17-AB17</f>
        <v/>
      </c>
      <c r="BG17" s="255">
        <f>AV17-BE17-BF17-AB17</f>
        <v/>
      </c>
      <c r="BH17" s="255">
        <f>AB17</f>
        <v/>
      </c>
      <c r="BI17">
        <f>IF(BD17&lt;0%,"Loss",IF(BD17&lt;5%,"On Cost Plus",IF(BD17&lt;10%,"Within","Exceed")))</f>
        <v/>
      </c>
      <c r="BJ17" t="inlineStr">
        <is>
          <t>Exceed</t>
        </is>
      </c>
      <c r="BK17">
        <f>0.51*$BK$6</f>
        <v/>
      </c>
      <c r="BL17" s="190">
        <f>BK17-W17</f>
        <v/>
      </c>
      <c r="BM17" s="189">
        <f>BL17*O17</f>
        <v/>
      </c>
    </row>
    <row r="18">
      <c r="A18">
        <f>CONCATENATE(E18,F18,G18,H18,I18,J18,K18,L18)</f>
        <v/>
      </c>
      <c r="B18">
        <f>CONCATENATE(J18,"-&gt;",K18,"/",E18)</f>
        <v/>
      </c>
      <c r="C18" s="23" t="inlineStr">
        <is>
          <t>AFEEZ AJIBADE/Ebenezer</t>
        </is>
      </c>
      <c r="D18">
        <f>CONCATENATE(G18,"-",H18,"-",F18)</f>
        <v/>
      </c>
      <c r="E18" s="24" t="inlineStr">
        <is>
          <t>Lacasera-45T-NBL-DSL-JUMBO</t>
        </is>
      </c>
      <c r="F18" s="24" t="inlineStr">
        <is>
          <t>JUMBO</t>
        </is>
      </c>
      <c r="G18" s="25" t="inlineStr">
        <is>
          <t>NBL-DSL</t>
        </is>
      </c>
      <c r="H18" s="24" t="inlineStr">
        <is>
          <t>45T</t>
        </is>
      </c>
      <c r="I18" s="251" t="inlineStr">
        <is>
          <t>Lacasera</t>
        </is>
      </c>
      <c r="J18" s="251" t="inlineStr">
        <is>
          <t>Lagos</t>
        </is>
      </c>
      <c r="K18" s="251" t="inlineStr">
        <is>
          <t>Onitsha</t>
        </is>
      </c>
      <c r="L18" s="205" t="inlineStr">
        <is>
          <t>Anambra</t>
        </is>
      </c>
      <c r="M18" s="252" t="inlineStr">
        <is>
          <t>Lagos</t>
        </is>
      </c>
      <c r="N18" s="253" t="n">
        <v>501</v>
      </c>
      <c r="O18" s="257">
        <f>N18*2</f>
        <v/>
      </c>
      <c r="P18" s="220">
        <f>ROUNDUP(O18/300,)</f>
        <v/>
      </c>
      <c r="Q18" s="220" t="n">
        <v>1</v>
      </c>
      <c r="R18" s="220">
        <f>Q18+P18</f>
        <v/>
      </c>
      <c r="S18" s="195">
        <f>ROUNDDOWN(O18*0.7,)</f>
        <v/>
      </c>
      <c r="T18" s="208">
        <f>_xlfn.XLOOKUP(G18,[1]Fx!$A$4:$A$12,[1]Fx!$B$4:$B$12)</f>
        <v/>
      </c>
      <c r="U18" s="208">
        <f>_xlfn.XLOOKUP(G18,[1]Fx!$A$4:$A$12,[1]Fx!$C$4:$C$12)</f>
        <v/>
      </c>
      <c r="V18" s="208">
        <f>_xlfn.XLOOKUP(G18,[1]Fx!$A$4:$A$12,[1]Fx!$D$4:$D$12)</f>
        <v/>
      </c>
      <c r="W18" s="208">
        <f>_xlfn.XLOOKUP(H18&amp;I18,'[1]Mapping DSL'!$H:$H,'[1]Mapping DSL'!$J:$J)</f>
        <v/>
      </c>
      <c r="X18" s="220">
        <f>_xlfn.XLOOKUP(G18,[1]Fx!$A$4:$A$12,[1]Fx!$E$4:$E$12)</f>
        <v/>
      </c>
      <c r="Y18" s="220">
        <f>T18*R18</f>
        <v/>
      </c>
      <c r="Z18" s="220">
        <f>U18*O18</f>
        <v/>
      </c>
      <c r="AA18" s="220">
        <f>V18*O18</f>
        <v/>
      </c>
      <c r="AB18" s="220">
        <f>W18*O18</f>
        <v/>
      </c>
      <c r="AC18" s="198">
        <f>X18*O18</f>
        <v/>
      </c>
      <c r="AD18" s="220" t="n">
        <v>0</v>
      </c>
      <c r="AE18" s="220" t="n">
        <v>0</v>
      </c>
      <c r="AF18" s="208">
        <f>SUM(Y18:AE18)</f>
        <v/>
      </c>
      <c r="AG18" s="254">
        <f>_xlfn.XLOOKUP(G18,[1]Fx!$A$16:$A$24,[1]Fx!$B$16:$B$24)</f>
        <v/>
      </c>
      <c r="AH18" s="208">
        <f>AG18*R18</f>
        <v/>
      </c>
      <c r="AI18" s="208">
        <f>$AI$6*Z18</f>
        <v/>
      </c>
      <c r="AJ18" s="208">
        <f>$AJ$6*AA18</f>
        <v/>
      </c>
      <c r="AK18" s="208">
        <f>$AK$6*AB18</f>
        <v/>
      </c>
      <c r="AL18" s="208">
        <f>$AL$6*AC18</f>
        <v/>
      </c>
      <c r="AM18" s="220">
        <f>SUM(AH18:AL18)</f>
        <v/>
      </c>
      <c r="AN18" s="220" t="n">
        <v>0</v>
      </c>
      <c r="AO18" s="220">
        <f>AN18*AH18</f>
        <v/>
      </c>
      <c r="AP18" s="220">
        <f>AD18</f>
        <v/>
      </c>
      <c r="AQ18" s="220">
        <f>AE18</f>
        <v/>
      </c>
      <c r="AR18" s="208">
        <f>AM18-AO18</f>
        <v/>
      </c>
      <c r="AS18" s="220">
        <f>AR18-AK18</f>
        <v/>
      </c>
      <c r="AT18" s="208">
        <f>AS18*1.075</f>
        <v/>
      </c>
      <c r="AU18" s="208">
        <f>ROUNDUP(AT18+AK18,-4)</f>
        <v/>
      </c>
      <c r="AV18" s="198" t="n">
        <v>2248843</v>
      </c>
      <c r="AW18" s="220" t="n"/>
      <c r="AX18" s="208">
        <f>AV18-AR18</f>
        <v/>
      </c>
      <c r="AY18" s="35">
        <f>AX18/AR18</f>
        <v/>
      </c>
      <c r="AZ18" s="208">
        <f>AV18-AF18</f>
        <v/>
      </c>
      <c r="BA18" s="215">
        <f>AV18-SUM(Z18:AC18)</f>
        <v/>
      </c>
      <c r="BB18" s="215">
        <f>BA18-Y18</f>
        <v/>
      </c>
      <c r="BC18" s="35">
        <f>BB18/BA18</f>
        <v/>
      </c>
      <c r="BD18" s="35">
        <f>IFERROR(AZ18/AV18,)</f>
        <v/>
      </c>
      <c r="BE18" s="255">
        <f>AV18-SUM(Z18:AC18)</f>
        <v/>
      </c>
      <c r="BF18" s="255">
        <f>AV18-BE18-AC18-AB18</f>
        <v/>
      </c>
      <c r="BG18" s="255">
        <f>AV18-BE18-BF18-AB18</f>
        <v/>
      </c>
      <c r="BH18" s="255">
        <f>AB18</f>
        <v/>
      </c>
      <c r="BI18">
        <f>IF(BD18&lt;0%,"Loss",IF(BD18&lt;5%,"On Cost Plus",IF(BD18&lt;10%,"Within","Exceed")))</f>
        <v/>
      </c>
      <c r="BJ18" t="inlineStr">
        <is>
          <t>Exceed</t>
        </is>
      </c>
      <c r="BK18">
        <f>0.51*$BK$6</f>
        <v/>
      </c>
      <c r="BL18" s="190">
        <f>BK18-W18</f>
        <v/>
      </c>
      <c r="BM18" s="189">
        <f>BL18*O18</f>
        <v/>
      </c>
    </row>
    <row r="19">
      <c r="A19">
        <f>CONCATENATE(E19,F19,G19,H19,I19,J19,K19,L19)</f>
        <v/>
      </c>
      <c r="B19" s="25">
        <f>CONCATENATE(J19,"-&gt;",K19,"/",E19)</f>
        <v/>
      </c>
      <c r="C19" s="24" t="inlineStr">
        <is>
          <t>AFEEZ AJIBADE/Ebenezer</t>
        </is>
      </c>
      <c r="D19" s="25">
        <f>CONCATENATE(G19,"-",H19,"-",F19)</f>
        <v/>
      </c>
      <c r="E19" s="24" t="inlineStr">
        <is>
          <t>JAMARA-30T-NBL-DSL-CONTAINARIZED</t>
        </is>
      </c>
      <c r="F19" s="24" t="inlineStr">
        <is>
          <t>CONTAINARIZED</t>
        </is>
      </c>
      <c r="G19" s="25" t="inlineStr">
        <is>
          <t>NBL-DSL</t>
        </is>
      </c>
      <c r="H19" s="24" t="inlineStr">
        <is>
          <t>30T</t>
        </is>
      </c>
      <c r="I19" s="251" t="inlineStr">
        <is>
          <t>JAMARA</t>
        </is>
      </c>
      <c r="J19" s="251" t="inlineStr">
        <is>
          <t>Lagos</t>
        </is>
      </c>
      <c r="K19" s="258" t="inlineStr">
        <is>
          <t>Ibadan</t>
        </is>
      </c>
      <c r="L19" s="231" t="inlineStr">
        <is>
          <t>Oyo</t>
        </is>
      </c>
      <c r="M19" s="256" t="n"/>
      <c r="N19" s="253" t="n">
        <v>120.5</v>
      </c>
      <c r="O19" s="257">
        <f>N19*2</f>
        <v/>
      </c>
      <c r="P19" s="227">
        <f>ROUNDUP(O19/300,)</f>
        <v/>
      </c>
      <c r="Q19" s="220" t="n">
        <v>1</v>
      </c>
      <c r="R19" s="220">
        <f>Q19+P19</f>
        <v/>
      </c>
      <c r="S19" s="198">
        <f>ROUNDDOWN(O19*0.7,)</f>
        <v/>
      </c>
      <c r="T19" s="220">
        <f>_xlfn.XLOOKUP(G19,[1]Fx!$A$4:$A$12,[1]Fx!$B$4:$B$12)</f>
        <v/>
      </c>
      <c r="U19" s="220">
        <f>_xlfn.XLOOKUP(G19,[1]Fx!$A$4:$A$12,[1]Fx!$C$4:$C$12)</f>
        <v/>
      </c>
      <c r="V19" s="220">
        <f>_xlfn.XLOOKUP(G19,[1]Fx!$A$4:$A$12,[1]Fx!$D$4:$D$12)</f>
        <v/>
      </c>
      <c r="W19" s="208">
        <f>_xlfn.XLOOKUP(H19&amp;I19,'[1]Mapping DSL'!$H:$H,'[1]Mapping DSL'!$J:$J)</f>
        <v/>
      </c>
      <c r="X19" s="220">
        <f>_xlfn.XLOOKUP(G19,[1]Fx!$A$4:$A$12,[1]Fx!$E$4:$E$12)</f>
        <v/>
      </c>
      <c r="Y19" s="220">
        <f>T19*R19</f>
        <v/>
      </c>
      <c r="Z19" s="220">
        <f>U19*O19</f>
        <v/>
      </c>
      <c r="AA19" s="220">
        <f>V19*O19</f>
        <v/>
      </c>
      <c r="AB19" s="220">
        <f>W19*O19</f>
        <v/>
      </c>
      <c r="AC19" s="198">
        <f>X19*O19</f>
        <v/>
      </c>
      <c r="AD19" s="220" t="n">
        <v>0</v>
      </c>
      <c r="AE19" s="220" t="n">
        <v>0</v>
      </c>
      <c r="AF19" s="220">
        <f>SUM(Y19:AE19)</f>
        <v/>
      </c>
      <c r="AG19" s="205">
        <f>_xlfn.XLOOKUP(G19,[1]Fx!$A$16:$A$24,[1]Fx!$B$16:$B$24)</f>
        <v/>
      </c>
      <c r="AH19" s="220">
        <f>AG19*R19</f>
        <v/>
      </c>
      <c r="AI19" s="220">
        <f>$AI$6*Z19</f>
        <v/>
      </c>
      <c r="AJ19" s="220">
        <f>$AJ$6*AA19</f>
        <v/>
      </c>
      <c r="AK19" s="220">
        <f>$AK$6*AB19</f>
        <v/>
      </c>
      <c r="AL19" s="220">
        <f>$AL$6*AC19</f>
        <v/>
      </c>
      <c r="AM19" s="220">
        <f>SUM(AH19:AL19)</f>
        <v/>
      </c>
      <c r="AN19" s="220" t="n">
        <v>0</v>
      </c>
      <c r="AO19" s="220">
        <f>AN19*AH19</f>
        <v/>
      </c>
      <c r="AP19" s="220">
        <f>AD19</f>
        <v/>
      </c>
      <c r="AQ19" s="220">
        <f>AE19</f>
        <v/>
      </c>
      <c r="AR19" s="220">
        <f>AM19-AO19</f>
        <v/>
      </c>
      <c r="AS19" s="220">
        <f>AR19-AK19</f>
        <v/>
      </c>
      <c r="AT19" s="220">
        <f>AS19*1.075</f>
        <v/>
      </c>
      <c r="AU19" s="220">
        <f>ROUNDUP(AT19+AK19,-4)</f>
        <v/>
      </c>
      <c r="AV19" s="198" t="n">
        <v>660000</v>
      </c>
      <c r="AW19" s="227" t="n"/>
      <c r="AX19" s="220">
        <f>AV19-AR19</f>
        <v/>
      </c>
      <c r="AY19" s="35">
        <f>AX19/AR19</f>
        <v/>
      </c>
      <c r="AZ19" s="220">
        <f>AV19-AF19</f>
        <v/>
      </c>
      <c r="BA19" s="215">
        <f>AV19-SUM(Z19:AC19)</f>
        <v/>
      </c>
      <c r="BB19" s="215">
        <f>BA19-Y19</f>
        <v/>
      </c>
      <c r="BC19" s="35">
        <f>BB19/BA19</f>
        <v/>
      </c>
      <c r="BD19" s="35">
        <f>IFERROR(AZ19/AV19,)</f>
        <v/>
      </c>
      <c r="BE19" s="255">
        <f>AV19-SUM(Z19:AC19)</f>
        <v/>
      </c>
      <c r="BF19" s="255">
        <f>AV19-BE19-AC19-AB19</f>
        <v/>
      </c>
      <c r="BG19" s="255">
        <f>AV19-BE19-BF19-AB19</f>
        <v/>
      </c>
      <c r="BH19" s="255">
        <f>AB19</f>
        <v/>
      </c>
      <c r="BI19">
        <f>IF(BD19&lt;0%,"Loss",IF(BD19&lt;5%,"On Cost Plus",IF(BD19&lt;10%,"Within","Exceed")))</f>
        <v/>
      </c>
      <c r="BJ19" t="inlineStr">
        <is>
          <t>Exceed</t>
        </is>
      </c>
      <c r="BK19">
        <f>0.51*$BK$6</f>
        <v/>
      </c>
      <c r="BL19" s="190">
        <f>BK19-W19</f>
        <v/>
      </c>
      <c r="BM19" s="189">
        <f>BL19*O19</f>
        <v/>
      </c>
    </row>
    <row r="20">
      <c r="A20">
        <f>CONCATENATE(E20,F20,G20,H20,I20,J20,K20,L20)</f>
        <v/>
      </c>
      <c r="B20" s="25">
        <f>CONCATENATE(J20,"-&gt;",K20,"/",E20)</f>
        <v/>
      </c>
      <c r="C20" s="24" t="inlineStr">
        <is>
          <t>AFEEZ AJIBADE/Ebenezer</t>
        </is>
      </c>
      <c r="D20" s="25">
        <f>CONCATENATE(G20,"-",H20,"-",F20)</f>
        <v/>
      </c>
      <c r="E20" s="24" t="inlineStr">
        <is>
          <t>JAMARA-30T-NBL-DSL-CONTAINARIZED</t>
        </is>
      </c>
      <c r="F20" s="24" t="inlineStr">
        <is>
          <t>CONTAINARIZED</t>
        </is>
      </c>
      <c r="G20" s="25" t="inlineStr">
        <is>
          <t>NBL-DSL</t>
        </is>
      </c>
      <c r="H20" s="24" t="inlineStr">
        <is>
          <t>30T</t>
        </is>
      </c>
      <c r="I20" s="251" t="inlineStr">
        <is>
          <t>JAMARA</t>
        </is>
      </c>
      <c r="J20" s="251" t="inlineStr">
        <is>
          <t>Lagos</t>
        </is>
      </c>
      <c r="K20" s="258" t="inlineStr">
        <is>
          <t>Ekiti</t>
        </is>
      </c>
      <c r="L20" s="231" t="inlineStr">
        <is>
          <t>Ekiti</t>
        </is>
      </c>
      <c r="M20" s="256" t="n"/>
      <c r="N20" s="253" t="n">
        <v>353</v>
      </c>
      <c r="O20" s="257">
        <f>N20*2</f>
        <v/>
      </c>
      <c r="P20" s="227">
        <f>ROUNDUP(O20/300,)</f>
        <v/>
      </c>
      <c r="Q20" s="220" t="n">
        <v>1</v>
      </c>
      <c r="R20" s="220">
        <f>Q20+P20</f>
        <v/>
      </c>
      <c r="S20" s="198">
        <f>ROUNDDOWN(O20*0.7,)</f>
        <v/>
      </c>
      <c r="T20" s="220">
        <f>_xlfn.XLOOKUP(G20,[1]Fx!$A$4:$A$12,[1]Fx!$B$4:$B$12)</f>
        <v/>
      </c>
      <c r="U20" s="220">
        <f>_xlfn.XLOOKUP(G20,[1]Fx!$A$4:$A$12,[1]Fx!$C$4:$C$12)</f>
        <v/>
      </c>
      <c r="V20" s="220">
        <f>_xlfn.XLOOKUP(G20,[1]Fx!$A$4:$A$12,[1]Fx!$D$4:$D$12)</f>
        <v/>
      </c>
      <c r="W20" s="208">
        <f>_xlfn.XLOOKUP(H20&amp;I20,'[1]Mapping DSL'!$H:$H,'[1]Mapping DSL'!$J:$J)</f>
        <v/>
      </c>
      <c r="X20" s="220">
        <f>_xlfn.XLOOKUP(G20,[1]Fx!$A$4:$A$12,[1]Fx!$E$4:$E$12)</f>
        <v/>
      </c>
      <c r="Y20" s="220">
        <f>T20*R20</f>
        <v/>
      </c>
      <c r="Z20" s="220">
        <f>U20*O20</f>
        <v/>
      </c>
      <c r="AA20" s="220">
        <f>V20*O20</f>
        <v/>
      </c>
      <c r="AB20" s="220">
        <f>W20*O20</f>
        <v/>
      </c>
      <c r="AC20" s="198">
        <f>X20*O20</f>
        <v/>
      </c>
      <c r="AD20" s="220" t="n">
        <v>0</v>
      </c>
      <c r="AE20" s="220" t="n">
        <v>0</v>
      </c>
      <c r="AF20" s="220">
        <f>SUM(Y20:AE20)</f>
        <v/>
      </c>
      <c r="AG20" s="205">
        <f>_xlfn.XLOOKUP(G20,[1]Fx!$A$16:$A$24,[1]Fx!$B$16:$B$24)</f>
        <v/>
      </c>
      <c r="AH20" s="220">
        <f>AG20*R20</f>
        <v/>
      </c>
      <c r="AI20" s="220">
        <f>$AI$6*Z20</f>
        <v/>
      </c>
      <c r="AJ20" s="220">
        <f>$AJ$6*AA20</f>
        <v/>
      </c>
      <c r="AK20" s="220">
        <f>$AK$6*AB20</f>
        <v/>
      </c>
      <c r="AL20" s="220">
        <f>$AL$6*AC20</f>
        <v/>
      </c>
      <c r="AM20" s="220">
        <f>SUM(AH20:AL20)</f>
        <v/>
      </c>
      <c r="AN20" s="220" t="n">
        <v>0</v>
      </c>
      <c r="AO20" s="220">
        <f>AN20*AH20</f>
        <v/>
      </c>
      <c r="AP20" s="220">
        <f>AD20</f>
        <v/>
      </c>
      <c r="AQ20" s="220">
        <f>AE20</f>
        <v/>
      </c>
      <c r="AR20" s="220">
        <f>AM20-AO20</f>
        <v/>
      </c>
      <c r="AS20" s="220">
        <f>AR20-AK20</f>
        <v/>
      </c>
      <c r="AT20" s="220">
        <f>AS20*1.075</f>
        <v/>
      </c>
      <c r="AU20" s="220">
        <f>ROUNDUP(AT20+AK20,-4)</f>
        <v/>
      </c>
      <c r="AV20" s="198" t="n">
        <v>1590000</v>
      </c>
      <c r="AW20" s="220" t="n"/>
      <c r="AX20" s="220">
        <f>AV20-AR20</f>
        <v/>
      </c>
      <c r="AY20" s="35">
        <f>AX20/AR20</f>
        <v/>
      </c>
      <c r="AZ20" s="220">
        <f>AV20-AF20</f>
        <v/>
      </c>
      <c r="BA20" s="215">
        <f>AV20-SUM(Z20:AC20)</f>
        <v/>
      </c>
      <c r="BB20" s="215">
        <f>BA20-Y20</f>
        <v/>
      </c>
      <c r="BC20" s="35">
        <f>BB20/BA20</f>
        <v/>
      </c>
      <c r="BD20" s="35">
        <f>IFERROR(AZ20/AV20,)</f>
        <v/>
      </c>
      <c r="BE20" s="255">
        <f>AV20-SUM(Z20:AC20)</f>
        <v/>
      </c>
      <c r="BF20" s="255">
        <f>AV20-BE20-AC20-AB20</f>
        <v/>
      </c>
      <c r="BG20" s="255">
        <f>AV20-BE20-BF20-AB20</f>
        <v/>
      </c>
      <c r="BH20" s="255">
        <f>AB20</f>
        <v/>
      </c>
      <c r="BI20">
        <f>IF(BD20&lt;0%,"Loss",IF(BD20&lt;5%,"On Cost Plus",IF(BD20&lt;10%,"Within","Exceed")))</f>
        <v/>
      </c>
      <c r="BJ20" t="inlineStr">
        <is>
          <t>Exceed</t>
        </is>
      </c>
      <c r="BK20">
        <f>0.51*$BK$6</f>
        <v/>
      </c>
      <c r="BL20" s="190">
        <f>BK20-W20</f>
        <v/>
      </c>
      <c r="BM20" s="189">
        <f>BL20*O20</f>
        <v/>
      </c>
    </row>
    <row r="21">
      <c r="A21">
        <f>CONCATENATE(E21,F21,G21,H21,I21,J21,K21,L21)</f>
        <v/>
      </c>
      <c r="B21" s="25">
        <f>CONCATENATE(J21,"-&gt;",K21,"/",E21)</f>
        <v/>
      </c>
      <c r="C21" s="24" t="inlineStr">
        <is>
          <t>AFEEZ AJIBADE/Ebenezer</t>
        </is>
      </c>
      <c r="D21" s="25">
        <f>CONCATENATE(G21,"-",H21,"-",F21)</f>
        <v/>
      </c>
      <c r="E21" s="24" t="inlineStr">
        <is>
          <t>JAMARA-30T-NBL-DSL-CONTAINARIZED</t>
        </is>
      </c>
      <c r="F21" s="24" t="inlineStr">
        <is>
          <t>CONTAINARIZED</t>
        </is>
      </c>
      <c r="G21" s="25" t="inlineStr">
        <is>
          <t>NBL-DSL</t>
        </is>
      </c>
      <c r="H21" s="24" t="inlineStr">
        <is>
          <t>30T</t>
        </is>
      </c>
      <c r="I21" s="251" t="inlineStr">
        <is>
          <t>JAMARA</t>
        </is>
      </c>
      <c r="J21" s="251" t="inlineStr">
        <is>
          <t>Lagos</t>
        </is>
      </c>
      <c r="K21" s="258" t="inlineStr">
        <is>
          <t>Ondo</t>
        </is>
      </c>
      <c r="L21" s="231" t="inlineStr">
        <is>
          <t>Ondo</t>
        </is>
      </c>
      <c r="M21" s="256" t="n"/>
      <c r="N21" s="253" t="n">
        <v>304</v>
      </c>
      <c r="O21" s="257">
        <f>N21*2</f>
        <v/>
      </c>
      <c r="P21" s="227">
        <f>ROUNDUP(O21/300,)</f>
        <v/>
      </c>
      <c r="Q21" s="220" t="n">
        <v>1</v>
      </c>
      <c r="R21" s="220">
        <f>Q21+P21</f>
        <v/>
      </c>
      <c r="S21" s="198">
        <f>ROUNDDOWN(O21*0.7,)</f>
        <v/>
      </c>
      <c r="T21" s="220">
        <f>_xlfn.XLOOKUP(G21,[1]Fx!$A$4:$A$12,[1]Fx!$B$4:$B$12)</f>
        <v/>
      </c>
      <c r="U21" s="220">
        <f>_xlfn.XLOOKUP(G21,[1]Fx!$A$4:$A$12,[1]Fx!$C$4:$C$12)</f>
        <v/>
      </c>
      <c r="V21" s="220">
        <f>_xlfn.XLOOKUP(G21,[1]Fx!$A$4:$A$12,[1]Fx!$D$4:$D$12)</f>
        <v/>
      </c>
      <c r="W21" s="208">
        <f>_xlfn.XLOOKUP(H21&amp;I21,'[1]Mapping DSL'!$H:$H,'[1]Mapping DSL'!$J:$J)</f>
        <v/>
      </c>
      <c r="X21" s="220">
        <f>_xlfn.XLOOKUP(G21,[1]Fx!$A$4:$A$12,[1]Fx!$E$4:$E$12)</f>
        <v/>
      </c>
      <c r="Y21" s="220">
        <f>T21*R21</f>
        <v/>
      </c>
      <c r="Z21" s="220">
        <f>U21*O21</f>
        <v/>
      </c>
      <c r="AA21" s="220">
        <f>V21*O21</f>
        <v/>
      </c>
      <c r="AB21" s="220">
        <f>W21*O21</f>
        <v/>
      </c>
      <c r="AC21" s="198">
        <f>X21*O21</f>
        <v/>
      </c>
      <c r="AD21" s="220" t="n">
        <v>0</v>
      </c>
      <c r="AE21" s="220" t="n">
        <v>0</v>
      </c>
      <c r="AF21" s="220">
        <f>SUM(Y21:AE21)</f>
        <v/>
      </c>
      <c r="AG21" s="205">
        <f>_xlfn.XLOOKUP(G21,[1]Fx!$A$16:$A$24,[1]Fx!$B$16:$B$24)</f>
        <v/>
      </c>
      <c r="AH21" s="220">
        <f>AG21*R21</f>
        <v/>
      </c>
      <c r="AI21" s="220">
        <f>$AI$6*Z21</f>
        <v/>
      </c>
      <c r="AJ21" s="220">
        <f>$AJ$6*AA21</f>
        <v/>
      </c>
      <c r="AK21" s="220">
        <f>$AK$6*AB21</f>
        <v/>
      </c>
      <c r="AL21" s="220">
        <f>$AL$6*AC21</f>
        <v/>
      </c>
      <c r="AM21" s="220">
        <f>SUM(AH21:AL21)</f>
        <v/>
      </c>
      <c r="AN21" s="220" t="n">
        <v>0</v>
      </c>
      <c r="AO21" s="220">
        <f>AN21*AH21</f>
        <v/>
      </c>
      <c r="AP21" s="220">
        <f>AD21</f>
        <v/>
      </c>
      <c r="AQ21" s="220">
        <f>AE21</f>
        <v/>
      </c>
      <c r="AR21" s="220">
        <f>AM21-AO21</f>
        <v/>
      </c>
      <c r="AS21" s="220">
        <f>AR21-AK21</f>
        <v/>
      </c>
      <c r="AT21" s="220">
        <f>AS21*1.075</f>
        <v/>
      </c>
      <c r="AU21" s="220">
        <f>ROUNDUP(AT21+AK21,-4)</f>
        <v/>
      </c>
      <c r="AV21" s="198" t="n">
        <v>1470000</v>
      </c>
      <c r="AW21" s="220" t="n"/>
      <c r="AX21" s="220">
        <f>AV21-AR21</f>
        <v/>
      </c>
      <c r="AY21" s="35">
        <f>AX21/AR21</f>
        <v/>
      </c>
      <c r="AZ21" s="220">
        <f>AV21-AF21</f>
        <v/>
      </c>
      <c r="BA21" s="215">
        <f>AV21-SUM(Z21:AC21)</f>
        <v/>
      </c>
      <c r="BB21" s="215">
        <f>BA21-Y21</f>
        <v/>
      </c>
      <c r="BC21" s="35">
        <f>BB21/BA21</f>
        <v/>
      </c>
      <c r="BD21" s="35">
        <f>IFERROR(AZ21/AV21,)</f>
        <v/>
      </c>
      <c r="BE21" s="255">
        <f>AV21-SUM(Z21:AC21)</f>
        <v/>
      </c>
      <c r="BF21" s="255">
        <f>AV21-BE21-AC21-AB21</f>
        <v/>
      </c>
      <c r="BG21" s="255">
        <f>AV21-BE21-BF21-AB21</f>
        <v/>
      </c>
      <c r="BH21" s="255">
        <f>AB21</f>
        <v/>
      </c>
      <c r="BI21">
        <f>IF(BD21&lt;0%,"Loss",IF(BD21&lt;5%,"On Cost Plus",IF(BD21&lt;10%,"Within","Exceed")))</f>
        <v/>
      </c>
      <c r="BJ21" t="inlineStr">
        <is>
          <t>Exceed</t>
        </is>
      </c>
      <c r="BK21">
        <f>0.51*$BK$6</f>
        <v/>
      </c>
      <c r="BL21" s="190">
        <f>BK21-W21</f>
        <v/>
      </c>
      <c r="BM21" s="189">
        <f>BL21*O21</f>
        <v/>
      </c>
    </row>
    <row r="22">
      <c r="A22">
        <f>CONCATENATE(E22,F22,G22,H22,I22,J22,K22,L22)</f>
        <v/>
      </c>
      <c r="B22" s="25">
        <f>CONCATENATE(J22,"-&gt;",K22,"/",E22)</f>
        <v/>
      </c>
      <c r="C22" s="24" t="inlineStr">
        <is>
          <t>AFEEZ AJIBADE/Ebenezer</t>
        </is>
      </c>
      <c r="D22" s="25">
        <f>CONCATENATE(G22,"-",H22,"-",F22)</f>
        <v/>
      </c>
      <c r="E22" s="24" t="inlineStr">
        <is>
          <t>JAMARA-30T-NBL-DSL-CONTAINARIZED</t>
        </is>
      </c>
      <c r="F22" s="24" t="inlineStr">
        <is>
          <t>CONTAINARIZED</t>
        </is>
      </c>
      <c r="G22" s="25" t="inlineStr">
        <is>
          <t>NBL-DSL</t>
        </is>
      </c>
      <c r="H22" s="24" t="inlineStr">
        <is>
          <t>30T</t>
        </is>
      </c>
      <c r="I22" s="251" t="inlineStr">
        <is>
          <t>JAMARA</t>
        </is>
      </c>
      <c r="J22" s="251" t="inlineStr">
        <is>
          <t>Lagos</t>
        </is>
      </c>
      <c r="K22" s="258" t="inlineStr">
        <is>
          <t>Osun</t>
        </is>
      </c>
      <c r="L22" s="231" t="inlineStr">
        <is>
          <t>Osun</t>
        </is>
      </c>
      <c r="M22" s="256" t="n"/>
      <c r="N22" s="253" t="n">
        <v>220</v>
      </c>
      <c r="O22" s="257">
        <f>N22*2</f>
        <v/>
      </c>
      <c r="P22" s="227">
        <f>ROUNDUP(O22/300,)</f>
        <v/>
      </c>
      <c r="Q22" s="220" t="n">
        <v>1</v>
      </c>
      <c r="R22" s="220">
        <f>Q22+P22</f>
        <v/>
      </c>
      <c r="S22" s="198">
        <f>ROUNDDOWN(O22*0.7,)</f>
        <v/>
      </c>
      <c r="T22" s="220">
        <f>_xlfn.XLOOKUP(G22,[1]Fx!$A$4:$A$12,[1]Fx!$B$4:$B$12)</f>
        <v/>
      </c>
      <c r="U22" s="220">
        <f>_xlfn.XLOOKUP(G22,[1]Fx!$A$4:$A$12,[1]Fx!$C$4:$C$12)</f>
        <v/>
      </c>
      <c r="V22" s="220">
        <f>_xlfn.XLOOKUP(G22,[1]Fx!$A$4:$A$12,[1]Fx!$D$4:$D$12)</f>
        <v/>
      </c>
      <c r="W22" s="208">
        <f>_xlfn.XLOOKUP(H22&amp;I22,'[1]Mapping DSL'!$H:$H,'[1]Mapping DSL'!$J:$J)</f>
        <v/>
      </c>
      <c r="X22" s="220">
        <f>_xlfn.XLOOKUP(G22,[1]Fx!$A$4:$A$12,[1]Fx!$E$4:$E$12)</f>
        <v/>
      </c>
      <c r="Y22" s="220">
        <f>T22*R22</f>
        <v/>
      </c>
      <c r="Z22" s="220">
        <f>U22*O22</f>
        <v/>
      </c>
      <c r="AA22" s="220">
        <f>V22*O22</f>
        <v/>
      </c>
      <c r="AB22" s="220">
        <f>W22*O22</f>
        <v/>
      </c>
      <c r="AC22" s="198">
        <f>X22*O22</f>
        <v/>
      </c>
      <c r="AD22" s="220" t="n">
        <v>0</v>
      </c>
      <c r="AE22" s="220" t="n">
        <v>0</v>
      </c>
      <c r="AF22" s="220">
        <f>SUM(Y22:AE22)</f>
        <v/>
      </c>
      <c r="AG22" s="205">
        <f>_xlfn.XLOOKUP(G22,[1]Fx!$A$16:$A$24,[1]Fx!$B$16:$B$24)</f>
        <v/>
      </c>
      <c r="AH22" s="220">
        <f>AG22*R22</f>
        <v/>
      </c>
      <c r="AI22" s="220">
        <f>$AI$6*Z22</f>
        <v/>
      </c>
      <c r="AJ22" s="220">
        <f>$AJ$6*AA22</f>
        <v/>
      </c>
      <c r="AK22" s="220">
        <f>$AK$6*AB22</f>
        <v/>
      </c>
      <c r="AL22" s="220">
        <f>$AL$6*AC22</f>
        <v/>
      </c>
      <c r="AM22" s="220">
        <f>SUM(AH22:AL22)</f>
        <v/>
      </c>
      <c r="AN22" s="220" t="n">
        <v>0</v>
      </c>
      <c r="AO22" s="220">
        <f>AN22*AH22</f>
        <v/>
      </c>
      <c r="AP22" s="220">
        <f>AD22</f>
        <v/>
      </c>
      <c r="AQ22" s="220">
        <f>AE22</f>
        <v/>
      </c>
      <c r="AR22" s="220">
        <f>AM22-AO22</f>
        <v/>
      </c>
      <c r="AS22" s="220">
        <f>AR22-AK22</f>
        <v/>
      </c>
      <c r="AT22" s="220">
        <f>AS22*1.075</f>
        <v/>
      </c>
      <c r="AU22" s="220">
        <f>ROUNDUP(AT22+AK22,-4)</f>
        <v/>
      </c>
      <c r="AV22" s="198" t="n">
        <v>1090000</v>
      </c>
      <c r="AW22" s="220" t="n"/>
      <c r="AX22" s="220">
        <f>AV22-AR22</f>
        <v/>
      </c>
      <c r="AY22" s="35">
        <f>AX22/AR22</f>
        <v/>
      </c>
      <c r="AZ22" s="220">
        <f>AV22-AF22</f>
        <v/>
      </c>
      <c r="BA22" s="215">
        <f>AV22-SUM(Z22:AC22)</f>
        <v/>
      </c>
      <c r="BB22" s="215">
        <f>BA22-Y22</f>
        <v/>
      </c>
      <c r="BC22" s="35">
        <f>BB22/BA22</f>
        <v/>
      </c>
      <c r="BD22" s="35">
        <f>IFERROR(AZ22/AV22,)</f>
        <v/>
      </c>
      <c r="BE22" s="255">
        <f>AV22-SUM(Z22:AC22)</f>
        <v/>
      </c>
      <c r="BF22" s="255">
        <f>AV22-BE22-AC22-AB22</f>
        <v/>
      </c>
      <c r="BG22" s="255">
        <f>AV22-BE22-BF22-AB22</f>
        <v/>
      </c>
      <c r="BH22" s="255">
        <f>AB22</f>
        <v/>
      </c>
      <c r="BI22">
        <f>IF(BD22&lt;0%,"Loss",IF(BD22&lt;5%,"On Cost Plus",IF(BD22&lt;10%,"Within","Exceed")))</f>
        <v/>
      </c>
      <c r="BJ22" t="inlineStr">
        <is>
          <t>Exceed</t>
        </is>
      </c>
      <c r="BK22">
        <f>0.51*$BK$6</f>
        <v/>
      </c>
      <c r="BL22" s="190">
        <f>BK22-W22</f>
        <v/>
      </c>
      <c r="BM22" s="189">
        <f>BL22*O22</f>
        <v/>
      </c>
    </row>
    <row r="23">
      <c r="A23">
        <f>CONCATENATE(E23,F23,G23,H23,I23,J23,K23,L23)</f>
        <v/>
      </c>
      <c r="B23" s="25">
        <f>CONCATENATE(J23,"-&gt;",K23,"/",E23)</f>
        <v/>
      </c>
      <c r="C23" s="24" t="inlineStr">
        <is>
          <t>AFEEZ AJIBADE/Ebenezer</t>
        </is>
      </c>
      <c r="D23" s="25">
        <f>CONCATENATE(G23,"-",H23,"-",F23)</f>
        <v/>
      </c>
      <c r="E23" s="24" t="inlineStr">
        <is>
          <t>JAMARA-30T-NBL-DSL-CONTAINARIZED</t>
        </is>
      </c>
      <c r="F23" s="24" t="inlineStr">
        <is>
          <t>CONTAINARIZED</t>
        </is>
      </c>
      <c r="G23" s="25" t="inlineStr">
        <is>
          <t>NBL-DSL</t>
        </is>
      </c>
      <c r="H23" s="24" t="inlineStr">
        <is>
          <t>30T</t>
        </is>
      </c>
      <c r="I23" s="251" t="inlineStr">
        <is>
          <t>JAMARA</t>
        </is>
      </c>
      <c r="J23" s="251" t="inlineStr">
        <is>
          <t>Lagos</t>
        </is>
      </c>
      <c r="K23" s="258" t="inlineStr">
        <is>
          <t>Kwara</t>
        </is>
      </c>
      <c r="L23" s="231" t="inlineStr">
        <is>
          <t>Kwara</t>
        </is>
      </c>
      <c r="M23" s="256" t="n"/>
      <c r="N23" s="253" t="n">
        <v>297.5</v>
      </c>
      <c r="O23" s="257">
        <f>N23*2</f>
        <v/>
      </c>
      <c r="P23" s="227">
        <f>ROUNDUP(O23/300,)</f>
        <v/>
      </c>
      <c r="Q23" s="220" t="n">
        <v>1</v>
      </c>
      <c r="R23" s="220">
        <f>Q23+P23</f>
        <v/>
      </c>
      <c r="S23" s="198">
        <f>ROUNDDOWN(O23*0.7,)</f>
        <v/>
      </c>
      <c r="T23" s="220">
        <f>_xlfn.XLOOKUP(G23,[1]Fx!$A$4:$A$12,[1]Fx!$B$4:$B$12)</f>
        <v/>
      </c>
      <c r="U23" s="220">
        <f>_xlfn.XLOOKUP(G23,[1]Fx!$A$4:$A$12,[1]Fx!$C$4:$C$12)</f>
        <v/>
      </c>
      <c r="V23" s="220">
        <f>_xlfn.XLOOKUP(G23,[1]Fx!$A$4:$A$12,[1]Fx!$D$4:$D$12)</f>
        <v/>
      </c>
      <c r="W23" s="208">
        <f>_xlfn.XLOOKUP(H23&amp;I23,'[1]Mapping DSL'!$H:$H,'[1]Mapping DSL'!$J:$J)</f>
        <v/>
      </c>
      <c r="X23" s="220">
        <f>_xlfn.XLOOKUP(G23,[1]Fx!$A$4:$A$12,[1]Fx!$E$4:$E$12)</f>
        <v/>
      </c>
      <c r="Y23" s="220">
        <f>T23*R23</f>
        <v/>
      </c>
      <c r="Z23" s="220">
        <f>U23*O23</f>
        <v/>
      </c>
      <c r="AA23" s="220">
        <f>V23*O23</f>
        <v/>
      </c>
      <c r="AB23" s="220">
        <f>W23*O23</f>
        <v/>
      </c>
      <c r="AC23" s="198">
        <f>X23*O23</f>
        <v/>
      </c>
      <c r="AD23" s="220" t="n">
        <v>0</v>
      </c>
      <c r="AE23" s="220" t="n">
        <v>0</v>
      </c>
      <c r="AF23" s="220">
        <f>SUM(Y23:AE23)</f>
        <v/>
      </c>
      <c r="AG23" s="205">
        <f>_xlfn.XLOOKUP(G23,[1]Fx!$A$16:$A$24,[1]Fx!$B$16:$B$24)</f>
        <v/>
      </c>
      <c r="AH23" s="220">
        <f>AG23*R23</f>
        <v/>
      </c>
      <c r="AI23" s="220">
        <f>$AI$6*Z23</f>
        <v/>
      </c>
      <c r="AJ23" s="220">
        <f>$AJ$6*AA23</f>
        <v/>
      </c>
      <c r="AK23" s="220">
        <f>$AK$6*AB23</f>
        <v/>
      </c>
      <c r="AL23" s="220">
        <f>$AL$6*AC23</f>
        <v/>
      </c>
      <c r="AM23" s="220">
        <f>SUM(AH23:AL23)</f>
        <v/>
      </c>
      <c r="AN23" s="220" t="n">
        <v>0</v>
      </c>
      <c r="AO23" s="220">
        <f>AN23*AH23</f>
        <v/>
      </c>
      <c r="AP23" s="220">
        <f>AD23</f>
        <v/>
      </c>
      <c r="AQ23" s="220">
        <f>AE23</f>
        <v/>
      </c>
      <c r="AR23" s="220">
        <f>AM23-AO23</f>
        <v/>
      </c>
      <c r="AS23" s="220">
        <f>AR23-AK23</f>
        <v/>
      </c>
      <c r="AT23" s="220">
        <f>AS23*1.075</f>
        <v/>
      </c>
      <c r="AU23" s="220">
        <f>ROUNDUP(AT23+AK23,-4)</f>
        <v/>
      </c>
      <c r="AV23" s="198" t="n">
        <v>1280000</v>
      </c>
      <c r="AW23" s="220" t="n"/>
      <c r="AX23" s="220">
        <f>AV23-AR23</f>
        <v/>
      </c>
      <c r="AY23" s="35">
        <f>AX23/AR23</f>
        <v/>
      </c>
      <c r="AZ23" s="220">
        <f>AV23-AF23</f>
        <v/>
      </c>
      <c r="BA23" s="215">
        <f>AV23-SUM(Z23:AC23)</f>
        <v/>
      </c>
      <c r="BB23" s="215">
        <f>BA23-Y23</f>
        <v/>
      </c>
      <c r="BC23" s="35">
        <f>BB23/BA23</f>
        <v/>
      </c>
      <c r="BD23" s="35">
        <f>IFERROR(AZ23/AV23,)</f>
        <v/>
      </c>
      <c r="BE23" s="255">
        <f>AV23-SUM(Z23:AC23)</f>
        <v/>
      </c>
      <c r="BF23" s="255">
        <f>AV23-BE23-AC23-AB23</f>
        <v/>
      </c>
      <c r="BG23" s="255">
        <f>AV23-BE23-BF23-AB23</f>
        <v/>
      </c>
      <c r="BH23" s="255">
        <f>AB23</f>
        <v/>
      </c>
      <c r="BI23">
        <f>IF(BD23&lt;0%,"Loss",IF(BD23&lt;5%,"On Cost Plus",IF(BD23&lt;10%,"Within","Exceed")))</f>
        <v/>
      </c>
      <c r="BJ23" t="inlineStr">
        <is>
          <t>Exceed</t>
        </is>
      </c>
      <c r="BK23">
        <f>0.51*$BK$6</f>
        <v/>
      </c>
      <c r="BL23" s="190">
        <f>BK23-W23</f>
        <v/>
      </c>
      <c r="BM23" s="189">
        <f>BL23*O23</f>
        <v/>
      </c>
    </row>
    <row r="24">
      <c r="A24">
        <f>CONCATENATE(E24,F24,G24,H24,I24,J24,K24,L24)</f>
        <v/>
      </c>
      <c r="B24" s="25">
        <f>CONCATENATE(J24,"-&gt;",K24,"/",E24)</f>
        <v/>
      </c>
      <c r="C24" s="24" t="inlineStr">
        <is>
          <t>AFEEZ AJIBADE/Ebenezer</t>
        </is>
      </c>
      <c r="D24" s="25">
        <f>CONCATENATE(G24,"-",H24,"-",F24)</f>
        <v/>
      </c>
      <c r="E24" s="24" t="inlineStr">
        <is>
          <t>JAMARA-30T-NBL-DSL-CONTAINARIZED</t>
        </is>
      </c>
      <c r="F24" s="24" t="inlineStr">
        <is>
          <t>CONTAINARIZED</t>
        </is>
      </c>
      <c r="G24" s="25" t="inlineStr">
        <is>
          <t>NBL-DSL</t>
        </is>
      </c>
      <c r="H24" s="24" t="inlineStr">
        <is>
          <t>30T</t>
        </is>
      </c>
      <c r="I24" s="251" t="inlineStr">
        <is>
          <t>JAMARA</t>
        </is>
      </c>
      <c r="J24" s="251" t="inlineStr">
        <is>
          <t>Lagos</t>
        </is>
      </c>
      <c r="K24" s="258" t="inlineStr">
        <is>
          <t>Omu-Aran</t>
        </is>
      </c>
      <c r="L24" s="231" t="inlineStr">
        <is>
          <t>Kwara</t>
        </is>
      </c>
      <c r="M24" s="256" t="n"/>
      <c r="N24" s="253" t="n">
        <v>317.5</v>
      </c>
      <c r="O24" s="257">
        <f>N24*2</f>
        <v/>
      </c>
      <c r="P24" s="227">
        <f>ROUNDUP(O24/300,)</f>
        <v/>
      </c>
      <c r="Q24" s="220" t="n">
        <v>1</v>
      </c>
      <c r="R24" s="220">
        <f>Q24+P24</f>
        <v/>
      </c>
      <c r="S24" s="198">
        <f>ROUNDDOWN(O24*0.7,)</f>
        <v/>
      </c>
      <c r="T24" s="220">
        <f>_xlfn.XLOOKUP(G24,[1]Fx!$A$4:$A$12,[1]Fx!$B$4:$B$12)</f>
        <v/>
      </c>
      <c r="U24" s="220">
        <f>_xlfn.XLOOKUP(G24,[1]Fx!$A$4:$A$12,[1]Fx!$C$4:$C$12)</f>
        <v/>
      </c>
      <c r="V24" s="220">
        <f>_xlfn.XLOOKUP(G24,[1]Fx!$A$4:$A$12,[1]Fx!$D$4:$D$12)</f>
        <v/>
      </c>
      <c r="W24" s="208">
        <f>_xlfn.XLOOKUP(H24&amp;I24,'[1]Mapping DSL'!$H:$H,'[1]Mapping DSL'!$J:$J)</f>
        <v/>
      </c>
      <c r="X24" s="220">
        <f>_xlfn.XLOOKUP(G24,[1]Fx!$A$4:$A$12,[1]Fx!$E$4:$E$12)</f>
        <v/>
      </c>
      <c r="Y24" s="220">
        <f>T24*R24</f>
        <v/>
      </c>
      <c r="Z24" s="220">
        <f>U24*O24</f>
        <v/>
      </c>
      <c r="AA24" s="220">
        <f>V24*O24</f>
        <v/>
      </c>
      <c r="AB24" s="220">
        <f>W24*O24</f>
        <v/>
      </c>
      <c r="AC24" s="198">
        <f>X24*O24</f>
        <v/>
      </c>
      <c r="AD24" s="220" t="n">
        <v>0</v>
      </c>
      <c r="AE24" s="220" t="n">
        <v>0</v>
      </c>
      <c r="AF24" s="220">
        <f>SUM(Y24:AE24)</f>
        <v/>
      </c>
      <c r="AG24" s="205">
        <f>_xlfn.XLOOKUP(G24,[1]Fx!$A$16:$A$24,[1]Fx!$B$16:$B$24)</f>
        <v/>
      </c>
      <c r="AH24" s="220">
        <f>AG24*R24</f>
        <v/>
      </c>
      <c r="AI24" s="220">
        <f>$AI$6*Z24</f>
        <v/>
      </c>
      <c r="AJ24" s="220">
        <f>$AJ$6*AA24</f>
        <v/>
      </c>
      <c r="AK24" s="220">
        <f>$AK$6*AB24</f>
        <v/>
      </c>
      <c r="AL24" s="220">
        <f>$AL$6*AC24</f>
        <v/>
      </c>
      <c r="AM24" s="220">
        <f>SUM(AH24:AL24)</f>
        <v/>
      </c>
      <c r="AN24" s="220" t="n">
        <v>0</v>
      </c>
      <c r="AO24" s="220">
        <f>AN24*AH24</f>
        <v/>
      </c>
      <c r="AP24" s="220">
        <f>AD24</f>
        <v/>
      </c>
      <c r="AQ24" s="220">
        <f>AE24</f>
        <v/>
      </c>
      <c r="AR24" s="220">
        <f>AM24-AO24</f>
        <v/>
      </c>
      <c r="AS24" s="220">
        <f>AR24-AK24</f>
        <v/>
      </c>
      <c r="AT24" s="220">
        <f>AS24*1.075</f>
        <v/>
      </c>
      <c r="AU24" s="220">
        <f>ROUNDUP(AT24+AK24,-4)</f>
        <v/>
      </c>
      <c r="AV24" s="198" t="n">
        <v>1500000</v>
      </c>
      <c r="AW24" s="220" t="n"/>
      <c r="AX24" s="220">
        <f>AV24-AR24</f>
        <v/>
      </c>
      <c r="AY24" s="35">
        <f>AX24/AR24</f>
        <v/>
      </c>
      <c r="AZ24" s="220">
        <f>AV24-AF24</f>
        <v/>
      </c>
      <c r="BA24" s="215">
        <f>AV24-SUM(Z24:AC24)</f>
        <v/>
      </c>
      <c r="BB24" s="215">
        <f>BA24-Y24</f>
        <v/>
      </c>
      <c r="BC24" s="35">
        <f>BB24/BA24</f>
        <v/>
      </c>
      <c r="BD24" s="35">
        <f>IFERROR(AZ24/AV24,)</f>
        <v/>
      </c>
      <c r="BE24" s="255">
        <f>AV24-SUM(Z24:AC24)</f>
        <v/>
      </c>
      <c r="BF24" s="255">
        <f>AV24-BE24-AC24-AB24</f>
        <v/>
      </c>
      <c r="BG24" s="255">
        <f>AV24-BE24-BF24-AB24</f>
        <v/>
      </c>
      <c r="BH24" s="255">
        <f>AB24</f>
        <v/>
      </c>
      <c r="BI24">
        <f>IF(BD24&lt;0%,"Loss",IF(BD24&lt;5%,"On Cost Plus",IF(BD24&lt;10%,"Within","Exceed")))</f>
        <v/>
      </c>
      <c r="BJ24" t="inlineStr">
        <is>
          <t>Exceed</t>
        </is>
      </c>
      <c r="BK24">
        <f>0.51*$BK$6</f>
        <v/>
      </c>
      <c r="BL24" s="190">
        <f>BK24-W24</f>
        <v/>
      </c>
      <c r="BM24" s="189">
        <f>BL24*O24</f>
        <v/>
      </c>
    </row>
    <row r="25">
      <c r="A25">
        <f>CONCATENATE(E25,F25,G25,H25,I25,J25,K25,L25)</f>
        <v/>
      </c>
      <c r="B25" s="25">
        <f>CONCATENATE(J25,"-&gt;",K25,"/",E25)</f>
        <v/>
      </c>
      <c r="C25" s="24" t="inlineStr">
        <is>
          <t>AFEEZ AJIBADE/Ebenezer</t>
        </is>
      </c>
      <c r="D25" s="25">
        <f>CONCATENATE(G25,"-",H25,"-",F25)</f>
        <v/>
      </c>
      <c r="E25" s="24" t="inlineStr">
        <is>
          <t>JAMARA-30T-NBL-DSL-CONTAINARIZED</t>
        </is>
      </c>
      <c r="F25" s="24" t="inlineStr">
        <is>
          <t>CONTAINARIZED</t>
        </is>
      </c>
      <c r="G25" s="25" t="inlineStr">
        <is>
          <t>NBL-DSL</t>
        </is>
      </c>
      <c r="H25" s="24" t="inlineStr">
        <is>
          <t>30T</t>
        </is>
      </c>
      <c r="I25" s="251" t="inlineStr">
        <is>
          <t>JAMARA</t>
        </is>
      </c>
      <c r="J25" s="251" t="inlineStr">
        <is>
          <t>Lagos</t>
        </is>
      </c>
      <c r="K25" s="258" t="inlineStr">
        <is>
          <t>Abeokuta</t>
        </is>
      </c>
      <c r="L25" s="231" t="inlineStr">
        <is>
          <t>Ogun</t>
        </is>
      </c>
      <c r="M25" s="256" t="n"/>
      <c r="N25" s="253" t="n">
        <v>100</v>
      </c>
      <c r="O25" s="257">
        <f>N25*2</f>
        <v/>
      </c>
      <c r="P25" s="227">
        <f>ROUNDUP(O25/300,)</f>
        <v/>
      </c>
      <c r="Q25" s="220" t="n">
        <v>1</v>
      </c>
      <c r="R25" s="220">
        <f>Q25+P25</f>
        <v/>
      </c>
      <c r="S25" s="198">
        <f>ROUNDDOWN(O25*0.7,)</f>
        <v/>
      </c>
      <c r="T25" s="220">
        <f>_xlfn.XLOOKUP(G25,[1]Fx!$A$4:$A$12,[1]Fx!$B$4:$B$12)</f>
        <v/>
      </c>
      <c r="U25" s="220">
        <f>_xlfn.XLOOKUP(G25,[1]Fx!$A$4:$A$12,[1]Fx!$C$4:$C$12)</f>
        <v/>
      </c>
      <c r="V25" s="220">
        <f>_xlfn.XLOOKUP(G25,[1]Fx!$A$4:$A$12,[1]Fx!$D$4:$D$12)</f>
        <v/>
      </c>
      <c r="W25" s="208">
        <f>_xlfn.XLOOKUP(H25&amp;I25,'[1]Mapping DSL'!$H:$H,'[1]Mapping DSL'!$J:$J)</f>
        <v/>
      </c>
      <c r="X25" s="220">
        <f>_xlfn.XLOOKUP(G25,[1]Fx!$A$4:$A$12,[1]Fx!$E$4:$E$12)</f>
        <v/>
      </c>
      <c r="Y25" s="220">
        <f>T25*R25</f>
        <v/>
      </c>
      <c r="Z25" s="220">
        <f>U25*O25</f>
        <v/>
      </c>
      <c r="AA25" s="220">
        <f>V25*O25</f>
        <v/>
      </c>
      <c r="AB25" s="220">
        <f>W25*O25</f>
        <v/>
      </c>
      <c r="AC25" s="198">
        <f>X25*O25</f>
        <v/>
      </c>
      <c r="AD25" s="220" t="n">
        <v>0</v>
      </c>
      <c r="AE25" s="220" t="n">
        <v>0</v>
      </c>
      <c r="AF25" s="220">
        <f>SUM(Y25:AE25)</f>
        <v/>
      </c>
      <c r="AG25" s="205">
        <f>_xlfn.XLOOKUP(G25,[1]Fx!$A$16:$A$24,[1]Fx!$B$16:$B$24)</f>
        <v/>
      </c>
      <c r="AH25" s="220">
        <f>AG25*R25</f>
        <v/>
      </c>
      <c r="AI25" s="220">
        <f>$AI$6*Z25</f>
        <v/>
      </c>
      <c r="AJ25" s="220">
        <f>$AJ$6*AA25</f>
        <v/>
      </c>
      <c r="AK25" s="220">
        <f>$AK$6*AB25</f>
        <v/>
      </c>
      <c r="AL25" s="220">
        <f>$AL$6*AC25</f>
        <v/>
      </c>
      <c r="AM25" s="220">
        <f>SUM(AH25:AL25)</f>
        <v/>
      </c>
      <c r="AN25" s="220" t="n">
        <v>0</v>
      </c>
      <c r="AO25" s="220">
        <f>AN25*AH25</f>
        <v/>
      </c>
      <c r="AP25" s="220">
        <f>AD25</f>
        <v/>
      </c>
      <c r="AQ25" s="220">
        <f>AE25</f>
        <v/>
      </c>
      <c r="AR25" s="220">
        <f>AM25-AO25</f>
        <v/>
      </c>
      <c r="AS25" s="220">
        <f>AR25-AK25</f>
        <v/>
      </c>
      <c r="AT25" s="220">
        <f>AS25*1.075</f>
        <v/>
      </c>
      <c r="AU25" s="220">
        <f>ROUNDUP(AT25+AK25,-4)</f>
        <v/>
      </c>
      <c r="AV25" s="198" t="n">
        <v>610000</v>
      </c>
      <c r="AW25" s="220" t="n"/>
      <c r="AX25" s="220">
        <f>AV25-AR25</f>
        <v/>
      </c>
      <c r="AY25" s="35">
        <f>AX25/AR25</f>
        <v/>
      </c>
      <c r="AZ25" s="220">
        <f>AV25-AF25</f>
        <v/>
      </c>
      <c r="BA25" s="215">
        <f>AV25-SUM(Z25:AC25)</f>
        <v/>
      </c>
      <c r="BB25" s="215">
        <f>BA25-Y25</f>
        <v/>
      </c>
      <c r="BC25" s="35">
        <f>BB25/BA25</f>
        <v/>
      </c>
      <c r="BD25" s="35">
        <f>IFERROR(AZ25/AV25,)</f>
        <v/>
      </c>
      <c r="BE25" s="255">
        <f>AV25-SUM(Z25:AC25)</f>
        <v/>
      </c>
      <c r="BF25" s="255">
        <f>AV25-BE25-AC25-AB25</f>
        <v/>
      </c>
      <c r="BG25" s="255">
        <f>AV25-BE25-BF25-AB25</f>
        <v/>
      </c>
      <c r="BH25" s="255">
        <f>AB25</f>
        <v/>
      </c>
      <c r="BI25">
        <f>IF(BD25&lt;0%,"Loss",IF(BD25&lt;5%,"On Cost Plus",IF(BD25&lt;10%,"Within","Exceed")))</f>
        <v/>
      </c>
      <c r="BJ25" t="inlineStr">
        <is>
          <t>Exceed</t>
        </is>
      </c>
      <c r="BK25">
        <f>0.51*$BK$6</f>
        <v/>
      </c>
      <c r="BL25" s="190">
        <f>BK25-W25</f>
        <v/>
      </c>
      <c r="BM25" s="189">
        <f>BL25*O25</f>
        <v/>
      </c>
    </row>
    <row r="26">
      <c r="A26">
        <f>CONCATENATE(E26,F26,G26,H26,I26,J26,K26,L26)</f>
        <v/>
      </c>
      <c r="B26" s="25">
        <f>CONCATENATE(J26,"-&gt;",K26,"/",E26)</f>
        <v/>
      </c>
      <c r="C26" s="24" t="inlineStr">
        <is>
          <t>AFEEZ AJIBADE/Ebenezer</t>
        </is>
      </c>
      <c r="D26" s="25">
        <f>CONCATENATE(G26,"-",H26,"-",F26)</f>
        <v/>
      </c>
      <c r="E26" s="24" t="inlineStr">
        <is>
          <t>JAMARA-30T-NBL-DSL-CONTAINARIZED</t>
        </is>
      </c>
      <c r="F26" s="24" t="inlineStr">
        <is>
          <t>CONTAINARIZED</t>
        </is>
      </c>
      <c r="G26" s="25" t="inlineStr">
        <is>
          <t>NBL-DSL</t>
        </is>
      </c>
      <c r="H26" s="24" t="inlineStr">
        <is>
          <t>30T</t>
        </is>
      </c>
      <c r="I26" s="251" t="inlineStr">
        <is>
          <t>JAMARA</t>
        </is>
      </c>
      <c r="J26" s="251" t="inlineStr">
        <is>
          <t>Lagos</t>
        </is>
      </c>
      <c r="K26" s="258" t="inlineStr">
        <is>
          <t>Benin City</t>
        </is>
      </c>
      <c r="L26" s="231" t="inlineStr">
        <is>
          <t>Edo</t>
        </is>
      </c>
      <c r="M26" s="256" t="n"/>
      <c r="N26" s="253" t="n">
        <v>312</v>
      </c>
      <c r="O26" s="257">
        <f>N26*2</f>
        <v/>
      </c>
      <c r="P26" s="227">
        <f>ROUNDUP(O26/300,)</f>
        <v/>
      </c>
      <c r="Q26" s="220" t="n">
        <v>1</v>
      </c>
      <c r="R26" s="220">
        <f>Q26+P26</f>
        <v/>
      </c>
      <c r="S26" s="198">
        <f>ROUNDDOWN(O26*0.7,)</f>
        <v/>
      </c>
      <c r="T26" s="220">
        <f>_xlfn.XLOOKUP(G26,[1]Fx!$A$4:$A$12,[1]Fx!$B$4:$B$12)</f>
        <v/>
      </c>
      <c r="U26" s="220">
        <f>_xlfn.XLOOKUP(G26,[1]Fx!$A$4:$A$12,[1]Fx!$C$4:$C$12)</f>
        <v/>
      </c>
      <c r="V26" s="220">
        <f>_xlfn.XLOOKUP(G26,[1]Fx!$A$4:$A$12,[1]Fx!$D$4:$D$12)</f>
        <v/>
      </c>
      <c r="W26" s="208">
        <f>_xlfn.XLOOKUP(H26&amp;I26,'[1]Mapping DSL'!$H:$H,'[1]Mapping DSL'!$J:$J)</f>
        <v/>
      </c>
      <c r="X26" s="220">
        <f>_xlfn.XLOOKUP(G26,[1]Fx!$A$4:$A$12,[1]Fx!$E$4:$E$12)</f>
        <v/>
      </c>
      <c r="Y26" s="220">
        <f>T26*R26</f>
        <v/>
      </c>
      <c r="Z26" s="220">
        <f>U26*O26</f>
        <v/>
      </c>
      <c r="AA26" s="220">
        <f>V26*O26</f>
        <v/>
      </c>
      <c r="AB26" s="220">
        <f>W26*O26</f>
        <v/>
      </c>
      <c r="AC26" s="198">
        <f>X26*O26</f>
        <v/>
      </c>
      <c r="AD26" s="220" t="n">
        <v>0</v>
      </c>
      <c r="AE26" s="220" t="n">
        <v>0</v>
      </c>
      <c r="AF26" s="220">
        <f>SUM(Y26:AE26)</f>
        <v/>
      </c>
      <c r="AG26" s="205">
        <f>_xlfn.XLOOKUP(G26,[1]Fx!$A$16:$A$24,[1]Fx!$B$16:$B$24)</f>
        <v/>
      </c>
      <c r="AH26" s="220">
        <f>AG26*R26</f>
        <v/>
      </c>
      <c r="AI26" s="220">
        <f>$AI$6*Z26</f>
        <v/>
      </c>
      <c r="AJ26" s="220">
        <f>$AJ$6*AA26</f>
        <v/>
      </c>
      <c r="AK26" s="220">
        <f>$AK$6*AB26</f>
        <v/>
      </c>
      <c r="AL26" s="220">
        <f>$AL$6*AC26</f>
        <v/>
      </c>
      <c r="AM26" s="220">
        <f>SUM(AH26:AL26)</f>
        <v/>
      </c>
      <c r="AN26" s="220" t="n">
        <v>0</v>
      </c>
      <c r="AO26" s="220">
        <f>AN26*AH26</f>
        <v/>
      </c>
      <c r="AP26" s="220">
        <f>AD26</f>
        <v/>
      </c>
      <c r="AQ26" s="220">
        <f>AE26</f>
        <v/>
      </c>
      <c r="AR26" s="220">
        <f>AM26-AO26</f>
        <v/>
      </c>
      <c r="AS26" s="220">
        <f>AR26-AK26</f>
        <v/>
      </c>
      <c r="AT26" s="220">
        <f>AS26*1.075</f>
        <v/>
      </c>
      <c r="AU26" s="220">
        <f>ROUNDUP(AT26+AK26,-4)</f>
        <v/>
      </c>
      <c r="AV26" s="198" t="n">
        <v>1490000</v>
      </c>
      <c r="AW26" s="220" t="n"/>
      <c r="AX26" s="220">
        <f>AV26-AR26</f>
        <v/>
      </c>
      <c r="AY26" s="35">
        <f>AX26/AR26</f>
        <v/>
      </c>
      <c r="AZ26" s="220">
        <f>AV26-AF26</f>
        <v/>
      </c>
      <c r="BA26" s="215">
        <f>AV26-SUM(Z26:AC26)</f>
        <v/>
      </c>
      <c r="BB26" s="215">
        <f>BA26-Y26</f>
        <v/>
      </c>
      <c r="BC26" s="35">
        <f>BB26/BA26</f>
        <v/>
      </c>
      <c r="BD26" s="35">
        <f>IFERROR(AZ26/AV26,)</f>
        <v/>
      </c>
      <c r="BE26" s="255">
        <f>AV26-SUM(Z26:AC26)</f>
        <v/>
      </c>
      <c r="BF26" s="255">
        <f>AV26-BE26-AC26-AB26</f>
        <v/>
      </c>
      <c r="BG26" s="255">
        <f>AV26-BE26-BF26-AB26</f>
        <v/>
      </c>
      <c r="BH26" s="255">
        <f>AB26</f>
        <v/>
      </c>
      <c r="BI26">
        <f>IF(BD26&lt;0%,"Loss",IF(BD26&lt;5%,"On Cost Plus",IF(BD26&lt;10%,"Within","Exceed")))</f>
        <v/>
      </c>
      <c r="BJ26" t="inlineStr">
        <is>
          <t>Exceed</t>
        </is>
      </c>
      <c r="BK26">
        <f>0.51*$BK$6</f>
        <v/>
      </c>
      <c r="BL26" s="190">
        <f>BK26-W26</f>
        <v/>
      </c>
      <c r="BM26" s="189">
        <f>BL26*O26</f>
        <v/>
      </c>
    </row>
    <row r="27">
      <c r="A27">
        <f>CONCATENATE(E27,F27,G27,H27,I27,J27,K27,L27)</f>
        <v/>
      </c>
      <c r="B27" s="25">
        <f>CONCATENATE(J27,"-&gt;",K27,"/",E27)</f>
        <v/>
      </c>
      <c r="C27" s="24" t="inlineStr">
        <is>
          <t>AFEEZ AJIBADE/Ebenezer</t>
        </is>
      </c>
      <c r="D27" s="25">
        <f>CONCATENATE(G27,"-",H27,"-",F27)</f>
        <v/>
      </c>
      <c r="E27" s="24" t="inlineStr">
        <is>
          <t>JAMARA-30T-NBL-DSL-CONTAINARIZED</t>
        </is>
      </c>
      <c r="F27" s="24" t="inlineStr">
        <is>
          <t>CONTAINARIZED</t>
        </is>
      </c>
      <c r="G27" s="25" t="inlineStr">
        <is>
          <t>NBL-DSL</t>
        </is>
      </c>
      <c r="H27" s="24" t="inlineStr">
        <is>
          <t>30T</t>
        </is>
      </c>
      <c r="I27" s="251" t="inlineStr">
        <is>
          <t>JAMARA</t>
        </is>
      </c>
      <c r="J27" s="251" t="inlineStr">
        <is>
          <t>Lagos</t>
        </is>
      </c>
      <c r="K27" s="258" t="inlineStr">
        <is>
          <t>Abule Egba-Ijaiye-Moshalasi-Kola-Sango</t>
        </is>
      </c>
      <c r="L27" s="231" t="inlineStr">
        <is>
          <t>Lagos/Ogun</t>
        </is>
      </c>
      <c r="M27" s="256" t="n"/>
      <c r="N27" s="253" t="n">
        <v>28.4</v>
      </c>
      <c r="O27" s="257">
        <f>N27*2</f>
        <v/>
      </c>
      <c r="P27" s="227">
        <f>ROUNDUP(O27/300,)</f>
        <v/>
      </c>
      <c r="Q27" s="220" t="n">
        <v>0.5</v>
      </c>
      <c r="R27" s="220">
        <f>Q27+P27</f>
        <v/>
      </c>
      <c r="S27" s="198">
        <f>ROUNDDOWN(O27*0.7,)</f>
        <v/>
      </c>
      <c r="T27" s="220">
        <f>_xlfn.XLOOKUP(G27,[1]Fx!$A$4:$A$12,[1]Fx!$B$4:$B$12)</f>
        <v/>
      </c>
      <c r="U27" s="220">
        <f>_xlfn.XLOOKUP(G27,[1]Fx!$A$4:$A$12,[1]Fx!$C$4:$C$12)</f>
        <v/>
      </c>
      <c r="V27" s="220">
        <f>_xlfn.XLOOKUP(G27,[1]Fx!$A$4:$A$12,[1]Fx!$D$4:$D$12)</f>
        <v/>
      </c>
      <c r="W27" s="208">
        <f>_xlfn.XLOOKUP(H27&amp;I27,'[1]Mapping DSL'!$H:$H,'[1]Mapping DSL'!$J:$J)</f>
        <v/>
      </c>
      <c r="X27" s="220">
        <f>_xlfn.XLOOKUP(G27,[1]Fx!$A$4:$A$12,[1]Fx!$E$4:$E$12)</f>
        <v/>
      </c>
      <c r="Y27" s="220">
        <f>T27*R27</f>
        <v/>
      </c>
      <c r="Z27" s="220">
        <f>U27*O27</f>
        <v/>
      </c>
      <c r="AA27" s="220">
        <f>V27*O27</f>
        <v/>
      </c>
      <c r="AB27" s="220">
        <f>W27*O27</f>
        <v/>
      </c>
      <c r="AC27" s="198">
        <f>X27*O27</f>
        <v/>
      </c>
      <c r="AD27" s="220" t="n">
        <v>0</v>
      </c>
      <c r="AE27" s="220" t="n">
        <v>0</v>
      </c>
      <c r="AF27" s="220">
        <f>SUM(Y27:AE27)</f>
        <v/>
      </c>
      <c r="AG27" s="205">
        <f>_xlfn.XLOOKUP(G27,[1]Fx!$A$16:$A$24,[1]Fx!$B$16:$B$24)</f>
        <v/>
      </c>
      <c r="AH27" s="220">
        <f>AG27*R27</f>
        <v/>
      </c>
      <c r="AI27" s="220">
        <f>$AI$6*Z27</f>
        <v/>
      </c>
      <c r="AJ27" s="220">
        <f>$AJ$6*AA27</f>
        <v/>
      </c>
      <c r="AK27" s="220">
        <f>$AK$6*AB27</f>
        <v/>
      </c>
      <c r="AL27" s="220">
        <f>$AL$6*AC27</f>
        <v/>
      </c>
      <c r="AM27" s="220">
        <f>SUM(AH27:AL27)</f>
        <v/>
      </c>
      <c r="AN27" s="220" t="n">
        <v>0</v>
      </c>
      <c r="AO27" s="220">
        <f>AN27*AH27</f>
        <v/>
      </c>
      <c r="AP27" s="220">
        <f>AD27</f>
        <v/>
      </c>
      <c r="AQ27" s="220">
        <f>AE27</f>
        <v/>
      </c>
      <c r="AR27" s="220">
        <f>AM27-AO27</f>
        <v/>
      </c>
      <c r="AS27" s="220">
        <f>AR27-AK27</f>
        <v/>
      </c>
      <c r="AT27" s="220">
        <f>AS27*1.075</f>
        <v/>
      </c>
      <c r="AU27" s="220">
        <f>ROUNDUP(AT27+AK27,-4)</f>
        <v/>
      </c>
      <c r="AV27" s="198" t="n">
        <v>440000</v>
      </c>
      <c r="AW27" s="220" t="n"/>
      <c r="AX27" s="220">
        <f>AV27-AR27</f>
        <v/>
      </c>
      <c r="AY27" s="35">
        <f>AX27/AR27</f>
        <v/>
      </c>
      <c r="AZ27" s="220">
        <f>AV27-AF27</f>
        <v/>
      </c>
      <c r="BA27" s="215">
        <f>AV27-SUM(Z27:AC27)</f>
        <v/>
      </c>
      <c r="BB27" s="215">
        <f>BA27-Y27</f>
        <v/>
      </c>
      <c r="BC27" s="35">
        <f>BB27/BA27</f>
        <v/>
      </c>
      <c r="BD27" s="35">
        <f>IFERROR(AZ27/AV27,)</f>
        <v/>
      </c>
      <c r="BE27" s="255">
        <f>AV27-SUM(Z27:AC27)</f>
        <v/>
      </c>
      <c r="BF27" s="255">
        <f>AV27-BE27-AC27-AB27</f>
        <v/>
      </c>
      <c r="BG27" s="255">
        <f>AV27-BE27-BF27-AB27</f>
        <v/>
      </c>
      <c r="BH27" s="255">
        <f>AB27</f>
        <v/>
      </c>
      <c r="BI27">
        <f>IF(BD27&lt;0%,"Loss",IF(BD27&lt;5%,"On Cost Plus",IF(BD27&lt;10%,"Within","Exceed")))</f>
        <v/>
      </c>
      <c r="BJ27" t="inlineStr">
        <is>
          <t>Exceed</t>
        </is>
      </c>
      <c r="BK27">
        <f>0.51*$BK$6</f>
        <v/>
      </c>
      <c r="BL27" s="190">
        <f>BK27-W27</f>
        <v/>
      </c>
      <c r="BM27" s="189">
        <f>BL27*O27</f>
        <v/>
      </c>
    </row>
    <row r="28">
      <c r="A28">
        <f>CONCATENATE(E28,F28,G28,H28,I28,J28,K28,L28)</f>
        <v/>
      </c>
      <c r="B28" s="25">
        <f>CONCATENATE(J28,"-&gt;",K28,"/",E28)</f>
        <v/>
      </c>
      <c r="C28" s="24" t="inlineStr">
        <is>
          <t>AFEEZ AJIBADE/Ebenezer</t>
        </is>
      </c>
      <c r="D28" s="25">
        <f>CONCATENATE(G28,"-",H28,"-",F28)</f>
        <v/>
      </c>
      <c r="E28" s="24" t="inlineStr">
        <is>
          <t>JAMARA-30T-NBL-DSL-CONTAINARIZED</t>
        </is>
      </c>
      <c r="F28" s="24" t="inlineStr">
        <is>
          <t>CONTAINARIZED</t>
        </is>
      </c>
      <c r="G28" s="25" t="inlineStr">
        <is>
          <t>NBL-DSL</t>
        </is>
      </c>
      <c r="H28" s="24" t="inlineStr">
        <is>
          <t>30T</t>
        </is>
      </c>
      <c r="I28" s="251" t="inlineStr">
        <is>
          <t>JAMARA</t>
        </is>
      </c>
      <c r="J28" s="251" t="inlineStr">
        <is>
          <t>Lagos</t>
        </is>
      </c>
      <c r="K28" s="258" t="inlineStr">
        <is>
          <t>Abule Egba-Ijaiye-Moshalasi-Kola-Sango</t>
        </is>
      </c>
      <c r="L28" s="231" t="inlineStr">
        <is>
          <t>Lagos/Ogun</t>
        </is>
      </c>
      <c r="M28" s="256" t="n"/>
      <c r="N28" s="253" t="n">
        <v>28.4</v>
      </c>
      <c r="O28" s="257">
        <f>N28*2</f>
        <v/>
      </c>
      <c r="P28" s="227">
        <f>ROUNDUP(O28/300,)</f>
        <v/>
      </c>
      <c r="Q28" s="220" t="n">
        <v>0.5</v>
      </c>
      <c r="R28" s="220">
        <f>Q28+P28</f>
        <v/>
      </c>
      <c r="S28" s="198">
        <f>ROUNDDOWN(O28*0.7,)</f>
        <v/>
      </c>
      <c r="T28" s="220">
        <f>_xlfn.XLOOKUP(G28,[1]Fx!$A$4:$A$12,[1]Fx!$B$4:$B$12)</f>
        <v/>
      </c>
      <c r="U28" s="220">
        <f>_xlfn.XLOOKUP(G28,[1]Fx!$A$4:$A$12,[1]Fx!$C$4:$C$12)</f>
        <v/>
      </c>
      <c r="V28" s="220">
        <f>_xlfn.XLOOKUP(G28,[1]Fx!$A$4:$A$12,[1]Fx!$D$4:$D$12)</f>
        <v/>
      </c>
      <c r="W28" s="208">
        <f>_xlfn.XLOOKUP(H28&amp;I28,'[1]Mapping DSL'!$H:$H,'[1]Mapping DSL'!$J:$J)</f>
        <v/>
      </c>
      <c r="X28" s="220">
        <f>_xlfn.XLOOKUP(G28,[1]Fx!$A$4:$A$12,[1]Fx!$E$4:$E$12)</f>
        <v/>
      </c>
      <c r="Y28" s="220">
        <f>T28*R28</f>
        <v/>
      </c>
      <c r="Z28" s="220">
        <f>U28*O28</f>
        <v/>
      </c>
      <c r="AA28" s="220">
        <f>V28*O28</f>
        <v/>
      </c>
      <c r="AB28" s="220">
        <f>W28*O28</f>
        <v/>
      </c>
      <c r="AC28" s="198">
        <f>X28*O28</f>
        <v/>
      </c>
      <c r="AD28" s="220" t="n">
        <v>0</v>
      </c>
      <c r="AE28" s="220" t="n">
        <v>0</v>
      </c>
      <c r="AF28" s="220">
        <f>SUM(Y28:AE28)</f>
        <v/>
      </c>
      <c r="AG28" s="205">
        <f>_xlfn.XLOOKUP(G28,[1]Fx!$A$16:$A$24,[1]Fx!$B$16:$B$24)</f>
        <v/>
      </c>
      <c r="AH28" s="220">
        <f>AG28*R28</f>
        <v/>
      </c>
      <c r="AI28" s="220">
        <f>$AI$6*Z28</f>
        <v/>
      </c>
      <c r="AJ28" s="220">
        <f>$AJ$6*AA28</f>
        <v/>
      </c>
      <c r="AK28" s="220">
        <f>$AK$6*AB28</f>
        <v/>
      </c>
      <c r="AL28" s="220">
        <f>$AL$6*AC28</f>
        <v/>
      </c>
      <c r="AM28" s="220">
        <f>SUM(AH28:AL28)</f>
        <v/>
      </c>
      <c r="AN28" s="220" t="n">
        <v>0</v>
      </c>
      <c r="AO28" s="220">
        <f>AN28*AH28</f>
        <v/>
      </c>
      <c r="AP28" s="220">
        <f>AD28</f>
        <v/>
      </c>
      <c r="AQ28" s="220">
        <f>AE28</f>
        <v/>
      </c>
      <c r="AR28" s="220">
        <f>AM28-AO28</f>
        <v/>
      </c>
      <c r="AS28" s="220">
        <f>AR28-AK28</f>
        <v/>
      </c>
      <c r="AT28" s="220">
        <f>AS28*1.075</f>
        <v/>
      </c>
      <c r="AU28" s="220">
        <f>ROUNDUP(AT28+AK28,-4)</f>
        <v/>
      </c>
      <c r="AV28" s="198" t="n">
        <v>440000</v>
      </c>
      <c r="AW28" s="220" t="n"/>
      <c r="AX28" s="220">
        <f>AV28-AR28</f>
        <v/>
      </c>
      <c r="AY28" s="35">
        <f>AX28/AR28</f>
        <v/>
      </c>
      <c r="AZ28" s="220">
        <f>AV28-AF28</f>
        <v/>
      </c>
      <c r="BA28" s="215">
        <f>AV28-SUM(Z28:AC28)</f>
        <v/>
      </c>
      <c r="BB28" s="215">
        <f>BA28-Y28</f>
        <v/>
      </c>
      <c r="BC28" s="35">
        <f>BB28/BA28</f>
        <v/>
      </c>
      <c r="BD28" s="35">
        <f>IFERROR(AZ28/AV28,)</f>
        <v/>
      </c>
      <c r="BE28" s="255">
        <f>AV28-SUM(Z28:AC28)</f>
        <v/>
      </c>
      <c r="BF28" s="255">
        <f>AV28-BE28-AC28-AB28</f>
        <v/>
      </c>
      <c r="BG28" s="255">
        <f>AV28-BE28-BF28-AB28</f>
        <v/>
      </c>
      <c r="BH28" s="255">
        <f>AB28</f>
        <v/>
      </c>
      <c r="BI28">
        <f>IF(BD28&lt;0%,"Loss",IF(BD28&lt;5%,"On Cost Plus",IF(BD28&lt;10%,"Within","Exceed")))</f>
        <v/>
      </c>
      <c r="BJ28" t="inlineStr">
        <is>
          <t>Exceed</t>
        </is>
      </c>
      <c r="BK28">
        <f>0.51*$BK$6</f>
        <v/>
      </c>
      <c r="BL28" s="190">
        <f>BK28-W28</f>
        <v/>
      </c>
      <c r="BM28" s="189">
        <f>BL28*O28</f>
        <v/>
      </c>
    </row>
    <row r="29">
      <c r="A29">
        <f>CONCATENATE(E29,F29,G29,H29,I29,J29,K29,L29)</f>
        <v/>
      </c>
      <c r="B29" s="25">
        <f>CONCATENATE(J29,"-&gt;",K29,"/",E29)</f>
        <v/>
      </c>
      <c r="C29" s="24" t="inlineStr">
        <is>
          <t>AFEEZ AJIBADE/Ebenezer</t>
        </is>
      </c>
      <c r="D29" s="25">
        <f>CONCATENATE(G29,"-",H29,"-",F29)</f>
        <v/>
      </c>
      <c r="E29" s="24" t="inlineStr">
        <is>
          <t>JAMARA-30T-NBL-DSL-CONTAINARIZED</t>
        </is>
      </c>
      <c r="F29" s="24" t="inlineStr">
        <is>
          <t>CONTAINARIZED</t>
        </is>
      </c>
      <c r="G29" s="25" t="inlineStr">
        <is>
          <t>NBL-DSL</t>
        </is>
      </c>
      <c r="H29" s="24" t="inlineStr">
        <is>
          <t>30T</t>
        </is>
      </c>
      <c r="I29" s="251" t="inlineStr">
        <is>
          <t>JAMARA</t>
        </is>
      </c>
      <c r="J29" s="251" t="inlineStr">
        <is>
          <t>Lagos</t>
        </is>
      </c>
      <c r="K29" s="258" t="inlineStr">
        <is>
          <t>Abule Egba-Ijaiye-Moshalasi-Kola-Sango</t>
        </is>
      </c>
      <c r="L29" s="231" t="inlineStr">
        <is>
          <t>Lagos/Ogun</t>
        </is>
      </c>
      <c r="M29" s="256" t="n"/>
      <c r="N29" s="253" t="n">
        <v>28.4</v>
      </c>
      <c r="O29" s="257">
        <f>N29*2</f>
        <v/>
      </c>
      <c r="P29" s="227">
        <f>ROUNDUP(O29/300,)</f>
        <v/>
      </c>
      <c r="Q29" s="220" t="n">
        <v>0.5</v>
      </c>
      <c r="R29" s="220">
        <f>Q29+P29</f>
        <v/>
      </c>
      <c r="S29" s="198">
        <f>ROUNDDOWN(O29*0.7,)</f>
        <v/>
      </c>
      <c r="T29" s="220">
        <f>_xlfn.XLOOKUP(G29,[1]Fx!$A$4:$A$12,[1]Fx!$B$4:$B$12)</f>
        <v/>
      </c>
      <c r="U29" s="220">
        <f>_xlfn.XLOOKUP(G29,[1]Fx!$A$4:$A$12,[1]Fx!$C$4:$C$12)</f>
        <v/>
      </c>
      <c r="V29" s="220">
        <f>_xlfn.XLOOKUP(G29,[1]Fx!$A$4:$A$12,[1]Fx!$D$4:$D$12)</f>
        <v/>
      </c>
      <c r="W29" s="208">
        <f>_xlfn.XLOOKUP(H29&amp;I29,'[1]Mapping DSL'!$H:$H,'[1]Mapping DSL'!$J:$J)</f>
        <v/>
      </c>
      <c r="X29" s="220">
        <f>_xlfn.XLOOKUP(G29,[1]Fx!$A$4:$A$12,[1]Fx!$E$4:$E$12)</f>
        <v/>
      </c>
      <c r="Y29" s="220">
        <f>T29*R29</f>
        <v/>
      </c>
      <c r="Z29" s="220">
        <f>U29*O29</f>
        <v/>
      </c>
      <c r="AA29" s="220">
        <f>V29*O29</f>
        <v/>
      </c>
      <c r="AB29" s="220">
        <f>W29*O29</f>
        <v/>
      </c>
      <c r="AC29" s="198">
        <f>X29*O29</f>
        <v/>
      </c>
      <c r="AD29" s="220" t="n">
        <v>0</v>
      </c>
      <c r="AE29" s="220" t="n">
        <v>0</v>
      </c>
      <c r="AF29" s="220">
        <f>SUM(Y29:AE29)</f>
        <v/>
      </c>
      <c r="AG29" s="205">
        <f>_xlfn.XLOOKUP(G29,[1]Fx!$A$16:$A$24,[1]Fx!$B$16:$B$24)</f>
        <v/>
      </c>
      <c r="AH29" s="220">
        <f>AG29*R29</f>
        <v/>
      </c>
      <c r="AI29" s="220">
        <f>$AI$6*Z29</f>
        <v/>
      </c>
      <c r="AJ29" s="220">
        <f>$AJ$6*AA29</f>
        <v/>
      </c>
      <c r="AK29" s="220">
        <f>$AK$6*AB29</f>
        <v/>
      </c>
      <c r="AL29" s="220">
        <f>$AL$6*AC29</f>
        <v/>
      </c>
      <c r="AM29" s="220">
        <f>SUM(AH29:AL29)</f>
        <v/>
      </c>
      <c r="AN29" s="220" t="n">
        <v>0</v>
      </c>
      <c r="AO29" s="220">
        <f>AN29*AH29</f>
        <v/>
      </c>
      <c r="AP29" s="220">
        <f>AD29</f>
        <v/>
      </c>
      <c r="AQ29" s="220">
        <f>AE29</f>
        <v/>
      </c>
      <c r="AR29" s="220">
        <f>AM29-AO29</f>
        <v/>
      </c>
      <c r="AS29" s="220">
        <f>AR29-AK29</f>
        <v/>
      </c>
      <c r="AT29" s="220">
        <f>AS29*1.075</f>
        <v/>
      </c>
      <c r="AU29" s="220">
        <f>ROUNDUP(AT29+AK29,-4)</f>
        <v/>
      </c>
      <c r="AV29" s="198" t="n">
        <v>440000</v>
      </c>
      <c r="AW29" s="220" t="n"/>
      <c r="AX29" s="220">
        <f>AV29-AR29</f>
        <v/>
      </c>
      <c r="AY29" s="35">
        <f>AX29/AR29</f>
        <v/>
      </c>
      <c r="AZ29" s="220">
        <f>AV29-AF29</f>
        <v/>
      </c>
      <c r="BA29" s="215">
        <f>AV29-SUM(Z29:AC29)</f>
        <v/>
      </c>
      <c r="BB29" s="215">
        <f>BA29-Y29</f>
        <v/>
      </c>
      <c r="BC29" s="35">
        <f>BB29/BA29</f>
        <v/>
      </c>
      <c r="BD29" s="35">
        <f>IFERROR(AZ29/AV29,)</f>
        <v/>
      </c>
      <c r="BE29" s="255">
        <f>AV29-SUM(Z29:AC29)</f>
        <v/>
      </c>
      <c r="BF29" s="255">
        <f>AV29-BE29-AC29-AB29</f>
        <v/>
      </c>
      <c r="BG29" s="255">
        <f>AV29-BE29-BF29-AB29</f>
        <v/>
      </c>
      <c r="BH29" s="255">
        <f>AB29</f>
        <v/>
      </c>
      <c r="BI29">
        <f>IF(BD29&lt;0%,"Loss",IF(BD29&lt;5%,"On Cost Plus",IF(BD29&lt;10%,"Within","Exceed")))</f>
        <v/>
      </c>
      <c r="BJ29" t="inlineStr">
        <is>
          <t>Exceed</t>
        </is>
      </c>
      <c r="BK29">
        <f>0.51*$BK$6</f>
        <v/>
      </c>
      <c r="BL29" s="190">
        <f>BK29-W29</f>
        <v/>
      </c>
      <c r="BM29" s="189">
        <f>BL29*O29</f>
        <v/>
      </c>
    </row>
    <row r="30">
      <c r="A30">
        <f>CONCATENATE(E30,F30,G30,H30,I30,J30,K30,L30)</f>
        <v/>
      </c>
      <c r="B30" s="25">
        <f>CONCATENATE(J30,"-&gt;",K30,"/",E30)</f>
        <v/>
      </c>
      <c r="C30" s="24" t="inlineStr">
        <is>
          <t>AFEEZ AJIBADE/Ebenezer</t>
        </is>
      </c>
      <c r="D30" s="25">
        <f>CONCATENATE(G30,"-",H30,"-",F30)</f>
        <v/>
      </c>
      <c r="E30" s="24" t="inlineStr">
        <is>
          <t>JAMARA-30T-NBL-DSL-CONTAINARIZED</t>
        </is>
      </c>
      <c r="F30" s="24" t="inlineStr">
        <is>
          <t>CONTAINARIZED</t>
        </is>
      </c>
      <c r="G30" s="25" t="inlineStr">
        <is>
          <t>NBL-DSL</t>
        </is>
      </c>
      <c r="H30" s="24" t="inlineStr">
        <is>
          <t>30T</t>
        </is>
      </c>
      <c r="I30" s="251" t="inlineStr">
        <is>
          <t>JAMARA</t>
        </is>
      </c>
      <c r="J30" s="251" t="inlineStr">
        <is>
          <t>Lagos</t>
        </is>
      </c>
      <c r="K30" s="258" t="inlineStr">
        <is>
          <t>Abule Egba-Ijaiye-Moshalasi-Kola-Sango</t>
        </is>
      </c>
      <c r="L30" s="231" t="inlineStr">
        <is>
          <t>Lagos/Ogun</t>
        </is>
      </c>
      <c r="M30" s="256" t="n"/>
      <c r="N30" s="253" t="n">
        <v>28.4</v>
      </c>
      <c r="O30" s="257">
        <f>N30*2</f>
        <v/>
      </c>
      <c r="P30" s="227">
        <f>ROUNDUP(O30/300,)</f>
        <v/>
      </c>
      <c r="Q30" s="220" t="n">
        <v>0.5</v>
      </c>
      <c r="R30" s="220">
        <f>Q30+P30</f>
        <v/>
      </c>
      <c r="S30" s="198">
        <f>ROUNDDOWN(O30*0.7,)</f>
        <v/>
      </c>
      <c r="T30" s="220">
        <f>_xlfn.XLOOKUP(G30,[1]Fx!$A$4:$A$12,[1]Fx!$B$4:$B$12)</f>
        <v/>
      </c>
      <c r="U30" s="220">
        <f>_xlfn.XLOOKUP(G30,[1]Fx!$A$4:$A$12,[1]Fx!$C$4:$C$12)</f>
        <v/>
      </c>
      <c r="V30" s="220">
        <f>_xlfn.XLOOKUP(G30,[1]Fx!$A$4:$A$12,[1]Fx!$D$4:$D$12)</f>
        <v/>
      </c>
      <c r="W30" s="208">
        <f>_xlfn.XLOOKUP(H30&amp;I30,'[1]Mapping DSL'!$H:$H,'[1]Mapping DSL'!$J:$J)</f>
        <v/>
      </c>
      <c r="X30" s="220">
        <f>_xlfn.XLOOKUP(G30,[1]Fx!$A$4:$A$12,[1]Fx!$E$4:$E$12)</f>
        <v/>
      </c>
      <c r="Y30" s="220">
        <f>T30*R30</f>
        <v/>
      </c>
      <c r="Z30" s="220">
        <f>U30*O30</f>
        <v/>
      </c>
      <c r="AA30" s="220">
        <f>V30*O30</f>
        <v/>
      </c>
      <c r="AB30" s="220">
        <f>W30*O30</f>
        <v/>
      </c>
      <c r="AC30" s="198">
        <f>X30*O30</f>
        <v/>
      </c>
      <c r="AD30" s="220" t="n">
        <v>0</v>
      </c>
      <c r="AE30" s="220" t="n">
        <v>0</v>
      </c>
      <c r="AF30" s="220">
        <f>SUM(Y30:AE30)</f>
        <v/>
      </c>
      <c r="AG30" s="205">
        <f>_xlfn.XLOOKUP(G30,[1]Fx!$A$16:$A$24,[1]Fx!$B$16:$B$24)</f>
        <v/>
      </c>
      <c r="AH30" s="220">
        <f>AG30*R30</f>
        <v/>
      </c>
      <c r="AI30" s="220">
        <f>$AI$6*Z30</f>
        <v/>
      </c>
      <c r="AJ30" s="220">
        <f>$AJ$6*AA30</f>
        <v/>
      </c>
      <c r="AK30" s="220">
        <f>$AK$6*AB30</f>
        <v/>
      </c>
      <c r="AL30" s="220">
        <f>$AL$6*AC30</f>
        <v/>
      </c>
      <c r="AM30" s="220">
        <f>SUM(AH30:AL30)</f>
        <v/>
      </c>
      <c r="AN30" s="220" t="n">
        <v>0</v>
      </c>
      <c r="AO30" s="220">
        <f>AN30*AH30</f>
        <v/>
      </c>
      <c r="AP30" s="220">
        <f>AD30</f>
        <v/>
      </c>
      <c r="AQ30" s="220">
        <f>AE30</f>
        <v/>
      </c>
      <c r="AR30" s="220">
        <f>AM30-AO30</f>
        <v/>
      </c>
      <c r="AS30" s="220">
        <f>AR30-AK30</f>
        <v/>
      </c>
      <c r="AT30" s="220">
        <f>AS30*1.075</f>
        <v/>
      </c>
      <c r="AU30" s="220">
        <f>ROUNDUP(AT30+AK30,-4)</f>
        <v/>
      </c>
      <c r="AV30" s="198" t="n">
        <v>440000</v>
      </c>
      <c r="AW30" s="220" t="n"/>
      <c r="AX30" s="220">
        <f>AV30-AR30</f>
        <v/>
      </c>
      <c r="AY30" s="35">
        <f>AX30/AR30</f>
        <v/>
      </c>
      <c r="AZ30" s="220">
        <f>AV30-AF30</f>
        <v/>
      </c>
      <c r="BA30" s="215">
        <f>AV30-SUM(Z30:AC30)</f>
        <v/>
      </c>
      <c r="BB30" s="215">
        <f>BA30-Y30</f>
        <v/>
      </c>
      <c r="BC30" s="35">
        <f>BB30/BA30</f>
        <v/>
      </c>
      <c r="BD30" s="35">
        <f>IFERROR(AZ30/AV30,)</f>
        <v/>
      </c>
      <c r="BE30" s="255">
        <f>AV30-SUM(Z30:AC30)</f>
        <v/>
      </c>
      <c r="BF30" s="255">
        <f>AV30-BE30-AC30-AB30</f>
        <v/>
      </c>
      <c r="BG30" s="255">
        <f>AV30-BE30-BF30-AB30</f>
        <v/>
      </c>
      <c r="BH30" s="255">
        <f>AB30</f>
        <v/>
      </c>
      <c r="BI30">
        <f>IF(BD30&lt;0%,"Loss",IF(BD30&lt;5%,"On Cost Plus",IF(BD30&lt;10%,"Within","Exceed")))</f>
        <v/>
      </c>
      <c r="BJ30" t="inlineStr">
        <is>
          <t>Exceed</t>
        </is>
      </c>
      <c r="BK30">
        <f>0.51*$BK$6</f>
        <v/>
      </c>
      <c r="BL30" s="190">
        <f>BK30-W30</f>
        <v/>
      </c>
      <c r="BM30" s="189">
        <f>BL30*O30</f>
        <v/>
      </c>
    </row>
    <row r="31">
      <c r="A31">
        <f>CONCATENATE(E31,F31,G31,H31,I31,J31,K31,L31)</f>
        <v/>
      </c>
      <c r="B31" s="25">
        <f>CONCATENATE(J31,"-&gt;",K31,"/",E31)</f>
        <v/>
      </c>
      <c r="C31" s="24" t="inlineStr">
        <is>
          <t>AFEEZ AJIBADE/Ebenezer</t>
        </is>
      </c>
      <c r="D31" s="25">
        <f>CONCATENATE(G31,"-",H31,"-",F31)</f>
        <v/>
      </c>
      <c r="E31" s="24" t="inlineStr">
        <is>
          <t>JAMARA-30T-NBL-DSL-CONTAINARIZED</t>
        </is>
      </c>
      <c r="F31" s="24" t="inlineStr">
        <is>
          <t>CONTAINARIZED</t>
        </is>
      </c>
      <c r="G31" s="25" t="inlineStr">
        <is>
          <t>NBL-DSL</t>
        </is>
      </c>
      <c r="H31" s="24" t="inlineStr">
        <is>
          <t>30T</t>
        </is>
      </c>
      <c r="I31" s="251" t="inlineStr">
        <is>
          <t>JAMARA</t>
        </is>
      </c>
      <c r="J31" s="251" t="inlineStr">
        <is>
          <t>Lagos</t>
        </is>
      </c>
      <c r="K31" s="259" t="inlineStr">
        <is>
          <t>Agbara-Badagry</t>
        </is>
      </c>
      <c r="L31" s="233" t="inlineStr">
        <is>
          <t>Lagos/Ogun</t>
        </is>
      </c>
      <c r="M31" s="256" t="n"/>
      <c r="N31" s="253" t="n">
        <v>30</v>
      </c>
      <c r="O31" s="257">
        <f>N31*2</f>
        <v/>
      </c>
      <c r="P31" s="227">
        <f>ROUNDUP(O31/300,)</f>
        <v/>
      </c>
      <c r="Q31" s="220" t="n">
        <v>0.5</v>
      </c>
      <c r="R31" s="220">
        <f>Q31+P31</f>
        <v/>
      </c>
      <c r="S31" s="198">
        <f>ROUNDDOWN(O31*0.7,)</f>
        <v/>
      </c>
      <c r="T31" s="220">
        <f>_xlfn.XLOOKUP(G31,[1]Fx!$A$4:$A$12,[1]Fx!$B$4:$B$12)</f>
        <v/>
      </c>
      <c r="U31" s="220">
        <f>_xlfn.XLOOKUP(G31,[1]Fx!$A$4:$A$12,[1]Fx!$C$4:$C$12)</f>
        <v/>
      </c>
      <c r="V31" s="220">
        <f>_xlfn.XLOOKUP(G31,[1]Fx!$A$4:$A$12,[1]Fx!$D$4:$D$12)</f>
        <v/>
      </c>
      <c r="W31" s="208">
        <f>_xlfn.XLOOKUP(H31&amp;I31,'[1]Mapping DSL'!$H:$H,'[1]Mapping DSL'!$J:$J)</f>
        <v/>
      </c>
      <c r="X31" s="220">
        <f>_xlfn.XLOOKUP(G31,[1]Fx!$A$4:$A$12,[1]Fx!$E$4:$E$12)</f>
        <v/>
      </c>
      <c r="Y31" s="220">
        <f>T31*R31</f>
        <v/>
      </c>
      <c r="Z31" s="220">
        <f>U31*O31</f>
        <v/>
      </c>
      <c r="AA31" s="220">
        <f>V31*O31</f>
        <v/>
      </c>
      <c r="AB31" s="220">
        <f>W31*O31</f>
        <v/>
      </c>
      <c r="AC31" s="198">
        <f>X31*O31</f>
        <v/>
      </c>
      <c r="AD31" s="220" t="n">
        <v>0</v>
      </c>
      <c r="AE31" s="220" t="n">
        <v>0</v>
      </c>
      <c r="AF31" s="220">
        <f>SUM(Y31:AE31)</f>
        <v/>
      </c>
      <c r="AG31" s="205">
        <f>_xlfn.XLOOKUP(G31,[1]Fx!$A$16:$A$24,[1]Fx!$B$16:$B$24)</f>
        <v/>
      </c>
      <c r="AH31" s="220">
        <f>AG31*R31</f>
        <v/>
      </c>
      <c r="AI31" s="220">
        <f>$AI$6*Z31</f>
        <v/>
      </c>
      <c r="AJ31" s="220">
        <f>$AJ$6*AA31</f>
        <v/>
      </c>
      <c r="AK31" s="220">
        <f>$AK$6*AB31</f>
        <v/>
      </c>
      <c r="AL31" s="220">
        <f>$AL$6*AC31</f>
        <v/>
      </c>
      <c r="AM31" s="220">
        <f>SUM(AH31:AL31)</f>
        <v/>
      </c>
      <c r="AN31" s="220" t="n">
        <v>0</v>
      </c>
      <c r="AO31" s="220">
        <f>AN31*AH31</f>
        <v/>
      </c>
      <c r="AP31" s="220">
        <f>AD31</f>
        <v/>
      </c>
      <c r="AQ31" s="220">
        <f>AE31</f>
        <v/>
      </c>
      <c r="AR31" s="220">
        <f>AM31-AO31</f>
        <v/>
      </c>
      <c r="AS31" s="220">
        <f>AR31-AK31</f>
        <v/>
      </c>
      <c r="AT31" s="220">
        <f>AS31*1.075</f>
        <v/>
      </c>
      <c r="AU31" s="220">
        <f>ROUNDUP(AT31+AK31,-4)</f>
        <v/>
      </c>
      <c r="AV31" s="198" t="n">
        <v>440000</v>
      </c>
      <c r="AW31" s="220" t="n"/>
      <c r="AX31" s="220">
        <f>AV31-AR31</f>
        <v/>
      </c>
      <c r="AY31" s="35">
        <f>AX31/AR31</f>
        <v/>
      </c>
      <c r="AZ31" s="220">
        <f>AV31-AF31</f>
        <v/>
      </c>
      <c r="BA31" s="215">
        <f>AV31-SUM(Z31:AC31)</f>
        <v/>
      </c>
      <c r="BB31" s="215">
        <f>BA31-Y31</f>
        <v/>
      </c>
      <c r="BC31" s="35">
        <f>BB31/BA31</f>
        <v/>
      </c>
      <c r="BD31" s="35">
        <f>IFERROR(AZ31/AV31,)</f>
        <v/>
      </c>
      <c r="BE31" s="255">
        <f>AV31-SUM(Z31:AC31)</f>
        <v/>
      </c>
      <c r="BF31" s="255">
        <f>AV31-BE31-AC31-AB31</f>
        <v/>
      </c>
      <c r="BG31" s="255">
        <f>AV31-BE31-BF31-AB31</f>
        <v/>
      </c>
      <c r="BH31" s="255">
        <f>AB31</f>
        <v/>
      </c>
      <c r="BI31">
        <f>IF(BD31&lt;0%,"Loss",IF(BD31&lt;5%,"On Cost Plus",IF(BD31&lt;10%,"Within","Exceed")))</f>
        <v/>
      </c>
      <c r="BJ31" t="inlineStr">
        <is>
          <t>Exceed</t>
        </is>
      </c>
      <c r="BK31">
        <f>0.51*$BK$6</f>
        <v/>
      </c>
      <c r="BL31" s="190">
        <f>BK31-W31</f>
        <v/>
      </c>
      <c r="BM31" s="189">
        <f>BL31*O31</f>
        <v/>
      </c>
    </row>
    <row r="32" ht="24" customHeight="1">
      <c r="A32">
        <f>CONCATENATE(E32,F32,G32,H32,I32,J32,K32,L32)</f>
        <v/>
      </c>
      <c r="B32" s="25">
        <f>CONCATENATE(J32,"-&gt;",K32,"/",E32)</f>
        <v/>
      </c>
      <c r="C32" s="24" t="inlineStr">
        <is>
          <t>AFEEZ AJIBADE/Ebenezer</t>
        </is>
      </c>
      <c r="D32" s="25">
        <f>CONCATENATE(G32,"-",H32,"-",F32)</f>
        <v/>
      </c>
      <c r="E32" s="24" t="inlineStr">
        <is>
          <t>JAMARA-30T-NBL-DSL-CONTAINARIZED</t>
        </is>
      </c>
      <c r="F32" s="24" t="inlineStr">
        <is>
          <t>CONTAINARIZED</t>
        </is>
      </c>
      <c r="G32" s="25" t="inlineStr">
        <is>
          <t>NBL-DSL</t>
        </is>
      </c>
      <c r="H32" s="24" t="inlineStr">
        <is>
          <t>30T</t>
        </is>
      </c>
      <c r="I32" s="251" t="inlineStr">
        <is>
          <t>JAMARA</t>
        </is>
      </c>
      <c r="J32" s="251" t="inlineStr">
        <is>
          <t>Lagos</t>
        </is>
      </c>
      <c r="K32" s="260" t="inlineStr">
        <is>
          <t>Festac-Mile 2-Amuwo-Okota</t>
        </is>
      </c>
      <c r="L32" s="234" t="inlineStr">
        <is>
          <t>Lagos</t>
        </is>
      </c>
      <c r="M32" s="256" t="n"/>
      <c r="N32" s="253" t="n">
        <v>47</v>
      </c>
      <c r="O32" s="257">
        <f>N32*2</f>
        <v/>
      </c>
      <c r="P32" s="227">
        <f>ROUNDUP(O32/300,)</f>
        <v/>
      </c>
      <c r="Q32" s="220" t="n">
        <v>0.5</v>
      </c>
      <c r="R32" s="220">
        <f>Q32+P32</f>
        <v/>
      </c>
      <c r="S32" s="198">
        <f>ROUNDDOWN(O32*0.7,)</f>
        <v/>
      </c>
      <c r="T32" s="220">
        <f>_xlfn.XLOOKUP(G32,[1]Fx!$A$4:$A$12,[1]Fx!$B$4:$B$12)</f>
        <v/>
      </c>
      <c r="U32" s="220">
        <f>_xlfn.XLOOKUP(G32,[1]Fx!$A$4:$A$12,[1]Fx!$C$4:$C$12)</f>
        <v/>
      </c>
      <c r="V32" s="220">
        <f>_xlfn.XLOOKUP(G32,[1]Fx!$A$4:$A$12,[1]Fx!$D$4:$D$12)</f>
        <v/>
      </c>
      <c r="W32" s="208">
        <f>_xlfn.XLOOKUP(H32&amp;I32,'[1]Mapping DSL'!$H:$H,'[1]Mapping DSL'!$J:$J)</f>
        <v/>
      </c>
      <c r="X32" s="220">
        <f>_xlfn.XLOOKUP(G32,[1]Fx!$A$4:$A$12,[1]Fx!$E$4:$E$12)</f>
        <v/>
      </c>
      <c r="Y32" s="220">
        <f>T32*R32</f>
        <v/>
      </c>
      <c r="Z32" s="220">
        <f>U32*O32</f>
        <v/>
      </c>
      <c r="AA32" s="220">
        <f>V32*O32</f>
        <v/>
      </c>
      <c r="AB32" s="220">
        <f>W32*O32</f>
        <v/>
      </c>
      <c r="AC32" s="198">
        <f>X32*O32</f>
        <v/>
      </c>
      <c r="AD32" s="220" t="n">
        <v>0</v>
      </c>
      <c r="AE32" s="220" t="n">
        <v>0</v>
      </c>
      <c r="AF32" s="220">
        <f>SUM(Y32:AE32)</f>
        <v/>
      </c>
      <c r="AG32" s="205">
        <f>_xlfn.XLOOKUP(G32,[1]Fx!$A$16:$A$24,[1]Fx!$B$16:$B$24)</f>
        <v/>
      </c>
      <c r="AH32" s="220">
        <f>AG32*R32</f>
        <v/>
      </c>
      <c r="AI32" s="220">
        <f>$AI$6*Z32</f>
        <v/>
      </c>
      <c r="AJ32" s="220">
        <f>$AJ$6*AA32</f>
        <v/>
      </c>
      <c r="AK32" s="220">
        <f>$AK$6*AB32</f>
        <v/>
      </c>
      <c r="AL32" s="220">
        <f>$AL$6*AC32</f>
        <v/>
      </c>
      <c r="AM32" s="220">
        <f>SUM(AH32:AL32)</f>
        <v/>
      </c>
      <c r="AN32" s="220" t="n">
        <v>0</v>
      </c>
      <c r="AO32" s="220">
        <f>AN32*AH32</f>
        <v/>
      </c>
      <c r="AP32" s="220">
        <f>AD32</f>
        <v/>
      </c>
      <c r="AQ32" s="220">
        <f>AE32</f>
        <v/>
      </c>
      <c r="AR32" s="220">
        <f>AM32-AO32</f>
        <v/>
      </c>
      <c r="AS32" s="220">
        <f>AR32-AK32</f>
        <v/>
      </c>
      <c r="AT32" s="220">
        <f>AS32*1.075</f>
        <v/>
      </c>
      <c r="AU32" s="220">
        <f>ROUNDUP(AT32+AK32,-4)</f>
        <v/>
      </c>
      <c r="AV32" s="198" t="n">
        <v>480000</v>
      </c>
      <c r="AW32" s="220" t="n"/>
      <c r="AX32" s="220">
        <f>AV32-AR32</f>
        <v/>
      </c>
      <c r="AY32" s="35">
        <f>AX32/AR32</f>
        <v/>
      </c>
      <c r="AZ32" s="220">
        <f>AV32-AF32</f>
        <v/>
      </c>
      <c r="BA32" s="215">
        <f>AV32-SUM(Z32:AC32)</f>
        <v/>
      </c>
      <c r="BB32" s="215">
        <f>BA32-Y32</f>
        <v/>
      </c>
      <c r="BC32" s="35">
        <f>BB32/BA32</f>
        <v/>
      </c>
      <c r="BD32" s="35">
        <f>IFERROR(AZ32/AV32,)</f>
        <v/>
      </c>
      <c r="BE32" s="255">
        <f>AV32-SUM(Z32:AC32)</f>
        <v/>
      </c>
      <c r="BF32" s="255">
        <f>AV32-BE32-AC32-AB32</f>
        <v/>
      </c>
      <c r="BG32" s="255">
        <f>AV32-BE32-BF32-AB32</f>
        <v/>
      </c>
      <c r="BH32" s="255">
        <f>AB32</f>
        <v/>
      </c>
      <c r="BI32">
        <f>IF(BD32&lt;0%,"Loss",IF(BD32&lt;5%,"On Cost Plus",IF(BD32&lt;10%,"Within","Exceed")))</f>
        <v/>
      </c>
      <c r="BJ32" t="inlineStr">
        <is>
          <t>Exceed</t>
        </is>
      </c>
      <c r="BK32">
        <f>0.51*$BK$6</f>
        <v/>
      </c>
      <c r="BL32" s="190">
        <f>BK32-W32</f>
        <v/>
      </c>
      <c r="BM32" s="189">
        <f>BL32*O32</f>
        <v/>
      </c>
    </row>
    <row r="33" ht="24" customHeight="1">
      <c r="A33">
        <f>CONCATENATE(E33,F33,G33,H33,I33,J33,K33,L33)</f>
        <v/>
      </c>
      <c r="B33" s="25">
        <f>CONCATENATE(J33,"-&gt;",K33,"/",E33)</f>
        <v/>
      </c>
      <c r="C33" s="24" t="inlineStr">
        <is>
          <t>AFEEZ AJIBADE/Ebenezer</t>
        </is>
      </c>
      <c r="D33" s="25">
        <f>CONCATENATE(G33,"-",H33,"-",F33)</f>
        <v/>
      </c>
      <c r="E33" s="24" t="inlineStr">
        <is>
          <t>JAMARA-30T-NBL-DSL-CONTAINARIZED</t>
        </is>
      </c>
      <c r="F33" s="24" t="inlineStr">
        <is>
          <t>CONTAINARIZED</t>
        </is>
      </c>
      <c r="G33" s="25" t="inlineStr">
        <is>
          <t>NBL-DSL</t>
        </is>
      </c>
      <c r="H33" s="24" t="inlineStr">
        <is>
          <t>30T</t>
        </is>
      </c>
      <c r="I33" s="251" t="inlineStr">
        <is>
          <t>JAMARA</t>
        </is>
      </c>
      <c r="J33" s="251" t="inlineStr">
        <is>
          <t>Lagos</t>
        </is>
      </c>
      <c r="K33" s="260" t="inlineStr">
        <is>
          <t>Festac-Mile 2-Amuwo-Okota</t>
        </is>
      </c>
      <c r="L33" s="234" t="inlineStr">
        <is>
          <t>Lagos</t>
        </is>
      </c>
      <c r="M33" s="256" t="n"/>
      <c r="N33" s="253" t="n">
        <v>47</v>
      </c>
      <c r="O33" s="257">
        <f>N33*2</f>
        <v/>
      </c>
      <c r="P33" s="227">
        <f>ROUNDUP(O33/300,)</f>
        <v/>
      </c>
      <c r="Q33" s="220" t="n">
        <v>0.5</v>
      </c>
      <c r="R33" s="220">
        <f>Q33+P33</f>
        <v/>
      </c>
      <c r="S33" s="198">
        <f>ROUNDDOWN(O33*0.7,)</f>
        <v/>
      </c>
      <c r="T33" s="220">
        <f>_xlfn.XLOOKUP(G33,[1]Fx!$A$4:$A$12,[1]Fx!$B$4:$B$12)</f>
        <v/>
      </c>
      <c r="U33" s="220">
        <f>_xlfn.XLOOKUP(G33,[1]Fx!$A$4:$A$12,[1]Fx!$C$4:$C$12)</f>
        <v/>
      </c>
      <c r="V33" s="220">
        <f>_xlfn.XLOOKUP(G33,[1]Fx!$A$4:$A$12,[1]Fx!$D$4:$D$12)</f>
        <v/>
      </c>
      <c r="W33" s="208">
        <f>_xlfn.XLOOKUP(H33&amp;I33,'[1]Mapping DSL'!$H:$H,'[1]Mapping DSL'!$J:$J)</f>
        <v/>
      </c>
      <c r="X33" s="220">
        <f>_xlfn.XLOOKUP(G33,[1]Fx!$A$4:$A$12,[1]Fx!$E$4:$E$12)</f>
        <v/>
      </c>
      <c r="Y33" s="220">
        <f>T33*R33</f>
        <v/>
      </c>
      <c r="Z33" s="220">
        <f>U33*O33</f>
        <v/>
      </c>
      <c r="AA33" s="220">
        <f>V33*O33</f>
        <v/>
      </c>
      <c r="AB33" s="220">
        <f>W33*O33</f>
        <v/>
      </c>
      <c r="AC33" s="198">
        <f>X33*O33</f>
        <v/>
      </c>
      <c r="AD33" s="220" t="n">
        <v>0</v>
      </c>
      <c r="AE33" s="220" t="n">
        <v>0</v>
      </c>
      <c r="AF33" s="220">
        <f>SUM(Y33:AE33)</f>
        <v/>
      </c>
      <c r="AG33" s="205">
        <f>_xlfn.XLOOKUP(G33,[1]Fx!$A$16:$A$24,[1]Fx!$B$16:$B$24)</f>
        <v/>
      </c>
      <c r="AH33" s="220">
        <f>AG33*R33</f>
        <v/>
      </c>
      <c r="AI33" s="220">
        <f>$AI$6*Z33</f>
        <v/>
      </c>
      <c r="AJ33" s="220">
        <f>$AJ$6*AA33</f>
        <v/>
      </c>
      <c r="AK33" s="220">
        <f>$AK$6*AB33</f>
        <v/>
      </c>
      <c r="AL33" s="220">
        <f>$AL$6*AC33</f>
        <v/>
      </c>
      <c r="AM33" s="220">
        <f>SUM(AH33:AL33)</f>
        <v/>
      </c>
      <c r="AN33" s="220" t="n">
        <v>0</v>
      </c>
      <c r="AO33" s="220">
        <f>AN33*AH33</f>
        <v/>
      </c>
      <c r="AP33" s="220">
        <f>AD33</f>
        <v/>
      </c>
      <c r="AQ33" s="220">
        <f>AE33</f>
        <v/>
      </c>
      <c r="AR33" s="220">
        <f>AM33-AO33</f>
        <v/>
      </c>
      <c r="AS33" s="220">
        <f>AR33-AK33</f>
        <v/>
      </c>
      <c r="AT33" s="220">
        <f>AS33*1.075</f>
        <v/>
      </c>
      <c r="AU33" s="220">
        <f>ROUNDUP(AT33+AK33,-4)</f>
        <v/>
      </c>
      <c r="AV33" s="198" t="n">
        <v>480000</v>
      </c>
      <c r="AW33" s="220" t="n"/>
      <c r="AX33" s="220">
        <f>AV33-AR33</f>
        <v/>
      </c>
      <c r="AY33" s="35">
        <f>AX33/AR33</f>
        <v/>
      </c>
      <c r="AZ33" s="220">
        <f>AV33-AF33</f>
        <v/>
      </c>
      <c r="BA33" s="215">
        <f>AV33-SUM(Z33:AC33)</f>
        <v/>
      </c>
      <c r="BB33" s="215">
        <f>BA33-Y33</f>
        <v/>
      </c>
      <c r="BC33" s="35">
        <f>BB33/BA33</f>
        <v/>
      </c>
      <c r="BD33" s="35">
        <f>IFERROR(AZ33/AV33,)</f>
        <v/>
      </c>
      <c r="BE33" s="255">
        <f>AV33-SUM(Z33:AC33)</f>
        <v/>
      </c>
      <c r="BF33" s="255">
        <f>AV33-BE33-AC33-AB33</f>
        <v/>
      </c>
      <c r="BG33" s="255">
        <f>AV33-BE33-BF33-AB33</f>
        <v/>
      </c>
      <c r="BH33" s="255">
        <f>AB33</f>
        <v/>
      </c>
      <c r="BI33">
        <f>IF(BD33&lt;0%,"Loss",IF(BD33&lt;5%,"On Cost Plus",IF(BD33&lt;10%,"Within","Exceed")))</f>
        <v/>
      </c>
      <c r="BJ33" t="inlineStr">
        <is>
          <t>Exceed</t>
        </is>
      </c>
      <c r="BK33">
        <f>0.51*$BK$6</f>
        <v/>
      </c>
      <c r="BL33" s="190">
        <f>BK33-W33</f>
        <v/>
      </c>
      <c r="BM33" s="189">
        <f>BL33*O33</f>
        <v/>
      </c>
    </row>
    <row r="34">
      <c r="A34">
        <f>CONCATENATE(E34,F34,G34,H34,I34,J34,K34,L34)</f>
        <v/>
      </c>
      <c r="B34" s="25">
        <f>CONCATENATE(J34,"-&gt;",K34,"/",E34)</f>
        <v/>
      </c>
      <c r="C34" s="24" t="inlineStr">
        <is>
          <t>AFEEZ AJIBADE/Ebenezer</t>
        </is>
      </c>
      <c r="D34" s="25">
        <f>CONCATENATE(G34,"-",H34,"-",F34)</f>
        <v/>
      </c>
      <c r="E34" s="24" t="inlineStr">
        <is>
          <t>JAMARA-30T-NBL-DSL-CONTAINARIZED</t>
        </is>
      </c>
      <c r="F34" s="24" t="inlineStr">
        <is>
          <t>CONTAINARIZED</t>
        </is>
      </c>
      <c r="G34" s="25" t="inlineStr">
        <is>
          <t>NBL-DSL</t>
        </is>
      </c>
      <c r="H34" s="24" t="inlineStr">
        <is>
          <t>30T</t>
        </is>
      </c>
      <c r="I34" s="251" t="inlineStr">
        <is>
          <t>JAMARA</t>
        </is>
      </c>
      <c r="J34" s="251" t="inlineStr">
        <is>
          <t>Lagos</t>
        </is>
      </c>
      <c r="K34" s="258" t="inlineStr">
        <is>
          <t>Alaba</t>
        </is>
      </c>
      <c r="L34" s="231" t="inlineStr">
        <is>
          <t>Lagos</t>
        </is>
      </c>
      <c r="M34" s="256" t="n"/>
      <c r="N34" s="253" t="n">
        <v>25</v>
      </c>
      <c r="O34" s="257">
        <f>N34*2</f>
        <v/>
      </c>
      <c r="P34" s="227">
        <f>ROUNDUP(O34/300,)</f>
        <v/>
      </c>
      <c r="Q34" s="220" t="n">
        <v>0.5</v>
      </c>
      <c r="R34" s="220">
        <f>Q34+P34</f>
        <v/>
      </c>
      <c r="S34" s="198">
        <f>ROUNDDOWN(O34*0.7,)</f>
        <v/>
      </c>
      <c r="T34" s="220">
        <f>_xlfn.XLOOKUP(G34,[1]Fx!$A$4:$A$12,[1]Fx!$B$4:$B$12)</f>
        <v/>
      </c>
      <c r="U34" s="220">
        <f>_xlfn.XLOOKUP(G34,[1]Fx!$A$4:$A$12,[1]Fx!$C$4:$C$12)</f>
        <v/>
      </c>
      <c r="V34" s="220">
        <f>_xlfn.XLOOKUP(G34,[1]Fx!$A$4:$A$12,[1]Fx!$D$4:$D$12)</f>
        <v/>
      </c>
      <c r="W34" s="208">
        <f>_xlfn.XLOOKUP(H34&amp;I34,'[1]Mapping DSL'!$H:$H,'[1]Mapping DSL'!$J:$J)</f>
        <v/>
      </c>
      <c r="X34" s="220">
        <f>_xlfn.XLOOKUP(G34,[1]Fx!$A$4:$A$12,[1]Fx!$E$4:$E$12)</f>
        <v/>
      </c>
      <c r="Y34" s="220">
        <f>T34*R34</f>
        <v/>
      </c>
      <c r="Z34" s="220">
        <f>U34*O34</f>
        <v/>
      </c>
      <c r="AA34" s="220">
        <f>V34*O34</f>
        <v/>
      </c>
      <c r="AB34" s="220">
        <f>W34*O34</f>
        <v/>
      </c>
      <c r="AC34" s="198">
        <f>X34*O34</f>
        <v/>
      </c>
      <c r="AD34" s="220" t="n">
        <v>0</v>
      </c>
      <c r="AE34" s="220" t="n">
        <v>109000</v>
      </c>
      <c r="AF34" s="220">
        <f>SUM(Y34:AE34)</f>
        <v/>
      </c>
      <c r="AG34" s="205">
        <f>_xlfn.XLOOKUP(G34,[1]Fx!$A$16:$A$24,[1]Fx!$B$16:$B$24)</f>
        <v/>
      </c>
      <c r="AH34" s="220">
        <f>AG34*R34</f>
        <v/>
      </c>
      <c r="AI34" s="220">
        <f>$AI$6*Z34</f>
        <v/>
      </c>
      <c r="AJ34" s="220">
        <f>$AJ$6*AA34</f>
        <v/>
      </c>
      <c r="AK34" s="220">
        <f>$AK$6*AB34</f>
        <v/>
      </c>
      <c r="AL34" s="220">
        <f>$AL$6*AC34</f>
        <v/>
      </c>
      <c r="AM34" s="220">
        <f>SUM(AH34:AL34)</f>
        <v/>
      </c>
      <c r="AN34" s="220" t="n">
        <v>0</v>
      </c>
      <c r="AO34" s="220">
        <f>AN34*AH34</f>
        <v/>
      </c>
      <c r="AP34" s="220">
        <f>AD34</f>
        <v/>
      </c>
      <c r="AQ34" s="220">
        <f>AE34</f>
        <v/>
      </c>
      <c r="AR34" s="220">
        <f>AM34-AO34+AQ34</f>
        <v/>
      </c>
      <c r="AS34" s="220">
        <f>AR34-AK34</f>
        <v/>
      </c>
      <c r="AT34" s="220">
        <f>AS34*1.075</f>
        <v/>
      </c>
      <c r="AU34" s="220">
        <f>ROUNDUP(AT34+AK34,-4)</f>
        <v/>
      </c>
      <c r="AV34" s="198" t="n">
        <v>540000</v>
      </c>
      <c r="AW34" s="220" t="n"/>
      <c r="AX34" s="220">
        <f>AV34-AR34</f>
        <v/>
      </c>
      <c r="AY34" s="35">
        <f>AX34/AR34</f>
        <v/>
      </c>
      <c r="AZ34" s="220">
        <f>AV34-AF34</f>
        <v/>
      </c>
      <c r="BA34" s="215">
        <f>AV34-SUM(Z34:AC34)</f>
        <v/>
      </c>
      <c r="BB34" s="215">
        <f>BA34-Y34</f>
        <v/>
      </c>
      <c r="BC34" s="35">
        <f>BB34/BA34</f>
        <v/>
      </c>
      <c r="BD34" s="35">
        <f>IFERROR(AZ34/AV34,)</f>
        <v/>
      </c>
      <c r="BE34" s="255">
        <f>AV34-SUM(Z34:AC34)</f>
        <v/>
      </c>
      <c r="BF34" s="255">
        <f>AV34-BE34-AC34-AB34</f>
        <v/>
      </c>
      <c r="BG34" s="255">
        <f>AV34-BE34-BF34-AB34</f>
        <v/>
      </c>
      <c r="BH34" s="255">
        <f>AB34</f>
        <v/>
      </c>
      <c r="BI34">
        <f>IF(BD34&lt;0%,"Loss",IF(BD34&lt;5%,"On Cost Plus",IF(BD34&lt;10%,"Within","Exceed")))</f>
        <v/>
      </c>
      <c r="BJ34" t="inlineStr">
        <is>
          <t>Exceed</t>
        </is>
      </c>
      <c r="BK34">
        <f>0.51*$BK$6</f>
        <v/>
      </c>
      <c r="BL34" s="190">
        <f>BK34-W34</f>
        <v/>
      </c>
      <c r="BM34" s="189">
        <f>BL34*O34</f>
        <v/>
      </c>
    </row>
    <row r="35">
      <c r="A35">
        <f>CONCATENATE(E35,F35,G35,H35,I35,J35,K35,L35)</f>
        <v/>
      </c>
      <c r="B35" s="25">
        <f>CONCATENATE(J35,"-&gt;",K35,"/",E35)</f>
        <v/>
      </c>
      <c r="C35" s="24" t="inlineStr">
        <is>
          <t>AFEEZ AJIBADE/Ebenezer</t>
        </is>
      </c>
      <c r="D35" s="25">
        <f>CONCATENATE(G35,"-",H35,"-",F35)</f>
        <v/>
      </c>
      <c r="E35" s="24" t="inlineStr">
        <is>
          <t>JAMARA-30T-NBL-DSL-CONTAINARIZED</t>
        </is>
      </c>
      <c r="F35" s="24" t="inlineStr">
        <is>
          <t>CONTAINARIZED</t>
        </is>
      </c>
      <c r="G35" s="25" t="inlineStr">
        <is>
          <t>NBL-DSL</t>
        </is>
      </c>
      <c r="H35" s="24" t="inlineStr">
        <is>
          <t>30T</t>
        </is>
      </c>
      <c r="I35" s="251" t="inlineStr">
        <is>
          <t>JAMARA</t>
        </is>
      </c>
      <c r="J35" s="251" t="inlineStr">
        <is>
          <t>Lagos</t>
        </is>
      </c>
      <c r="K35" s="258" t="inlineStr">
        <is>
          <t>Ikeja-Agege-Dopemu-Magodo</t>
        </is>
      </c>
      <c r="L35" s="231" t="inlineStr">
        <is>
          <t>Lagos</t>
        </is>
      </c>
      <c r="M35" s="256" t="n"/>
      <c r="N35" s="253" t="n">
        <v>13.85</v>
      </c>
      <c r="O35" s="257">
        <f>N35*2</f>
        <v/>
      </c>
      <c r="P35" s="227">
        <f>ROUNDUP(O35/300,)</f>
        <v/>
      </c>
      <c r="Q35" s="220" t="n">
        <v>0.5</v>
      </c>
      <c r="R35" s="220">
        <f>Q35+P35</f>
        <v/>
      </c>
      <c r="S35" s="198">
        <f>ROUNDDOWN(O35*0.7,)</f>
        <v/>
      </c>
      <c r="T35" s="220">
        <f>_xlfn.XLOOKUP(G35,[1]Fx!$A$4:$A$12,[1]Fx!$B$4:$B$12)</f>
        <v/>
      </c>
      <c r="U35" s="220">
        <f>_xlfn.XLOOKUP(G35,[1]Fx!$A$4:$A$12,[1]Fx!$C$4:$C$12)</f>
        <v/>
      </c>
      <c r="V35" s="220">
        <f>_xlfn.XLOOKUP(G35,[1]Fx!$A$4:$A$12,[1]Fx!$D$4:$D$12)</f>
        <v/>
      </c>
      <c r="W35" s="208">
        <f>_xlfn.XLOOKUP(H35&amp;I35,'[1]Mapping DSL'!$H:$H,'[1]Mapping DSL'!$J:$J)</f>
        <v/>
      </c>
      <c r="X35" s="220">
        <f>_xlfn.XLOOKUP(G35,[1]Fx!$A$4:$A$12,[1]Fx!$E$4:$E$12)</f>
        <v/>
      </c>
      <c r="Y35" s="220">
        <f>T35*R35</f>
        <v/>
      </c>
      <c r="Z35" s="220">
        <f>U35*O35</f>
        <v/>
      </c>
      <c r="AA35" s="220">
        <f>V35*O35</f>
        <v/>
      </c>
      <c r="AB35" s="220">
        <f>W35*O35</f>
        <v/>
      </c>
      <c r="AC35" s="198">
        <f>X35*O35</f>
        <v/>
      </c>
      <c r="AD35" s="220" t="n">
        <v>0</v>
      </c>
      <c r="AE35" s="220" t="n">
        <v>0</v>
      </c>
      <c r="AF35" s="220">
        <f>SUM(Y35:AE35)</f>
        <v/>
      </c>
      <c r="AG35" s="205">
        <f>_xlfn.XLOOKUP(G35,[1]Fx!$A$16:$A$24,[1]Fx!$B$16:$B$24)</f>
        <v/>
      </c>
      <c r="AH35" s="220">
        <f>AG35*R35</f>
        <v/>
      </c>
      <c r="AI35" s="220">
        <f>$AI$6*Z35</f>
        <v/>
      </c>
      <c r="AJ35" s="220">
        <f>$AJ$6*AA35</f>
        <v/>
      </c>
      <c r="AK35" s="220">
        <f>$AK$6*AB35</f>
        <v/>
      </c>
      <c r="AL35" s="220">
        <f>$AL$6*AC35</f>
        <v/>
      </c>
      <c r="AM35" s="220">
        <f>SUM(AH35:AL35)</f>
        <v/>
      </c>
      <c r="AN35" s="220" t="n">
        <v>0</v>
      </c>
      <c r="AO35" s="220">
        <f>AN35*AH35</f>
        <v/>
      </c>
      <c r="AP35" s="220">
        <f>AD35</f>
        <v/>
      </c>
      <c r="AQ35" s="220">
        <f>AE35</f>
        <v/>
      </c>
      <c r="AR35" s="220">
        <f>AM35-AO35</f>
        <v/>
      </c>
      <c r="AS35" s="220">
        <f>AR35-AK35</f>
        <v/>
      </c>
      <c r="AT35" s="220">
        <f>AS35*1.075</f>
        <v/>
      </c>
      <c r="AU35" s="220">
        <f>ROUNDUP(AT35+AK35,-4)</f>
        <v/>
      </c>
      <c r="AV35" s="198" t="n">
        <v>400000</v>
      </c>
      <c r="AW35" s="220" t="n"/>
      <c r="AX35" s="220">
        <f>AV35-AR35</f>
        <v/>
      </c>
      <c r="AY35" s="35">
        <f>AX35/AR35</f>
        <v/>
      </c>
      <c r="AZ35" s="220">
        <f>AV35-AF35</f>
        <v/>
      </c>
      <c r="BA35" s="215">
        <f>AV35-SUM(Z35:AC35)</f>
        <v/>
      </c>
      <c r="BB35" s="215">
        <f>BA35-Y35</f>
        <v/>
      </c>
      <c r="BC35" s="35">
        <f>BB35/BA35</f>
        <v/>
      </c>
      <c r="BD35" s="35">
        <f>IFERROR(AZ35/AV35,)</f>
        <v/>
      </c>
      <c r="BE35" s="255">
        <f>AV35-SUM(Z35:AC35)</f>
        <v/>
      </c>
      <c r="BF35" s="255">
        <f>AV35-BE35-AC35-AB35</f>
        <v/>
      </c>
      <c r="BG35" s="255">
        <f>AV35-BE35-BF35-AB35</f>
        <v/>
      </c>
      <c r="BH35" s="255">
        <f>AB35</f>
        <v/>
      </c>
      <c r="BI35">
        <f>IF(BD35&lt;0%,"Loss",IF(BD35&lt;5%,"On Cost Plus",IF(BD35&lt;10%,"Within","Exceed")))</f>
        <v/>
      </c>
      <c r="BJ35" t="inlineStr">
        <is>
          <t>Exceed</t>
        </is>
      </c>
      <c r="BK35">
        <f>0.51*$BK$6</f>
        <v/>
      </c>
      <c r="BL35" s="190">
        <f>BK35-W35</f>
        <v/>
      </c>
      <c r="BM35" s="189">
        <f>BL35*O35</f>
        <v/>
      </c>
    </row>
    <row r="36">
      <c r="A36">
        <f>CONCATENATE(E36,F36,G36,H36,I36,J36,K36,L36)</f>
        <v/>
      </c>
      <c r="B36" s="25">
        <f>CONCATENATE(J36,"-&gt;",K36,"/",E36)</f>
        <v/>
      </c>
      <c r="C36" s="24" t="inlineStr">
        <is>
          <t>AFEEZ AJIBADE/Ebenezer</t>
        </is>
      </c>
      <c r="D36" s="25">
        <f>CONCATENATE(G36,"-",H36,"-",F36)</f>
        <v/>
      </c>
      <c r="E36" s="24" t="inlineStr">
        <is>
          <t>JAMARA-30T-NBL-DSL-CONTAINARIZED</t>
        </is>
      </c>
      <c r="F36" s="24" t="inlineStr">
        <is>
          <t>CONTAINARIZED</t>
        </is>
      </c>
      <c r="G36" s="25" t="inlineStr">
        <is>
          <t>NBL-DSL</t>
        </is>
      </c>
      <c r="H36" s="24" t="inlineStr">
        <is>
          <t>30T</t>
        </is>
      </c>
      <c r="I36" s="251" t="inlineStr">
        <is>
          <t>JAMARA</t>
        </is>
      </c>
      <c r="J36" s="251" t="inlineStr">
        <is>
          <t>Lagos</t>
        </is>
      </c>
      <c r="K36" s="258" t="inlineStr">
        <is>
          <t>Ikeja-Agege-Dopemu-Magodo</t>
        </is>
      </c>
      <c r="L36" s="231" t="inlineStr">
        <is>
          <t>Lagos</t>
        </is>
      </c>
      <c r="M36" s="256" t="n"/>
      <c r="N36" s="253" t="n">
        <v>13.85</v>
      </c>
      <c r="O36" s="257">
        <f>N36*2</f>
        <v/>
      </c>
      <c r="P36" s="227">
        <f>ROUNDUP(O36/300,)</f>
        <v/>
      </c>
      <c r="Q36" s="220" t="n">
        <v>0.5</v>
      </c>
      <c r="R36" s="220">
        <f>Q36+P36</f>
        <v/>
      </c>
      <c r="S36" s="198">
        <f>ROUNDDOWN(O36*0.7,)</f>
        <v/>
      </c>
      <c r="T36" s="220">
        <f>_xlfn.XLOOKUP(G36,[1]Fx!$A$4:$A$12,[1]Fx!$B$4:$B$12)</f>
        <v/>
      </c>
      <c r="U36" s="220">
        <f>_xlfn.XLOOKUP(G36,[1]Fx!$A$4:$A$12,[1]Fx!$C$4:$C$12)</f>
        <v/>
      </c>
      <c r="V36" s="220">
        <f>_xlfn.XLOOKUP(G36,[1]Fx!$A$4:$A$12,[1]Fx!$D$4:$D$12)</f>
        <v/>
      </c>
      <c r="W36" s="208">
        <f>_xlfn.XLOOKUP(H36&amp;I36,'[1]Mapping DSL'!$H:$H,'[1]Mapping DSL'!$J:$J)</f>
        <v/>
      </c>
      <c r="X36" s="220">
        <f>_xlfn.XLOOKUP(G36,[1]Fx!$A$4:$A$12,[1]Fx!$E$4:$E$12)</f>
        <v/>
      </c>
      <c r="Y36" s="220">
        <f>T36*R36</f>
        <v/>
      </c>
      <c r="Z36" s="220">
        <f>U36*O36</f>
        <v/>
      </c>
      <c r="AA36" s="220">
        <f>V36*O36</f>
        <v/>
      </c>
      <c r="AB36" s="220">
        <f>W36*O36</f>
        <v/>
      </c>
      <c r="AC36" s="198">
        <f>X36*O36</f>
        <v/>
      </c>
      <c r="AD36" s="220" t="n">
        <v>0</v>
      </c>
      <c r="AE36" s="220" t="n">
        <v>0</v>
      </c>
      <c r="AF36" s="220">
        <f>SUM(Y36:AE36)</f>
        <v/>
      </c>
      <c r="AG36" s="205">
        <f>_xlfn.XLOOKUP(G36,[1]Fx!$A$16:$A$24,[1]Fx!$B$16:$B$24)</f>
        <v/>
      </c>
      <c r="AH36" s="220">
        <f>AG36*R36</f>
        <v/>
      </c>
      <c r="AI36" s="220">
        <f>$AI$6*Z36</f>
        <v/>
      </c>
      <c r="AJ36" s="220">
        <f>$AJ$6*AA36</f>
        <v/>
      </c>
      <c r="AK36" s="220">
        <f>$AK$6*AB36</f>
        <v/>
      </c>
      <c r="AL36" s="220">
        <f>$AL$6*AC36</f>
        <v/>
      </c>
      <c r="AM36" s="220">
        <f>SUM(AH36:AL36)</f>
        <v/>
      </c>
      <c r="AN36" s="220" t="n">
        <v>0</v>
      </c>
      <c r="AO36" s="220">
        <f>AN36*AH36</f>
        <v/>
      </c>
      <c r="AP36" s="220">
        <f>AD36</f>
        <v/>
      </c>
      <c r="AQ36" s="220">
        <f>AE36</f>
        <v/>
      </c>
      <c r="AR36" s="220">
        <f>AM36-AO36</f>
        <v/>
      </c>
      <c r="AS36" s="220">
        <f>AR36-AK36</f>
        <v/>
      </c>
      <c r="AT36" s="220">
        <f>AS36*1.075</f>
        <v/>
      </c>
      <c r="AU36" s="220">
        <f>ROUNDUP(AT36+AK36,-4)</f>
        <v/>
      </c>
      <c r="AV36" s="198" t="n">
        <v>400000</v>
      </c>
      <c r="AW36" s="220" t="n"/>
      <c r="AX36" s="220">
        <f>AV36-AR36</f>
        <v/>
      </c>
      <c r="AY36" s="35">
        <f>AX36/AR36</f>
        <v/>
      </c>
      <c r="AZ36" s="220">
        <f>AV36-AF36</f>
        <v/>
      </c>
      <c r="BA36" s="215">
        <f>AV36-SUM(Z36:AC36)</f>
        <v/>
      </c>
      <c r="BB36" s="215">
        <f>BA36-Y36</f>
        <v/>
      </c>
      <c r="BC36" s="35">
        <f>BB36/BA36</f>
        <v/>
      </c>
      <c r="BD36" s="35">
        <f>IFERROR(AZ36/AV36,)</f>
        <v/>
      </c>
      <c r="BE36" s="255">
        <f>AV36-SUM(Z36:AC36)</f>
        <v/>
      </c>
      <c r="BF36" s="255">
        <f>AV36-BE36-AC36-AB36</f>
        <v/>
      </c>
      <c r="BG36" s="255">
        <f>AV36-BE36-BF36-AB36</f>
        <v/>
      </c>
      <c r="BH36" s="255">
        <f>AB36</f>
        <v/>
      </c>
      <c r="BI36">
        <f>IF(BD36&lt;0%,"Loss",IF(BD36&lt;5%,"On Cost Plus",IF(BD36&lt;10%,"Within","Exceed")))</f>
        <v/>
      </c>
      <c r="BJ36" t="inlineStr">
        <is>
          <t>Exceed</t>
        </is>
      </c>
      <c r="BK36">
        <f>0.51*$BK$6</f>
        <v/>
      </c>
      <c r="BL36" s="190">
        <f>BK36-W36</f>
        <v/>
      </c>
      <c r="BM36" s="189">
        <f>BL36*O36</f>
        <v/>
      </c>
    </row>
    <row r="37">
      <c r="A37">
        <f>CONCATENATE(E37,F37,G37,H37,I37,J37,K37,L37)</f>
        <v/>
      </c>
      <c r="B37" s="25">
        <f>CONCATENATE(J37,"-&gt;",K37,"/",E37)</f>
        <v/>
      </c>
      <c r="C37" s="24" t="inlineStr">
        <is>
          <t>AFEEZ AJIBADE/Ebenezer</t>
        </is>
      </c>
      <c r="D37" s="25">
        <f>CONCATENATE(G37,"-",H37,"-",F37)</f>
        <v/>
      </c>
      <c r="E37" s="24" t="inlineStr">
        <is>
          <t>JAMARA-30T-NBL-DSL-CONTAINARIZED</t>
        </is>
      </c>
      <c r="F37" s="24" t="inlineStr">
        <is>
          <t>CONTAINARIZED</t>
        </is>
      </c>
      <c r="G37" s="25" t="inlineStr">
        <is>
          <t>NBL-DSL</t>
        </is>
      </c>
      <c r="H37" s="24" t="inlineStr">
        <is>
          <t>30T</t>
        </is>
      </c>
      <c r="I37" s="251" t="inlineStr">
        <is>
          <t>JAMARA</t>
        </is>
      </c>
      <c r="J37" s="251" t="inlineStr">
        <is>
          <t>Lagos</t>
        </is>
      </c>
      <c r="K37" s="258" t="inlineStr">
        <is>
          <t>Ikeja-Agege-Dopemu-Magodo</t>
        </is>
      </c>
      <c r="L37" s="231" t="inlineStr">
        <is>
          <t>Lagos</t>
        </is>
      </c>
      <c r="M37" s="256" t="n"/>
      <c r="N37" s="253" t="n">
        <v>13.85</v>
      </c>
      <c r="O37" s="257">
        <f>N37*2</f>
        <v/>
      </c>
      <c r="P37" s="227">
        <f>ROUNDUP(O37/300,)</f>
        <v/>
      </c>
      <c r="Q37" s="220" t="n">
        <v>0.5</v>
      </c>
      <c r="R37" s="220">
        <f>Q37+P37</f>
        <v/>
      </c>
      <c r="S37" s="198">
        <f>ROUNDDOWN(O37*0.7,)</f>
        <v/>
      </c>
      <c r="T37" s="220">
        <f>_xlfn.XLOOKUP(G37,[1]Fx!$A$4:$A$12,[1]Fx!$B$4:$B$12)</f>
        <v/>
      </c>
      <c r="U37" s="220">
        <f>_xlfn.XLOOKUP(G37,[1]Fx!$A$4:$A$12,[1]Fx!$C$4:$C$12)</f>
        <v/>
      </c>
      <c r="V37" s="220">
        <f>_xlfn.XLOOKUP(G37,[1]Fx!$A$4:$A$12,[1]Fx!$D$4:$D$12)</f>
        <v/>
      </c>
      <c r="W37" s="208">
        <f>_xlfn.XLOOKUP(H37&amp;I37,'[1]Mapping DSL'!$H:$H,'[1]Mapping DSL'!$J:$J)</f>
        <v/>
      </c>
      <c r="X37" s="220">
        <f>_xlfn.XLOOKUP(G37,[1]Fx!$A$4:$A$12,[1]Fx!$E$4:$E$12)</f>
        <v/>
      </c>
      <c r="Y37" s="220">
        <f>T37*R37</f>
        <v/>
      </c>
      <c r="Z37" s="220">
        <f>U37*O37</f>
        <v/>
      </c>
      <c r="AA37" s="220">
        <f>V37*O37</f>
        <v/>
      </c>
      <c r="AB37" s="220">
        <f>W37*O37</f>
        <v/>
      </c>
      <c r="AC37" s="198">
        <f>X37*O37</f>
        <v/>
      </c>
      <c r="AD37" s="220" t="n">
        <v>0</v>
      </c>
      <c r="AE37" s="220" t="n">
        <v>0</v>
      </c>
      <c r="AF37" s="220">
        <f>SUM(Y37:AE37)</f>
        <v/>
      </c>
      <c r="AG37" s="205">
        <f>_xlfn.XLOOKUP(G37,[1]Fx!$A$16:$A$24,[1]Fx!$B$16:$B$24)</f>
        <v/>
      </c>
      <c r="AH37" s="220">
        <f>AG37*R37</f>
        <v/>
      </c>
      <c r="AI37" s="220">
        <f>$AI$6*Z37</f>
        <v/>
      </c>
      <c r="AJ37" s="220">
        <f>$AJ$6*AA37</f>
        <v/>
      </c>
      <c r="AK37" s="220">
        <f>$AK$6*AB37</f>
        <v/>
      </c>
      <c r="AL37" s="220">
        <f>$AL$6*AC37</f>
        <v/>
      </c>
      <c r="AM37" s="220">
        <f>SUM(AH37:AL37)</f>
        <v/>
      </c>
      <c r="AN37" s="220" t="n">
        <v>0</v>
      </c>
      <c r="AO37" s="220">
        <f>AN37*AH37</f>
        <v/>
      </c>
      <c r="AP37" s="220">
        <f>AD37</f>
        <v/>
      </c>
      <c r="AQ37" s="220">
        <f>AE37</f>
        <v/>
      </c>
      <c r="AR37" s="220">
        <f>AM37-AO37</f>
        <v/>
      </c>
      <c r="AS37" s="220">
        <f>AR37-AK37</f>
        <v/>
      </c>
      <c r="AT37" s="220">
        <f>AS37*1.075</f>
        <v/>
      </c>
      <c r="AU37" s="220">
        <f>ROUNDUP(AT37+AK37,-4)</f>
        <v/>
      </c>
      <c r="AV37" s="198" t="n">
        <v>400000</v>
      </c>
      <c r="AW37" s="220" t="n"/>
      <c r="AX37" s="220">
        <f>AV37-AR37</f>
        <v/>
      </c>
      <c r="AY37" s="35">
        <f>AX37/AR37</f>
        <v/>
      </c>
      <c r="AZ37" s="220">
        <f>AV37-AF37</f>
        <v/>
      </c>
      <c r="BA37" s="215">
        <f>AV37-SUM(Z37:AC37)</f>
        <v/>
      </c>
      <c r="BB37" s="215">
        <f>BA37-Y37</f>
        <v/>
      </c>
      <c r="BC37" s="35">
        <f>BB37/BA37</f>
        <v/>
      </c>
      <c r="BD37" s="35">
        <f>IFERROR(AZ37/AV37,)</f>
        <v/>
      </c>
      <c r="BE37" s="255">
        <f>AV37-SUM(Z37:AC37)</f>
        <v/>
      </c>
      <c r="BF37" s="255">
        <f>AV37-BE37-AC37-AB37</f>
        <v/>
      </c>
      <c r="BG37" s="255">
        <f>AV37-BE37-BF37-AB37</f>
        <v/>
      </c>
      <c r="BH37" s="255">
        <f>AB37</f>
        <v/>
      </c>
      <c r="BI37">
        <f>IF(BD37&lt;0%,"Loss",IF(BD37&lt;5%,"On Cost Plus",IF(BD37&lt;10%,"Within","Exceed")))</f>
        <v/>
      </c>
      <c r="BJ37" t="inlineStr">
        <is>
          <t>Exceed</t>
        </is>
      </c>
      <c r="BK37">
        <f>0.51*$BK$6</f>
        <v/>
      </c>
      <c r="BL37" s="190">
        <f>BK37-W37</f>
        <v/>
      </c>
      <c r="BM37" s="189">
        <f>BL37*O37</f>
        <v/>
      </c>
    </row>
    <row r="38">
      <c r="A38">
        <f>CONCATENATE(E38,F38,G38,H38,I38,J38,K38,L38)</f>
        <v/>
      </c>
      <c r="B38" s="25">
        <f>CONCATENATE(J38,"-&gt;",K38,"/",E38)</f>
        <v/>
      </c>
      <c r="C38" s="24" t="inlineStr">
        <is>
          <t>AFEEZ AJIBADE/Ebenezer</t>
        </is>
      </c>
      <c r="D38" s="25">
        <f>CONCATENATE(G38,"-",H38,"-",F38)</f>
        <v/>
      </c>
      <c r="E38" s="24" t="inlineStr">
        <is>
          <t>JAMARA-30T-NBL-DSL-CONTAINARIZED</t>
        </is>
      </c>
      <c r="F38" s="24" t="inlineStr">
        <is>
          <t>CONTAINARIZED</t>
        </is>
      </c>
      <c r="G38" s="25" t="inlineStr">
        <is>
          <t>NBL-DSL</t>
        </is>
      </c>
      <c r="H38" s="24" t="inlineStr">
        <is>
          <t>30T</t>
        </is>
      </c>
      <c r="I38" s="251" t="inlineStr">
        <is>
          <t>JAMARA</t>
        </is>
      </c>
      <c r="J38" s="251" t="inlineStr">
        <is>
          <t>Lagos</t>
        </is>
      </c>
      <c r="K38" s="258" t="inlineStr">
        <is>
          <t>IKM-Shagari-Ejigbo-Ipaja-Ayobo-Okokomaiko-Oshodi-Isolo</t>
        </is>
      </c>
      <c r="L38" s="231" t="inlineStr">
        <is>
          <t>Lagos</t>
        </is>
      </c>
      <c r="M38" s="256" t="n"/>
      <c r="N38" s="253" t="n">
        <v>16.8</v>
      </c>
      <c r="O38" s="257">
        <f>N38*2</f>
        <v/>
      </c>
      <c r="P38" s="227">
        <f>ROUNDUP(O38/300,)</f>
        <v/>
      </c>
      <c r="Q38" s="220" t="n">
        <v>0.5</v>
      </c>
      <c r="R38" s="220">
        <f>Q38+P38</f>
        <v/>
      </c>
      <c r="S38" s="198">
        <f>ROUNDDOWN(O38*0.7,)</f>
        <v/>
      </c>
      <c r="T38" s="220">
        <f>_xlfn.XLOOKUP(G38,[1]Fx!$A$4:$A$12,[1]Fx!$B$4:$B$12)</f>
        <v/>
      </c>
      <c r="U38" s="220">
        <f>_xlfn.XLOOKUP(G38,[1]Fx!$A$4:$A$12,[1]Fx!$C$4:$C$12)</f>
        <v/>
      </c>
      <c r="V38" s="220">
        <f>_xlfn.XLOOKUP(G38,[1]Fx!$A$4:$A$12,[1]Fx!$D$4:$D$12)</f>
        <v/>
      </c>
      <c r="W38" s="208">
        <f>_xlfn.XLOOKUP(H38&amp;I38,'[1]Mapping DSL'!$H:$H,'[1]Mapping DSL'!$J:$J)</f>
        <v/>
      </c>
      <c r="X38" s="220">
        <f>_xlfn.XLOOKUP(G38,[1]Fx!$A$4:$A$12,[1]Fx!$E$4:$E$12)</f>
        <v/>
      </c>
      <c r="Y38" s="220">
        <f>T38*R38</f>
        <v/>
      </c>
      <c r="Z38" s="220">
        <f>U38*O38</f>
        <v/>
      </c>
      <c r="AA38" s="220">
        <f>V38*O38</f>
        <v/>
      </c>
      <c r="AB38" s="220">
        <f>W38*O38</f>
        <v/>
      </c>
      <c r="AC38" s="198">
        <f>X38*O38</f>
        <v/>
      </c>
      <c r="AD38" s="220" t="n">
        <v>0</v>
      </c>
      <c r="AE38" s="220" t="n">
        <v>0</v>
      </c>
      <c r="AF38" s="220">
        <f>SUM(Y38:AE38)</f>
        <v/>
      </c>
      <c r="AG38" s="205">
        <f>_xlfn.XLOOKUP(G38,[1]Fx!$A$16:$A$24,[1]Fx!$B$16:$B$24)</f>
        <v/>
      </c>
      <c r="AH38" s="220">
        <f>AG38*R38</f>
        <v/>
      </c>
      <c r="AI38" s="220">
        <f>$AI$6*Z38</f>
        <v/>
      </c>
      <c r="AJ38" s="220">
        <f>$AJ$6*AA38</f>
        <v/>
      </c>
      <c r="AK38" s="220">
        <f>$AK$6*AB38</f>
        <v/>
      </c>
      <c r="AL38" s="220">
        <f>$AL$6*AC38</f>
        <v/>
      </c>
      <c r="AM38" s="220">
        <f>SUM(AH38:AL38)</f>
        <v/>
      </c>
      <c r="AN38" s="220" t="n">
        <v>0</v>
      </c>
      <c r="AO38" s="220">
        <f>AN38*AH38</f>
        <v/>
      </c>
      <c r="AP38" s="220">
        <f>AD38</f>
        <v/>
      </c>
      <c r="AQ38" s="220">
        <f>AE38</f>
        <v/>
      </c>
      <c r="AR38" s="220">
        <f>AM38-AO38</f>
        <v/>
      </c>
      <c r="AS38" s="220">
        <f>AR38-AK38</f>
        <v/>
      </c>
      <c r="AT38" s="220">
        <f>AS38*1.075</f>
        <v/>
      </c>
      <c r="AU38" s="220">
        <f>ROUNDUP(AT38+AK38,-4)</f>
        <v/>
      </c>
      <c r="AV38" s="198" t="n">
        <v>410000</v>
      </c>
      <c r="AW38" s="220" t="n"/>
      <c r="AX38" s="220">
        <f>AV38-AR38</f>
        <v/>
      </c>
      <c r="AY38" s="35">
        <f>AX38/AR38</f>
        <v/>
      </c>
      <c r="AZ38" s="220">
        <f>AV38-AF38</f>
        <v/>
      </c>
      <c r="BA38" s="215">
        <f>AV38-SUM(Z38:AC38)</f>
        <v/>
      </c>
      <c r="BB38" s="215">
        <f>BA38-Y38</f>
        <v/>
      </c>
      <c r="BC38" s="35">
        <f>BB38/BA38</f>
        <v/>
      </c>
      <c r="BD38" s="35">
        <f>IFERROR(AZ38/AV38,)</f>
        <v/>
      </c>
      <c r="BE38" s="255">
        <f>AV38-SUM(Z38:AC38)</f>
        <v/>
      </c>
      <c r="BF38" s="255">
        <f>AV38-BE38-AC38-AB38</f>
        <v/>
      </c>
      <c r="BG38" s="255">
        <f>AV38-BE38-BF38-AB38</f>
        <v/>
      </c>
      <c r="BH38" s="255">
        <f>AB38</f>
        <v/>
      </c>
      <c r="BI38">
        <f>IF(BD38&lt;0%,"Loss",IF(BD38&lt;5%,"On Cost Plus",IF(BD38&lt;10%,"Within","Exceed")))</f>
        <v/>
      </c>
      <c r="BJ38" t="inlineStr">
        <is>
          <t>Exceed</t>
        </is>
      </c>
      <c r="BK38">
        <f>0.51*$BK$6</f>
        <v/>
      </c>
      <c r="BL38" s="190">
        <f>BK38-W38</f>
        <v/>
      </c>
      <c r="BM38" s="189">
        <f>BL38*O38</f>
        <v/>
      </c>
    </row>
    <row r="39">
      <c r="A39">
        <f>CONCATENATE(E39,F39,G39,H39,I39,J39,K39,L39)</f>
        <v/>
      </c>
      <c r="B39" s="25">
        <f>CONCATENATE(J39,"-&gt;",K39,"/",E39)</f>
        <v/>
      </c>
      <c r="C39" s="24" t="inlineStr">
        <is>
          <t>AFEEZ AJIBADE/Ebenezer</t>
        </is>
      </c>
      <c r="D39" s="25">
        <f>CONCATENATE(G39,"-",H39,"-",F39)</f>
        <v/>
      </c>
      <c r="E39" s="24" t="inlineStr">
        <is>
          <t>JAMARA-30T-NBL-DSL-CONTAINARIZED</t>
        </is>
      </c>
      <c r="F39" s="24" t="inlineStr">
        <is>
          <t>CONTAINARIZED</t>
        </is>
      </c>
      <c r="G39" s="25" t="inlineStr">
        <is>
          <t>NBL-DSL</t>
        </is>
      </c>
      <c r="H39" s="24" t="inlineStr">
        <is>
          <t>30T</t>
        </is>
      </c>
      <c r="I39" s="251" t="inlineStr">
        <is>
          <t>JAMARA</t>
        </is>
      </c>
      <c r="J39" s="251" t="inlineStr">
        <is>
          <t>Lagos</t>
        </is>
      </c>
      <c r="K39" s="258" t="inlineStr">
        <is>
          <t>IKM-Shagari-Ejigbo-Ipaja-Ayobo-Okokomaiko-Oshodi-Isolo</t>
        </is>
      </c>
      <c r="L39" s="231" t="inlineStr">
        <is>
          <t>Lagos</t>
        </is>
      </c>
      <c r="M39" s="256" t="n"/>
      <c r="N39" s="253" t="n">
        <v>16.8</v>
      </c>
      <c r="O39" s="257">
        <f>N39*2</f>
        <v/>
      </c>
      <c r="P39" s="227">
        <f>ROUNDUP(O39/300,)</f>
        <v/>
      </c>
      <c r="Q39" s="220" t="n">
        <v>0.5</v>
      </c>
      <c r="R39" s="220">
        <f>Q39+P39</f>
        <v/>
      </c>
      <c r="S39" s="198">
        <f>ROUNDDOWN(O39*0.7,)</f>
        <v/>
      </c>
      <c r="T39" s="220">
        <f>_xlfn.XLOOKUP(G39,[1]Fx!$A$4:$A$12,[1]Fx!$B$4:$B$12)</f>
        <v/>
      </c>
      <c r="U39" s="220">
        <f>_xlfn.XLOOKUP(G39,[1]Fx!$A$4:$A$12,[1]Fx!$C$4:$C$12)</f>
        <v/>
      </c>
      <c r="V39" s="220">
        <f>_xlfn.XLOOKUP(G39,[1]Fx!$A$4:$A$12,[1]Fx!$D$4:$D$12)</f>
        <v/>
      </c>
      <c r="W39" s="208">
        <f>_xlfn.XLOOKUP(H39&amp;I39,'[1]Mapping DSL'!$H:$H,'[1]Mapping DSL'!$J:$J)</f>
        <v/>
      </c>
      <c r="X39" s="220">
        <f>_xlfn.XLOOKUP(G39,[1]Fx!$A$4:$A$12,[1]Fx!$E$4:$E$12)</f>
        <v/>
      </c>
      <c r="Y39" s="220">
        <f>T39*R39</f>
        <v/>
      </c>
      <c r="Z39" s="220">
        <f>U39*O39</f>
        <v/>
      </c>
      <c r="AA39" s="220">
        <f>V39*O39</f>
        <v/>
      </c>
      <c r="AB39" s="220">
        <f>W39*O39</f>
        <v/>
      </c>
      <c r="AC39" s="198">
        <f>X39*O39</f>
        <v/>
      </c>
      <c r="AD39" s="220" t="n">
        <v>0</v>
      </c>
      <c r="AE39" s="220" t="n">
        <v>0</v>
      </c>
      <c r="AF39" s="220">
        <f>SUM(Y39:AE39)</f>
        <v/>
      </c>
      <c r="AG39" s="205">
        <f>_xlfn.XLOOKUP(G39,[1]Fx!$A$16:$A$24,[1]Fx!$B$16:$B$24)</f>
        <v/>
      </c>
      <c r="AH39" s="220">
        <f>AG39*R39</f>
        <v/>
      </c>
      <c r="AI39" s="220">
        <f>$AI$6*Z39</f>
        <v/>
      </c>
      <c r="AJ39" s="220">
        <f>$AJ$6*AA39</f>
        <v/>
      </c>
      <c r="AK39" s="220">
        <f>$AK$6*AB39</f>
        <v/>
      </c>
      <c r="AL39" s="220">
        <f>$AL$6*AC39</f>
        <v/>
      </c>
      <c r="AM39" s="220">
        <f>SUM(AH39:AL39)</f>
        <v/>
      </c>
      <c r="AN39" s="220" t="n">
        <v>0</v>
      </c>
      <c r="AO39" s="220">
        <f>AN39*AH39</f>
        <v/>
      </c>
      <c r="AP39" s="220">
        <f>AD39</f>
        <v/>
      </c>
      <c r="AQ39" s="220">
        <f>AE39</f>
        <v/>
      </c>
      <c r="AR39" s="220">
        <f>AM39-AO39</f>
        <v/>
      </c>
      <c r="AS39" s="220">
        <f>AR39-AK39</f>
        <v/>
      </c>
      <c r="AT39" s="220">
        <f>AS39*1.075</f>
        <v/>
      </c>
      <c r="AU39" s="220">
        <f>ROUNDUP(AT39+AK39,-4)</f>
        <v/>
      </c>
      <c r="AV39" s="198" t="n">
        <v>410000</v>
      </c>
      <c r="AW39" s="220" t="n"/>
      <c r="AX39" s="220">
        <f>AV39-AR39</f>
        <v/>
      </c>
      <c r="AY39" s="35">
        <f>AX39/AR39</f>
        <v/>
      </c>
      <c r="AZ39" s="220">
        <f>AV39-AF39</f>
        <v/>
      </c>
      <c r="BA39" s="215">
        <f>AV39-SUM(Z39:AC39)</f>
        <v/>
      </c>
      <c r="BB39" s="215">
        <f>BA39-Y39</f>
        <v/>
      </c>
      <c r="BC39" s="35">
        <f>BB39/BA39</f>
        <v/>
      </c>
      <c r="BD39" s="35">
        <f>IFERROR(AZ39/AV39,)</f>
        <v/>
      </c>
      <c r="BE39" s="255">
        <f>AV39-SUM(Z39:AC39)</f>
        <v/>
      </c>
      <c r="BF39" s="255">
        <f>AV39-BE39-AC39-AB39</f>
        <v/>
      </c>
      <c r="BG39" s="255">
        <f>AV39-BE39-BF39-AB39</f>
        <v/>
      </c>
      <c r="BH39" s="255">
        <f>AB39</f>
        <v/>
      </c>
      <c r="BI39">
        <f>IF(BD39&lt;0%,"Loss",IF(BD39&lt;5%,"On Cost Plus",IF(BD39&lt;10%,"Within","Exceed")))</f>
        <v/>
      </c>
      <c r="BJ39" t="inlineStr">
        <is>
          <t>Exceed</t>
        </is>
      </c>
      <c r="BK39">
        <f>0.51*$BK$6</f>
        <v/>
      </c>
      <c r="BL39" s="190">
        <f>BK39-W39</f>
        <v/>
      </c>
      <c r="BM39" s="189">
        <f>BL39*O39</f>
        <v/>
      </c>
    </row>
    <row r="40">
      <c r="A40">
        <f>CONCATENATE(E40,F40,G40,H40,I40,J40,K40,L40)</f>
        <v/>
      </c>
      <c r="B40" s="25">
        <f>CONCATENATE(J40,"-&gt;",K40,"/",E40)</f>
        <v/>
      </c>
      <c r="C40" s="24" t="inlineStr">
        <is>
          <t>AFEEZ AJIBADE/Ebenezer</t>
        </is>
      </c>
      <c r="D40" s="25">
        <f>CONCATENATE(G40,"-",H40,"-",F40)</f>
        <v/>
      </c>
      <c r="E40" s="24" t="inlineStr">
        <is>
          <t>JAMARA-30T-NBL-DSL-CONTAINARIZED</t>
        </is>
      </c>
      <c r="F40" s="24" t="inlineStr">
        <is>
          <t>CONTAINARIZED</t>
        </is>
      </c>
      <c r="G40" s="25" t="inlineStr">
        <is>
          <t>NBL-DSL</t>
        </is>
      </c>
      <c r="H40" s="24" t="inlineStr">
        <is>
          <t>30T</t>
        </is>
      </c>
      <c r="I40" s="251" t="inlineStr">
        <is>
          <t>JAMARA</t>
        </is>
      </c>
      <c r="J40" s="251" t="inlineStr">
        <is>
          <t>Lagos</t>
        </is>
      </c>
      <c r="K40" s="258" t="inlineStr">
        <is>
          <t>IKM-Shagari-Ejigbo-Ipaja-Ayobo-Okokomaiko-Oshodi-Isolo</t>
        </is>
      </c>
      <c r="L40" s="231" t="inlineStr">
        <is>
          <t>Lagos</t>
        </is>
      </c>
      <c r="M40" s="256" t="n"/>
      <c r="N40" s="253" t="n">
        <v>16.8</v>
      </c>
      <c r="O40" s="257">
        <f>N40*2</f>
        <v/>
      </c>
      <c r="P40" s="227">
        <f>ROUNDUP(O40/300,)</f>
        <v/>
      </c>
      <c r="Q40" s="220" t="n">
        <v>0.5</v>
      </c>
      <c r="R40" s="220">
        <f>Q40+P40</f>
        <v/>
      </c>
      <c r="S40" s="198">
        <f>ROUNDDOWN(O40*0.7,)</f>
        <v/>
      </c>
      <c r="T40" s="220">
        <f>_xlfn.XLOOKUP(G40,[1]Fx!$A$4:$A$12,[1]Fx!$B$4:$B$12)</f>
        <v/>
      </c>
      <c r="U40" s="220">
        <f>_xlfn.XLOOKUP(G40,[1]Fx!$A$4:$A$12,[1]Fx!$C$4:$C$12)</f>
        <v/>
      </c>
      <c r="V40" s="220">
        <f>_xlfn.XLOOKUP(G40,[1]Fx!$A$4:$A$12,[1]Fx!$D$4:$D$12)</f>
        <v/>
      </c>
      <c r="W40" s="208">
        <f>_xlfn.XLOOKUP(H40&amp;I40,'[1]Mapping DSL'!$H:$H,'[1]Mapping DSL'!$J:$J)</f>
        <v/>
      </c>
      <c r="X40" s="220">
        <f>_xlfn.XLOOKUP(G40,[1]Fx!$A$4:$A$12,[1]Fx!$E$4:$E$12)</f>
        <v/>
      </c>
      <c r="Y40" s="220">
        <f>T40*R40</f>
        <v/>
      </c>
      <c r="Z40" s="220">
        <f>U40*O40</f>
        <v/>
      </c>
      <c r="AA40" s="220">
        <f>V40*O40</f>
        <v/>
      </c>
      <c r="AB40" s="220">
        <f>W40*O40</f>
        <v/>
      </c>
      <c r="AC40" s="198">
        <f>X40*O40</f>
        <v/>
      </c>
      <c r="AD40" s="220" t="n">
        <v>0</v>
      </c>
      <c r="AE40" s="220" t="n">
        <v>0</v>
      </c>
      <c r="AF40" s="220">
        <f>SUM(Y40:AE40)</f>
        <v/>
      </c>
      <c r="AG40" s="205">
        <f>_xlfn.XLOOKUP(G40,[1]Fx!$A$16:$A$24,[1]Fx!$B$16:$B$24)</f>
        <v/>
      </c>
      <c r="AH40" s="220">
        <f>AG40*R40</f>
        <v/>
      </c>
      <c r="AI40" s="220">
        <f>$AI$6*Z40</f>
        <v/>
      </c>
      <c r="AJ40" s="220">
        <f>$AJ$6*AA40</f>
        <v/>
      </c>
      <c r="AK40" s="220">
        <f>$AK$6*AB40</f>
        <v/>
      </c>
      <c r="AL40" s="220">
        <f>$AL$6*AC40</f>
        <v/>
      </c>
      <c r="AM40" s="220">
        <f>SUM(AH40:AL40)</f>
        <v/>
      </c>
      <c r="AN40" s="220" t="n">
        <v>0</v>
      </c>
      <c r="AO40" s="220">
        <f>AN40*AH40</f>
        <v/>
      </c>
      <c r="AP40" s="220">
        <f>AD40</f>
        <v/>
      </c>
      <c r="AQ40" s="220">
        <f>AE40</f>
        <v/>
      </c>
      <c r="AR40" s="220">
        <f>AM40-AO40</f>
        <v/>
      </c>
      <c r="AS40" s="220">
        <f>AR40-AK40</f>
        <v/>
      </c>
      <c r="AT40" s="220">
        <f>AS40*1.075</f>
        <v/>
      </c>
      <c r="AU40" s="220">
        <f>ROUNDUP(AT40+AK40,-4)</f>
        <v/>
      </c>
      <c r="AV40" s="198" t="n">
        <v>410000</v>
      </c>
      <c r="AW40" s="220" t="n"/>
      <c r="AX40" s="220">
        <f>AV40-AR40</f>
        <v/>
      </c>
      <c r="AY40" s="35">
        <f>AX40/AR40</f>
        <v/>
      </c>
      <c r="AZ40" s="220">
        <f>AV40-AF40</f>
        <v/>
      </c>
      <c r="BA40" s="215">
        <f>AV40-SUM(Z40:AC40)</f>
        <v/>
      </c>
      <c r="BB40" s="215">
        <f>BA40-Y40</f>
        <v/>
      </c>
      <c r="BC40" s="35">
        <f>BB40/BA40</f>
        <v/>
      </c>
      <c r="BD40" s="35">
        <f>IFERROR(AZ40/AV40,)</f>
        <v/>
      </c>
      <c r="BE40" s="255">
        <f>AV40-SUM(Z40:AC40)</f>
        <v/>
      </c>
      <c r="BF40" s="255">
        <f>AV40-BE40-AC40-AB40</f>
        <v/>
      </c>
      <c r="BG40" s="255">
        <f>AV40-BE40-BF40-AB40</f>
        <v/>
      </c>
      <c r="BH40" s="255">
        <f>AB40</f>
        <v/>
      </c>
      <c r="BI40">
        <f>IF(BD40&lt;0%,"Loss",IF(BD40&lt;5%,"On Cost Plus",IF(BD40&lt;10%,"Within","Exceed")))</f>
        <v/>
      </c>
      <c r="BJ40" t="inlineStr">
        <is>
          <t>Exceed</t>
        </is>
      </c>
      <c r="BK40">
        <f>0.51*$BK$6</f>
        <v/>
      </c>
      <c r="BL40" s="190">
        <f>BK40-W40</f>
        <v/>
      </c>
      <c r="BM40" s="189">
        <f>BL40*O40</f>
        <v/>
      </c>
    </row>
    <row r="41">
      <c r="A41">
        <f>CONCATENATE(E41,F41,G41,H41,I41,J41,K41,L41)</f>
        <v/>
      </c>
      <c r="B41" s="25">
        <f>CONCATENATE(J41,"-&gt;",K41,"/",E41)</f>
        <v/>
      </c>
      <c r="C41" s="24" t="inlineStr">
        <is>
          <t>AFEEZ AJIBADE/Ebenezer</t>
        </is>
      </c>
      <c r="D41" s="25">
        <f>CONCATENATE(G41,"-",H41,"-",F41)</f>
        <v/>
      </c>
      <c r="E41" s="24" t="inlineStr">
        <is>
          <t>JAMARA-30T-NBL-DSL-CONTAINARIZED</t>
        </is>
      </c>
      <c r="F41" s="24" t="inlineStr">
        <is>
          <t>CONTAINARIZED</t>
        </is>
      </c>
      <c r="G41" s="25" t="inlineStr">
        <is>
          <t>NBL-DSL</t>
        </is>
      </c>
      <c r="H41" s="24" t="inlineStr">
        <is>
          <t>30T</t>
        </is>
      </c>
      <c r="I41" s="251" t="inlineStr">
        <is>
          <t>JAMARA</t>
        </is>
      </c>
      <c r="J41" s="251" t="inlineStr">
        <is>
          <t>Lagos</t>
        </is>
      </c>
      <c r="K41" s="258" t="inlineStr">
        <is>
          <t>IKM-Shagari-Ejigbo-Ipaja-Ayobo-Okokomaiko-Oshodi-Isolo</t>
        </is>
      </c>
      <c r="L41" s="231" t="inlineStr">
        <is>
          <t>Lagos</t>
        </is>
      </c>
      <c r="M41" s="256" t="n"/>
      <c r="N41" s="253" t="n">
        <v>16.8</v>
      </c>
      <c r="O41" s="257">
        <f>N41*2</f>
        <v/>
      </c>
      <c r="P41" s="227">
        <f>ROUNDUP(O41/300,)</f>
        <v/>
      </c>
      <c r="Q41" s="220" t="n">
        <v>0.5</v>
      </c>
      <c r="R41" s="220">
        <f>Q41+P41</f>
        <v/>
      </c>
      <c r="S41" s="198">
        <f>ROUNDDOWN(O41*0.7,)</f>
        <v/>
      </c>
      <c r="T41" s="220">
        <f>_xlfn.XLOOKUP(G41,[1]Fx!$A$4:$A$12,[1]Fx!$B$4:$B$12)</f>
        <v/>
      </c>
      <c r="U41" s="220">
        <f>_xlfn.XLOOKUP(G41,[1]Fx!$A$4:$A$12,[1]Fx!$C$4:$C$12)</f>
        <v/>
      </c>
      <c r="V41" s="220">
        <f>_xlfn.XLOOKUP(G41,[1]Fx!$A$4:$A$12,[1]Fx!$D$4:$D$12)</f>
        <v/>
      </c>
      <c r="W41" s="208">
        <f>_xlfn.XLOOKUP(H41&amp;I41,'[1]Mapping DSL'!$H:$H,'[1]Mapping DSL'!$J:$J)</f>
        <v/>
      </c>
      <c r="X41" s="220">
        <f>_xlfn.XLOOKUP(G41,[1]Fx!$A$4:$A$12,[1]Fx!$E$4:$E$12)</f>
        <v/>
      </c>
      <c r="Y41" s="220">
        <f>T41*R41</f>
        <v/>
      </c>
      <c r="Z41" s="220">
        <f>U41*O41</f>
        <v/>
      </c>
      <c r="AA41" s="220">
        <f>V41*O41</f>
        <v/>
      </c>
      <c r="AB41" s="220">
        <f>W41*O41</f>
        <v/>
      </c>
      <c r="AC41" s="198">
        <f>X41*O41</f>
        <v/>
      </c>
      <c r="AD41" s="220" t="n">
        <v>0</v>
      </c>
      <c r="AE41" s="220" t="n">
        <v>0</v>
      </c>
      <c r="AF41" s="220">
        <f>SUM(Y41:AE41)</f>
        <v/>
      </c>
      <c r="AG41" s="205">
        <f>_xlfn.XLOOKUP(G41,[1]Fx!$A$16:$A$24,[1]Fx!$B$16:$B$24)</f>
        <v/>
      </c>
      <c r="AH41" s="220">
        <f>AG41*R41</f>
        <v/>
      </c>
      <c r="AI41" s="220">
        <f>$AI$6*Z41</f>
        <v/>
      </c>
      <c r="AJ41" s="220">
        <f>$AJ$6*AA41</f>
        <v/>
      </c>
      <c r="AK41" s="220">
        <f>$AK$6*AB41</f>
        <v/>
      </c>
      <c r="AL41" s="220">
        <f>$AL$6*AC41</f>
        <v/>
      </c>
      <c r="AM41" s="220">
        <f>SUM(AH41:AL41)</f>
        <v/>
      </c>
      <c r="AN41" s="220" t="n">
        <v>0</v>
      </c>
      <c r="AO41" s="220">
        <f>AN41*AH41</f>
        <v/>
      </c>
      <c r="AP41" s="220">
        <f>AD41</f>
        <v/>
      </c>
      <c r="AQ41" s="220">
        <f>AE41</f>
        <v/>
      </c>
      <c r="AR41" s="220">
        <f>AM41-AO41</f>
        <v/>
      </c>
      <c r="AS41" s="220">
        <f>AR41-AK41</f>
        <v/>
      </c>
      <c r="AT41" s="220">
        <f>AS41*1.075</f>
        <v/>
      </c>
      <c r="AU41" s="220">
        <f>ROUNDUP(AT41+AK41,-4)</f>
        <v/>
      </c>
      <c r="AV41" s="198" t="n">
        <v>410000</v>
      </c>
      <c r="AW41" s="220" t="n"/>
      <c r="AX41" s="220">
        <f>AV41-AR41</f>
        <v/>
      </c>
      <c r="AY41" s="35">
        <f>AX41/AR41</f>
        <v/>
      </c>
      <c r="AZ41" s="220">
        <f>AV41-AF41</f>
        <v/>
      </c>
      <c r="BA41" s="215">
        <f>AV41-SUM(Z41:AC41)</f>
        <v/>
      </c>
      <c r="BB41" s="215">
        <f>BA41-Y41</f>
        <v/>
      </c>
      <c r="BC41" s="35">
        <f>BB41/BA41</f>
        <v/>
      </c>
      <c r="BD41" s="35">
        <f>IFERROR(AZ41/AV41,)</f>
        <v/>
      </c>
      <c r="BE41" s="255">
        <f>AV41-SUM(Z41:AC41)</f>
        <v/>
      </c>
      <c r="BF41" s="255">
        <f>AV41-BE41-AC41-AB41</f>
        <v/>
      </c>
      <c r="BG41" s="255">
        <f>AV41-BE41-BF41-AB41</f>
        <v/>
      </c>
      <c r="BH41" s="255">
        <f>AB41</f>
        <v/>
      </c>
      <c r="BI41">
        <f>IF(BD41&lt;0%,"Loss",IF(BD41&lt;5%,"On Cost Plus",IF(BD41&lt;10%,"Within","Exceed")))</f>
        <v/>
      </c>
      <c r="BJ41" t="inlineStr">
        <is>
          <t>Exceed</t>
        </is>
      </c>
      <c r="BK41">
        <f>0.51*$BK$6</f>
        <v/>
      </c>
      <c r="BL41" s="190">
        <f>BK41-W41</f>
        <v/>
      </c>
      <c r="BM41" s="189">
        <f>BL41*O41</f>
        <v/>
      </c>
    </row>
    <row r="42">
      <c r="A42">
        <f>CONCATENATE(E42,F42,G42,H42,I42,J42,K42,L42)</f>
        <v/>
      </c>
      <c r="B42" s="25">
        <f>CONCATENATE(J42,"-&gt;",K42,"/",E42)</f>
        <v/>
      </c>
      <c r="C42" s="24" t="inlineStr">
        <is>
          <t>AFEEZ AJIBADE/Ebenezer</t>
        </is>
      </c>
      <c r="D42" s="25">
        <f>CONCATENATE(G42,"-",H42,"-",F42)</f>
        <v/>
      </c>
      <c r="E42" s="24" t="inlineStr">
        <is>
          <t>JAMARA-30T-NBL-DSL-CONTAINARIZED</t>
        </is>
      </c>
      <c r="F42" s="24" t="inlineStr">
        <is>
          <t>CONTAINARIZED</t>
        </is>
      </c>
      <c r="G42" s="25" t="inlineStr">
        <is>
          <t>NBL-DSL</t>
        </is>
      </c>
      <c r="H42" s="24" t="inlineStr">
        <is>
          <t>30T</t>
        </is>
      </c>
      <c r="I42" s="251" t="inlineStr">
        <is>
          <t>JAMARA</t>
        </is>
      </c>
      <c r="J42" s="251" t="inlineStr">
        <is>
          <t>Lagos</t>
        </is>
      </c>
      <c r="K42" s="258" t="inlineStr">
        <is>
          <t>IKM-Shagari-Ejigbo-Ipaja-Ayobo-Okokomaiko-Oshodi-Isolo</t>
        </is>
      </c>
      <c r="L42" s="231" t="inlineStr">
        <is>
          <t>Lagos</t>
        </is>
      </c>
      <c r="M42" s="256" t="n"/>
      <c r="N42" s="253" t="n">
        <v>16.8</v>
      </c>
      <c r="O42" s="257">
        <f>N42*2</f>
        <v/>
      </c>
      <c r="P42" s="227">
        <f>ROUNDUP(O42/300,)</f>
        <v/>
      </c>
      <c r="Q42" s="220" t="n">
        <v>0.5</v>
      </c>
      <c r="R42" s="220">
        <f>Q42+P42</f>
        <v/>
      </c>
      <c r="S42" s="198">
        <f>ROUNDDOWN(O42*0.7,)</f>
        <v/>
      </c>
      <c r="T42" s="220">
        <f>_xlfn.XLOOKUP(G42,[1]Fx!$A$4:$A$12,[1]Fx!$B$4:$B$12)</f>
        <v/>
      </c>
      <c r="U42" s="220">
        <f>_xlfn.XLOOKUP(G42,[1]Fx!$A$4:$A$12,[1]Fx!$C$4:$C$12)</f>
        <v/>
      </c>
      <c r="V42" s="220">
        <f>_xlfn.XLOOKUP(G42,[1]Fx!$A$4:$A$12,[1]Fx!$D$4:$D$12)</f>
        <v/>
      </c>
      <c r="W42" s="208">
        <f>_xlfn.XLOOKUP(H42&amp;I42,'[1]Mapping DSL'!$H:$H,'[1]Mapping DSL'!$J:$J)</f>
        <v/>
      </c>
      <c r="X42" s="220">
        <f>_xlfn.XLOOKUP(G42,[1]Fx!$A$4:$A$12,[1]Fx!$E$4:$E$12)</f>
        <v/>
      </c>
      <c r="Y42" s="220">
        <f>T42*R42</f>
        <v/>
      </c>
      <c r="Z42" s="220">
        <f>U42*O42</f>
        <v/>
      </c>
      <c r="AA42" s="220">
        <f>V42*O42</f>
        <v/>
      </c>
      <c r="AB42" s="220">
        <f>W42*O42</f>
        <v/>
      </c>
      <c r="AC42" s="198">
        <f>X42*O42</f>
        <v/>
      </c>
      <c r="AD42" s="220" t="n">
        <v>0</v>
      </c>
      <c r="AE42" s="220" t="n">
        <v>0</v>
      </c>
      <c r="AF42" s="220">
        <f>SUM(Y42:AE42)</f>
        <v/>
      </c>
      <c r="AG42" s="205">
        <f>_xlfn.XLOOKUP(G42,[1]Fx!$A$16:$A$24,[1]Fx!$B$16:$B$24)</f>
        <v/>
      </c>
      <c r="AH42" s="220">
        <f>AG42*R42</f>
        <v/>
      </c>
      <c r="AI42" s="220">
        <f>$AI$6*Z42</f>
        <v/>
      </c>
      <c r="AJ42" s="220">
        <f>$AJ$6*AA42</f>
        <v/>
      </c>
      <c r="AK42" s="220">
        <f>$AK$6*AB42</f>
        <v/>
      </c>
      <c r="AL42" s="220">
        <f>$AL$6*AC42</f>
        <v/>
      </c>
      <c r="AM42" s="220">
        <f>SUM(AH42:AL42)</f>
        <v/>
      </c>
      <c r="AN42" s="220" t="n">
        <v>0</v>
      </c>
      <c r="AO42" s="220">
        <f>AN42*AH42</f>
        <v/>
      </c>
      <c r="AP42" s="220">
        <f>AD42</f>
        <v/>
      </c>
      <c r="AQ42" s="220">
        <f>AE42</f>
        <v/>
      </c>
      <c r="AR42" s="220">
        <f>AM42-AO42</f>
        <v/>
      </c>
      <c r="AS42" s="220">
        <f>AR42-AK42</f>
        <v/>
      </c>
      <c r="AT42" s="220">
        <f>AS42*1.075</f>
        <v/>
      </c>
      <c r="AU42" s="220">
        <f>ROUNDUP(AT42+AK42,-4)</f>
        <v/>
      </c>
      <c r="AV42" s="198" t="n">
        <v>410000</v>
      </c>
      <c r="AW42" s="220" t="n"/>
      <c r="AX42" s="220">
        <f>AV42-AR42</f>
        <v/>
      </c>
      <c r="AY42" s="35">
        <f>AX42/AR42</f>
        <v/>
      </c>
      <c r="AZ42" s="220">
        <f>AV42-AF42</f>
        <v/>
      </c>
      <c r="BA42" s="215">
        <f>AV42-SUM(Z42:AC42)</f>
        <v/>
      </c>
      <c r="BB42" s="215">
        <f>BA42-Y42</f>
        <v/>
      </c>
      <c r="BC42" s="35">
        <f>BB42/BA42</f>
        <v/>
      </c>
      <c r="BD42" s="35">
        <f>IFERROR(AZ42/AV42,)</f>
        <v/>
      </c>
      <c r="BE42" s="255">
        <f>AV42-SUM(Z42:AC42)</f>
        <v/>
      </c>
      <c r="BF42" s="255">
        <f>AV42-BE42-AC42-AB42</f>
        <v/>
      </c>
      <c r="BG42" s="255">
        <f>AV42-BE42-BF42-AB42</f>
        <v/>
      </c>
      <c r="BH42" s="255">
        <f>AB42</f>
        <v/>
      </c>
      <c r="BI42">
        <f>IF(BD42&lt;0%,"Loss",IF(BD42&lt;5%,"On Cost Plus",IF(BD42&lt;10%,"Within","Exceed")))</f>
        <v/>
      </c>
      <c r="BJ42" t="inlineStr">
        <is>
          <t>Exceed</t>
        </is>
      </c>
      <c r="BK42">
        <f>0.51*$BK$6</f>
        <v/>
      </c>
      <c r="BL42" s="190">
        <f>BK42-W42</f>
        <v/>
      </c>
      <c r="BM42" s="189">
        <f>BL42*O42</f>
        <v/>
      </c>
    </row>
    <row r="43">
      <c r="A43">
        <f>CONCATENATE(E43,F43,G43,H43,I43,J43,K43,L43)</f>
        <v/>
      </c>
      <c r="B43" s="25">
        <f>CONCATENATE(J43,"-&gt;",K43,"/",E43)</f>
        <v/>
      </c>
      <c r="C43" s="24" t="inlineStr">
        <is>
          <t>AFEEZ AJIBADE/Ebenezer</t>
        </is>
      </c>
      <c r="D43" s="25">
        <f>CONCATENATE(G43,"-",H43,"-",F43)</f>
        <v/>
      </c>
      <c r="E43" s="24" t="inlineStr">
        <is>
          <t>JAMARA-30T-NBL-DSL-CONTAINARIZED</t>
        </is>
      </c>
      <c r="F43" s="24" t="inlineStr">
        <is>
          <t>CONTAINARIZED</t>
        </is>
      </c>
      <c r="G43" s="25" t="inlineStr">
        <is>
          <t>NBL-DSL</t>
        </is>
      </c>
      <c r="H43" s="24" t="inlineStr">
        <is>
          <t>30T</t>
        </is>
      </c>
      <c r="I43" s="251" t="inlineStr">
        <is>
          <t>JAMARA</t>
        </is>
      </c>
      <c r="J43" s="251" t="inlineStr">
        <is>
          <t>Lagos</t>
        </is>
      </c>
      <c r="K43" s="258" t="inlineStr">
        <is>
          <t>Ilupeju-Gbagada-Apapa-Mushin-Okota-Fadeyi</t>
        </is>
      </c>
      <c r="L43" s="231" t="inlineStr">
        <is>
          <t>Lagos</t>
        </is>
      </c>
      <c r="M43" s="256" t="n"/>
      <c r="N43" s="253" t="n">
        <v>21.5</v>
      </c>
      <c r="O43" s="257">
        <f>N43*2</f>
        <v/>
      </c>
      <c r="P43" s="227">
        <f>ROUNDUP(O43/300,)</f>
        <v/>
      </c>
      <c r="Q43" s="220" t="n">
        <v>0.5</v>
      </c>
      <c r="R43" s="220">
        <f>Q43+P43</f>
        <v/>
      </c>
      <c r="S43" s="198">
        <f>ROUNDDOWN(O43*0.7,)</f>
        <v/>
      </c>
      <c r="T43" s="220">
        <f>_xlfn.XLOOKUP(G43,[1]Fx!$A$4:$A$12,[1]Fx!$B$4:$B$12)</f>
        <v/>
      </c>
      <c r="U43" s="220">
        <f>_xlfn.XLOOKUP(G43,[1]Fx!$A$4:$A$12,[1]Fx!$C$4:$C$12)</f>
        <v/>
      </c>
      <c r="V43" s="220">
        <f>_xlfn.XLOOKUP(G43,[1]Fx!$A$4:$A$12,[1]Fx!$D$4:$D$12)</f>
        <v/>
      </c>
      <c r="W43" s="208">
        <f>_xlfn.XLOOKUP(H43&amp;I43,'[1]Mapping DSL'!$H:$H,'[1]Mapping DSL'!$J:$J)</f>
        <v/>
      </c>
      <c r="X43" s="220">
        <f>_xlfn.XLOOKUP(G43,[1]Fx!$A$4:$A$12,[1]Fx!$E$4:$E$12)</f>
        <v/>
      </c>
      <c r="Y43" s="220">
        <f>T43*R43</f>
        <v/>
      </c>
      <c r="Z43" s="220">
        <f>U43*O43</f>
        <v/>
      </c>
      <c r="AA43" s="220">
        <f>V43*O43</f>
        <v/>
      </c>
      <c r="AB43" s="220">
        <f>W43*O43</f>
        <v/>
      </c>
      <c r="AC43" s="198">
        <f>X43*O43</f>
        <v/>
      </c>
      <c r="AD43" s="220" t="n">
        <v>0</v>
      </c>
      <c r="AE43" s="220" t="n">
        <v>0</v>
      </c>
      <c r="AF43" s="220">
        <f>SUM(Y43:AE43)</f>
        <v/>
      </c>
      <c r="AG43" s="205">
        <f>_xlfn.XLOOKUP(G43,[1]Fx!$A$16:$A$24,[1]Fx!$B$16:$B$24)</f>
        <v/>
      </c>
      <c r="AH43" s="220">
        <f>AG43*R43</f>
        <v/>
      </c>
      <c r="AI43" s="220">
        <f>$AI$6*Z43</f>
        <v/>
      </c>
      <c r="AJ43" s="220">
        <f>$AJ$6*AA43</f>
        <v/>
      </c>
      <c r="AK43" s="220">
        <f>$AK$6*AB43</f>
        <v/>
      </c>
      <c r="AL43" s="220">
        <f>$AL$6*AC43</f>
        <v/>
      </c>
      <c r="AM43" s="220">
        <f>SUM(AH43:AL43)</f>
        <v/>
      </c>
      <c r="AN43" s="220" t="n">
        <v>0</v>
      </c>
      <c r="AO43" s="220">
        <f>AN43*AH43</f>
        <v/>
      </c>
      <c r="AP43" s="220">
        <f>AD43</f>
        <v/>
      </c>
      <c r="AQ43" s="220">
        <f>AE43</f>
        <v/>
      </c>
      <c r="AR43" s="220">
        <f>AM43-AO43</f>
        <v/>
      </c>
      <c r="AS43" s="220">
        <f>AR43-AK43</f>
        <v/>
      </c>
      <c r="AT43" s="220">
        <f>AS43*1.075</f>
        <v/>
      </c>
      <c r="AU43" s="220">
        <f>ROUNDUP(AT43+AK43,-4)</f>
        <v/>
      </c>
      <c r="AV43" s="198" t="n">
        <v>420000</v>
      </c>
      <c r="AW43" s="220" t="n"/>
      <c r="AX43" s="220">
        <f>AV43-AR43</f>
        <v/>
      </c>
      <c r="AY43" s="35">
        <f>AX43/AR43</f>
        <v/>
      </c>
      <c r="AZ43" s="220">
        <f>AV43-AF43</f>
        <v/>
      </c>
      <c r="BA43" s="215">
        <f>AV43-SUM(Z43:AC43)</f>
        <v/>
      </c>
      <c r="BB43" s="215">
        <f>BA43-Y43</f>
        <v/>
      </c>
      <c r="BC43" s="35">
        <f>BB43/BA43</f>
        <v/>
      </c>
      <c r="BD43" s="35">
        <f>IFERROR(AZ43/AV43,)</f>
        <v/>
      </c>
      <c r="BE43" s="255">
        <f>AV43-SUM(Z43:AC43)</f>
        <v/>
      </c>
      <c r="BF43" s="255">
        <f>AV43-BE43-AC43-AB43</f>
        <v/>
      </c>
      <c r="BG43" s="255">
        <f>AV43-BE43-BF43-AB43</f>
        <v/>
      </c>
      <c r="BH43" s="255">
        <f>AB43</f>
        <v/>
      </c>
      <c r="BI43">
        <f>IF(BD43&lt;0%,"Loss",IF(BD43&lt;5%,"On Cost Plus",IF(BD43&lt;10%,"Within","Exceed")))</f>
        <v/>
      </c>
      <c r="BJ43" t="inlineStr">
        <is>
          <t>Exceed</t>
        </is>
      </c>
      <c r="BK43">
        <f>0.51*$BK$6</f>
        <v/>
      </c>
      <c r="BL43" s="190">
        <f>BK43-W43</f>
        <v/>
      </c>
      <c r="BM43" s="189">
        <f>BL43*O43</f>
        <v/>
      </c>
    </row>
    <row r="44">
      <c r="A44">
        <f>CONCATENATE(E44,F44,G44,H44,I44,J44,K44,L44)</f>
        <v/>
      </c>
      <c r="B44" s="25">
        <f>CONCATENATE(J44,"-&gt;",K44,"/",E44)</f>
        <v/>
      </c>
      <c r="C44" s="24" t="inlineStr">
        <is>
          <t>AFEEZ AJIBADE/Ebenezer</t>
        </is>
      </c>
      <c r="D44" s="25">
        <f>CONCATENATE(G44,"-",H44,"-",F44)</f>
        <v/>
      </c>
      <c r="E44" s="24" t="inlineStr">
        <is>
          <t>JAMARA-30T-NBL-DSL-CONTAINARIZED</t>
        </is>
      </c>
      <c r="F44" s="24" t="inlineStr">
        <is>
          <t>CONTAINARIZED</t>
        </is>
      </c>
      <c r="G44" s="25" t="inlineStr">
        <is>
          <t>NBL-DSL</t>
        </is>
      </c>
      <c r="H44" s="24" t="inlineStr">
        <is>
          <t>30T</t>
        </is>
      </c>
      <c r="I44" s="251" t="inlineStr">
        <is>
          <t>JAMARA</t>
        </is>
      </c>
      <c r="J44" s="251" t="inlineStr">
        <is>
          <t>Lagos</t>
        </is>
      </c>
      <c r="K44" s="258" t="inlineStr">
        <is>
          <t>Ilupeju-Gbagada-Apapa-Mushin-Okota-Fadeyi</t>
        </is>
      </c>
      <c r="L44" s="231" t="inlineStr">
        <is>
          <t>Lagos</t>
        </is>
      </c>
      <c r="M44" s="256" t="n"/>
      <c r="N44" s="253" t="n">
        <v>21.5</v>
      </c>
      <c r="O44" s="257">
        <f>N44*2</f>
        <v/>
      </c>
      <c r="P44" s="227">
        <f>ROUNDUP(O44/300,)</f>
        <v/>
      </c>
      <c r="Q44" s="220" t="n">
        <v>0.5</v>
      </c>
      <c r="R44" s="220">
        <f>Q44+P44</f>
        <v/>
      </c>
      <c r="S44" s="198">
        <f>ROUNDDOWN(O44*0.7,)</f>
        <v/>
      </c>
      <c r="T44" s="220">
        <f>_xlfn.XLOOKUP(G44,[1]Fx!$A$4:$A$12,[1]Fx!$B$4:$B$12)</f>
        <v/>
      </c>
      <c r="U44" s="220">
        <f>_xlfn.XLOOKUP(G44,[1]Fx!$A$4:$A$12,[1]Fx!$C$4:$C$12)</f>
        <v/>
      </c>
      <c r="V44" s="220">
        <f>_xlfn.XLOOKUP(G44,[1]Fx!$A$4:$A$12,[1]Fx!$D$4:$D$12)</f>
        <v/>
      </c>
      <c r="W44" s="208">
        <f>_xlfn.XLOOKUP(H44&amp;I44,'[1]Mapping DSL'!$H:$H,'[1]Mapping DSL'!$J:$J)</f>
        <v/>
      </c>
      <c r="X44" s="220">
        <f>_xlfn.XLOOKUP(G44,[1]Fx!$A$4:$A$12,[1]Fx!$E$4:$E$12)</f>
        <v/>
      </c>
      <c r="Y44" s="220">
        <f>T44*R44</f>
        <v/>
      </c>
      <c r="Z44" s="220">
        <f>U44*O44</f>
        <v/>
      </c>
      <c r="AA44" s="220">
        <f>V44*O44</f>
        <v/>
      </c>
      <c r="AB44" s="220">
        <f>W44*O44</f>
        <v/>
      </c>
      <c r="AC44" s="198">
        <f>X44*O44</f>
        <v/>
      </c>
      <c r="AD44" s="220" t="n">
        <v>0</v>
      </c>
      <c r="AE44" s="220" t="n">
        <v>0</v>
      </c>
      <c r="AF44" s="220">
        <f>SUM(Y44:AE44)</f>
        <v/>
      </c>
      <c r="AG44" s="205">
        <f>_xlfn.XLOOKUP(G44,[1]Fx!$A$16:$A$24,[1]Fx!$B$16:$B$24)</f>
        <v/>
      </c>
      <c r="AH44" s="220">
        <f>AG44*R44</f>
        <v/>
      </c>
      <c r="AI44" s="220">
        <f>$AI$6*Z44</f>
        <v/>
      </c>
      <c r="AJ44" s="220">
        <f>$AJ$6*AA44</f>
        <v/>
      </c>
      <c r="AK44" s="220">
        <f>$AK$6*AB44</f>
        <v/>
      </c>
      <c r="AL44" s="220">
        <f>$AL$6*AC44</f>
        <v/>
      </c>
      <c r="AM44" s="220">
        <f>SUM(AH44:AL44)</f>
        <v/>
      </c>
      <c r="AN44" s="220" t="n">
        <v>0</v>
      </c>
      <c r="AO44" s="220">
        <f>AN44*AH44</f>
        <v/>
      </c>
      <c r="AP44" s="220">
        <f>AD44</f>
        <v/>
      </c>
      <c r="AQ44" s="220">
        <f>AE44</f>
        <v/>
      </c>
      <c r="AR44" s="220">
        <f>AM44-AO44</f>
        <v/>
      </c>
      <c r="AS44" s="220">
        <f>AR44-AK44</f>
        <v/>
      </c>
      <c r="AT44" s="220">
        <f>AS44*1.075</f>
        <v/>
      </c>
      <c r="AU44" s="220">
        <f>ROUNDUP(AT44+AK44,-4)</f>
        <v/>
      </c>
      <c r="AV44" s="198" t="n">
        <v>420000</v>
      </c>
      <c r="AW44" s="220" t="n"/>
      <c r="AX44" s="220">
        <f>AV44-AR44</f>
        <v/>
      </c>
      <c r="AY44" s="35">
        <f>AX44/AR44</f>
        <v/>
      </c>
      <c r="AZ44" s="220">
        <f>AV44-AF44</f>
        <v/>
      </c>
      <c r="BA44" s="215">
        <f>AV44-SUM(Z44:AC44)</f>
        <v/>
      </c>
      <c r="BB44" s="215">
        <f>BA44-Y44</f>
        <v/>
      </c>
      <c r="BC44" s="35">
        <f>BB44/BA44</f>
        <v/>
      </c>
      <c r="BD44" s="35">
        <f>IFERROR(AZ44/AV44,)</f>
        <v/>
      </c>
      <c r="BE44" s="255">
        <f>AV44-SUM(Z44:AC44)</f>
        <v/>
      </c>
      <c r="BF44" s="255">
        <f>AV44-BE44-AC44-AB44</f>
        <v/>
      </c>
      <c r="BG44" s="255">
        <f>AV44-BE44-BF44-AB44</f>
        <v/>
      </c>
      <c r="BH44" s="255">
        <f>AB44</f>
        <v/>
      </c>
      <c r="BI44">
        <f>IF(BD44&lt;0%,"Loss",IF(BD44&lt;5%,"On Cost Plus",IF(BD44&lt;10%,"Within","Exceed")))</f>
        <v/>
      </c>
      <c r="BJ44" t="inlineStr">
        <is>
          <t>Exceed</t>
        </is>
      </c>
      <c r="BK44">
        <f>0.51*$BK$6</f>
        <v/>
      </c>
      <c r="BL44" s="190">
        <f>BK44-W44</f>
        <v/>
      </c>
      <c r="BM44" s="189">
        <f>BL44*O44</f>
        <v/>
      </c>
    </row>
    <row r="45">
      <c r="A45">
        <f>CONCATENATE(E45,F45,G45,H45,I45,J45,K45,L45)</f>
        <v/>
      </c>
      <c r="B45" s="25">
        <f>CONCATENATE(J45,"-&gt;",K45,"/",E45)</f>
        <v/>
      </c>
      <c r="C45" s="24" t="inlineStr">
        <is>
          <t>AFEEZ AJIBADE/Ebenezer</t>
        </is>
      </c>
      <c r="D45" s="25">
        <f>CONCATENATE(G45,"-",H45,"-",F45)</f>
        <v/>
      </c>
      <c r="E45" s="24" t="inlineStr">
        <is>
          <t>JAMARA-30T-NBL-DSL-CONTAINARIZED</t>
        </is>
      </c>
      <c r="F45" s="24" t="inlineStr">
        <is>
          <t>CONTAINARIZED</t>
        </is>
      </c>
      <c r="G45" s="25" t="inlineStr">
        <is>
          <t>NBL-DSL</t>
        </is>
      </c>
      <c r="H45" s="24" t="inlineStr">
        <is>
          <t>30T</t>
        </is>
      </c>
      <c r="I45" s="251" t="inlineStr">
        <is>
          <t>JAMARA</t>
        </is>
      </c>
      <c r="J45" s="251" t="inlineStr">
        <is>
          <t>Lagos</t>
        </is>
      </c>
      <c r="K45" s="259" t="inlineStr">
        <is>
          <t>Festac-Mile 2-Amuwo-Okota</t>
        </is>
      </c>
      <c r="L45" s="233" t="inlineStr">
        <is>
          <t>Lagos</t>
        </is>
      </c>
      <c r="M45" s="256" t="n"/>
      <c r="N45" s="253" t="n">
        <v>21.5</v>
      </c>
      <c r="O45" s="257">
        <f>N45*2</f>
        <v/>
      </c>
      <c r="P45" s="227">
        <f>ROUNDUP(O45/300,)</f>
        <v/>
      </c>
      <c r="Q45" s="220" t="n">
        <v>0.5</v>
      </c>
      <c r="R45" s="220">
        <f>Q45+P45</f>
        <v/>
      </c>
      <c r="S45" s="198">
        <f>ROUNDDOWN(O45*0.7,)</f>
        <v/>
      </c>
      <c r="T45" s="220">
        <f>_xlfn.XLOOKUP(G45,[1]Fx!$A$4:$A$12,[1]Fx!$B$4:$B$12)</f>
        <v/>
      </c>
      <c r="U45" s="220">
        <f>_xlfn.XLOOKUP(G45,[1]Fx!$A$4:$A$12,[1]Fx!$C$4:$C$12)</f>
        <v/>
      </c>
      <c r="V45" s="220">
        <f>_xlfn.XLOOKUP(G45,[1]Fx!$A$4:$A$12,[1]Fx!$D$4:$D$12)</f>
        <v/>
      </c>
      <c r="W45" s="208">
        <f>_xlfn.XLOOKUP(H45&amp;I45,'[1]Mapping DSL'!$H:$H,'[1]Mapping DSL'!$J:$J)</f>
        <v/>
      </c>
      <c r="X45" s="220">
        <f>_xlfn.XLOOKUP(G45,[1]Fx!$A$4:$A$12,[1]Fx!$E$4:$E$12)</f>
        <v/>
      </c>
      <c r="Y45" s="220">
        <f>T45*R45</f>
        <v/>
      </c>
      <c r="Z45" s="220">
        <f>U45*O45</f>
        <v/>
      </c>
      <c r="AA45" s="220">
        <f>V45*O45</f>
        <v/>
      </c>
      <c r="AB45" s="220">
        <f>W45*O45</f>
        <v/>
      </c>
      <c r="AC45" s="198">
        <f>X45*O45</f>
        <v/>
      </c>
      <c r="AD45" s="220" t="n">
        <v>0</v>
      </c>
      <c r="AE45" s="220" t="n">
        <v>0</v>
      </c>
      <c r="AF45" s="220">
        <f>SUM(Y45:AE45)</f>
        <v/>
      </c>
      <c r="AG45" s="205">
        <f>_xlfn.XLOOKUP(G45,[1]Fx!$A$16:$A$24,[1]Fx!$B$16:$B$24)</f>
        <v/>
      </c>
      <c r="AH45" s="220">
        <f>AG45*R45</f>
        <v/>
      </c>
      <c r="AI45" s="220">
        <f>$AI$6*Z45</f>
        <v/>
      </c>
      <c r="AJ45" s="220">
        <f>$AJ$6*AA45</f>
        <v/>
      </c>
      <c r="AK45" s="220">
        <f>$AK$6*AB45</f>
        <v/>
      </c>
      <c r="AL45" s="220">
        <f>$AL$6*AC45</f>
        <v/>
      </c>
      <c r="AM45" s="220">
        <f>SUM(AH45:AL45)</f>
        <v/>
      </c>
      <c r="AN45" s="220" t="n">
        <v>0</v>
      </c>
      <c r="AO45" s="220">
        <f>AN45*AH45</f>
        <v/>
      </c>
      <c r="AP45" s="220">
        <f>AD45</f>
        <v/>
      </c>
      <c r="AQ45" s="220">
        <f>AE45</f>
        <v/>
      </c>
      <c r="AR45" s="220">
        <f>AM45-AO45</f>
        <v/>
      </c>
      <c r="AS45" s="220">
        <f>AR45-AK45</f>
        <v/>
      </c>
      <c r="AT45" s="220">
        <f>AS45*1.075</f>
        <v/>
      </c>
      <c r="AU45" s="220">
        <f>ROUNDUP(AT45+AK45,-4)</f>
        <v/>
      </c>
      <c r="AV45" s="198" t="n">
        <v>420000</v>
      </c>
      <c r="AW45" s="220" t="n"/>
      <c r="AX45" s="220">
        <f>AV45-AR45</f>
        <v/>
      </c>
      <c r="AY45" s="35">
        <f>AX45/AR45</f>
        <v/>
      </c>
      <c r="AZ45" s="220">
        <f>AV45-AF45</f>
        <v/>
      </c>
      <c r="BA45" s="215">
        <f>AV45-SUM(Z45:AC45)</f>
        <v/>
      </c>
      <c r="BB45" s="215">
        <f>BA45-Y45</f>
        <v/>
      </c>
      <c r="BC45" s="35">
        <f>BB45/BA45</f>
        <v/>
      </c>
      <c r="BD45" s="35">
        <f>IFERROR(AZ45/AV45,)</f>
        <v/>
      </c>
      <c r="BE45" s="255">
        <f>AV45-SUM(Z45:AC45)</f>
        <v/>
      </c>
      <c r="BF45" s="255">
        <f>AV45-BE45-AC45-AB45</f>
        <v/>
      </c>
      <c r="BG45" s="255">
        <f>AV45-BE45-BF45-AB45</f>
        <v/>
      </c>
      <c r="BH45" s="255">
        <f>AB45</f>
        <v/>
      </c>
      <c r="BI45">
        <f>IF(BD45&lt;0%,"Loss",IF(BD45&lt;5%,"On Cost Plus",IF(BD45&lt;10%,"Within","Exceed")))</f>
        <v/>
      </c>
      <c r="BJ45" t="inlineStr">
        <is>
          <t>Exceed</t>
        </is>
      </c>
      <c r="BK45">
        <f>0.51*$BK$6</f>
        <v/>
      </c>
      <c r="BL45" s="190">
        <f>BK45-W45</f>
        <v/>
      </c>
      <c r="BM45" s="189">
        <f>BL45*O45</f>
        <v/>
      </c>
    </row>
    <row r="46">
      <c r="A46">
        <f>CONCATENATE(E46,F46,G46,H46,I46,J46,K46,L46)</f>
        <v/>
      </c>
      <c r="B46" s="25">
        <f>CONCATENATE(J46,"-&gt;",K46,"/",E46)</f>
        <v/>
      </c>
      <c r="C46" s="24" t="inlineStr">
        <is>
          <t>AFEEZ AJIBADE/Ebenezer</t>
        </is>
      </c>
      <c r="D46" s="25">
        <f>CONCATENATE(G46,"-",H46,"-",F46)</f>
        <v/>
      </c>
      <c r="E46" s="24" t="inlineStr">
        <is>
          <t>JAMARA-30T-NBL-DSL-CONTAINARIZED</t>
        </is>
      </c>
      <c r="F46" s="24" t="inlineStr">
        <is>
          <t>CONTAINARIZED</t>
        </is>
      </c>
      <c r="G46" s="25" t="inlineStr">
        <is>
          <t>NBL-DSL</t>
        </is>
      </c>
      <c r="H46" s="24" t="inlineStr">
        <is>
          <t>30T</t>
        </is>
      </c>
      <c r="I46" s="251" t="inlineStr">
        <is>
          <t>JAMARA</t>
        </is>
      </c>
      <c r="J46" s="251" t="inlineStr">
        <is>
          <t>Lagos</t>
        </is>
      </c>
      <c r="K46" s="258" t="inlineStr">
        <is>
          <t>Ilupeju-Gbagada-Apapa-Mushin-Okota-Fadeyi</t>
        </is>
      </c>
      <c r="L46" s="231" t="inlineStr">
        <is>
          <t>Lagos</t>
        </is>
      </c>
      <c r="M46" s="256" t="n"/>
      <c r="N46" s="253" t="n">
        <v>21.5</v>
      </c>
      <c r="O46" s="257">
        <f>N46*2</f>
        <v/>
      </c>
      <c r="P46" s="227">
        <f>ROUNDUP(O46/300,)</f>
        <v/>
      </c>
      <c r="Q46" s="220" t="n">
        <v>0.5</v>
      </c>
      <c r="R46" s="220">
        <f>Q46+P46</f>
        <v/>
      </c>
      <c r="S46" s="198">
        <f>ROUNDDOWN(O46*0.7,)</f>
        <v/>
      </c>
      <c r="T46" s="220">
        <f>_xlfn.XLOOKUP(G46,[1]Fx!$A$4:$A$12,[1]Fx!$B$4:$B$12)</f>
        <v/>
      </c>
      <c r="U46" s="220">
        <f>_xlfn.XLOOKUP(G46,[1]Fx!$A$4:$A$12,[1]Fx!$C$4:$C$12)</f>
        <v/>
      </c>
      <c r="V46" s="220">
        <f>_xlfn.XLOOKUP(G46,[1]Fx!$A$4:$A$12,[1]Fx!$D$4:$D$12)</f>
        <v/>
      </c>
      <c r="W46" s="208">
        <f>_xlfn.XLOOKUP(H46&amp;I46,'[1]Mapping DSL'!$H:$H,'[1]Mapping DSL'!$J:$J)</f>
        <v/>
      </c>
      <c r="X46" s="220">
        <f>_xlfn.XLOOKUP(G46,[1]Fx!$A$4:$A$12,[1]Fx!$E$4:$E$12)</f>
        <v/>
      </c>
      <c r="Y46" s="220">
        <f>T46*R46</f>
        <v/>
      </c>
      <c r="Z46" s="220">
        <f>U46*O46</f>
        <v/>
      </c>
      <c r="AA46" s="220">
        <f>V46*O46</f>
        <v/>
      </c>
      <c r="AB46" s="220">
        <f>W46*O46</f>
        <v/>
      </c>
      <c r="AC46" s="198">
        <f>X46*O46</f>
        <v/>
      </c>
      <c r="AD46" s="220" t="n">
        <v>0</v>
      </c>
      <c r="AE46" s="220" t="n">
        <v>0</v>
      </c>
      <c r="AF46" s="220">
        <f>SUM(Y46:AE46)</f>
        <v/>
      </c>
      <c r="AG46" s="205">
        <f>_xlfn.XLOOKUP(G46,[1]Fx!$A$16:$A$24,[1]Fx!$B$16:$B$24)</f>
        <v/>
      </c>
      <c r="AH46" s="220">
        <f>AG46*R46</f>
        <v/>
      </c>
      <c r="AI46" s="220">
        <f>$AI$6*Z46</f>
        <v/>
      </c>
      <c r="AJ46" s="220">
        <f>$AJ$6*AA46</f>
        <v/>
      </c>
      <c r="AK46" s="220">
        <f>$AK$6*AB46</f>
        <v/>
      </c>
      <c r="AL46" s="220">
        <f>$AL$6*AC46</f>
        <v/>
      </c>
      <c r="AM46" s="220">
        <f>SUM(AH46:AL46)</f>
        <v/>
      </c>
      <c r="AN46" s="220" t="n">
        <v>0</v>
      </c>
      <c r="AO46" s="220">
        <f>AN46*AH46</f>
        <v/>
      </c>
      <c r="AP46" s="220">
        <f>AD46</f>
        <v/>
      </c>
      <c r="AQ46" s="220">
        <f>AE46</f>
        <v/>
      </c>
      <c r="AR46" s="220">
        <f>AM46-AO46</f>
        <v/>
      </c>
      <c r="AS46" s="220">
        <f>AR46-AK46</f>
        <v/>
      </c>
      <c r="AT46" s="220">
        <f>AS46*1.075</f>
        <v/>
      </c>
      <c r="AU46" s="220">
        <f>ROUNDUP(AT46+AK46,-4)</f>
        <v/>
      </c>
      <c r="AV46" s="198" t="n">
        <v>420000</v>
      </c>
      <c r="AW46" s="220" t="n"/>
      <c r="AX46" s="220">
        <f>AV46-AR46</f>
        <v/>
      </c>
      <c r="AY46" s="35">
        <f>AX46/AR46</f>
        <v/>
      </c>
      <c r="AZ46" s="220">
        <f>AV46-AF46</f>
        <v/>
      </c>
      <c r="BA46" s="215">
        <f>AV46-SUM(Z46:AC46)</f>
        <v/>
      </c>
      <c r="BB46" s="215">
        <f>BA46-Y46</f>
        <v/>
      </c>
      <c r="BC46" s="35">
        <f>BB46/BA46</f>
        <v/>
      </c>
      <c r="BD46" s="35">
        <f>IFERROR(AZ46/AV46,)</f>
        <v/>
      </c>
      <c r="BE46" s="255">
        <f>AV46-SUM(Z46:AC46)</f>
        <v/>
      </c>
      <c r="BF46" s="255">
        <f>AV46-BE46-AC46-AB46</f>
        <v/>
      </c>
      <c r="BG46" s="255">
        <f>AV46-BE46-BF46-AB46</f>
        <v/>
      </c>
      <c r="BH46" s="255">
        <f>AB46</f>
        <v/>
      </c>
      <c r="BI46">
        <f>IF(BD46&lt;0%,"Loss",IF(BD46&lt;5%,"On Cost Plus",IF(BD46&lt;10%,"Within","Exceed")))</f>
        <v/>
      </c>
      <c r="BJ46" t="inlineStr">
        <is>
          <t>Exceed</t>
        </is>
      </c>
      <c r="BK46">
        <f>0.51*$BK$6</f>
        <v/>
      </c>
      <c r="BL46" s="190">
        <f>BK46-W46</f>
        <v/>
      </c>
      <c r="BM46" s="189">
        <f>BL46*O46</f>
        <v/>
      </c>
    </row>
    <row r="47">
      <c r="A47">
        <f>CONCATENATE(E47,F47,G47,H47,I47,J47,K47,L47)</f>
        <v/>
      </c>
      <c r="B47" s="25">
        <f>CONCATENATE(J47,"-&gt;",K47,"/",E47)</f>
        <v/>
      </c>
      <c r="C47" s="24" t="inlineStr">
        <is>
          <t>AFEEZ AJIBADE/Ebenezer</t>
        </is>
      </c>
      <c r="D47" s="25">
        <f>CONCATENATE(G47,"-",H47,"-",F47)</f>
        <v/>
      </c>
      <c r="E47" s="24" t="inlineStr">
        <is>
          <t>JAMARA-30T-NBL-DSL-CONTAINARIZED</t>
        </is>
      </c>
      <c r="F47" s="24" t="inlineStr">
        <is>
          <t>CONTAINARIZED</t>
        </is>
      </c>
      <c r="G47" s="25" t="inlineStr">
        <is>
          <t>NBL-DSL</t>
        </is>
      </c>
      <c r="H47" s="24" t="inlineStr">
        <is>
          <t>30T</t>
        </is>
      </c>
      <c r="I47" s="251" t="inlineStr">
        <is>
          <t>JAMARA</t>
        </is>
      </c>
      <c r="J47" s="251" t="inlineStr">
        <is>
          <t>Lagos</t>
        </is>
      </c>
      <c r="K47" s="258" t="inlineStr">
        <is>
          <t>Ilupeju-Gbagada-Apapa-Mushin-Okota-Fadeyi</t>
        </is>
      </c>
      <c r="L47" s="231" t="inlineStr">
        <is>
          <t>Lagos</t>
        </is>
      </c>
      <c r="M47" s="256" t="n"/>
      <c r="N47" s="253" t="n">
        <v>21.5</v>
      </c>
      <c r="O47" s="257">
        <f>N47*2</f>
        <v/>
      </c>
      <c r="P47" s="227">
        <f>ROUNDUP(O47/300,)</f>
        <v/>
      </c>
      <c r="Q47" s="220" t="n">
        <v>0.5</v>
      </c>
      <c r="R47" s="220">
        <f>Q47+P47</f>
        <v/>
      </c>
      <c r="S47" s="198">
        <f>ROUNDDOWN(O47*0.7,)</f>
        <v/>
      </c>
      <c r="T47" s="220">
        <f>_xlfn.XLOOKUP(G47,[1]Fx!$A$4:$A$12,[1]Fx!$B$4:$B$12)</f>
        <v/>
      </c>
      <c r="U47" s="220">
        <f>_xlfn.XLOOKUP(G47,[1]Fx!$A$4:$A$12,[1]Fx!$C$4:$C$12)</f>
        <v/>
      </c>
      <c r="V47" s="220">
        <f>_xlfn.XLOOKUP(G47,[1]Fx!$A$4:$A$12,[1]Fx!$D$4:$D$12)</f>
        <v/>
      </c>
      <c r="W47" s="208">
        <f>_xlfn.XLOOKUP(H47&amp;I47,'[1]Mapping DSL'!$H:$H,'[1]Mapping DSL'!$J:$J)</f>
        <v/>
      </c>
      <c r="X47" s="220">
        <f>_xlfn.XLOOKUP(G47,[1]Fx!$A$4:$A$12,[1]Fx!$E$4:$E$12)</f>
        <v/>
      </c>
      <c r="Y47" s="220">
        <f>T47*R47</f>
        <v/>
      </c>
      <c r="Z47" s="220">
        <f>U47*O47</f>
        <v/>
      </c>
      <c r="AA47" s="220">
        <f>V47*O47</f>
        <v/>
      </c>
      <c r="AB47" s="220">
        <f>W47*O47</f>
        <v/>
      </c>
      <c r="AC47" s="198">
        <f>X47*O47</f>
        <v/>
      </c>
      <c r="AD47" s="220" t="n">
        <v>0</v>
      </c>
      <c r="AE47" s="220" t="n">
        <v>0</v>
      </c>
      <c r="AF47" s="220">
        <f>SUM(Y47:AE47)</f>
        <v/>
      </c>
      <c r="AG47" s="205">
        <f>_xlfn.XLOOKUP(G47,[1]Fx!$A$16:$A$24,[1]Fx!$B$16:$B$24)</f>
        <v/>
      </c>
      <c r="AH47" s="220">
        <f>AG47*R47</f>
        <v/>
      </c>
      <c r="AI47" s="220">
        <f>$AI$6*Z47</f>
        <v/>
      </c>
      <c r="AJ47" s="220">
        <f>$AJ$6*AA47</f>
        <v/>
      </c>
      <c r="AK47" s="220">
        <f>$AK$6*AB47</f>
        <v/>
      </c>
      <c r="AL47" s="220">
        <f>$AL$6*AC47</f>
        <v/>
      </c>
      <c r="AM47" s="220">
        <f>SUM(AH47:AL47)</f>
        <v/>
      </c>
      <c r="AN47" s="220" t="n">
        <v>0</v>
      </c>
      <c r="AO47" s="220">
        <f>AN47*AH47</f>
        <v/>
      </c>
      <c r="AP47" s="220">
        <f>AD47</f>
        <v/>
      </c>
      <c r="AQ47" s="220">
        <f>AE47</f>
        <v/>
      </c>
      <c r="AR47" s="220">
        <f>AM47-AO47</f>
        <v/>
      </c>
      <c r="AS47" s="220">
        <f>AR47-AK47</f>
        <v/>
      </c>
      <c r="AT47" s="220">
        <f>AS47*1.075</f>
        <v/>
      </c>
      <c r="AU47" s="220">
        <f>ROUNDUP(AT47+AK47,-4)</f>
        <v/>
      </c>
      <c r="AV47" s="198" t="n">
        <v>420000</v>
      </c>
      <c r="AW47" s="220" t="n"/>
      <c r="AX47" s="220">
        <f>AV47-AR47</f>
        <v/>
      </c>
      <c r="AY47" s="35">
        <f>AX47/AR47</f>
        <v/>
      </c>
      <c r="AZ47" s="220">
        <f>AV47-AF47</f>
        <v/>
      </c>
      <c r="BA47" s="215">
        <f>AV47-SUM(Z47:AC47)</f>
        <v/>
      </c>
      <c r="BB47" s="215">
        <f>BA47-Y47</f>
        <v/>
      </c>
      <c r="BC47" s="35">
        <f>BB47/BA47</f>
        <v/>
      </c>
      <c r="BD47" s="35">
        <f>IFERROR(AZ47/AV47,)</f>
        <v/>
      </c>
      <c r="BE47" s="255">
        <f>AV47-SUM(Z47:AC47)</f>
        <v/>
      </c>
      <c r="BF47" s="255">
        <f>AV47-BE47-AC47-AB47</f>
        <v/>
      </c>
      <c r="BG47" s="255">
        <f>AV47-BE47-BF47-AB47</f>
        <v/>
      </c>
      <c r="BH47" s="255">
        <f>AB47</f>
        <v/>
      </c>
      <c r="BI47">
        <f>IF(BD47&lt;0%,"Loss",IF(BD47&lt;5%,"On Cost Plus",IF(BD47&lt;10%,"Within","Exceed")))</f>
        <v/>
      </c>
      <c r="BJ47" t="inlineStr">
        <is>
          <t>Exceed</t>
        </is>
      </c>
      <c r="BK47">
        <f>0.51*$BK$6</f>
        <v/>
      </c>
      <c r="BL47" s="190">
        <f>BK47-W47</f>
        <v/>
      </c>
      <c r="BM47" s="189">
        <f>BL47*O47</f>
        <v/>
      </c>
    </row>
    <row r="48">
      <c r="A48">
        <f>CONCATENATE(E48,F48,G48,H48,I48,J48,K48,L48)</f>
        <v/>
      </c>
      <c r="B48" s="25">
        <f>CONCATENATE(J48,"-&gt;",K48,"/",E48)</f>
        <v/>
      </c>
      <c r="C48" s="24" t="inlineStr">
        <is>
          <t>AFEEZ AJIBADE/Ebenezer</t>
        </is>
      </c>
      <c r="D48" s="25">
        <f>CONCATENATE(G48,"-",H48,"-",F48)</f>
        <v/>
      </c>
      <c r="E48" s="24" t="inlineStr">
        <is>
          <t>JAMARA-30T-NBL-DSL-CONTAINARIZED</t>
        </is>
      </c>
      <c r="F48" s="24" t="inlineStr">
        <is>
          <t>CONTAINARIZED</t>
        </is>
      </c>
      <c r="G48" s="25" t="inlineStr">
        <is>
          <t>NBL-DSL</t>
        </is>
      </c>
      <c r="H48" s="24" t="inlineStr">
        <is>
          <t>30T</t>
        </is>
      </c>
      <c r="I48" s="251" t="inlineStr">
        <is>
          <t>JAMARA</t>
        </is>
      </c>
      <c r="J48" s="251" t="inlineStr">
        <is>
          <t>Lagos</t>
        </is>
      </c>
      <c r="K48" s="258" t="inlineStr">
        <is>
          <t>Ilupeju-Gbagada-Apapa-Mushin-Okota-Fadeyi</t>
        </is>
      </c>
      <c r="L48" s="231" t="inlineStr">
        <is>
          <t>Lagos</t>
        </is>
      </c>
      <c r="M48" s="256" t="n"/>
      <c r="N48" s="253" t="n">
        <v>21.5</v>
      </c>
      <c r="O48" s="257">
        <f>N48*2</f>
        <v/>
      </c>
      <c r="P48" s="227">
        <f>ROUNDUP(O48/300,)</f>
        <v/>
      </c>
      <c r="Q48" s="220" t="n">
        <v>0.5</v>
      </c>
      <c r="R48" s="220">
        <f>Q48+P48</f>
        <v/>
      </c>
      <c r="S48" s="198">
        <f>ROUNDDOWN(O48*0.7,)</f>
        <v/>
      </c>
      <c r="T48" s="220">
        <f>_xlfn.XLOOKUP(G48,[1]Fx!$A$4:$A$12,[1]Fx!$B$4:$B$12)</f>
        <v/>
      </c>
      <c r="U48" s="220">
        <f>_xlfn.XLOOKUP(G48,[1]Fx!$A$4:$A$12,[1]Fx!$C$4:$C$12)</f>
        <v/>
      </c>
      <c r="V48" s="220">
        <f>_xlfn.XLOOKUP(G48,[1]Fx!$A$4:$A$12,[1]Fx!$D$4:$D$12)</f>
        <v/>
      </c>
      <c r="W48" s="208">
        <f>_xlfn.XLOOKUP(H48&amp;I48,'[1]Mapping DSL'!$H:$H,'[1]Mapping DSL'!$J:$J)</f>
        <v/>
      </c>
      <c r="X48" s="220">
        <f>_xlfn.XLOOKUP(G48,[1]Fx!$A$4:$A$12,[1]Fx!$E$4:$E$12)</f>
        <v/>
      </c>
      <c r="Y48" s="220">
        <f>T48*R48</f>
        <v/>
      </c>
      <c r="Z48" s="220">
        <f>U48*O48</f>
        <v/>
      </c>
      <c r="AA48" s="220">
        <f>V48*O48</f>
        <v/>
      </c>
      <c r="AB48" s="220">
        <f>W48*O48</f>
        <v/>
      </c>
      <c r="AC48" s="198">
        <f>X48*O48</f>
        <v/>
      </c>
      <c r="AD48" s="220" t="n">
        <v>0</v>
      </c>
      <c r="AE48" s="220" t="n">
        <v>0</v>
      </c>
      <c r="AF48" s="220">
        <f>SUM(Y48:AE48)</f>
        <v/>
      </c>
      <c r="AG48" s="205">
        <f>_xlfn.XLOOKUP(G48,[1]Fx!$A$16:$A$24,[1]Fx!$B$16:$B$24)</f>
        <v/>
      </c>
      <c r="AH48" s="220">
        <f>AG48*R48</f>
        <v/>
      </c>
      <c r="AI48" s="220">
        <f>$AI$6*Z48</f>
        <v/>
      </c>
      <c r="AJ48" s="220">
        <f>$AJ$6*AA48</f>
        <v/>
      </c>
      <c r="AK48" s="220">
        <f>$AK$6*AB48</f>
        <v/>
      </c>
      <c r="AL48" s="220">
        <f>$AL$6*AC48</f>
        <v/>
      </c>
      <c r="AM48" s="220">
        <f>SUM(AH48:AL48)</f>
        <v/>
      </c>
      <c r="AN48" s="220" t="n">
        <v>0</v>
      </c>
      <c r="AO48" s="220">
        <f>AN48*AH48</f>
        <v/>
      </c>
      <c r="AP48" s="220">
        <f>AD48</f>
        <v/>
      </c>
      <c r="AQ48" s="220">
        <f>AE48</f>
        <v/>
      </c>
      <c r="AR48" s="220">
        <f>AM48-AO48</f>
        <v/>
      </c>
      <c r="AS48" s="220">
        <f>AR48-AK48</f>
        <v/>
      </c>
      <c r="AT48" s="220">
        <f>AS48*1.075</f>
        <v/>
      </c>
      <c r="AU48" s="220">
        <f>ROUNDUP(AT48+AK48,-4)</f>
        <v/>
      </c>
      <c r="AV48" s="198" t="n">
        <v>420000</v>
      </c>
      <c r="AW48" s="220" t="n"/>
      <c r="AX48" s="220">
        <f>AV48-AR48</f>
        <v/>
      </c>
      <c r="AY48" s="35">
        <f>AX48/AR48</f>
        <v/>
      </c>
      <c r="AZ48" s="220">
        <f>AV48-AF48</f>
        <v/>
      </c>
      <c r="BA48" s="215">
        <f>AV48-SUM(Z48:AC48)</f>
        <v/>
      </c>
      <c r="BB48" s="215">
        <f>BA48-Y48</f>
        <v/>
      </c>
      <c r="BC48" s="35">
        <f>BB48/BA48</f>
        <v/>
      </c>
      <c r="BD48" s="35">
        <f>IFERROR(AZ48/AV48,)</f>
        <v/>
      </c>
      <c r="BE48" s="255">
        <f>AV48-SUM(Z48:AC48)</f>
        <v/>
      </c>
      <c r="BF48" s="255">
        <f>AV48-BE48-AC48-AB48</f>
        <v/>
      </c>
      <c r="BG48" s="255">
        <f>AV48-BE48-BF48-AB48</f>
        <v/>
      </c>
      <c r="BH48" s="255">
        <f>AB48</f>
        <v/>
      </c>
      <c r="BI48">
        <f>IF(BD48&lt;0%,"Loss",IF(BD48&lt;5%,"On Cost Plus",IF(BD48&lt;10%,"Within","Exceed")))</f>
        <v/>
      </c>
      <c r="BJ48" t="inlineStr">
        <is>
          <t>Exceed</t>
        </is>
      </c>
      <c r="BK48">
        <f>0.51*$BK$6</f>
        <v/>
      </c>
      <c r="BL48" s="190">
        <f>BK48-W48</f>
        <v/>
      </c>
      <c r="BM48" s="189">
        <f>BL48*O48</f>
        <v/>
      </c>
    </row>
    <row r="49">
      <c r="A49">
        <f>CONCATENATE(E49,F49,G49,H49,I49,J49,K49,L49)</f>
        <v/>
      </c>
      <c r="B49" s="25">
        <f>CONCATENATE(J49,"-&gt;",K49,"/",E49)</f>
        <v/>
      </c>
      <c r="C49" s="24" t="inlineStr">
        <is>
          <t>AFEEZ AJIBADE/Ebenezer</t>
        </is>
      </c>
      <c r="D49" s="25">
        <f>CONCATENATE(G49,"-",H49,"-",F49)</f>
        <v/>
      </c>
      <c r="E49" s="24" t="inlineStr">
        <is>
          <t>JAMARA-30T-NBL-DSL-CONTAINARIZED</t>
        </is>
      </c>
      <c r="F49" s="24" t="inlineStr">
        <is>
          <t>CONTAINARIZED</t>
        </is>
      </c>
      <c r="G49" s="25" t="inlineStr">
        <is>
          <t>NBL-DSL</t>
        </is>
      </c>
      <c r="H49" s="24" t="inlineStr">
        <is>
          <t>30T</t>
        </is>
      </c>
      <c r="I49" s="251" t="inlineStr">
        <is>
          <t>JAMARA</t>
        </is>
      </c>
      <c r="J49" s="251" t="inlineStr">
        <is>
          <t>Lagos</t>
        </is>
      </c>
      <c r="K49" s="258" t="inlineStr">
        <is>
          <t>Ilupeju-Gbagada-Apapa-Mushin-Okota-Fadeyi</t>
        </is>
      </c>
      <c r="L49" s="231" t="inlineStr">
        <is>
          <t>Lagos</t>
        </is>
      </c>
      <c r="M49" s="256" t="n"/>
      <c r="N49" s="253" t="n">
        <v>21.5</v>
      </c>
      <c r="O49" s="257">
        <f>N49*2</f>
        <v/>
      </c>
      <c r="P49" s="227">
        <f>ROUNDUP(O49/300,)</f>
        <v/>
      </c>
      <c r="Q49" s="220" t="n">
        <v>0.5</v>
      </c>
      <c r="R49" s="220">
        <f>Q49+P49</f>
        <v/>
      </c>
      <c r="S49" s="198">
        <f>ROUNDDOWN(O49*0.7,)</f>
        <v/>
      </c>
      <c r="T49" s="220">
        <f>_xlfn.XLOOKUP(G49,[1]Fx!$A$4:$A$12,[1]Fx!$B$4:$B$12)</f>
        <v/>
      </c>
      <c r="U49" s="220">
        <f>_xlfn.XLOOKUP(G49,[1]Fx!$A$4:$A$12,[1]Fx!$C$4:$C$12)</f>
        <v/>
      </c>
      <c r="V49" s="220">
        <f>_xlfn.XLOOKUP(G49,[1]Fx!$A$4:$A$12,[1]Fx!$D$4:$D$12)</f>
        <v/>
      </c>
      <c r="W49" s="208">
        <f>_xlfn.XLOOKUP(H49&amp;I49,'[1]Mapping DSL'!$H:$H,'[1]Mapping DSL'!$J:$J)</f>
        <v/>
      </c>
      <c r="X49" s="220">
        <f>_xlfn.XLOOKUP(G49,[1]Fx!$A$4:$A$12,[1]Fx!$E$4:$E$12)</f>
        <v/>
      </c>
      <c r="Y49" s="220">
        <f>T49*R49</f>
        <v/>
      </c>
      <c r="Z49" s="220">
        <f>U49*O49</f>
        <v/>
      </c>
      <c r="AA49" s="220">
        <f>V49*O49</f>
        <v/>
      </c>
      <c r="AB49" s="220">
        <f>W49*O49</f>
        <v/>
      </c>
      <c r="AC49" s="198">
        <f>X49*O49</f>
        <v/>
      </c>
      <c r="AD49" s="220" t="n">
        <v>0</v>
      </c>
      <c r="AE49" s="220" t="n">
        <v>0</v>
      </c>
      <c r="AF49" s="220">
        <f>SUM(Y49:AE49)</f>
        <v/>
      </c>
      <c r="AG49" s="205">
        <f>_xlfn.XLOOKUP(G49,[1]Fx!$A$16:$A$24,[1]Fx!$B$16:$B$24)</f>
        <v/>
      </c>
      <c r="AH49" s="220">
        <f>AG49*R49</f>
        <v/>
      </c>
      <c r="AI49" s="220">
        <f>$AI$6*Z49</f>
        <v/>
      </c>
      <c r="AJ49" s="220">
        <f>$AJ$6*AA49</f>
        <v/>
      </c>
      <c r="AK49" s="220">
        <f>$AK$6*AB49</f>
        <v/>
      </c>
      <c r="AL49" s="220">
        <f>$AL$6*AC49</f>
        <v/>
      </c>
      <c r="AM49" s="220">
        <f>SUM(AH49:AL49)</f>
        <v/>
      </c>
      <c r="AN49" s="220" t="n">
        <v>0</v>
      </c>
      <c r="AO49" s="220">
        <f>AN49*AH49</f>
        <v/>
      </c>
      <c r="AP49" s="220">
        <f>AD49</f>
        <v/>
      </c>
      <c r="AQ49" s="220">
        <f>AE49</f>
        <v/>
      </c>
      <c r="AR49" s="220">
        <f>AM49-AO49</f>
        <v/>
      </c>
      <c r="AS49" s="220">
        <f>AR49-AK49</f>
        <v/>
      </c>
      <c r="AT49" s="220">
        <f>AS49*1.075</f>
        <v/>
      </c>
      <c r="AU49" s="220">
        <f>ROUNDUP(AT49+AK49,-4)</f>
        <v/>
      </c>
      <c r="AV49" s="198" t="n">
        <v>420000</v>
      </c>
      <c r="AW49" s="220" t="n"/>
      <c r="AX49" s="220">
        <f>AV49-AR49</f>
        <v/>
      </c>
      <c r="AY49" s="35">
        <f>AX49/AR49</f>
        <v/>
      </c>
      <c r="AZ49" s="220">
        <f>AV49-AF49</f>
        <v/>
      </c>
      <c r="BA49" s="215">
        <f>AV49-SUM(Z49:AC49)</f>
        <v/>
      </c>
      <c r="BB49" s="215">
        <f>BA49-Y49</f>
        <v/>
      </c>
      <c r="BC49" s="35">
        <f>BB49/BA49</f>
        <v/>
      </c>
      <c r="BD49" s="35">
        <f>IFERROR(AZ49/AV49,)</f>
        <v/>
      </c>
      <c r="BE49" s="255">
        <f>AV49-SUM(Z49:AC49)</f>
        <v/>
      </c>
      <c r="BF49" s="255">
        <f>AV49-BE49-AC49-AB49</f>
        <v/>
      </c>
      <c r="BG49" s="255">
        <f>AV49-BE49-BF49-AB49</f>
        <v/>
      </c>
      <c r="BH49" s="255">
        <f>AB49</f>
        <v/>
      </c>
      <c r="BI49">
        <f>IF(BD49&lt;0%,"Loss",IF(BD49&lt;5%,"On Cost Plus",IF(BD49&lt;10%,"Within","Exceed")))</f>
        <v/>
      </c>
      <c r="BJ49" t="inlineStr">
        <is>
          <t>Exceed</t>
        </is>
      </c>
      <c r="BK49">
        <f>0.51*$BK$6</f>
        <v/>
      </c>
      <c r="BL49" s="190">
        <f>BK49-W49</f>
        <v/>
      </c>
      <c r="BM49" s="189">
        <f>BL49*O49</f>
        <v/>
      </c>
    </row>
    <row r="50">
      <c r="A50">
        <f>CONCATENATE(E50,F50,G50,H50,I50,J50,K50,L50)</f>
        <v/>
      </c>
      <c r="B50" s="25">
        <f>CONCATENATE(J50,"-&gt;",K50,"/",E50)</f>
        <v/>
      </c>
      <c r="C50" s="24" t="inlineStr">
        <is>
          <t>AFEEZ AJIBADE/Ebenezer</t>
        </is>
      </c>
      <c r="D50" s="25">
        <f>CONCATENATE(G50,"-",H50,"-",F50)</f>
        <v/>
      </c>
      <c r="E50" s="24" t="inlineStr">
        <is>
          <t>JAMARA-30T-NBL-DSL-CONTAINARIZED</t>
        </is>
      </c>
      <c r="F50" s="24" t="inlineStr">
        <is>
          <t>CONTAINARIZED</t>
        </is>
      </c>
      <c r="G50" s="25" t="inlineStr">
        <is>
          <t>NBL-DSL</t>
        </is>
      </c>
      <c r="H50" s="24" t="inlineStr">
        <is>
          <t>30T</t>
        </is>
      </c>
      <c r="I50" s="251" t="inlineStr">
        <is>
          <t>JAMARA</t>
        </is>
      </c>
      <c r="J50" s="251" t="inlineStr">
        <is>
          <t>Lagos</t>
        </is>
      </c>
      <c r="K50" s="258" t="inlineStr">
        <is>
          <t>Ketu-Ikorodu</t>
        </is>
      </c>
      <c r="L50" s="231" t="inlineStr">
        <is>
          <t>Lagos</t>
        </is>
      </c>
      <c r="M50" s="256" t="n"/>
      <c r="N50" s="253" t="n">
        <v>37.5</v>
      </c>
      <c r="O50" s="257">
        <f>N50*2</f>
        <v/>
      </c>
      <c r="P50" s="227">
        <f>ROUNDUP(O50/300,)</f>
        <v/>
      </c>
      <c r="Q50" s="220" t="n">
        <v>0.5</v>
      </c>
      <c r="R50" s="220">
        <f>Q50+P50</f>
        <v/>
      </c>
      <c r="S50" s="198">
        <f>ROUNDDOWN(O50*0.7,)</f>
        <v/>
      </c>
      <c r="T50" s="220">
        <f>_xlfn.XLOOKUP(G50,[1]Fx!$A$4:$A$12,[1]Fx!$B$4:$B$12)</f>
        <v/>
      </c>
      <c r="U50" s="220">
        <f>_xlfn.XLOOKUP(G50,[1]Fx!$A$4:$A$12,[1]Fx!$C$4:$C$12)</f>
        <v/>
      </c>
      <c r="V50" s="220">
        <f>_xlfn.XLOOKUP(G50,[1]Fx!$A$4:$A$12,[1]Fx!$D$4:$D$12)</f>
        <v/>
      </c>
      <c r="W50" s="208">
        <f>_xlfn.XLOOKUP(H50&amp;I50,'[1]Mapping DSL'!$H:$H,'[1]Mapping DSL'!$J:$J)</f>
        <v/>
      </c>
      <c r="X50" s="220">
        <f>_xlfn.XLOOKUP(G50,[1]Fx!$A$4:$A$12,[1]Fx!$E$4:$E$12)</f>
        <v/>
      </c>
      <c r="Y50" s="220">
        <f>T50*R50</f>
        <v/>
      </c>
      <c r="Z50" s="220">
        <f>U50*O50</f>
        <v/>
      </c>
      <c r="AA50" s="220">
        <f>V50*O50</f>
        <v/>
      </c>
      <c r="AB50" s="220">
        <f>W50*O50</f>
        <v/>
      </c>
      <c r="AC50" s="198">
        <f>X50*O50</f>
        <v/>
      </c>
      <c r="AD50" s="220" t="n">
        <v>0</v>
      </c>
      <c r="AE50" s="220" t="n">
        <v>0</v>
      </c>
      <c r="AF50" s="220">
        <f>SUM(Y50:AE50)</f>
        <v/>
      </c>
      <c r="AG50" s="205">
        <f>_xlfn.XLOOKUP(G50,[1]Fx!$A$16:$A$24,[1]Fx!$B$16:$B$24)</f>
        <v/>
      </c>
      <c r="AH50" s="220">
        <f>AG50*R50</f>
        <v/>
      </c>
      <c r="AI50" s="220">
        <f>$AI$6*Z50</f>
        <v/>
      </c>
      <c r="AJ50" s="220">
        <f>$AJ$6*AA50</f>
        <v/>
      </c>
      <c r="AK50" s="220">
        <f>$AK$6*AB50</f>
        <v/>
      </c>
      <c r="AL50" s="220">
        <f>$AL$6*AC50</f>
        <v/>
      </c>
      <c r="AM50" s="220">
        <f>SUM(AH50:AL50)</f>
        <v/>
      </c>
      <c r="AN50" s="220" t="n">
        <v>0</v>
      </c>
      <c r="AO50" s="220">
        <f>AN50*AH50</f>
        <v/>
      </c>
      <c r="AP50" s="220">
        <f>AD50</f>
        <v/>
      </c>
      <c r="AQ50" s="220">
        <f>AE50</f>
        <v/>
      </c>
      <c r="AR50" s="220">
        <f>AM50-AO50</f>
        <v/>
      </c>
      <c r="AS50" s="220">
        <f>AR50-AK50</f>
        <v/>
      </c>
      <c r="AT50" s="220">
        <f>AS50*1.075</f>
        <v/>
      </c>
      <c r="AU50" s="220">
        <f>ROUNDUP(AT50+AK50,-4)</f>
        <v/>
      </c>
      <c r="AV50" s="198" t="n">
        <v>460000</v>
      </c>
      <c r="AW50" s="220" t="n"/>
      <c r="AX50" s="220">
        <f>AV50-AR50</f>
        <v/>
      </c>
      <c r="AY50" s="35">
        <f>AX50/AR50</f>
        <v/>
      </c>
      <c r="AZ50" s="220">
        <f>AV50-AF50</f>
        <v/>
      </c>
      <c r="BA50" s="215">
        <f>AV50-SUM(Z50:AC50)</f>
        <v/>
      </c>
      <c r="BB50" s="215">
        <f>BA50-Y50</f>
        <v/>
      </c>
      <c r="BC50" s="35">
        <f>BB50/BA50</f>
        <v/>
      </c>
      <c r="BD50" s="35">
        <f>IFERROR(AZ50/AV50,)</f>
        <v/>
      </c>
      <c r="BE50" s="255">
        <f>AV50-SUM(Z50:AC50)</f>
        <v/>
      </c>
      <c r="BF50" s="255">
        <f>AV50-BE50-AC50-AB50</f>
        <v/>
      </c>
      <c r="BG50" s="255">
        <f>AV50-BE50-BF50-AB50</f>
        <v/>
      </c>
      <c r="BH50" s="255">
        <f>AB50</f>
        <v/>
      </c>
      <c r="BI50">
        <f>IF(BD50&lt;0%,"Loss",IF(BD50&lt;5%,"On Cost Plus",IF(BD50&lt;10%,"Within","Exceed")))</f>
        <v/>
      </c>
      <c r="BJ50" t="inlineStr">
        <is>
          <t>Exceed</t>
        </is>
      </c>
      <c r="BK50">
        <f>0.51*$BK$6</f>
        <v/>
      </c>
      <c r="BL50" s="190">
        <f>BK50-W50</f>
        <v/>
      </c>
      <c r="BM50" s="189">
        <f>BL50*O50</f>
        <v/>
      </c>
    </row>
    <row r="51">
      <c r="A51">
        <f>CONCATENATE(E51,F51,G51,H51,I51,J51,K51,L51)</f>
        <v/>
      </c>
      <c r="B51" s="25">
        <f>CONCATENATE(J51,"-&gt;",K51,"/",E51)</f>
        <v/>
      </c>
      <c r="C51" s="24" t="inlineStr">
        <is>
          <t>AFEEZ AJIBADE/Ebenezer</t>
        </is>
      </c>
      <c r="D51" s="25">
        <f>CONCATENATE(G51,"-",H51,"-",F51)</f>
        <v/>
      </c>
      <c r="E51" s="24" t="inlineStr">
        <is>
          <t>JAMARA-30T-NBL-DSL-CONTAINARIZED</t>
        </is>
      </c>
      <c r="F51" s="24" t="inlineStr">
        <is>
          <t>CONTAINARIZED</t>
        </is>
      </c>
      <c r="G51" s="25" t="inlineStr">
        <is>
          <t>NBL-DSL</t>
        </is>
      </c>
      <c r="H51" s="24" t="inlineStr">
        <is>
          <t>30T</t>
        </is>
      </c>
      <c r="I51" s="251" t="inlineStr">
        <is>
          <t>JAMARA</t>
        </is>
      </c>
      <c r="J51" s="251" t="inlineStr">
        <is>
          <t>Lagos</t>
        </is>
      </c>
      <c r="K51" s="258" t="inlineStr">
        <is>
          <t>Ketu-Ikorodu</t>
        </is>
      </c>
      <c r="L51" s="231" t="inlineStr">
        <is>
          <t>Lagos</t>
        </is>
      </c>
      <c r="M51" s="256" t="n"/>
      <c r="N51" s="253" t="n">
        <v>24.25</v>
      </c>
      <c r="O51" s="257">
        <f>N51*2</f>
        <v/>
      </c>
      <c r="P51" s="227">
        <f>ROUNDUP(O51/300,)</f>
        <v/>
      </c>
      <c r="Q51" s="220" t="n">
        <v>0.5</v>
      </c>
      <c r="R51" s="220">
        <f>Q51+P51</f>
        <v/>
      </c>
      <c r="S51" s="198">
        <f>ROUNDDOWN(O51*0.7,)</f>
        <v/>
      </c>
      <c r="T51" s="220">
        <f>_xlfn.XLOOKUP(G51,[1]Fx!$A$4:$A$12,[1]Fx!$B$4:$B$12)</f>
        <v/>
      </c>
      <c r="U51" s="220">
        <f>_xlfn.XLOOKUP(G51,[1]Fx!$A$4:$A$12,[1]Fx!$C$4:$C$12)</f>
        <v/>
      </c>
      <c r="V51" s="220">
        <f>_xlfn.XLOOKUP(G51,[1]Fx!$A$4:$A$12,[1]Fx!$D$4:$D$12)</f>
        <v/>
      </c>
      <c r="W51" s="208">
        <f>_xlfn.XLOOKUP(H51&amp;I51,'[1]Mapping DSL'!$H:$H,'[1]Mapping DSL'!$J:$J)</f>
        <v/>
      </c>
      <c r="X51" s="220">
        <f>_xlfn.XLOOKUP(G51,[1]Fx!$A$4:$A$12,[1]Fx!$E$4:$E$12)</f>
        <v/>
      </c>
      <c r="Y51" s="220">
        <f>T51*R51</f>
        <v/>
      </c>
      <c r="Z51" s="220">
        <f>U51*O51</f>
        <v/>
      </c>
      <c r="AA51" s="220">
        <f>V51*O51</f>
        <v/>
      </c>
      <c r="AB51" s="220">
        <f>W51*O51</f>
        <v/>
      </c>
      <c r="AC51" s="198">
        <f>X51*O51</f>
        <v/>
      </c>
      <c r="AD51" s="220" t="n">
        <v>0</v>
      </c>
      <c r="AE51" s="220" t="n">
        <v>0</v>
      </c>
      <c r="AF51" s="220">
        <f>SUM(Y51:AE51)</f>
        <v/>
      </c>
      <c r="AG51" s="205">
        <f>_xlfn.XLOOKUP(G51,[1]Fx!$A$16:$A$24,[1]Fx!$B$16:$B$24)</f>
        <v/>
      </c>
      <c r="AH51" s="220">
        <f>AG51*R51</f>
        <v/>
      </c>
      <c r="AI51" s="220">
        <f>$AI$6*Z51</f>
        <v/>
      </c>
      <c r="AJ51" s="220">
        <f>$AJ$6*AA51</f>
        <v/>
      </c>
      <c r="AK51" s="220">
        <f>$AK$6*AB51</f>
        <v/>
      </c>
      <c r="AL51" s="220">
        <f>$AL$6*AC51</f>
        <v/>
      </c>
      <c r="AM51" s="220">
        <f>SUM(AH51:AL51)</f>
        <v/>
      </c>
      <c r="AN51" s="220" t="n">
        <v>0</v>
      </c>
      <c r="AO51" s="220">
        <f>AN51*AH51</f>
        <v/>
      </c>
      <c r="AP51" s="220">
        <f>AD51</f>
        <v/>
      </c>
      <c r="AQ51" s="220">
        <f>AE51</f>
        <v/>
      </c>
      <c r="AR51" s="220">
        <f>AM51-AO51</f>
        <v/>
      </c>
      <c r="AS51" s="220">
        <f>AR51-AK51</f>
        <v/>
      </c>
      <c r="AT51" s="220">
        <f>AS51*1.075</f>
        <v/>
      </c>
      <c r="AU51" s="220">
        <f>ROUNDUP(AT51+AK51,-4)</f>
        <v/>
      </c>
      <c r="AV51" s="198" t="n">
        <v>430000</v>
      </c>
      <c r="AW51" s="220" t="n"/>
      <c r="AX51" s="220">
        <f>AV51-AR51</f>
        <v/>
      </c>
      <c r="AY51" s="35">
        <f>AX51/AR51</f>
        <v/>
      </c>
      <c r="AZ51" s="220">
        <f>AV51-AF51</f>
        <v/>
      </c>
      <c r="BA51" s="215">
        <f>AV51-SUM(Z51:AC51)</f>
        <v/>
      </c>
      <c r="BB51" s="215">
        <f>BA51-Y51</f>
        <v/>
      </c>
      <c r="BC51" s="35">
        <f>BB51/BA51</f>
        <v/>
      </c>
      <c r="BD51" s="35">
        <f>IFERROR(AZ51/AV51,)</f>
        <v/>
      </c>
      <c r="BE51" s="255">
        <f>AV51-SUM(Z51:AC51)</f>
        <v/>
      </c>
      <c r="BF51" s="255">
        <f>AV51-BE51-AC51-AB51</f>
        <v/>
      </c>
      <c r="BG51" s="255">
        <f>AV51-BE51-BF51-AB51</f>
        <v/>
      </c>
      <c r="BH51" s="255">
        <f>AB51</f>
        <v/>
      </c>
      <c r="BI51">
        <f>IF(BD51&lt;0%,"Loss",IF(BD51&lt;5%,"On Cost Plus",IF(BD51&lt;10%,"Within","Exceed")))</f>
        <v/>
      </c>
      <c r="BJ51" t="inlineStr">
        <is>
          <t>Exceed</t>
        </is>
      </c>
      <c r="BK51">
        <f>0.51*$BK$6</f>
        <v/>
      </c>
      <c r="BL51" s="190">
        <f>BK51-W51</f>
        <v/>
      </c>
      <c r="BM51" s="189">
        <f>BL51*O51</f>
        <v/>
      </c>
    </row>
    <row r="52">
      <c r="A52">
        <f>CONCATENATE(E52,F52,G52,H52,I52,J52,K52,L52)</f>
        <v/>
      </c>
      <c r="B52" s="25">
        <f>CONCATENATE(J52,"-&gt;",K52,"/",E52)</f>
        <v/>
      </c>
      <c r="C52" s="24" t="inlineStr">
        <is>
          <t>AFEEZ AJIBADE/Ebenezer</t>
        </is>
      </c>
      <c r="D52" s="25">
        <f>CONCATENATE(G52,"-",H52,"-",F52)</f>
        <v/>
      </c>
      <c r="E52" s="24" t="inlineStr">
        <is>
          <t>JAMARA-30T-NBL-DSL-CONTAINARIZED</t>
        </is>
      </c>
      <c r="F52" s="24" t="inlineStr">
        <is>
          <t>CONTAINARIZED</t>
        </is>
      </c>
      <c r="G52" s="25" t="inlineStr">
        <is>
          <t>NBL-DSL</t>
        </is>
      </c>
      <c r="H52" s="24" t="inlineStr">
        <is>
          <t>30T</t>
        </is>
      </c>
      <c r="I52" s="251" t="inlineStr">
        <is>
          <t>JAMARA</t>
        </is>
      </c>
      <c r="J52" s="251" t="inlineStr">
        <is>
          <t>Lagos</t>
        </is>
      </c>
      <c r="K52" s="258" t="inlineStr">
        <is>
          <t>Lagos Island-Marina</t>
        </is>
      </c>
      <c r="L52" s="231" t="inlineStr">
        <is>
          <t>Lagos</t>
        </is>
      </c>
      <c r="M52" s="256" t="n"/>
      <c r="N52" s="253" t="n">
        <v>23</v>
      </c>
      <c r="O52" s="257">
        <f>N52*2</f>
        <v/>
      </c>
      <c r="P52" s="227">
        <f>ROUNDUP(O52/300,)</f>
        <v/>
      </c>
      <c r="Q52" s="220" t="n">
        <v>0.5</v>
      </c>
      <c r="R52" s="220">
        <f>Q52+P52</f>
        <v/>
      </c>
      <c r="S52" s="198">
        <f>ROUNDDOWN(O52*0.7,)</f>
        <v/>
      </c>
      <c r="T52" s="220">
        <f>_xlfn.XLOOKUP(G52,[1]Fx!$A$4:$A$12,[1]Fx!$B$4:$B$12)</f>
        <v/>
      </c>
      <c r="U52" s="220">
        <f>_xlfn.XLOOKUP(G52,[1]Fx!$A$4:$A$12,[1]Fx!$C$4:$C$12)</f>
        <v/>
      </c>
      <c r="V52" s="220">
        <f>_xlfn.XLOOKUP(G52,[1]Fx!$A$4:$A$12,[1]Fx!$D$4:$D$12)</f>
        <v/>
      </c>
      <c r="W52" s="208">
        <f>_xlfn.XLOOKUP(H52&amp;I52,'[1]Mapping DSL'!$H:$H,'[1]Mapping DSL'!$J:$J)</f>
        <v/>
      </c>
      <c r="X52" s="220">
        <f>_xlfn.XLOOKUP(G52,[1]Fx!$A$4:$A$12,[1]Fx!$E$4:$E$12)</f>
        <v/>
      </c>
      <c r="Y52" s="220">
        <f>T52*R52</f>
        <v/>
      </c>
      <c r="Z52" s="220">
        <f>U52*O52</f>
        <v/>
      </c>
      <c r="AA52" s="220">
        <f>V52*O52</f>
        <v/>
      </c>
      <c r="AB52" s="220">
        <f>W52*O52</f>
        <v/>
      </c>
      <c r="AC52" s="198">
        <f>X52*O52</f>
        <v/>
      </c>
      <c r="AD52" s="220" t="n">
        <v>0</v>
      </c>
      <c r="AE52" s="220" t="n">
        <v>0</v>
      </c>
      <c r="AF52" s="220">
        <f>SUM(Y52:AE52)</f>
        <v/>
      </c>
      <c r="AG52" s="205">
        <f>_xlfn.XLOOKUP(G52,[1]Fx!$A$16:$A$24,[1]Fx!$B$16:$B$24)</f>
        <v/>
      </c>
      <c r="AH52" s="220">
        <f>AG52*R52</f>
        <v/>
      </c>
      <c r="AI52" s="220">
        <f>$AI$6*Z52</f>
        <v/>
      </c>
      <c r="AJ52" s="220">
        <f>$AJ$6*AA52</f>
        <v/>
      </c>
      <c r="AK52" s="220">
        <f>$AK$6*AB52</f>
        <v/>
      </c>
      <c r="AL52" s="220">
        <f>$AL$6*AC52</f>
        <v/>
      </c>
      <c r="AM52" s="220">
        <f>SUM(AH52:AL52)</f>
        <v/>
      </c>
      <c r="AN52" s="220" t="n">
        <v>0</v>
      </c>
      <c r="AO52" s="220">
        <f>AN52*AH52</f>
        <v/>
      </c>
      <c r="AP52" s="220">
        <f>AD52</f>
        <v/>
      </c>
      <c r="AQ52" s="220">
        <f>AE52</f>
        <v/>
      </c>
      <c r="AR52" s="220">
        <f>AM52-AO52</f>
        <v/>
      </c>
      <c r="AS52" s="220">
        <f>AR52-AK52</f>
        <v/>
      </c>
      <c r="AT52" s="220">
        <f>AS52*1.075</f>
        <v/>
      </c>
      <c r="AU52" s="220">
        <f>ROUNDUP(AT52+AK52,-4)</f>
        <v/>
      </c>
      <c r="AV52" s="198" t="n">
        <v>420000</v>
      </c>
      <c r="AW52" s="220" t="n"/>
      <c r="AX52" s="220">
        <f>AV52-AR52</f>
        <v/>
      </c>
      <c r="AY52" s="35">
        <f>AX52/AR52</f>
        <v/>
      </c>
      <c r="AZ52" s="220">
        <f>AV52-AF52</f>
        <v/>
      </c>
      <c r="BA52" s="215">
        <f>AV52-SUM(Z52:AC52)</f>
        <v/>
      </c>
      <c r="BB52" s="215">
        <f>BA52-Y52</f>
        <v/>
      </c>
      <c r="BC52" s="35">
        <f>BB52/BA52</f>
        <v/>
      </c>
      <c r="BD52" s="35">
        <f>IFERROR(AZ52/AV52,)</f>
        <v/>
      </c>
      <c r="BE52" s="255">
        <f>AV52-SUM(Z52:AC52)</f>
        <v/>
      </c>
      <c r="BF52" s="255">
        <f>AV52-BE52-AC52-AB52</f>
        <v/>
      </c>
      <c r="BG52" s="255">
        <f>AV52-BE52-BF52-AB52</f>
        <v/>
      </c>
      <c r="BH52" s="255">
        <f>AB52</f>
        <v/>
      </c>
      <c r="BI52">
        <f>IF(BD52&lt;0%,"Loss",IF(BD52&lt;5%,"On Cost Plus",IF(BD52&lt;10%,"Within","Exceed")))</f>
        <v/>
      </c>
      <c r="BJ52" t="inlineStr">
        <is>
          <t>Exceed</t>
        </is>
      </c>
      <c r="BK52">
        <f>0.51*$BK$6</f>
        <v/>
      </c>
      <c r="BL52" s="190">
        <f>BK52-W52</f>
        <v/>
      </c>
      <c r="BM52" s="189">
        <f>BL52*O52</f>
        <v/>
      </c>
    </row>
    <row r="53">
      <c r="A53">
        <f>CONCATENATE(E53,F53,G53,H53,I53,J53,K53,L53)</f>
        <v/>
      </c>
      <c r="B53" s="25">
        <f>CONCATENATE(J53,"-&gt;",K53,"/",E53)</f>
        <v/>
      </c>
      <c r="C53" s="24" t="inlineStr">
        <is>
          <t>AFEEZ AJIBADE/Ebenezer</t>
        </is>
      </c>
      <c r="D53" s="25">
        <f>CONCATENATE(G53,"-",H53,"-",F53)</f>
        <v/>
      </c>
      <c r="E53" s="24" t="inlineStr">
        <is>
          <t>JAMARA-30T-NBL-DSL-CONTAINARIZED</t>
        </is>
      </c>
      <c r="F53" s="24" t="inlineStr">
        <is>
          <t>CONTAINARIZED</t>
        </is>
      </c>
      <c r="G53" s="25" t="inlineStr">
        <is>
          <t>NBL-DSL</t>
        </is>
      </c>
      <c r="H53" s="24" t="inlineStr">
        <is>
          <t>30T</t>
        </is>
      </c>
      <c r="I53" s="251" t="inlineStr">
        <is>
          <t>JAMARA</t>
        </is>
      </c>
      <c r="J53" s="251" t="inlineStr">
        <is>
          <t>Lagos</t>
        </is>
      </c>
      <c r="K53" s="258" t="inlineStr">
        <is>
          <t>Lagos Island-Marina</t>
        </is>
      </c>
      <c r="L53" s="231" t="inlineStr">
        <is>
          <t>Lagos</t>
        </is>
      </c>
      <c r="M53" s="256" t="n"/>
      <c r="N53" s="253" t="n">
        <v>23</v>
      </c>
      <c r="O53" s="257">
        <f>N53*2</f>
        <v/>
      </c>
      <c r="P53" s="227">
        <f>ROUNDUP(O53/300,)</f>
        <v/>
      </c>
      <c r="Q53" s="220" t="n">
        <v>0.5</v>
      </c>
      <c r="R53" s="220">
        <f>Q53+P53</f>
        <v/>
      </c>
      <c r="S53" s="198">
        <f>ROUNDDOWN(O53*0.7,)</f>
        <v/>
      </c>
      <c r="T53" s="220">
        <f>_xlfn.XLOOKUP(G53,[1]Fx!$A$4:$A$12,[1]Fx!$B$4:$B$12)</f>
        <v/>
      </c>
      <c r="U53" s="220">
        <f>_xlfn.XLOOKUP(G53,[1]Fx!$A$4:$A$12,[1]Fx!$C$4:$C$12)</f>
        <v/>
      </c>
      <c r="V53" s="220">
        <f>_xlfn.XLOOKUP(G53,[1]Fx!$A$4:$A$12,[1]Fx!$D$4:$D$12)</f>
        <v/>
      </c>
      <c r="W53" s="208">
        <f>_xlfn.XLOOKUP(H53&amp;I53,'[1]Mapping DSL'!$H:$H,'[1]Mapping DSL'!$J:$J)</f>
        <v/>
      </c>
      <c r="X53" s="220">
        <f>_xlfn.XLOOKUP(G53,[1]Fx!$A$4:$A$12,[1]Fx!$E$4:$E$12)</f>
        <v/>
      </c>
      <c r="Y53" s="220">
        <f>T53*R53</f>
        <v/>
      </c>
      <c r="Z53" s="220">
        <f>U53*O53</f>
        <v/>
      </c>
      <c r="AA53" s="220">
        <f>V53*O53</f>
        <v/>
      </c>
      <c r="AB53" s="220">
        <f>W53*O53</f>
        <v/>
      </c>
      <c r="AC53" s="198">
        <f>X53*O53</f>
        <v/>
      </c>
      <c r="AD53" s="220" t="n">
        <v>0</v>
      </c>
      <c r="AE53" s="220" t="n">
        <v>0</v>
      </c>
      <c r="AF53" s="220">
        <f>SUM(Y53:AE53)</f>
        <v/>
      </c>
      <c r="AG53" s="205">
        <f>_xlfn.XLOOKUP(G53,[1]Fx!$A$16:$A$24,[1]Fx!$B$16:$B$24)</f>
        <v/>
      </c>
      <c r="AH53" s="220">
        <f>AG53*R53</f>
        <v/>
      </c>
      <c r="AI53" s="220">
        <f>$AI$6*Z53</f>
        <v/>
      </c>
      <c r="AJ53" s="220">
        <f>$AJ$6*AA53</f>
        <v/>
      </c>
      <c r="AK53" s="220">
        <f>$AK$6*AB53</f>
        <v/>
      </c>
      <c r="AL53" s="220">
        <f>$AL$6*AC53</f>
        <v/>
      </c>
      <c r="AM53" s="220">
        <f>SUM(AH53:AL53)</f>
        <v/>
      </c>
      <c r="AN53" s="220" t="n">
        <v>0</v>
      </c>
      <c r="AO53" s="220">
        <f>AN53*AH53</f>
        <v/>
      </c>
      <c r="AP53" s="220">
        <f>AD53</f>
        <v/>
      </c>
      <c r="AQ53" s="220">
        <f>AE53</f>
        <v/>
      </c>
      <c r="AR53" s="220">
        <f>AM53-AO53</f>
        <v/>
      </c>
      <c r="AS53" s="220">
        <f>AR53-AK53</f>
        <v/>
      </c>
      <c r="AT53" s="220">
        <f>AS53*1.075</f>
        <v/>
      </c>
      <c r="AU53" s="220">
        <f>ROUNDUP(AT53+AK53,-4)</f>
        <v/>
      </c>
      <c r="AV53" s="198" t="n">
        <v>420000</v>
      </c>
      <c r="AW53" s="220" t="n"/>
      <c r="AX53" s="220">
        <f>AV53-AR53</f>
        <v/>
      </c>
      <c r="AY53" s="35">
        <f>AX53/AR53</f>
        <v/>
      </c>
      <c r="AZ53" s="220">
        <f>AV53-AF53</f>
        <v/>
      </c>
      <c r="BA53" s="215">
        <f>AV53-SUM(Z53:AC53)</f>
        <v/>
      </c>
      <c r="BB53" s="215">
        <f>BA53-Y53</f>
        <v/>
      </c>
      <c r="BC53" s="35">
        <f>BB53/BA53</f>
        <v/>
      </c>
      <c r="BD53" s="35">
        <f>IFERROR(AZ53/AV53,)</f>
        <v/>
      </c>
      <c r="BE53" s="255">
        <f>AV53-SUM(Z53:AC53)</f>
        <v/>
      </c>
      <c r="BF53" s="255">
        <f>AV53-BE53-AC53-AB53</f>
        <v/>
      </c>
      <c r="BG53" s="255">
        <f>AV53-BE53-BF53-AB53</f>
        <v/>
      </c>
      <c r="BH53" s="255">
        <f>AB53</f>
        <v/>
      </c>
      <c r="BI53">
        <f>IF(BD53&lt;0%,"Loss",IF(BD53&lt;5%,"On Cost Plus",IF(BD53&lt;10%,"Within","Exceed")))</f>
        <v/>
      </c>
      <c r="BJ53" t="inlineStr">
        <is>
          <t>Exceed</t>
        </is>
      </c>
      <c r="BK53">
        <f>0.51*$BK$6</f>
        <v/>
      </c>
      <c r="BL53" s="190">
        <f>BK53-W53</f>
        <v/>
      </c>
      <c r="BM53" s="189">
        <f>BL53*O53</f>
        <v/>
      </c>
    </row>
    <row r="54">
      <c r="A54">
        <f>CONCATENATE(E54,F54,G54,H54,I54,J54,K54,L54)</f>
        <v/>
      </c>
      <c r="B54" s="25">
        <f>CONCATENATE(J54,"-&gt;",K54,"/",E54)</f>
        <v/>
      </c>
      <c r="C54" s="24" t="inlineStr">
        <is>
          <t>AFEEZ AJIBADE/Ebenezer</t>
        </is>
      </c>
      <c r="D54" s="25">
        <f>CONCATENATE(G54,"-",H54,"-",F54)</f>
        <v/>
      </c>
      <c r="E54" s="24" t="inlineStr">
        <is>
          <t>JAMARA-30T-NBL-DSL-CONTAINARIZED</t>
        </is>
      </c>
      <c r="F54" s="24" t="inlineStr">
        <is>
          <t>CONTAINARIZED</t>
        </is>
      </c>
      <c r="G54" s="25" t="inlineStr">
        <is>
          <t>NBL-DSL</t>
        </is>
      </c>
      <c r="H54" s="24" t="inlineStr">
        <is>
          <t>30T</t>
        </is>
      </c>
      <c r="I54" s="251" t="inlineStr">
        <is>
          <t>JAMARA</t>
        </is>
      </c>
      <c r="J54" s="251" t="inlineStr">
        <is>
          <t>Lagos</t>
        </is>
      </c>
      <c r="K54" s="258" t="inlineStr">
        <is>
          <t>Ojodu-Akute-Mowe</t>
        </is>
      </c>
      <c r="L54" s="231" t="inlineStr">
        <is>
          <t>Lagos/Ogun</t>
        </is>
      </c>
      <c r="M54" s="256" t="n"/>
      <c r="N54" s="253" t="n">
        <v>37.6</v>
      </c>
      <c r="O54" s="257">
        <f>N54*2</f>
        <v/>
      </c>
      <c r="P54" s="227">
        <f>ROUNDUP(O54/300,)</f>
        <v/>
      </c>
      <c r="Q54" s="220" t="n">
        <v>0.5</v>
      </c>
      <c r="R54" s="220">
        <f>Q54+P54</f>
        <v/>
      </c>
      <c r="S54" s="198">
        <f>ROUNDDOWN(O54*0.7,)</f>
        <v/>
      </c>
      <c r="T54" s="220">
        <f>_xlfn.XLOOKUP(G54,[1]Fx!$A$4:$A$12,[1]Fx!$B$4:$B$12)</f>
        <v/>
      </c>
      <c r="U54" s="220">
        <f>_xlfn.XLOOKUP(G54,[1]Fx!$A$4:$A$12,[1]Fx!$C$4:$C$12)</f>
        <v/>
      </c>
      <c r="V54" s="220">
        <f>_xlfn.XLOOKUP(G54,[1]Fx!$A$4:$A$12,[1]Fx!$D$4:$D$12)</f>
        <v/>
      </c>
      <c r="W54" s="208">
        <f>_xlfn.XLOOKUP(H54&amp;I54,'[1]Mapping DSL'!$H:$H,'[1]Mapping DSL'!$J:$J)</f>
        <v/>
      </c>
      <c r="X54" s="220">
        <f>_xlfn.XLOOKUP(G54,[1]Fx!$A$4:$A$12,[1]Fx!$E$4:$E$12)</f>
        <v/>
      </c>
      <c r="Y54" s="220">
        <f>T54*R54</f>
        <v/>
      </c>
      <c r="Z54" s="220">
        <f>U54*O54</f>
        <v/>
      </c>
      <c r="AA54" s="220">
        <f>V54*O54</f>
        <v/>
      </c>
      <c r="AB54" s="220">
        <f>W54*O54</f>
        <v/>
      </c>
      <c r="AC54" s="198">
        <f>X54*O54</f>
        <v/>
      </c>
      <c r="AD54" s="220" t="n">
        <v>0</v>
      </c>
      <c r="AE54" s="220" t="n">
        <v>0</v>
      </c>
      <c r="AF54" s="220">
        <f>SUM(Y54:AE54)</f>
        <v/>
      </c>
      <c r="AG54" s="205">
        <f>_xlfn.XLOOKUP(G54,[1]Fx!$A$16:$A$24,[1]Fx!$B$16:$B$24)</f>
        <v/>
      </c>
      <c r="AH54" s="220">
        <f>AG54*R54</f>
        <v/>
      </c>
      <c r="AI54" s="220">
        <f>$AI$6*Z54</f>
        <v/>
      </c>
      <c r="AJ54" s="220">
        <f>$AJ$6*AA54</f>
        <v/>
      </c>
      <c r="AK54" s="220">
        <f>$AK$6*AB54</f>
        <v/>
      </c>
      <c r="AL54" s="220">
        <f>$AL$6*AC54</f>
        <v/>
      </c>
      <c r="AM54" s="220">
        <f>SUM(AH54:AL54)</f>
        <v/>
      </c>
      <c r="AN54" s="220" t="n">
        <v>0</v>
      </c>
      <c r="AO54" s="220">
        <f>AN54*AH54</f>
        <v/>
      </c>
      <c r="AP54" s="220">
        <f>AD54</f>
        <v/>
      </c>
      <c r="AQ54" s="220">
        <f>AE54</f>
        <v/>
      </c>
      <c r="AR54" s="220">
        <f>AM54-AO54</f>
        <v/>
      </c>
      <c r="AS54" s="220">
        <f>AR54-AK54</f>
        <v/>
      </c>
      <c r="AT54" s="220">
        <f>AS54*1.075</f>
        <v/>
      </c>
      <c r="AU54" s="220">
        <f>ROUNDUP(AT54+AK54,-4)</f>
        <v/>
      </c>
      <c r="AV54" s="198" t="n">
        <v>460000</v>
      </c>
      <c r="AW54" s="220" t="n"/>
      <c r="AX54" s="220">
        <f>AV54-AR54</f>
        <v/>
      </c>
      <c r="AY54" s="35">
        <f>AX54/AR54</f>
        <v/>
      </c>
      <c r="AZ54" s="220">
        <f>AV54-AF54</f>
        <v/>
      </c>
      <c r="BA54" s="215">
        <f>AV54-SUM(Z54:AC54)</f>
        <v/>
      </c>
      <c r="BB54" s="215">
        <f>BA54-Y54</f>
        <v/>
      </c>
      <c r="BC54" s="35">
        <f>BB54/BA54</f>
        <v/>
      </c>
      <c r="BD54" s="35">
        <f>IFERROR(AZ54/AV54,)</f>
        <v/>
      </c>
      <c r="BE54" s="255">
        <f>AV54-SUM(Z54:AC54)</f>
        <v/>
      </c>
      <c r="BF54" s="255">
        <f>AV54-BE54-AC54-AB54</f>
        <v/>
      </c>
      <c r="BG54" s="255">
        <f>AV54-BE54-BF54-AB54</f>
        <v/>
      </c>
      <c r="BH54" s="255">
        <f>AB54</f>
        <v/>
      </c>
      <c r="BI54">
        <f>IF(BD54&lt;0%,"Loss",IF(BD54&lt;5%,"On Cost Plus",IF(BD54&lt;10%,"Within","Exceed")))</f>
        <v/>
      </c>
      <c r="BJ54" t="inlineStr">
        <is>
          <t>Exceed</t>
        </is>
      </c>
      <c r="BK54">
        <f>0.51*$BK$6</f>
        <v/>
      </c>
      <c r="BL54" s="190">
        <f>BK54-W54</f>
        <v/>
      </c>
      <c r="BM54" s="189">
        <f>BL54*O54</f>
        <v/>
      </c>
    </row>
    <row r="55">
      <c r="A55">
        <f>CONCATENATE(E55,F55,G55,H55,I55,J55,K55,L55)</f>
        <v/>
      </c>
      <c r="B55" s="25">
        <f>CONCATENATE(J55,"-&gt;",K55,"/",E55)</f>
        <v/>
      </c>
      <c r="C55" s="24" t="inlineStr">
        <is>
          <t>AFEEZ AJIBADE/Ebenezer</t>
        </is>
      </c>
      <c r="D55" s="25">
        <f>CONCATENATE(G55,"-",H55,"-",F55)</f>
        <v/>
      </c>
      <c r="E55" s="24" t="inlineStr">
        <is>
          <t>JAMARA-30T-NBL-DSL-CONTAINARIZED</t>
        </is>
      </c>
      <c r="F55" s="24" t="inlineStr">
        <is>
          <t>CONTAINARIZED</t>
        </is>
      </c>
      <c r="G55" s="25" t="inlineStr">
        <is>
          <t>NBL-DSL</t>
        </is>
      </c>
      <c r="H55" s="24" t="inlineStr">
        <is>
          <t>30T</t>
        </is>
      </c>
      <c r="I55" s="251" t="inlineStr">
        <is>
          <t>JAMARA</t>
        </is>
      </c>
      <c r="J55" s="251" t="inlineStr">
        <is>
          <t>Lagos</t>
        </is>
      </c>
      <c r="K55" s="258" t="inlineStr">
        <is>
          <t>Ojodu-Akute-Mowe</t>
        </is>
      </c>
      <c r="L55" s="231" t="inlineStr">
        <is>
          <t>Lagos/Ogun</t>
        </is>
      </c>
      <c r="M55" s="256" t="n"/>
      <c r="N55" s="253" t="n">
        <v>37.6</v>
      </c>
      <c r="O55" s="257">
        <f>N55*2</f>
        <v/>
      </c>
      <c r="P55" s="227">
        <f>ROUNDUP(O55/300,)</f>
        <v/>
      </c>
      <c r="Q55" s="220" t="n">
        <v>0.5</v>
      </c>
      <c r="R55" s="220">
        <f>Q55+P55</f>
        <v/>
      </c>
      <c r="S55" s="198">
        <f>ROUNDDOWN(O55*0.7,)</f>
        <v/>
      </c>
      <c r="T55" s="220">
        <f>_xlfn.XLOOKUP(G55,[1]Fx!$A$4:$A$12,[1]Fx!$B$4:$B$12)</f>
        <v/>
      </c>
      <c r="U55" s="220">
        <f>_xlfn.XLOOKUP(G55,[1]Fx!$A$4:$A$12,[1]Fx!$C$4:$C$12)</f>
        <v/>
      </c>
      <c r="V55" s="220">
        <f>_xlfn.XLOOKUP(G55,[1]Fx!$A$4:$A$12,[1]Fx!$D$4:$D$12)</f>
        <v/>
      </c>
      <c r="W55" s="208">
        <f>_xlfn.XLOOKUP(H55&amp;I55,'[1]Mapping DSL'!$H:$H,'[1]Mapping DSL'!$J:$J)</f>
        <v/>
      </c>
      <c r="X55" s="220">
        <f>_xlfn.XLOOKUP(G55,[1]Fx!$A$4:$A$12,[1]Fx!$E$4:$E$12)</f>
        <v/>
      </c>
      <c r="Y55" s="220">
        <f>T55*R55</f>
        <v/>
      </c>
      <c r="Z55" s="220">
        <f>U55*O55</f>
        <v/>
      </c>
      <c r="AA55" s="220">
        <f>V55*O55</f>
        <v/>
      </c>
      <c r="AB55" s="220">
        <f>W55*O55</f>
        <v/>
      </c>
      <c r="AC55" s="198">
        <f>X55*O55</f>
        <v/>
      </c>
      <c r="AD55" s="220" t="n">
        <v>0</v>
      </c>
      <c r="AE55" s="220" t="n">
        <v>0</v>
      </c>
      <c r="AF55" s="220">
        <f>SUM(Y55:AE55)</f>
        <v/>
      </c>
      <c r="AG55" s="205">
        <f>_xlfn.XLOOKUP(G55,[1]Fx!$A$16:$A$24,[1]Fx!$B$16:$B$24)</f>
        <v/>
      </c>
      <c r="AH55" s="220">
        <f>AG55*R55</f>
        <v/>
      </c>
      <c r="AI55" s="220">
        <f>$AI$6*Z55</f>
        <v/>
      </c>
      <c r="AJ55" s="220">
        <f>$AJ$6*AA55</f>
        <v/>
      </c>
      <c r="AK55" s="220">
        <f>$AK$6*AB55</f>
        <v/>
      </c>
      <c r="AL55" s="220">
        <f>$AL$6*AC55</f>
        <v/>
      </c>
      <c r="AM55" s="220">
        <f>SUM(AH55:AL55)</f>
        <v/>
      </c>
      <c r="AN55" s="220" t="n">
        <v>0</v>
      </c>
      <c r="AO55" s="220">
        <f>AN55*AH55</f>
        <v/>
      </c>
      <c r="AP55" s="220">
        <f>AD55</f>
        <v/>
      </c>
      <c r="AQ55" s="220">
        <f>AE55</f>
        <v/>
      </c>
      <c r="AR55" s="220">
        <f>AM55-AO55</f>
        <v/>
      </c>
      <c r="AS55" s="220">
        <f>AR55-AK55</f>
        <v/>
      </c>
      <c r="AT55" s="220">
        <f>AS55*1.075</f>
        <v/>
      </c>
      <c r="AU55" s="220">
        <f>ROUNDUP(AT55+AK55,-4)</f>
        <v/>
      </c>
      <c r="AV55" s="198" t="n">
        <v>460000</v>
      </c>
      <c r="AW55" s="220" t="n"/>
      <c r="AX55" s="220">
        <f>AV55-AR55</f>
        <v/>
      </c>
      <c r="AY55" s="35">
        <f>AX55/AR55</f>
        <v/>
      </c>
      <c r="AZ55" s="220">
        <f>AV55-AF55</f>
        <v/>
      </c>
      <c r="BA55" s="215">
        <f>AV55-SUM(Z55:AC55)</f>
        <v/>
      </c>
      <c r="BB55" s="215">
        <f>BA55-Y55</f>
        <v/>
      </c>
      <c r="BC55" s="35">
        <f>BB55/BA55</f>
        <v/>
      </c>
      <c r="BD55" s="35">
        <f>IFERROR(AZ55/AV55,)</f>
        <v/>
      </c>
      <c r="BE55" s="255">
        <f>AV55-SUM(Z55:AC55)</f>
        <v/>
      </c>
      <c r="BF55" s="255">
        <f>AV55-BE55-AC55-AB55</f>
        <v/>
      </c>
      <c r="BG55" s="255">
        <f>AV55-BE55-BF55-AB55</f>
        <v/>
      </c>
      <c r="BH55" s="255">
        <f>AB55</f>
        <v/>
      </c>
      <c r="BI55">
        <f>IF(BD55&lt;0%,"Loss",IF(BD55&lt;5%,"On Cost Plus",IF(BD55&lt;10%,"Within","Exceed")))</f>
        <v/>
      </c>
      <c r="BJ55" t="inlineStr">
        <is>
          <t>Exceed</t>
        </is>
      </c>
      <c r="BK55">
        <f>0.51*$BK$6</f>
        <v/>
      </c>
      <c r="BL55" s="190">
        <f>BK55-W55</f>
        <v/>
      </c>
      <c r="BM55" s="189">
        <f>BL55*O55</f>
        <v/>
      </c>
    </row>
    <row r="56">
      <c r="A56">
        <f>CONCATENATE(E56,F56,G56,H56,I56,J56,K56,L56)</f>
        <v/>
      </c>
      <c r="B56" s="25">
        <f>CONCATENATE(J56,"-&gt;",K56,"/",E56)</f>
        <v/>
      </c>
      <c r="C56" s="24" t="inlineStr">
        <is>
          <t>AFEEZ AJIBADE/Ebenezer</t>
        </is>
      </c>
      <c r="D56" s="25">
        <f>CONCATENATE(G56,"-",H56,"-",F56)</f>
        <v/>
      </c>
      <c r="E56" s="24" t="inlineStr">
        <is>
          <t>JAMARA-30T-NBL-DSL-CONTAINARIZED</t>
        </is>
      </c>
      <c r="F56" s="24" t="inlineStr">
        <is>
          <t>CONTAINARIZED</t>
        </is>
      </c>
      <c r="G56" s="25" t="inlineStr">
        <is>
          <t>NBL-DSL</t>
        </is>
      </c>
      <c r="H56" s="24" t="inlineStr">
        <is>
          <t>30T</t>
        </is>
      </c>
      <c r="I56" s="251" t="inlineStr">
        <is>
          <t>JAMARA</t>
        </is>
      </c>
      <c r="J56" s="251" t="inlineStr">
        <is>
          <t>Lagos</t>
        </is>
      </c>
      <c r="K56" s="258" t="inlineStr">
        <is>
          <t>Ojodu-Akute-Mowe</t>
        </is>
      </c>
      <c r="L56" s="231" t="inlineStr">
        <is>
          <t>Lagos/Ogun</t>
        </is>
      </c>
      <c r="M56" s="256" t="n"/>
      <c r="N56" s="253" t="n">
        <v>37.6</v>
      </c>
      <c r="O56" s="257">
        <f>N56*2</f>
        <v/>
      </c>
      <c r="P56" s="227">
        <f>ROUNDUP(O56/300,)</f>
        <v/>
      </c>
      <c r="Q56" s="220" t="n">
        <v>0.5</v>
      </c>
      <c r="R56" s="220">
        <f>Q56+P56</f>
        <v/>
      </c>
      <c r="S56" s="198">
        <f>ROUNDDOWN(O56*0.7,)</f>
        <v/>
      </c>
      <c r="T56" s="220">
        <f>_xlfn.XLOOKUP(G56,[1]Fx!$A$4:$A$12,[1]Fx!$B$4:$B$12)</f>
        <v/>
      </c>
      <c r="U56" s="220">
        <f>_xlfn.XLOOKUP(G56,[1]Fx!$A$4:$A$12,[1]Fx!$C$4:$C$12)</f>
        <v/>
      </c>
      <c r="V56" s="220">
        <f>_xlfn.XLOOKUP(G56,[1]Fx!$A$4:$A$12,[1]Fx!$D$4:$D$12)</f>
        <v/>
      </c>
      <c r="W56" s="208">
        <f>_xlfn.XLOOKUP(H56&amp;I56,'[1]Mapping DSL'!$H:$H,'[1]Mapping DSL'!$J:$J)</f>
        <v/>
      </c>
      <c r="X56" s="220">
        <f>_xlfn.XLOOKUP(G56,[1]Fx!$A$4:$A$12,[1]Fx!$E$4:$E$12)</f>
        <v/>
      </c>
      <c r="Y56" s="220">
        <f>T56*R56</f>
        <v/>
      </c>
      <c r="Z56" s="220">
        <f>U56*O56</f>
        <v/>
      </c>
      <c r="AA56" s="220">
        <f>V56*O56</f>
        <v/>
      </c>
      <c r="AB56" s="220">
        <f>W56*O56</f>
        <v/>
      </c>
      <c r="AC56" s="198">
        <f>X56*O56</f>
        <v/>
      </c>
      <c r="AD56" s="220" t="n">
        <v>0</v>
      </c>
      <c r="AE56" s="220" t="n">
        <v>0</v>
      </c>
      <c r="AF56" s="220">
        <f>SUM(Y56:AE56)</f>
        <v/>
      </c>
      <c r="AG56" s="205">
        <f>_xlfn.XLOOKUP(G56,[1]Fx!$A$16:$A$24,[1]Fx!$B$16:$B$24)</f>
        <v/>
      </c>
      <c r="AH56" s="220">
        <f>AG56*R56</f>
        <v/>
      </c>
      <c r="AI56" s="220">
        <f>$AI$6*Z56</f>
        <v/>
      </c>
      <c r="AJ56" s="220">
        <f>$AJ$6*AA56</f>
        <v/>
      </c>
      <c r="AK56" s="220">
        <f>$AK$6*AB56</f>
        <v/>
      </c>
      <c r="AL56" s="220">
        <f>$AL$6*AC56</f>
        <v/>
      </c>
      <c r="AM56" s="220">
        <f>SUM(AH56:AL56)</f>
        <v/>
      </c>
      <c r="AN56" s="220" t="n">
        <v>0</v>
      </c>
      <c r="AO56" s="220">
        <f>AN56*AH56</f>
        <v/>
      </c>
      <c r="AP56" s="220">
        <f>AD56</f>
        <v/>
      </c>
      <c r="AQ56" s="220">
        <f>AE56</f>
        <v/>
      </c>
      <c r="AR56" s="220">
        <f>AM56-AO56</f>
        <v/>
      </c>
      <c r="AS56" s="220">
        <f>AR56-AK56</f>
        <v/>
      </c>
      <c r="AT56" s="220">
        <f>AS56*1.075</f>
        <v/>
      </c>
      <c r="AU56" s="220">
        <f>ROUNDUP(AT56+AK56,-4)</f>
        <v/>
      </c>
      <c r="AV56" s="198" t="n">
        <v>460000</v>
      </c>
      <c r="AW56" s="220" t="n"/>
      <c r="AX56" s="220">
        <f>AV56-AR56</f>
        <v/>
      </c>
      <c r="AY56" s="35">
        <f>AX56/AR56</f>
        <v/>
      </c>
      <c r="AZ56" s="220">
        <f>AV56-AF56</f>
        <v/>
      </c>
      <c r="BA56" s="215">
        <f>AV56-SUM(Z56:AC56)</f>
        <v/>
      </c>
      <c r="BB56" s="215">
        <f>BA56-Y56</f>
        <v/>
      </c>
      <c r="BC56" s="35">
        <f>BB56/BA56</f>
        <v/>
      </c>
      <c r="BD56" s="35">
        <f>IFERROR(AZ56/AV56,)</f>
        <v/>
      </c>
      <c r="BE56" s="255">
        <f>AV56-SUM(Z56:AC56)</f>
        <v/>
      </c>
      <c r="BF56" s="255">
        <f>AV56-BE56-AC56-AB56</f>
        <v/>
      </c>
      <c r="BG56" s="255">
        <f>AV56-BE56-BF56-AB56</f>
        <v/>
      </c>
      <c r="BH56" s="255">
        <f>AB56</f>
        <v/>
      </c>
      <c r="BI56">
        <f>IF(BD56&lt;0%,"Loss",IF(BD56&lt;5%,"On Cost Plus",IF(BD56&lt;10%,"Within","Exceed")))</f>
        <v/>
      </c>
      <c r="BJ56" t="inlineStr">
        <is>
          <t>Exceed</t>
        </is>
      </c>
      <c r="BK56">
        <f>0.51*$BK$6</f>
        <v/>
      </c>
      <c r="BL56" s="190">
        <f>BK56-W56</f>
        <v/>
      </c>
      <c r="BM56" s="189">
        <f>BL56*O56</f>
        <v/>
      </c>
    </row>
    <row r="57">
      <c r="A57">
        <f>CONCATENATE(E57,F57,G57,H57,I57,J57,K57,L57)</f>
        <v/>
      </c>
      <c r="B57" s="25">
        <f>CONCATENATE(J57,"-&gt;",K57,"/",E57)</f>
        <v/>
      </c>
      <c r="C57" s="24" t="inlineStr">
        <is>
          <t>AFEEZ AJIBADE/Ebenezer</t>
        </is>
      </c>
      <c r="D57" s="25">
        <f>CONCATENATE(G57,"-",H57,"-",F57)</f>
        <v/>
      </c>
      <c r="E57" s="24" t="inlineStr">
        <is>
          <t>JAMARA-30T-NBL-DSL-CONTAINARIZED</t>
        </is>
      </c>
      <c r="F57" s="24" t="inlineStr">
        <is>
          <t>CONTAINARIZED</t>
        </is>
      </c>
      <c r="G57" s="25" t="inlineStr">
        <is>
          <t>NBL-DSL</t>
        </is>
      </c>
      <c r="H57" s="24" t="inlineStr">
        <is>
          <t>30T</t>
        </is>
      </c>
      <c r="I57" s="251" t="inlineStr">
        <is>
          <t>JAMARA</t>
        </is>
      </c>
      <c r="J57" s="251" t="inlineStr">
        <is>
          <t>Lagos</t>
        </is>
      </c>
      <c r="K57" s="258" t="inlineStr">
        <is>
          <t>Surulere-Tejuosho-Yaba-Ebute Metta-Oyingbo</t>
        </is>
      </c>
      <c r="L57" s="231" t="inlineStr">
        <is>
          <t>Lagos</t>
        </is>
      </c>
      <c r="M57" s="256" t="n"/>
      <c r="N57" s="253" t="n">
        <v>19</v>
      </c>
      <c r="O57" s="257">
        <f>N57*2</f>
        <v/>
      </c>
      <c r="P57" s="227">
        <f>ROUNDUP(O57/300,)</f>
        <v/>
      </c>
      <c r="Q57" s="220" t="n">
        <v>0.5</v>
      </c>
      <c r="R57" s="220">
        <f>Q57+P57</f>
        <v/>
      </c>
      <c r="S57" s="198">
        <f>ROUNDDOWN(O57*0.7,)</f>
        <v/>
      </c>
      <c r="T57" s="220">
        <f>_xlfn.XLOOKUP(G57,[1]Fx!$A$4:$A$12,[1]Fx!$B$4:$B$12)</f>
        <v/>
      </c>
      <c r="U57" s="220">
        <f>_xlfn.XLOOKUP(G57,[1]Fx!$A$4:$A$12,[1]Fx!$C$4:$C$12)</f>
        <v/>
      </c>
      <c r="V57" s="220">
        <f>_xlfn.XLOOKUP(G57,[1]Fx!$A$4:$A$12,[1]Fx!$D$4:$D$12)</f>
        <v/>
      </c>
      <c r="W57" s="208">
        <f>_xlfn.XLOOKUP(H57&amp;I57,'[1]Mapping DSL'!$H:$H,'[1]Mapping DSL'!$J:$J)</f>
        <v/>
      </c>
      <c r="X57" s="220">
        <f>_xlfn.XLOOKUP(G57,[1]Fx!$A$4:$A$12,[1]Fx!$E$4:$E$12)</f>
        <v/>
      </c>
      <c r="Y57" s="220">
        <f>T57*R57</f>
        <v/>
      </c>
      <c r="Z57" s="220">
        <f>U57*O57</f>
        <v/>
      </c>
      <c r="AA57" s="220">
        <f>V57*O57</f>
        <v/>
      </c>
      <c r="AB57" s="220">
        <f>W57*O57</f>
        <v/>
      </c>
      <c r="AC57" s="198">
        <f>X57*O57</f>
        <v/>
      </c>
      <c r="AD57" s="220" t="n">
        <v>0</v>
      </c>
      <c r="AE57" s="220" t="n">
        <v>0</v>
      </c>
      <c r="AF57" s="220">
        <f>SUM(Y57:AE57)</f>
        <v/>
      </c>
      <c r="AG57" s="205">
        <f>_xlfn.XLOOKUP(G57,[1]Fx!$A$16:$A$24,[1]Fx!$B$16:$B$24)</f>
        <v/>
      </c>
      <c r="AH57" s="220">
        <f>AG57*R57</f>
        <v/>
      </c>
      <c r="AI57" s="220">
        <f>$AI$6*Z57</f>
        <v/>
      </c>
      <c r="AJ57" s="220">
        <f>$AJ$6*AA57</f>
        <v/>
      </c>
      <c r="AK57" s="220">
        <f>$AK$6*AB57</f>
        <v/>
      </c>
      <c r="AL57" s="220">
        <f>$AL$6*AC57</f>
        <v/>
      </c>
      <c r="AM57" s="220">
        <f>SUM(AH57:AL57)</f>
        <v/>
      </c>
      <c r="AN57" s="220" t="n">
        <v>0</v>
      </c>
      <c r="AO57" s="220">
        <f>AN57*AH57</f>
        <v/>
      </c>
      <c r="AP57" s="220">
        <f>AD57</f>
        <v/>
      </c>
      <c r="AQ57" s="220">
        <f>AE57</f>
        <v/>
      </c>
      <c r="AR57" s="220">
        <f>AM57-AO57</f>
        <v/>
      </c>
      <c r="AS57" s="220">
        <f>AR57-AK57</f>
        <v/>
      </c>
      <c r="AT57" s="220">
        <f>AS57*1.075</f>
        <v/>
      </c>
      <c r="AU57" s="220">
        <f>ROUNDUP(AT57+AK57,-4)</f>
        <v/>
      </c>
      <c r="AV57" s="198" t="n">
        <v>410000</v>
      </c>
      <c r="AW57" s="220" t="n"/>
      <c r="AX57" s="220">
        <f>AV57-AR57</f>
        <v/>
      </c>
      <c r="AY57" s="35">
        <f>AX57/AR57</f>
        <v/>
      </c>
      <c r="AZ57" s="220">
        <f>AV57-AF57</f>
        <v/>
      </c>
      <c r="BA57" s="215">
        <f>AV57-SUM(Z57:AC57)</f>
        <v/>
      </c>
      <c r="BB57" s="215">
        <f>BA57-Y57</f>
        <v/>
      </c>
      <c r="BC57" s="35">
        <f>BB57/BA57</f>
        <v/>
      </c>
      <c r="BD57" s="35">
        <f>IFERROR(AZ57/AV57,)</f>
        <v/>
      </c>
      <c r="BE57" s="255">
        <f>AV57-SUM(Z57:AC57)</f>
        <v/>
      </c>
      <c r="BF57" s="255">
        <f>AV57-BE57-AC57-AB57</f>
        <v/>
      </c>
      <c r="BG57" s="255">
        <f>AV57-BE57-BF57-AB57</f>
        <v/>
      </c>
      <c r="BH57" s="255">
        <f>AB57</f>
        <v/>
      </c>
      <c r="BI57">
        <f>IF(BD57&lt;0%,"Loss",IF(BD57&lt;5%,"On Cost Plus",IF(BD57&lt;10%,"Within","Exceed")))</f>
        <v/>
      </c>
      <c r="BJ57" t="inlineStr">
        <is>
          <t>Exceed</t>
        </is>
      </c>
      <c r="BK57">
        <f>0.51*$BK$6</f>
        <v/>
      </c>
      <c r="BL57" s="190">
        <f>BK57-W57</f>
        <v/>
      </c>
      <c r="BM57" s="189">
        <f>BL57*O57</f>
        <v/>
      </c>
    </row>
    <row r="58">
      <c r="A58">
        <f>CONCATENATE(E58,F58,G58,H58,I58,J58,K58,L58)</f>
        <v/>
      </c>
      <c r="B58" s="25">
        <f>CONCATENATE(J58,"-&gt;",K58,"/",E58)</f>
        <v/>
      </c>
      <c r="C58" s="24" t="inlineStr">
        <is>
          <t>AFEEZ AJIBADE/Ebenezer</t>
        </is>
      </c>
      <c r="D58" s="25">
        <f>CONCATENATE(G58,"-",H58,"-",F58)</f>
        <v/>
      </c>
      <c r="E58" s="24" t="inlineStr">
        <is>
          <t>JAMARA-30T-NBL-DSL-CONTAINARIZED</t>
        </is>
      </c>
      <c r="F58" s="24" t="inlineStr">
        <is>
          <t>CONTAINARIZED</t>
        </is>
      </c>
      <c r="G58" s="25" t="inlineStr">
        <is>
          <t>NBL-DSL</t>
        </is>
      </c>
      <c r="H58" s="24" t="inlineStr">
        <is>
          <t>30T</t>
        </is>
      </c>
      <c r="I58" s="251" t="inlineStr">
        <is>
          <t>JAMARA</t>
        </is>
      </c>
      <c r="J58" s="251" t="inlineStr">
        <is>
          <t>Lagos</t>
        </is>
      </c>
      <c r="K58" s="258" t="inlineStr">
        <is>
          <t>Surulere-Tejuosho-Yaba-Ebute Metta-Oyingbo</t>
        </is>
      </c>
      <c r="L58" s="231" t="inlineStr">
        <is>
          <t>Lagos</t>
        </is>
      </c>
      <c r="M58" s="256" t="n"/>
      <c r="N58" s="253" t="n">
        <v>19</v>
      </c>
      <c r="O58" s="257">
        <f>N58*2</f>
        <v/>
      </c>
      <c r="P58" s="227">
        <f>ROUNDUP(O58/300,)</f>
        <v/>
      </c>
      <c r="Q58" s="220" t="n">
        <v>0.5</v>
      </c>
      <c r="R58" s="220">
        <f>Q58+P58</f>
        <v/>
      </c>
      <c r="S58" s="198">
        <f>ROUNDDOWN(O58*0.7,)</f>
        <v/>
      </c>
      <c r="T58" s="220">
        <f>_xlfn.XLOOKUP(G58,[1]Fx!$A$4:$A$12,[1]Fx!$B$4:$B$12)</f>
        <v/>
      </c>
      <c r="U58" s="220">
        <f>_xlfn.XLOOKUP(G58,[1]Fx!$A$4:$A$12,[1]Fx!$C$4:$C$12)</f>
        <v/>
      </c>
      <c r="V58" s="220">
        <f>_xlfn.XLOOKUP(G58,[1]Fx!$A$4:$A$12,[1]Fx!$D$4:$D$12)</f>
        <v/>
      </c>
      <c r="W58" s="208">
        <f>_xlfn.XLOOKUP(H58&amp;I58,'[1]Mapping DSL'!$H:$H,'[1]Mapping DSL'!$J:$J)</f>
        <v/>
      </c>
      <c r="X58" s="220">
        <f>_xlfn.XLOOKUP(G58,[1]Fx!$A$4:$A$12,[1]Fx!$E$4:$E$12)</f>
        <v/>
      </c>
      <c r="Y58" s="220">
        <f>T58*R58</f>
        <v/>
      </c>
      <c r="Z58" s="220">
        <f>U58*O58</f>
        <v/>
      </c>
      <c r="AA58" s="220">
        <f>V58*O58</f>
        <v/>
      </c>
      <c r="AB58" s="220">
        <f>W58*O58</f>
        <v/>
      </c>
      <c r="AC58" s="198">
        <f>X58*O58</f>
        <v/>
      </c>
      <c r="AD58" s="220" t="n">
        <v>0</v>
      </c>
      <c r="AE58" s="220" t="n">
        <v>0</v>
      </c>
      <c r="AF58" s="220">
        <f>SUM(Y58:AE58)</f>
        <v/>
      </c>
      <c r="AG58" s="205">
        <f>_xlfn.XLOOKUP(G58,[1]Fx!$A$16:$A$24,[1]Fx!$B$16:$B$24)</f>
        <v/>
      </c>
      <c r="AH58" s="220">
        <f>AG58*R58</f>
        <v/>
      </c>
      <c r="AI58" s="220">
        <f>$AI$6*Z58</f>
        <v/>
      </c>
      <c r="AJ58" s="220">
        <f>$AJ$6*AA58</f>
        <v/>
      </c>
      <c r="AK58" s="220">
        <f>$AK$6*AB58</f>
        <v/>
      </c>
      <c r="AL58" s="220">
        <f>$AL$6*AC58</f>
        <v/>
      </c>
      <c r="AM58" s="220">
        <f>SUM(AH58:AL58)</f>
        <v/>
      </c>
      <c r="AN58" s="220" t="n">
        <v>0</v>
      </c>
      <c r="AO58" s="220">
        <f>AN58*AH58</f>
        <v/>
      </c>
      <c r="AP58" s="220">
        <f>AD58</f>
        <v/>
      </c>
      <c r="AQ58" s="220">
        <f>AE58</f>
        <v/>
      </c>
      <c r="AR58" s="220">
        <f>AM58-AO58</f>
        <v/>
      </c>
      <c r="AS58" s="220">
        <f>AR58-AK58</f>
        <v/>
      </c>
      <c r="AT58" s="220">
        <f>AS58*1.075</f>
        <v/>
      </c>
      <c r="AU58" s="220">
        <f>ROUNDUP(AT58+AK58,-4)</f>
        <v/>
      </c>
      <c r="AV58" s="198" t="n">
        <v>410000</v>
      </c>
      <c r="AW58" s="220" t="n"/>
      <c r="AX58" s="220">
        <f>AV58-AR58</f>
        <v/>
      </c>
      <c r="AY58" s="35">
        <f>AX58/AR58</f>
        <v/>
      </c>
      <c r="AZ58" s="220">
        <f>AV58-AF58</f>
        <v/>
      </c>
      <c r="BA58" s="215">
        <f>AV58-SUM(Z58:AC58)</f>
        <v/>
      </c>
      <c r="BB58" s="215">
        <f>BA58-Y58</f>
        <v/>
      </c>
      <c r="BC58" s="35">
        <f>BB58/BA58</f>
        <v/>
      </c>
      <c r="BD58" s="35">
        <f>IFERROR(AZ58/AV58,)</f>
        <v/>
      </c>
      <c r="BE58" s="255">
        <f>AV58-SUM(Z58:AC58)</f>
        <v/>
      </c>
      <c r="BF58" s="255">
        <f>AV58-BE58-AC58-AB58</f>
        <v/>
      </c>
      <c r="BG58" s="255">
        <f>AV58-BE58-BF58-AB58</f>
        <v/>
      </c>
      <c r="BH58" s="255">
        <f>AB58</f>
        <v/>
      </c>
      <c r="BI58">
        <f>IF(BD58&lt;0%,"Loss",IF(BD58&lt;5%,"On Cost Plus",IF(BD58&lt;10%,"Within","Exceed")))</f>
        <v/>
      </c>
      <c r="BJ58" t="inlineStr">
        <is>
          <t>Exceed</t>
        </is>
      </c>
      <c r="BK58">
        <f>0.51*$BK$6</f>
        <v/>
      </c>
      <c r="BL58" s="190">
        <f>BK58-W58</f>
        <v/>
      </c>
      <c r="BM58" s="189">
        <f>BL58*O58</f>
        <v/>
      </c>
    </row>
    <row r="59">
      <c r="A59">
        <f>CONCATENATE(E59,F59,G59,H59,I59,J59,K59,L59)</f>
        <v/>
      </c>
      <c r="B59" s="25">
        <f>CONCATENATE(J59,"-&gt;",K59,"/",E59)</f>
        <v/>
      </c>
      <c r="C59" s="24" t="inlineStr">
        <is>
          <t>AFEEZ AJIBADE/Ebenezer</t>
        </is>
      </c>
      <c r="D59" s="25">
        <f>CONCATENATE(G59,"-",H59,"-",F59)</f>
        <v/>
      </c>
      <c r="E59" s="24" t="inlineStr">
        <is>
          <t>JAMARA-30T-NBL-DSL-CONTAINARIZED</t>
        </is>
      </c>
      <c r="F59" s="24" t="inlineStr">
        <is>
          <t>CONTAINARIZED</t>
        </is>
      </c>
      <c r="G59" s="25" t="inlineStr">
        <is>
          <t>NBL-DSL</t>
        </is>
      </c>
      <c r="H59" s="24" t="inlineStr">
        <is>
          <t>30T</t>
        </is>
      </c>
      <c r="I59" s="251" t="inlineStr">
        <is>
          <t>JAMARA</t>
        </is>
      </c>
      <c r="J59" s="251" t="inlineStr">
        <is>
          <t>Lagos</t>
        </is>
      </c>
      <c r="K59" s="258" t="inlineStr">
        <is>
          <t>Surulere-Tejuosho-Yaba-Ebute Metta-Oyingbo</t>
        </is>
      </c>
      <c r="L59" s="231" t="inlineStr">
        <is>
          <t>Lagos</t>
        </is>
      </c>
      <c r="M59" s="256" t="n"/>
      <c r="N59" s="253" t="n">
        <v>19</v>
      </c>
      <c r="O59" s="257">
        <f>N59*2</f>
        <v/>
      </c>
      <c r="P59" s="227">
        <f>ROUNDUP(O59/300,)</f>
        <v/>
      </c>
      <c r="Q59" s="220" t="n">
        <v>0.5</v>
      </c>
      <c r="R59" s="220">
        <f>Q59+P59</f>
        <v/>
      </c>
      <c r="S59" s="198">
        <f>ROUNDDOWN(O59*0.7,)</f>
        <v/>
      </c>
      <c r="T59" s="220">
        <f>_xlfn.XLOOKUP(G59,[1]Fx!$A$4:$A$12,[1]Fx!$B$4:$B$12)</f>
        <v/>
      </c>
      <c r="U59" s="220">
        <f>_xlfn.XLOOKUP(G59,[1]Fx!$A$4:$A$12,[1]Fx!$C$4:$C$12)</f>
        <v/>
      </c>
      <c r="V59" s="220">
        <f>_xlfn.XLOOKUP(G59,[1]Fx!$A$4:$A$12,[1]Fx!$D$4:$D$12)</f>
        <v/>
      </c>
      <c r="W59" s="208">
        <f>_xlfn.XLOOKUP(H59&amp;I59,'[1]Mapping DSL'!$H:$H,'[1]Mapping DSL'!$J:$J)</f>
        <v/>
      </c>
      <c r="X59" s="220">
        <f>_xlfn.XLOOKUP(G59,[1]Fx!$A$4:$A$12,[1]Fx!$E$4:$E$12)</f>
        <v/>
      </c>
      <c r="Y59" s="220">
        <f>T59*R59</f>
        <v/>
      </c>
      <c r="Z59" s="220">
        <f>U59*O59</f>
        <v/>
      </c>
      <c r="AA59" s="220">
        <f>V59*O59</f>
        <v/>
      </c>
      <c r="AB59" s="220">
        <f>W59*O59</f>
        <v/>
      </c>
      <c r="AC59" s="198">
        <f>X59*O59</f>
        <v/>
      </c>
      <c r="AD59" s="220" t="n">
        <v>0</v>
      </c>
      <c r="AE59" s="220" t="n">
        <v>0</v>
      </c>
      <c r="AF59" s="220">
        <f>SUM(Y59:AE59)</f>
        <v/>
      </c>
      <c r="AG59" s="205">
        <f>_xlfn.XLOOKUP(G59,[1]Fx!$A$16:$A$24,[1]Fx!$B$16:$B$24)</f>
        <v/>
      </c>
      <c r="AH59" s="220">
        <f>AG59*R59</f>
        <v/>
      </c>
      <c r="AI59" s="220">
        <f>$AI$6*Z59</f>
        <v/>
      </c>
      <c r="AJ59" s="220">
        <f>$AJ$6*AA59</f>
        <v/>
      </c>
      <c r="AK59" s="220">
        <f>$AK$6*AB59</f>
        <v/>
      </c>
      <c r="AL59" s="220">
        <f>$AL$6*AC59</f>
        <v/>
      </c>
      <c r="AM59" s="220">
        <f>SUM(AH59:AL59)</f>
        <v/>
      </c>
      <c r="AN59" s="220" t="n">
        <v>0</v>
      </c>
      <c r="AO59" s="220">
        <f>AN59*AH59</f>
        <v/>
      </c>
      <c r="AP59" s="220">
        <f>AD59</f>
        <v/>
      </c>
      <c r="AQ59" s="220">
        <f>AE59</f>
        <v/>
      </c>
      <c r="AR59" s="220">
        <f>AM59-AO59</f>
        <v/>
      </c>
      <c r="AS59" s="220">
        <f>AR59-AK59</f>
        <v/>
      </c>
      <c r="AT59" s="220">
        <f>AS59*1.075</f>
        <v/>
      </c>
      <c r="AU59" s="220">
        <f>ROUNDUP(AT59+AK59,-4)</f>
        <v/>
      </c>
      <c r="AV59" s="198" t="n">
        <v>410000</v>
      </c>
      <c r="AW59" s="220" t="n"/>
      <c r="AX59" s="220">
        <f>AV59-AR59</f>
        <v/>
      </c>
      <c r="AY59" s="35">
        <f>AX59/AR59</f>
        <v/>
      </c>
      <c r="AZ59" s="220">
        <f>AV59-AF59</f>
        <v/>
      </c>
      <c r="BA59" s="215">
        <f>AV59-SUM(Z59:AC59)</f>
        <v/>
      </c>
      <c r="BB59" s="215">
        <f>BA59-Y59</f>
        <v/>
      </c>
      <c r="BC59" s="35">
        <f>BB59/BA59</f>
        <v/>
      </c>
      <c r="BD59" s="35">
        <f>IFERROR(AZ59/AV59,)</f>
        <v/>
      </c>
      <c r="BE59" s="255">
        <f>AV59-SUM(Z59:AC59)</f>
        <v/>
      </c>
      <c r="BF59" s="255">
        <f>AV59-BE59-AC59-AB59</f>
        <v/>
      </c>
      <c r="BG59" s="255">
        <f>AV59-BE59-BF59-AB59</f>
        <v/>
      </c>
      <c r="BH59" s="255">
        <f>AB59</f>
        <v/>
      </c>
      <c r="BI59">
        <f>IF(BD59&lt;0%,"Loss",IF(BD59&lt;5%,"On Cost Plus",IF(BD59&lt;10%,"Within","Exceed")))</f>
        <v/>
      </c>
      <c r="BJ59" t="inlineStr">
        <is>
          <t>Exceed</t>
        </is>
      </c>
      <c r="BK59">
        <f>0.51*$BK$6</f>
        <v/>
      </c>
      <c r="BL59" s="190">
        <f>BK59-W59</f>
        <v/>
      </c>
      <c r="BM59" s="189">
        <f>BL59*O59</f>
        <v/>
      </c>
    </row>
    <row r="60">
      <c r="A60">
        <f>CONCATENATE(E60,F60,G60,H60,I60,J60,K60,L60)</f>
        <v/>
      </c>
      <c r="B60" s="25">
        <f>CONCATENATE(J60,"-&gt;",K60,"/",E60)</f>
        <v/>
      </c>
      <c r="C60" s="24" t="inlineStr">
        <is>
          <t>AFEEZ AJIBADE/Ebenezer</t>
        </is>
      </c>
      <c r="D60" s="25">
        <f>CONCATENATE(G60,"-",H60,"-",F60)</f>
        <v/>
      </c>
      <c r="E60" s="24" t="inlineStr">
        <is>
          <t>JAMARA-30T-NBL-DSL-CONTAINARIZED</t>
        </is>
      </c>
      <c r="F60" s="24" t="inlineStr">
        <is>
          <t>CONTAINARIZED</t>
        </is>
      </c>
      <c r="G60" s="25" t="inlineStr">
        <is>
          <t>NBL-DSL</t>
        </is>
      </c>
      <c r="H60" s="24" t="inlineStr">
        <is>
          <t>30T</t>
        </is>
      </c>
      <c r="I60" s="251" t="inlineStr">
        <is>
          <t>JAMARA</t>
        </is>
      </c>
      <c r="J60" s="251" t="inlineStr">
        <is>
          <t>Lagos</t>
        </is>
      </c>
      <c r="K60" s="258" t="inlineStr">
        <is>
          <t>Victoria Island-Lekki-Ajah</t>
        </is>
      </c>
      <c r="L60" s="231" t="inlineStr">
        <is>
          <t>Lagos</t>
        </is>
      </c>
      <c r="M60" s="256" t="n"/>
      <c r="N60" s="253" t="n">
        <v>50</v>
      </c>
      <c r="O60" s="257">
        <f>N60*2</f>
        <v/>
      </c>
      <c r="P60" s="227">
        <f>ROUNDUP(O60/300,)</f>
        <v/>
      </c>
      <c r="Q60" s="220" t="n">
        <v>1</v>
      </c>
      <c r="R60" s="220">
        <f>Q60+P60</f>
        <v/>
      </c>
      <c r="S60" s="198">
        <f>ROUNDDOWN(O60*0.7,)</f>
        <v/>
      </c>
      <c r="T60" s="220">
        <f>_xlfn.XLOOKUP(G60,[1]Fx!$A$4:$A$12,[1]Fx!$B$4:$B$12)</f>
        <v/>
      </c>
      <c r="U60" s="220">
        <f>_xlfn.XLOOKUP(G60,[1]Fx!$A$4:$A$12,[1]Fx!$C$4:$C$12)</f>
        <v/>
      </c>
      <c r="V60" s="220">
        <f>_xlfn.XLOOKUP(G60,[1]Fx!$A$4:$A$12,[1]Fx!$D$4:$D$12)</f>
        <v/>
      </c>
      <c r="W60" s="208">
        <f>_xlfn.XLOOKUP(H60&amp;I60,'[1]Mapping DSL'!$H:$H,'[1]Mapping DSL'!$J:$J)</f>
        <v/>
      </c>
      <c r="X60" s="220">
        <f>_xlfn.XLOOKUP(G60,[1]Fx!$A$4:$A$12,[1]Fx!$E$4:$E$12)</f>
        <v/>
      </c>
      <c r="Y60" s="220">
        <f>T60*R60</f>
        <v/>
      </c>
      <c r="Z60" s="220">
        <f>U60*O60</f>
        <v/>
      </c>
      <c r="AA60" s="220">
        <f>V60*O60</f>
        <v/>
      </c>
      <c r="AB60" s="220">
        <f>W60*O60</f>
        <v/>
      </c>
      <c r="AC60" s="198">
        <f>X60*O60</f>
        <v/>
      </c>
      <c r="AD60" s="220" t="n">
        <v>0</v>
      </c>
      <c r="AE60" s="220" t="n">
        <v>0</v>
      </c>
      <c r="AF60" s="220">
        <f>SUM(Y60:AE60)</f>
        <v/>
      </c>
      <c r="AG60" s="205">
        <f>_xlfn.XLOOKUP(G60,[1]Fx!$A$16:$A$24,[1]Fx!$B$16:$B$24)</f>
        <v/>
      </c>
      <c r="AH60" s="220">
        <f>AG60*R60</f>
        <v/>
      </c>
      <c r="AI60" s="220">
        <f>$AI$6*Z60</f>
        <v/>
      </c>
      <c r="AJ60" s="220">
        <f>$AJ$6*AA60</f>
        <v/>
      </c>
      <c r="AK60" s="220">
        <f>$AK$6*AB60</f>
        <v/>
      </c>
      <c r="AL60" s="220">
        <f>$AL$6*AC60</f>
        <v/>
      </c>
      <c r="AM60" s="220">
        <f>SUM(AH60:AL60)</f>
        <v/>
      </c>
      <c r="AN60" s="220" t="n">
        <v>0</v>
      </c>
      <c r="AO60" s="220">
        <f>AN60*AH60</f>
        <v/>
      </c>
      <c r="AP60" s="220">
        <f>AD60</f>
        <v/>
      </c>
      <c r="AQ60" s="220">
        <f>AE60</f>
        <v/>
      </c>
      <c r="AR60" s="220">
        <f>AM60-AO60</f>
        <v/>
      </c>
      <c r="AS60" s="220">
        <f>AR60-AK60</f>
        <v/>
      </c>
      <c r="AT60" s="220">
        <f>AS60*1.075</f>
        <v/>
      </c>
      <c r="AU60" s="220">
        <f>ROUNDUP(AT60+AK60,-4)</f>
        <v/>
      </c>
      <c r="AV60" s="198" t="n">
        <v>490000</v>
      </c>
      <c r="AW60" s="220" t="n"/>
      <c r="AX60" s="220">
        <f>AV60-AR60</f>
        <v/>
      </c>
      <c r="AY60" s="35">
        <f>AX60/AR60</f>
        <v/>
      </c>
      <c r="AZ60" s="220">
        <f>AV60-AF60</f>
        <v/>
      </c>
      <c r="BA60" s="215">
        <f>AV60-SUM(Z60:AC60)</f>
        <v/>
      </c>
      <c r="BB60" s="215">
        <f>BA60-Y60</f>
        <v/>
      </c>
      <c r="BC60" s="35">
        <f>BB60/BA60</f>
        <v/>
      </c>
      <c r="BD60" s="35">
        <f>IFERROR(AZ60/AV60,)</f>
        <v/>
      </c>
      <c r="BE60" s="255">
        <f>AV60-SUM(Z60:AC60)</f>
        <v/>
      </c>
      <c r="BF60" s="255">
        <f>AV60-BE60-AC60-AB60</f>
        <v/>
      </c>
      <c r="BG60" s="255">
        <f>AV60-BE60-BF60-AB60</f>
        <v/>
      </c>
      <c r="BH60" s="255">
        <f>AB60</f>
        <v/>
      </c>
      <c r="BI60">
        <f>IF(BD60&lt;0%,"Loss",IF(BD60&lt;5%,"On Cost Plus",IF(BD60&lt;10%,"Within","Exceed")))</f>
        <v/>
      </c>
      <c r="BJ60" t="inlineStr">
        <is>
          <t>On Cost Plus</t>
        </is>
      </c>
      <c r="BK60">
        <f>0.51*$BK$6</f>
        <v/>
      </c>
      <c r="BL60" s="190">
        <f>BK60-W60</f>
        <v/>
      </c>
      <c r="BM60" s="189">
        <f>BL60*O60</f>
        <v/>
      </c>
    </row>
    <row r="61">
      <c r="A61">
        <f>CONCATENATE(E61,F61,G61,H61,I61,J61,K61,L61)</f>
        <v/>
      </c>
      <c r="B61" s="25">
        <f>CONCATENATE(J61,"-&gt;",K61,"/",E61)</f>
        <v/>
      </c>
      <c r="C61" s="24" t="inlineStr">
        <is>
          <t>AFEEZ AJIBADE/Ebenezer</t>
        </is>
      </c>
      <c r="D61" s="25">
        <f>CONCATENATE(G61,"-",H61,"-",F61)</f>
        <v/>
      </c>
      <c r="E61" s="24" t="inlineStr">
        <is>
          <t>JAMARA-30T-NBL-DSL-CONTAINARIZED</t>
        </is>
      </c>
      <c r="F61" s="24" t="inlineStr">
        <is>
          <t>CONTAINARIZED</t>
        </is>
      </c>
      <c r="G61" s="25" t="inlineStr">
        <is>
          <t>NBL-DSL</t>
        </is>
      </c>
      <c r="H61" s="24" t="inlineStr">
        <is>
          <t>30T</t>
        </is>
      </c>
      <c r="I61" s="251" t="inlineStr">
        <is>
          <t>JAMARA</t>
        </is>
      </c>
      <c r="J61" s="251" t="inlineStr">
        <is>
          <t>Lagos</t>
        </is>
      </c>
      <c r="K61" s="258" t="inlineStr">
        <is>
          <t>Victoria Island-Lekki-Ajah</t>
        </is>
      </c>
      <c r="L61" s="231" t="inlineStr">
        <is>
          <t>Lagos</t>
        </is>
      </c>
      <c r="M61" s="256" t="n"/>
      <c r="N61" s="253" t="n">
        <v>39.65</v>
      </c>
      <c r="O61" s="257">
        <f>N61*2</f>
        <v/>
      </c>
      <c r="P61" s="227">
        <f>ROUNDUP(O61/300,)</f>
        <v/>
      </c>
      <c r="Q61" s="220" t="n">
        <v>0.5</v>
      </c>
      <c r="R61" s="220">
        <f>Q61+P61</f>
        <v/>
      </c>
      <c r="S61" s="198">
        <f>ROUNDDOWN(O61*0.7,)</f>
        <v/>
      </c>
      <c r="T61" s="220">
        <f>_xlfn.XLOOKUP(G61,[1]Fx!$A$4:$A$12,[1]Fx!$B$4:$B$12)</f>
        <v/>
      </c>
      <c r="U61" s="220">
        <f>_xlfn.XLOOKUP(G61,[1]Fx!$A$4:$A$12,[1]Fx!$C$4:$C$12)</f>
        <v/>
      </c>
      <c r="V61" s="220">
        <f>_xlfn.XLOOKUP(G61,[1]Fx!$A$4:$A$12,[1]Fx!$D$4:$D$12)</f>
        <v/>
      </c>
      <c r="W61" s="208">
        <f>_xlfn.XLOOKUP(H61&amp;I61,'[1]Mapping DSL'!$H:$H,'[1]Mapping DSL'!$J:$J)</f>
        <v/>
      </c>
      <c r="X61" s="220">
        <f>_xlfn.XLOOKUP(G61,[1]Fx!$A$4:$A$12,[1]Fx!$E$4:$E$12)</f>
        <v/>
      </c>
      <c r="Y61" s="220">
        <f>T61*R61</f>
        <v/>
      </c>
      <c r="Z61" s="220">
        <f>U61*O61</f>
        <v/>
      </c>
      <c r="AA61" s="220">
        <f>V61*O61</f>
        <v/>
      </c>
      <c r="AB61" s="220">
        <f>W61*O61</f>
        <v/>
      </c>
      <c r="AC61" s="198">
        <f>X61*O61</f>
        <v/>
      </c>
      <c r="AD61" s="220" t="n">
        <v>0</v>
      </c>
      <c r="AE61" s="220" t="n">
        <v>0</v>
      </c>
      <c r="AF61" s="220">
        <f>SUM(Y61:AE61)</f>
        <v/>
      </c>
      <c r="AG61" s="205">
        <f>_xlfn.XLOOKUP(G61,[1]Fx!$A$16:$A$24,[1]Fx!$B$16:$B$24)</f>
        <v/>
      </c>
      <c r="AH61" s="220">
        <f>AG61*R61</f>
        <v/>
      </c>
      <c r="AI61" s="220">
        <f>$AI$6*Z61</f>
        <v/>
      </c>
      <c r="AJ61" s="220">
        <f>$AJ$6*AA61</f>
        <v/>
      </c>
      <c r="AK61" s="220">
        <f>$AK$6*AB61</f>
        <v/>
      </c>
      <c r="AL61" s="220">
        <f>$AL$6*AC61</f>
        <v/>
      </c>
      <c r="AM61" s="220">
        <f>SUM(AH61:AL61)</f>
        <v/>
      </c>
      <c r="AN61" s="220" t="n">
        <v>0</v>
      </c>
      <c r="AO61" s="220">
        <f>AN61*AH61</f>
        <v/>
      </c>
      <c r="AP61" s="220">
        <f>AD61</f>
        <v/>
      </c>
      <c r="AQ61" s="220">
        <f>AE61</f>
        <v/>
      </c>
      <c r="AR61" s="220">
        <f>AM61-AO61</f>
        <v/>
      </c>
      <c r="AS61" s="220">
        <f>AR61-AK61</f>
        <v/>
      </c>
      <c r="AT61" s="220">
        <f>AS61*1.075</f>
        <v/>
      </c>
      <c r="AU61" s="220">
        <f>ROUNDUP(AT61+AK61,-4)</f>
        <v/>
      </c>
      <c r="AV61" s="198" t="n">
        <v>460000</v>
      </c>
      <c r="AW61" s="220" t="n"/>
      <c r="AX61" s="220">
        <f>AV61-AR61</f>
        <v/>
      </c>
      <c r="AY61" s="35">
        <f>AX61/AR61</f>
        <v/>
      </c>
      <c r="AZ61" s="220">
        <f>AV61-AF61</f>
        <v/>
      </c>
      <c r="BA61" s="215">
        <f>AV61-SUM(Z61:AC61)</f>
        <v/>
      </c>
      <c r="BB61" s="215">
        <f>BA61-Y61</f>
        <v/>
      </c>
      <c r="BC61" s="35">
        <f>BB61/BA61</f>
        <v/>
      </c>
      <c r="BD61" s="35">
        <f>IFERROR(AZ61/AV61,)</f>
        <v/>
      </c>
      <c r="BE61" s="255">
        <f>AV61-SUM(Z61:AC61)</f>
        <v/>
      </c>
      <c r="BF61" s="255">
        <f>AV61-BE61-AC61-AB61</f>
        <v/>
      </c>
      <c r="BG61" s="255">
        <f>AV61-BE61-BF61-AB61</f>
        <v/>
      </c>
      <c r="BH61" s="255">
        <f>AB61</f>
        <v/>
      </c>
      <c r="BI61">
        <f>IF(BD61&lt;0%,"Loss",IF(BD61&lt;5%,"On Cost Plus",IF(BD61&lt;10%,"Within","Exceed")))</f>
        <v/>
      </c>
      <c r="BJ61" t="inlineStr">
        <is>
          <t>Exceed</t>
        </is>
      </c>
      <c r="BK61">
        <f>0.51*$BK$6</f>
        <v/>
      </c>
      <c r="BL61" s="190">
        <f>BK61-W61</f>
        <v/>
      </c>
      <c r="BM61" s="189">
        <f>BL61*O61</f>
        <v/>
      </c>
    </row>
    <row r="62">
      <c r="A62">
        <f>CONCATENATE(E62,F62,G62,H62,I62,J62,K62,L62)</f>
        <v/>
      </c>
      <c r="B62" s="25">
        <f>CONCATENATE(J62,"-&gt;",K62,"/",E62)</f>
        <v/>
      </c>
      <c r="C62" s="24" t="inlineStr">
        <is>
          <t>AFEEZ AJIBADE/Ebenezer</t>
        </is>
      </c>
      <c r="D62" s="25">
        <f>CONCATENATE(G62,"-",H62,"-",F62)</f>
        <v/>
      </c>
      <c r="E62" s="24" t="inlineStr">
        <is>
          <t>JAMARA-30T-NBL-DSL-CONTAINARIZED</t>
        </is>
      </c>
      <c r="F62" s="24" t="inlineStr">
        <is>
          <t>CONTAINARIZED</t>
        </is>
      </c>
      <c r="G62" s="25" t="inlineStr">
        <is>
          <t>NBL-DSL</t>
        </is>
      </c>
      <c r="H62" s="24" t="inlineStr">
        <is>
          <t>30T</t>
        </is>
      </c>
      <c r="I62" s="251" t="inlineStr">
        <is>
          <t>JAMARA</t>
        </is>
      </c>
      <c r="J62" s="251" t="inlineStr">
        <is>
          <t>Lagos</t>
        </is>
      </c>
      <c r="K62" s="258" t="inlineStr">
        <is>
          <t>Victoria Island-Lekki-Ajah</t>
        </is>
      </c>
      <c r="L62" s="231" t="inlineStr">
        <is>
          <t>Lagos</t>
        </is>
      </c>
      <c r="M62" s="256" t="n"/>
      <c r="N62" s="253" t="n">
        <v>39.65</v>
      </c>
      <c r="O62" s="257">
        <f>N62*2</f>
        <v/>
      </c>
      <c r="P62" s="227">
        <f>ROUNDUP(O62/300,)</f>
        <v/>
      </c>
      <c r="Q62" s="220" t="n">
        <v>0.5</v>
      </c>
      <c r="R62" s="220">
        <f>Q62+P62</f>
        <v/>
      </c>
      <c r="S62" s="198">
        <f>ROUNDDOWN(O62*0.7,)</f>
        <v/>
      </c>
      <c r="T62" s="220">
        <f>_xlfn.XLOOKUP(G62,[1]Fx!$A$4:$A$12,[1]Fx!$B$4:$B$12)</f>
        <v/>
      </c>
      <c r="U62" s="220">
        <f>_xlfn.XLOOKUP(G62,[1]Fx!$A$4:$A$12,[1]Fx!$C$4:$C$12)</f>
        <v/>
      </c>
      <c r="V62" s="220">
        <f>_xlfn.XLOOKUP(G62,[1]Fx!$A$4:$A$12,[1]Fx!$D$4:$D$12)</f>
        <v/>
      </c>
      <c r="W62" s="208">
        <f>_xlfn.XLOOKUP(H62&amp;I62,'[1]Mapping DSL'!$H:$H,'[1]Mapping DSL'!$J:$J)</f>
        <v/>
      </c>
      <c r="X62" s="220">
        <f>_xlfn.XLOOKUP(G62,[1]Fx!$A$4:$A$12,[1]Fx!$E$4:$E$12)</f>
        <v/>
      </c>
      <c r="Y62" s="220">
        <f>T62*R62</f>
        <v/>
      </c>
      <c r="Z62" s="220">
        <f>U62*O62</f>
        <v/>
      </c>
      <c r="AA62" s="220">
        <f>V62*O62</f>
        <v/>
      </c>
      <c r="AB62" s="220">
        <f>W62*O62</f>
        <v/>
      </c>
      <c r="AC62" s="198">
        <f>X62*O62</f>
        <v/>
      </c>
      <c r="AD62" s="220" t="n">
        <v>0</v>
      </c>
      <c r="AE62" s="220" t="n">
        <v>0</v>
      </c>
      <c r="AF62" s="220">
        <f>SUM(Y62:AE62)</f>
        <v/>
      </c>
      <c r="AG62" s="205">
        <f>_xlfn.XLOOKUP(G62,[1]Fx!$A$16:$A$24,[1]Fx!$B$16:$B$24)</f>
        <v/>
      </c>
      <c r="AH62" s="220">
        <f>AG62*R62</f>
        <v/>
      </c>
      <c r="AI62" s="220">
        <f>$AI$6*Z62</f>
        <v/>
      </c>
      <c r="AJ62" s="220">
        <f>$AJ$6*AA62</f>
        <v/>
      </c>
      <c r="AK62" s="220">
        <f>$AK$6*AB62</f>
        <v/>
      </c>
      <c r="AL62" s="220">
        <f>$AL$6*AC62</f>
        <v/>
      </c>
      <c r="AM62" s="220">
        <f>SUM(AH62:AL62)</f>
        <v/>
      </c>
      <c r="AN62" s="220" t="n">
        <v>0</v>
      </c>
      <c r="AO62" s="220">
        <f>AN62*AH62</f>
        <v/>
      </c>
      <c r="AP62" s="220">
        <f>AD62</f>
        <v/>
      </c>
      <c r="AQ62" s="220">
        <f>AE62</f>
        <v/>
      </c>
      <c r="AR62" s="220">
        <f>AM62-AO62</f>
        <v/>
      </c>
      <c r="AS62" s="220">
        <f>AR62-AK62</f>
        <v/>
      </c>
      <c r="AT62" s="220">
        <f>AS62*1.075</f>
        <v/>
      </c>
      <c r="AU62" s="220">
        <f>ROUNDUP(AT62+AK62,-4)</f>
        <v/>
      </c>
      <c r="AV62" s="198" t="n">
        <v>460000</v>
      </c>
      <c r="AW62" s="220" t="n"/>
      <c r="AX62" s="220">
        <f>AV62-AR62</f>
        <v/>
      </c>
      <c r="AY62" s="35">
        <f>AX62/AR62</f>
        <v/>
      </c>
      <c r="AZ62" s="220">
        <f>AV62-AF62</f>
        <v/>
      </c>
      <c r="BA62" s="215">
        <f>AV62-SUM(Z62:AC62)</f>
        <v/>
      </c>
      <c r="BB62" s="215">
        <f>BA62-Y62</f>
        <v/>
      </c>
      <c r="BC62" s="35">
        <f>BB62/BA62</f>
        <v/>
      </c>
      <c r="BD62" s="35">
        <f>IFERROR(AZ62/AV62,)</f>
        <v/>
      </c>
      <c r="BE62" s="255">
        <f>AV62-SUM(Z62:AC62)</f>
        <v/>
      </c>
      <c r="BF62" s="255">
        <f>AV62-BE62-AC62-AB62</f>
        <v/>
      </c>
      <c r="BG62" s="255">
        <f>AV62-BE62-BF62-AB62</f>
        <v/>
      </c>
      <c r="BH62" s="255">
        <f>AB62</f>
        <v/>
      </c>
      <c r="BI62">
        <f>IF(BD62&lt;0%,"Loss",IF(BD62&lt;5%,"On Cost Plus",IF(BD62&lt;10%,"Within","Exceed")))</f>
        <v/>
      </c>
      <c r="BJ62" t="inlineStr">
        <is>
          <t>Exceed</t>
        </is>
      </c>
      <c r="BK62">
        <f>0.51*$BK$6</f>
        <v/>
      </c>
      <c r="BL62" s="190">
        <f>BK62-W62</f>
        <v/>
      </c>
      <c r="BM62" s="189">
        <f>BL62*O62</f>
        <v/>
      </c>
    </row>
    <row r="63">
      <c r="A63">
        <f>CONCATENATE(E63,F63,G63,H63,I63,J63,K63,L63)</f>
        <v/>
      </c>
      <c r="B63" s="25">
        <f>CONCATENATE(J63,"-&gt;",K63,"/",E63)</f>
        <v/>
      </c>
      <c r="C63" s="24" t="inlineStr">
        <is>
          <t>AFEEZ AJIBADE/Ebenezer</t>
        </is>
      </c>
      <c r="D63" s="25">
        <f>CONCATENATE(G63,"-",H63,"-",F63)</f>
        <v/>
      </c>
      <c r="E63" s="24" t="inlineStr">
        <is>
          <t>JAMARA-30T-NBL-DSL-CONTAINARIZED</t>
        </is>
      </c>
      <c r="F63" s="24" t="inlineStr">
        <is>
          <t>CONTAINARIZED</t>
        </is>
      </c>
      <c r="G63" s="25" t="inlineStr">
        <is>
          <t>NBL-DSL</t>
        </is>
      </c>
      <c r="H63" s="24" t="inlineStr">
        <is>
          <t>30T</t>
        </is>
      </c>
      <c r="I63" s="251" t="inlineStr">
        <is>
          <t>JAMARA</t>
        </is>
      </c>
      <c r="J63" s="251" t="inlineStr">
        <is>
          <t>Lagos</t>
        </is>
      </c>
      <c r="K63" s="258" t="inlineStr">
        <is>
          <t>Victoria Island-Lekki-Ajah</t>
        </is>
      </c>
      <c r="L63" s="231" t="inlineStr">
        <is>
          <t>Lagos</t>
        </is>
      </c>
      <c r="M63" s="256" t="n"/>
      <c r="N63" s="253" t="n">
        <v>39.65</v>
      </c>
      <c r="O63" s="257">
        <f>N63*2</f>
        <v/>
      </c>
      <c r="P63" s="227">
        <f>ROUNDUP(O63/300,)</f>
        <v/>
      </c>
      <c r="Q63" s="220" t="n">
        <v>0.5</v>
      </c>
      <c r="R63" s="220">
        <f>Q63+P63</f>
        <v/>
      </c>
      <c r="S63" s="198">
        <f>ROUNDDOWN(O63*0.7,)</f>
        <v/>
      </c>
      <c r="T63" s="220">
        <f>_xlfn.XLOOKUP(G63,[1]Fx!$A$4:$A$12,[1]Fx!$B$4:$B$12)</f>
        <v/>
      </c>
      <c r="U63" s="220">
        <f>_xlfn.XLOOKUP(G63,[1]Fx!$A$4:$A$12,[1]Fx!$C$4:$C$12)</f>
        <v/>
      </c>
      <c r="V63" s="220">
        <f>_xlfn.XLOOKUP(G63,[1]Fx!$A$4:$A$12,[1]Fx!$D$4:$D$12)</f>
        <v/>
      </c>
      <c r="W63" s="208">
        <f>_xlfn.XLOOKUP(H63&amp;I63,'[1]Mapping DSL'!$H:$H,'[1]Mapping DSL'!$J:$J)</f>
        <v/>
      </c>
      <c r="X63" s="220">
        <f>_xlfn.XLOOKUP(G63,[1]Fx!$A$4:$A$12,[1]Fx!$E$4:$E$12)</f>
        <v/>
      </c>
      <c r="Y63" s="220">
        <f>T63*R63</f>
        <v/>
      </c>
      <c r="Z63" s="220">
        <f>U63*O63</f>
        <v/>
      </c>
      <c r="AA63" s="220">
        <f>V63*O63</f>
        <v/>
      </c>
      <c r="AB63" s="220">
        <f>W63*O63</f>
        <v/>
      </c>
      <c r="AC63" s="198">
        <f>X63*O63</f>
        <v/>
      </c>
      <c r="AD63" s="220" t="n">
        <v>0</v>
      </c>
      <c r="AE63" s="220" t="n">
        <v>0</v>
      </c>
      <c r="AF63" s="220">
        <f>SUM(Y63:AE63)</f>
        <v/>
      </c>
      <c r="AG63" s="205">
        <f>_xlfn.XLOOKUP(G63,[1]Fx!$A$16:$A$24,[1]Fx!$B$16:$B$24)</f>
        <v/>
      </c>
      <c r="AH63" s="220">
        <f>AG63*R63</f>
        <v/>
      </c>
      <c r="AI63" s="220">
        <f>$AI$6*Z63</f>
        <v/>
      </c>
      <c r="AJ63" s="220">
        <f>$AJ$6*AA63</f>
        <v/>
      </c>
      <c r="AK63" s="220">
        <f>$AK$6*AB63</f>
        <v/>
      </c>
      <c r="AL63" s="220">
        <f>$AL$6*AC63</f>
        <v/>
      </c>
      <c r="AM63" s="220">
        <f>SUM(AH63:AL63)</f>
        <v/>
      </c>
      <c r="AN63" s="220" t="n">
        <v>0</v>
      </c>
      <c r="AO63" s="220">
        <f>AN63*AH63</f>
        <v/>
      </c>
      <c r="AP63" s="220">
        <f>AD63</f>
        <v/>
      </c>
      <c r="AQ63" s="220">
        <f>AE63</f>
        <v/>
      </c>
      <c r="AR63" s="220">
        <f>AM63-AO63</f>
        <v/>
      </c>
      <c r="AS63" s="220">
        <f>AR63-AK63</f>
        <v/>
      </c>
      <c r="AT63" s="220">
        <f>AS63*1.075</f>
        <v/>
      </c>
      <c r="AU63" s="220">
        <f>ROUNDUP(AT63+AK63,-4)</f>
        <v/>
      </c>
      <c r="AV63" s="198" t="n">
        <v>460000</v>
      </c>
      <c r="AW63" s="220" t="n"/>
      <c r="AX63" s="220">
        <f>AV63-AR63</f>
        <v/>
      </c>
      <c r="AY63" s="35">
        <f>AX63/AR63</f>
        <v/>
      </c>
      <c r="AZ63" s="220">
        <f>AV63-AF63</f>
        <v/>
      </c>
      <c r="BA63" s="215">
        <f>AV63-SUM(Z63:AC63)</f>
        <v/>
      </c>
      <c r="BB63" s="215">
        <f>BA63-Y63</f>
        <v/>
      </c>
      <c r="BC63" s="35">
        <f>BB63/BA63</f>
        <v/>
      </c>
      <c r="BD63" s="35">
        <f>IFERROR(AZ63/AV63,)</f>
        <v/>
      </c>
      <c r="BE63" s="255">
        <f>AV63-SUM(Z63:AC63)</f>
        <v/>
      </c>
      <c r="BF63" s="255">
        <f>AV63-BE63-AC63-AB63</f>
        <v/>
      </c>
      <c r="BG63" s="255">
        <f>AV63-BE63-BF63-AB63</f>
        <v/>
      </c>
      <c r="BH63" s="255">
        <f>AB63</f>
        <v/>
      </c>
      <c r="BI63">
        <f>IF(BD63&lt;0%,"Loss",IF(BD63&lt;5%,"On Cost Plus",IF(BD63&lt;10%,"Within","Exceed")))</f>
        <v/>
      </c>
      <c r="BJ63" t="inlineStr">
        <is>
          <t>Exceed</t>
        </is>
      </c>
      <c r="BK63">
        <f>0.51*$BK$6</f>
        <v/>
      </c>
      <c r="BL63" s="190">
        <f>BK63-W63</f>
        <v/>
      </c>
      <c r="BM63" s="189">
        <f>BL63*O63</f>
        <v/>
      </c>
    </row>
    <row r="64">
      <c r="A64">
        <f>CONCATENATE(E64,F64,G64,H64,I64,J64,K64,L64)</f>
        <v/>
      </c>
      <c r="B64" s="25">
        <f>CONCATENATE(J64,"-&gt;",K64,"/",E64)</f>
        <v/>
      </c>
      <c r="C64" s="24" t="inlineStr">
        <is>
          <t>AFEEZ AJIBADE/Ebenezer</t>
        </is>
      </c>
      <c r="D64" s="25">
        <f>CONCATENATE(G64,"-",H64,"-",F64)</f>
        <v/>
      </c>
      <c r="E64" s="24" t="inlineStr">
        <is>
          <t>JAMARA-30T-NBL-DSL-CONTAINARIZED</t>
        </is>
      </c>
      <c r="F64" s="24" t="inlineStr">
        <is>
          <t>CONTAINARIZED</t>
        </is>
      </c>
      <c r="G64" s="25" t="inlineStr">
        <is>
          <t>NBL-DSL</t>
        </is>
      </c>
      <c r="H64" s="24" t="inlineStr">
        <is>
          <t>30T</t>
        </is>
      </c>
      <c r="I64" s="251" t="inlineStr">
        <is>
          <t>JAMARA</t>
        </is>
      </c>
      <c r="J64" s="251" t="inlineStr">
        <is>
          <t>Lagos</t>
        </is>
      </c>
      <c r="K64" s="258" t="inlineStr">
        <is>
          <t>Victoria Island-Lekki-Ajah</t>
        </is>
      </c>
      <c r="L64" s="231" t="inlineStr">
        <is>
          <t>Lagos</t>
        </is>
      </c>
      <c r="M64" s="256" t="n"/>
      <c r="N64" s="253" t="n">
        <v>39.65</v>
      </c>
      <c r="O64" s="257">
        <f>N64*2</f>
        <v/>
      </c>
      <c r="P64" s="227">
        <f>ROUNDUP(O64/300,)</f>
        <v/>
      </c>
      <c r="Q64" s="220" t="n">
        <v>0.5</v>
      </c>
      <c r="R64" s="220">
        <f>Q64+P64</f>
        <v/>
      </c>
      <c r="S64" s="198">
        <f>ROUNDDOWN(O64*0.7,)</f>
        <v/>
      </c>
      <c r="T64" s="220">
        <f>_xlfn.XLOOKUP(G64,[1]Fx!$A$4:$A$12,[1]Fx!$B$4:$B$12)</f>
        <v/>
      </c>
      <c r="U64" s="220">
        <f>_xlfn.XLOOKUP(G64,[1]Fx!$A$4:$A$12,[1]Fx!$C$4:$C$12)</f>
        <v/>
      </c>
      <c r="V64" s="220">
        <f>_xlfn.XLOOKUP(G64,[1]Fx!$A$4:$A$12,[1]Fx!$D$4:$D$12)</f>
        <v/>
      </c>
      <c r="W64" s="208">
        <f>_xlfn.XLOOKUP(H64&amp;I64,'[1]Mapping DSL'!$H:$H,'[1]Mapping DSL'!$J:$J)</f>
        <v/>
      </c>
      <c r="X64" s="220">
        <f>_xlfn.XLOOKUP(G64,[1]Fx!$A$4:$A$12,[1]Fx!$E$4:$E$12)</f>
        <v/>
      </c>
      <c r="Y64" s="220">
        <f>T64*R64</f>
        <v/>
      </c>
      <c r="Z64" s="220">
        <f>U64*O64</f>
        <v/>
      </c>
      <c r="AA64" s="220">
        <f>V64*O64</f>
        <v/>
      </c>
      <c r="AB64" s="220">
        <f>W64*O64</f>
        <v/>
      </c>
      <c r="AC64" s="198">
        <f>X64*O64</f>
        <v/>
      </c>
      <c r="AD64" s="220" t="n">
        <v>0</v>
      </c>
      <c r="AE64" s="220" t="n">
        <v>0</v>
      </c>
      <c r="AF64" s="220">
        <f>SUM(Y64:AE64)</f>
        <v/>
      </c>
      <c r="AG64" s="205">
        <f>_xlfn.XLOOKUP(G64,[1]Fx!$A$16:$A$24,[1]Fx!$B$16:$B$24)</f>
        <v/>
      </c>
      <c r="AH64" s="220">
        <f>AG64*R64</f>
        <v/>
      </c>
      <c r="AI64" s="220">
        <f>$AI$6*Z64</f>
        <v/>
      </c>
      <c r="AJ64" s="220">
        <f>$AJ$6*AA64</f>
        <v/>
      </c>
      <c r="AK64" s="220">
        <f>$AK$6*AB64</f>
        <v/>
      </c>
      <c r="AL64" s="220">
        <f>$AL$6*AC64</f>
        <v/>
      </c>
      <c r="AM64" s="220">
        <f>SUM(AH64:AL64)</f>
        <v/>
      </c>
      <c r="AN64" s="220" t="n">
        <v>0</v>
      </c>
      <c r="AO64" s="220">
        <f>AN64*AH64</f>
        <v/>
      </c>
      <c r="AP64" s="220">
        <f>AD64</f>
        <v/>
      </c>
      <c r="AQ64" s="220">
        <f>AE64</f>
        <v/>
      </c>
      <c r="AR64" s="220">
        <f>AM64-AO64</f>
        <v/>
      </c>
      <c r="AS64" s="220">
        <f>AR64-AK64</f>
        <v/>
      </c>
      <c r="AT64" s="220">
        <f>AS64*1.075</f>
        <v/>
      </c>
      <c r="AU64" s="220">
        <f>ROUNDUP(AT64+AK64,-4)</f>
        <v/>
      </c>
      <c r="AV64" s="198" t="n">
        <v>460000</v>
      </c>
      <c r="AW64" s="220" t="n"/>
      <c r="AX64" s="220">
        <f>AV64-AR64</f>
        <v/>
      </c>
      <c r="AY64" s="35">
        <f>AX64/AR64</f>
        <v/>
      </c>
      <c r="AZ64" s="220">
        <f>AV64-AF64</f>
        <v/>
      </c>
      <c r="BA64" s="215">
        <f>AV64-SUM(Z64:AC64)</f>
        <v/>
      </c>
      <c r="BB64" s="215">
        <f>BA64-Y64</f>
        <v/>
      </c>
      <c r="BC64" s="35">
        <f>BB64/BA64</f>
        <v/>
      </c>
      <c r="BD64" s="35">
        <f>IFERROR(AZ64/AV64,)</f>
        <v/>
      </c>
      <c r="BE64" s="255">
        <f>AV64-SUM(Z64:AC64)</f>
        <v/>
      </c>
      <c r="BF64" s="255">
        <f>AV64-BE64-AC64-AB64</f>
        <v/>
      </c>
      <c r="BG64" s="255">
        <f>AV64-BE64-BF64-AB64</f>
        <v/>
      </c>
      <c r="BH64" s="255">
        <f>AB64</f>
        <v/>
      </c>
      <c r="BI64">
        <f>IF(BD64&lt;0%,"Loss",IF(BD64&lt;5%,"On Cost Plus",IF(BD64&lt;10%,"Within","Exceed")))</f>
        <v/>
      </c>
      <c r="BJ64" t="inlineStr">
        <is>
          <t>Exceed</t>
        </is>
      </c>
      <c r="BK64">
        <f>0.51*$BK$6</f>
        <v/>
      </c>
      <c r="BL64" s="190">
        <f>BK64-W64</f>
        <v/>
      </c>
      <c r="BM64" s="189">
        <f>BL64*O64</f>
        <v/>
      </c>
    </row>
    <row r="65">
      <c r="A65">
        <f>CONCATENATE(E65,F65,G65,H65,I65,J65,K65,L65)</f>
        <v/>
      </c>
      <c r="B65">
        <f>CONCATENATE(J65,"-&gt;",K65,"/",E65)</f>
        <v/>
      </c>
      <c r="C65" s="23" t="inlineStr">
        <is>
          <t>AFEEZ AJIBADE/Ebenezer</t>
        </is>
      </c>
      <c r="D65">
        <f>CONCATENATE(G65,"-",H65,"-",F65)</f>
        <v/>
      </c>
      <c r="E65" s="24" t="inlineStr">
        <is>
          <t>Lacasera-45T-NBL-DSL-JUMBO</t>
        </is>
      </c>
      <c r="F65" s="24" t="inlineStr">
        <is>
          <t>JUMBO</t>
        </is>
      </c>
      <c r="G65" s="25" t="inlineStr">
        <is>
          <t>NBL-DSL</t>
        </is>
      </c>
      <c r="H65" s="24" t="inlineStr">
        <is>
          <t>45T</t>
        </is>
      </c>
      <c r="I65" s="251" t="inlineStr">
        <is>
          <t>Lacasera</t>
        </is>
      </c>
      <c r="J65" s="251" t="inlineStr">
        <is>
          <t>Lagos</t>
        </is>
      </c>
      <c r="K65" s="23" t="inlineStr">
        <is>
          <t>Aba</t>
        </is>
      </c>
      <c r="L65" t="inlineStr">
        <is>
          <t>Abia</t>
        </is>
      </c>
      <c r="M65" s="1" t="inlineStr">
        <is>
          <t>East</t>
        </is>
      </c>
      <c r="N65" s="253" t="n">
        <v>608</v>
      </c>
      <c r="O65" s="257" t="n">
        <v>1216</v>
      </c>
      <c r="P65" s="227">
        <f>ROUNDUP(O65/300,)</f>
        <v/>
      </c>
      <c r="Q65" s="220" t="n">
        <v>1</v>
      </c>
      <c r="R65" s="220">
        <f>Q65+P65</f>
        <v/>
      </c>
      <c r="S65" s="198">
        <f>ROUNDDOWN(O65*0.7,)</f>
        <v/>
      </c>
      <c r="T65" s="220">
        <f>_xlfn.XLOOKUP(G65,[1]Fx!$A$4:$A$12,[1]Fx!$B$4:$B$12)</f>
        <v/>
      </c>
      <c r="U65" s="220">
        <f>_xlfn.XLOOKUP(G65,[1]Fx!$A$4:$A$12,[1]Fx!$C$4:$C$12)</f>
        <v/>
      </c>
      <c r="V65" s="220">
        <f>_xlfn.XLOOKUP(G65,[1]Fx!$A$4:$A$12,[1]Fx!$D$4:$D$12)</f>
        <v/>
      </c>
      <c r="W65" s="208">
        <f>_xlfn.XLOOKUP(H65&amp;I65,'[1]Mapping DSL'!$H:$H,'[1]Mapping DSL'!$J:$J)</f>
        <v/>
      </c>
      <c r="X65" s="220">
        <f>_xlfn.XLOOKUP(G65,[1]Fx!$A$4:$A$12,[1]Fx!$E$4:$E$12)</f>
        <v/>
      </c>
      <c r="Y65" s="220">
        <f>T65*R65</f>
        <v/>
      </c>
      <c r="Z65" s="220">
        <f>U65*O65</f>
        <v/>
      </c>
      <c r="AA65" s="220">
        <f>V65*O65</f>
        <v/>
      </c>
      <c r="AB65" s="220">
        <f>W65*O65</f>
        <v/>
      </c>
      <c r="AC65" s="198">
        <f>X65*O65</f>
        <v/>
      </c>
      <c r="AD65" s="220" t="n">
        <v>0</v>
      </c>
      <c r="AE65" s="220" t="n">
        <v>0</v>
      </c>
      <c r="AF65" s="220">
        <f>SUM(Y65:AE65)</f>
        <v/>
      </c>
      <c r="AG65" s="205">
        <f>_xlfn.XLOOKUP(G65,[1]Fx!$A$16:$A$24,[1]Fx!$B$16:$B$24)</f>
        <v/>
      </c>
      <c r="AH65" s="220">
        <f>AG65*R65</f>
        <v/>
      </c>
      <c r="AI65" s="220">
        <f>$AI$6*Z65</f>
        <v/>
      </c>
      <c r="AJ65" s="220">
        <f>$AJ$6*AA65</f>
        <v/>
      </c>
      <c r="AK65" s="220">
        <f>$AK$6*AB65</f>
        <v/>
      </c>
      <c r="AL65" s="220">
        <f>$AL$6*AC65</f>
        <v/>
      </c>
      <c r="AM65" s="220">
        <f>SUM(AH65:AL65)</f>
        <v/>
      </c>
      <c r="AN65" s="220" t="n">
        <v>0</v>
      </c>
      <c r="AO65" s="220">
        <f>AN65*AH65</f>
        <v/>
      </c>
      <c r="AP65" s="220">
        <f>AD65</f>
        <v/>
      </c>
      <c r="AQ65" s="220">
        <f>AE65</f>
        <v/>
      </c>
      <c r="AR65" s="220">
        <f>AM65-AO65</f>
        <v/>
      </c>
      <c r="AS65" s="220">
        <f>AR65-AK65</f>
        <v/>
      </c>
      <c r="AT65" s="220">
        <f>AS65*1.075</f>
        <v/>
      </c>
      <c r="AU65" s="220">
        <f>ROUNDUP(AT65+AK65+AP65+AQ65,-4)</f>
        <v/>
      </c>
      <c r="AV65" s="198" t="n">
        <v>2639315</v>
      </c>
      <c r="AW65" s="227" t="n"/>
      <c r="AX65" s="220">
        <f>AV65-AR65</f>
        <v/>
      </c>
      <c r="AY65" s="35">
        <f>AX65/AR65</f>
        <v/>
      </c>
      <c r="AZ65" s="220">
        <f>AV65-AF65</f>
        <v/>
      </c>
      <c r="BA65" s="215">
        <f>AV65-SUM(Z65:AC65)</f>
        <v/>
      </c>
      <c r="BB65" s="215">
        <f>BA65-Y65</f>
        <v/>
      </c>
      <c r="BC65" s="35">
        <f>BB65/BA65</f>
        <v/>
      </c>
      <c r="BD65" s="35">
        <f>IFERROR(AZ65/AV65,)</f>
        <v/>
      </c>
      <c r="BE65" s="255">
        <f>AV65-SUM(Z65:AC65)</f>
        <v/>
      </c>
      <c r="BF65" s="255">
        <f>AV65-BE65-AC65-AB65</f>
        <v/>
      </c>
      <c r="BG65" s="255">
        <f>AV65-BE65-BF65-AB65</f>
        <v/>
      </c>
      <c r="BH65" s="255">
        <f>AB65</f>
        <v/>
      </c>
      <c r="BI65">
        <f>IF(BD65&lt;0%,"Loss",IF(BD65&lt;5%,"On Cost Plus",IF(BD65&lt;10%,"Within","Exceed")))</f>
        <v/>
      </c>
      <c r="BJ65" t="inlineStr">
        <is>
          <t>Exceed</t>
        </is>
      </c>
      <c r="BK65">
        <f>0.51*$BK$6</f>
        <v/>
      </c>
      <c r="BL65" s="190">
        <f>BK65-W65</f>
        <v/>
      </c>
      <c r="BM65" s="189">
        <f>BL65*O65</f>
        <v/>
      </c>
    </row>
    <row r="66">
      <c r="A66">
        <f>CONCATENATE(E66,F66,G66,H66,I66,J66,K66,L66)</f>
        <v/>
      </c>
      <c r="B66">
        <f>CONCATENATE(J66,"-&gt;",K66,"/",E66)</f>
        <v/>
      </c>
      <c r="C66" s="23" t="inlineStr">
        <is>
          <t>AFEEZ AJIBADE/Ebenezer</t>
        </is>
      </c>
      <c r="D66">
        <f>CONCATENATE(G66,"-",H66,"-",F66)</f>
        <v/>
      </c>
      <c r="E66" s="24" t="inlineStr">
        <is>
          <t>Lacasera-45T-NBL-DSL-JUMBO</t>
        </is>
      </c>
      <c r="F66" s="24" t="inlineStr">
        <is>
          <t>JUMBO</t>
        </is>
      </c>
      <c r="G66" s="25" t="inlineStr">
        <is>
          <t>NBL-DSL</t>
        </is>
      </c>
      <c r="H66" s="24" t="inlineStr">
        <is>
          <t>45T</t>
        </is>
      </c>
      <c r="I66" s="251" t="inlineStr">
        <is>
          <t>Lacasera</t>
        </is>
      </c>
      <c r="J66" s="251" t="inlineStr">
        <is>
          <t>Lagos</t>
        </is>
      </c>
      <c r="K66" s="23" t="inlineStr">
        <is>
          <t>Ikot Ekpene</t>
        </is>
      </c>
      <c r="L66" t="inlineStr">
        <is>
          <t>Akwa Ibom</t>
        </is>
      </c>
      <c r="M66" s="1" t="inlineStr">
        <is>
          <t>East</t>
        </is>
      </c>
      <c r="N66" s="261" t="n">
        <v>648</v>
      </c>
      <c r="O66" s="257" t="n">
        <v>1296</v>
      </c>
      <c r="P66" s="227">
        <f>ROUNDUP(O66/300,)</f>
        <v/>
      </c>
      <c r="Q66" s="220" t="n">
        <v>1</v>
      </c>
      <c r="R66" s="220">
        <f>Q66+P66</f>
        <v/>
      </c>
      <c r="S66" s="198">
        <f>ROUNDDOWN(O66*0.7,)</f>
        <v/>
      </c>
      <c r="T66" s="220">
        <f>_xlfn.XLOOKUP(G66,[1]Fx!$A$4:$A$12,[1]Fx!$B$4:$B$12)</f>
        <v/>
      </c>
      <c r="U66" s="220">
        <f>_xlfn.XLOOKUP(G66,[1]Fx!$A$4:$A$12,[1]Fx!$C$4:$C$12)</f>
        <v/>
      </c>
      <c r="V66" s="220">
        <f>_xlfn.XLOOKUP(G66,[1]Fx!$A$4:$A$12,[1]Fx!$D$4:$D$12)</f>
        <v/>
      </c>
      <c r="W66" s="208">
        <f>_xlfn.XLOOKUP(H66&amp;I66,'[1]Mapping DSL'!$H:$H,'[1]Mapping DSL'!$J:$J)</f>
        <v/>
      </c>
      <c r="X66" s="220">
        <f>_xlfn.XLOOKUP(G66,[1]Fx!$A$4:$A$12,[1]Fx!$E$4:$E$12)</f>
        <v/>
      </c>
      <c r="Y66" s="220">
        <f>T66*R66</f>
        <v/>
      </c>
      <c r="Z66" s="220">
        <f>U66*O66</f>
        <v/>
      </c>
      <c r="AA66" s="220">
        <f>V66*O66</f>
        <v/>
      </c>
      <c r="AB66" s="220">
        <f>W66*O66</f>
        <v/>
      </c>
      <c r="AC66" s="198">
        <f>X66*O66</f>
        <v/>
      </c>
      <c r="AD66" s="220" t="n">
        <v>0</v>
      </c>
      <c r="AE66" s="220" t="n">
        <v>0</v>
      </c>
      <c r="AF66" s="220">
        <f>SUM(Y66:AE66)</f>
        <v/>
      </c>
      <c r="AG66" s="205">
        <f>_xlfn.XLOOKUP(G66,[1]Fx!$A$16:$A$24,[1]Fx!$B$16:$B$24)</f>
        <v/>
      </c>
      <c r="AH66" s="220">
        <f>AG66*R66</f>
        <v/>
      </c>
      <c r="AI66" s="220">
        <f>$AI$6*Z66</f>
        <v/>
      </c>
      <c r="AJ66" s="220">
        <f>$AJ$6*AA66</f>
        <v/>
      </c>
      <c r="AK66" s="220">
        <f>$AK$6*AB66</f>
        <v/>
      </c>
      <c r="AL66" s="220">
        <f>$AL$6*AC66</f>
        <v/>
      </c>
      <c r="AM66" s="220">
        <f>SUM(AH66:AL66)</f>
        <v/>
      </c>
      <c r="AN66" s="220" t="n">
        <v>0</v>
      </c>
      <c r="AO66" s="220">
        <f>AN66*AH66</f>
        <v/>
      </c>
      <c r="AP66" s="220">
        <f>AD66</f>
        <v/>
      </c>
      <c r="AQ66" s="220">
        <f>AE66</f>
        <v/>
      </c>
      <c r="AR66" s="220">
        <f>AM66-AO66</f>
        <v/>
      </c>
      <c r="AS66" s="220">
        <f>AR66-AK66</f>
        <v/>
      </c>
      <c r="AT66" s="220">
        <f>AS66*1.075</f>
        <v/>
      </c>
      <c r="AU66" s="220">
        <f>ROUNDUP(AT66+AK66+AP66+AQ66,-4)</f>
        <v/>
      </c>
      <c r="AV66" s="198" t="n">
        <v>2746976</v>
      </c>
      <c r="AW66" s="227" t="n"/>
      <c r="AX66" s="220">
        <f>AV66-AR66</f>
        <v/>
      </c>
      <c r="AY66" s="35">
        <f>AX66/AR66</f>
        <v/>
      </c>
      <c r="AZ66" s="220">
        <f>AV66-AF66</f>
        <v/>
      </c>
      <c r="BA66" s="215">
        <f>AV66-SUM(Z66:AC66)</f>
        <v/>
      </c>
      <c r="BB66" s="215">
        <f>BA66-Y66</f>
        <v/>
      </c>
      <c r="BC66" s="35">
        <f>BB66/BA66</f>
        <v/>
      </c>
      <c r="BD66" s="35">
        <f>IFERROR(AZ66/AV66,)</f>
        <v/>
      </c>
      <c r="BE66" s="255">
        <f>AV66-SUM(Z66:AC66)</f>
        <v/>
      </c>
      <c r="BF66" s="255">
        <f>AV66-BE66-AC66-AB66</f>
        <v/>
      </c>
      <c r="BG66" s="255">
        <f>AV66-BE66-BF66-AB66</f>
        <v/>
      </c>
      <c r="BH66" s="255">
        <f>AB66</f>
        <v/>
      </c>
      <c r="BI66">
        <f>IF(BD66&lt;0%,"Loss",IF(BD66&lt;5%,"On Cost Plus",IF(BD66&lt;10%,"Within","Exceed")))</f>
        <v/>
      </c>
      <c r="BJ66" t="inlineStr">
        <is>
          <t>Exceed</t>
        </is>
      </c>
      <c r="BK66">
        <f>0.51*$BK$6</f>
        <v/>
      </c>
      <c r="BL66" s="190">
        <f>BK66-W66</f>
        <v/>
      </c>
      <c r="BM66" s="189">
        <f>BL66*O66</f>
        <v/>
      </c>
    </row>
    <row r="67">
      <c r="A67">
        <f>CONCATENATE(E67,F67,G67,H67,I67,J67,K67,L67)</f>
        <v/>
      </c>
      <c r="B67">
        <f>CONCATENATE(J67,"-&gt;",K67,"/",E67)</f>
        <v/>
      </c>
      <c r="C67" s="23" t="inlineStr">
        <is>
          <t>AFEEZ AJIBADE/Ebenezer</t>
        </is>
      </c>
      <c r="D67">
        <f>CONCATENATE(G67,"-",H67,"-",F67)</f>
        <v/>
      </c>
      <c r="E67" s="24" t="inlineStr">
        <is>
          <t>Lacasera-45T-NBL-DSL-JUMBO</t>
        </is>
      </c>
      <c r="F67" s="24" t="inlineStr">
        <is>
          <t>JUMBO</t>
        </is>
      </c>
      <c r="G67" s="25" t="inlineStr">
        <is>
          <t>NBL-DSL</t>
        </is>
      </c>
      <c r="H67" s="24" t="inlineStr">
        <is>
          <t>45T</t>
        </is>
      </c>
      <c r="I67" s="251" t="inlineStr">
        <is>
          <t>Lacasera</t>
        </is>
      </c>
      <c r="J67" s="251" t="inlineStr">
        <is>
          <t>Lagos</t>
        </is>
      </c>
      <c r="K67" s="23" t="inlineStr">
        <is>
          <t>Oron</t>
        </is>
      </c>
      <c r="L67" t="inlineStr">
        <is>
          <t>Akwa Ibom</t>
        </is>
      </c>
      <c r="M67" s="1" t="inlineStr">
        <is>
          <t>East</t>
        </is>
      </c>
      <c r="N67" s="261" t="n">
        <v>740</v>
      </c>
      <c r="O67" s="257" t="n">
        <v>1480</v>
      </c>
      <c r="P67" s="227">
        <f>ROUNDUP(O67/300,)</f>
        <v/>
      </c>
      <c r="Q67" s="220" t="n">
        <v>1</v>
      </c>
      <c r="R67" s="220">
        <f>Q67+P67</f>
        <v/>
      </c>
      <c r="S67" s="198">
        <f>ROUNDDOWN(O67*0.7,)</f>
        <v/>
      </c>
      <c r="T67" s="220">
        <f>_xlfn.XLOOKUP(G67,[1]Fx!$A$4:$A$12,[1]Fx!$B$4:$B$12)</f>
        <v/>
      </c>
      <c r="U67" s="220">
        <f>_xlfn.XLOOKUP(G67,[1]Fx!$A$4:$A$12,[1]Fx!$C$4:$C$12)</f>
        <v/>
      </c>
      <c r="V67" s="220">
        <f>_xlfn.XLOOKUP(G67,[1]Fx!$A$4:$A$12,[1]Fx!$D$4:$D$12)</f>
        <v/>
      </c>
      <c r="W67" s="208">
        <f>_xlfn.XLOOKUP(H67&amp;I67,'[1]Mapping DSL'!$H:$H,'[1]Mapping DSL'!$J:$J)</f>
        <v/>
      </c>
      <c r="X67" s="220">
        <f>_xlfn.XLOOKUP(G67,[1]Fx!$A$4:$A$12,[1]Fx!$E$4:$E$12)</f>
        <v/>
      </c>
      <c r="Y67" s="220">
        <f>T67*R67</f>
        <v/>
      </c>
      <c r="Z67" s="220">
        <f>U67*O67</f>
        <v/>
      </c>
      <c r="AA67" s="220">
        <f>V67*O67</f>
        <v/>
      </c>
      <c r="AB67" s="220">
        <f>W67*O67</f>
        <v/>
      </c>
      <c r="AC67" s="198">
        <f>X67*O67</f>
        <v/>
      </c>
      <c r="AD67" s="220" t="n">
        <v>0</v>
      </c>
      <c r="AE67" s="220" t="n">
        <v>0</v>
      </c>
      <c r="AF67" s="220">
        <f>SUM(Y67:AE67)</f>
        <v/>
      </c>
      <c r="AG67" s="205">
        <f>_xlfn.XLOOKUP(G67,[1]Fx!$A$16:$A$24,[1]Fx!$B$16:$B$24)</f>
        <v/>
      </c>
      <c r="AH67" s="220">
        <f>AG67*R67</f>
        <v/>
      </c>
      <c r="AI67" s="220">
        <f>$AI$6*Z67</f>
        <v/>
      </c>
      <c r="AJ67" s="220">
        <f>$AJ$6*AA67</f>
        <v/>
      </c>
      <c r="AK67" s="220">
        <f>$AK$6*AB67</f>
        <v/>
      </c>
      <c r="AL67" s="220">
        <f>$AL$6*AC67</f>
        <v/>
      </c>
      <c r="AM67" s="220">
        <f>SUM(AH67:AL67)</f>
        <v/>
      </c>
      <c r="AN67" s="220" t="n">
        <v>0</v>
      </c>
      <c r="AO67" s="220">
        <f>AN67*AH67</f>
        <v/>
      </c>
      <c r="AP67" s="220">
        <f>AD67</f>
        <v/>
      </c>
      <c r="AQ67" s="220">
        <f>AE67</f>
        <v/>
      </c>
      <c r="AR67" s="220">
        <f>AM67-AO67</f>
        <v/>
      </c>
      <c r="AS67" s="220">
        <f>AR67-AK67</f>
        <v/>
      </c>
      <c r="AT67" s="220">
        <f>AS67*1.075</f>
        <v/>
      </c>
      <c r="AU67" s="220">
        <f>ROUNDUP(AT67+AK67+AP67+AQ67,-4)</f>
        <v/>
      </c>
      <c r="AV67" s="198" t="n">
        <v>3244220</v>
      </c>
      <c r="AW67" s="227" t="n"/>
      <c r="AX67" s="220">
        <f>AV67-AR67</f>
        <v/>
      </c>
      <c r="AY67" s="35">
        <f>AX67/AR67</f>
        <v/>
      </c>
      <c r="AZ67" s="220">
        <f>AV67-AF67</f>
        <v/>
      </c>
      <c r="BA67" s="215">
        <f>AV67-SUM(Z67:AC67)</f>
        <v/>
      </c>
      <c r="BB67" s="215">
        <f>BA67-Y67</f>
        <v/>
      </c>
      <c r="BC67" s="35">
        <f>BB67/BA67</f>
        <v/>
      </c>
      <c r="BD67" s="35">
        <f>IFERROR(AZ67/AV67,)</f>
        <v/>
      </c>
      <c r="BE67" s="255">
        <f>AV67-SUM(Z67:AC67)</f>
        <v/>
      </c>
      <c r="BF67" s="255">
        <f>AV67-BE67-AC67-AB67</f>
        <v/>
      </c>
      <c r="BG67" s="255">
        <f>AV67-BE67-BF67-AB67</f>
        <v/>
      </c>
      <c r="BH67" s="255">
        <f>AB67</f>
        <v/>
      </c>
      <c r="BI67">
        <f>IF(BD67&lt;0%,"Loss",IF(BD67&lt;5%,"On Cost Plus",IF(BD67&lt;10%,"Within","Exceed")))</f>
        <v/>
      </c>
      <c r="BJ67" t="inlineStr">
        <is>
          <t>Exceed</t>
        </is>
      </c>
      <c r="BK67">
        <f>0.51*$BK$6</f>
        <v/>
      </c>
      <c r="BL67" s="190">
        <f>BK67-W67</f>
        <v/>
      </c>
      <c r="BM67" s="189">
        <f>BL67*O67</f>
        <v/>
      </c>
    </row>
    <row r="68">
      <c r="A68">
        <f>CONCATENATE(E68,F68,G68,H68,I68,J68,K68,L68)</f>
        <v/>
      </c>
      <c r="B68">
        <f>CONCATENATE(J68,"-&gt;",K68,"/",E68)</f>
        <v/>
      </c>
      <c r="C68" s="23" t="inlineStr">
        <is>
          <t>AFEEZ AJIBADE/Ebenezer</t>
        </is>
      </c>
      <c r="D68">
        <f>CONCATENATE(G68,"-",H68,"-",F68)</f>
        <v/>
      </c>
      <c r="E68" s="24" t="inlineStr">
        <is>
          <t>Lacasera-45T-NBL-DSL-JUMBO</t>
        </is>
      </c>
      <c r="F68" s="24" t="inlineStr">
        <is>
          <t>JUMBO</t>
        </is>
      </c>
      <c r="G68" s="25" t="inlineStr">
        <is>
          <t>NBL-DSL</t>
        </is>
      </c>
      <c r="H68" s="24" t="inlineStr">
        <is>
          <t>45T</t>
        </is>
      </c>
      <c r="I68" s="251" t="inlineStr">
        <is>
          <t>Lacasera</t>
        </is>
      </c>
      <c r="J68" s="251" t="inlineStr">
        <is>
          <t>Lagos</t>
        </is>
      </c>
      <c r="K68" s="23" t="inlineStr">
        <is>
          <t>Onitsha</t>
        </is>
      </c>
      <c r="L68" t="inlineStr">
        <is>
          <t>Anambra</t>
        </is>
      </c>
      <c r="M68" s="1" t="inlineStr">
        <is>
          <t>East</t>
        </is>
      </c>
      <c r="N68" s="261" t="n">
        <v>459</v>
      </c>
      <c r="O68" s="257" t="n">
        <v>918</v>
      </c>
      <c r="P68" s="227">
        <f>ROUNDUP(O68/300,)</f>
        <v/>
      </c>
      <c r="Q68" s="220" t="n">
        <v>1</v>
      </c>
      <c r="R68" s="220">
        <f>Q68+P68</f>
        <v/>
      </c>
      <c r="S68" s="198">
        <f>ROUNDDOWN(O68*0.7,)</f>
        <v/>
      </c>
      <c r="T68" s="220">
        <f>_xlfn.XLOOKUP(G68,[1]Fx!$A$4:$A$12,[1]Fx!$B$4:$B$12)</f>
        <v/>
      </c>
      <c r="U68" s="220">
        <f>_xlfn.XLOOKUP(G68,[1]Fx!$A$4:$A$12,[1]Fx!$C$4:$C$12)</f>
        <v/>
      </c>
      <c r="V68" s="220">
        <f>_xlfn.XLOOKUP(G68,[1]Fx!$A$4:$A$12,[1]Fx!$D$4:$D$12)</f>
        <v/>
      </c>
      <c r="W68" s="208">
        <f>_xlfn.XLOOKUP(H68&amp;I68,'[1]Mapping DSL'!$H:$H,'[1]Mapping DSL'!$J:$J)</f>
        <v/>
      </c>
      <c r="X68" s="220">
        <f>_xlfn.XLOOKUP(G68,[1]Fx!$A$4:$A$12,[1]Fx!$E$4:$E$12)</f>
        <v/>
      </c>
      <c r="Y68" s="220">
        <f>T68*R68</f>
        <v/>
      </c>
      <c r="Z68" s="220">
        <f>U68*O68</f>
        <v/>
      </c>
      <c r="AA68" s="220">
        <f>V68*O68</f>
        <v/>
      </c>
      <c r="AB68" s="220">
        <f>W68*O68</f>
        <v/>
      </c>
      <c r="AC68" s="198">
        <f>X68*O68</f>
        <v/>
      </c>
      <c r="AD68" s="220" t="n">
        <v>0</v>
      </c>
      <c r="AE68" s="220" t="n">
        <v>0</v>
      </c>
      <c r="AF68" s="220">
        <f>SUM(Y68:AE68)</f>
        <v/>
      </c>
      <c r="AG68" s="205">
        <f>_xlfn.XLOOKUP(G68,[1]Fx!$A$16:$A$24,[1]Fx!$B$16:$B$24)</f>
        <v/>
      </c>
      <c r="AH68" s="220">
        <f>AG68*R68</f>
        <v/>
      </c>
      <c r="AI68" s="220">
        <f>$AI$6*Z68</f>
        <v/>
      </c>
      <c r="AJ68" s="220">
        <f>$AJ$6*AA68</f>
        <v/>
      </c>
      <c r="AK68" s="220">
        <f>$AK$6*AB68</f>
        <v/>
      </c>
      <c r="AL68" s="220">
        <f>$AL$6*AC68</f>
        <v/>
      </c>
      <c r="AM68" s="220">
        <f>SUM(AH68:AL68)</f>
        <v/>
      </c>
      <c r="AN68" s="220" t="n">
        <v>0</v>
      </c>
      <c r="AO68" s="220">
        <f>AN68*AH68</f>
        <v/>
      </c>
      <c r="AP68" s="220">
        <f>AD68</f>
        <v/>
      </c>
      <c r="AQ68" s="220">
        <f>AE68</f>
        <v/>
      </c>
      <c r="AR68" s="220">
        <f>AM68-AO68</f>
        <v/>
      </c>
      <c r="AS68" s="220">
        <f>AR68-AK68</f>
        <v/>
      </c>
      <c r="AT68" s="220">
        <f>AS68*1.075</f>
        <v/>
      </c>
      <c r="AU68" s="220">
        <f>ROUNDUP(AT68+AK68+AP68+AQ68,-4)</f>
        <v/>
      </c>
      <c r="AV68" s="198" t="n">
        <v>2248843</v>
      </c>
      <c r="AW68" s="227" t="n"/>
      <c r="AX68" s="220">
        <f>AV68-AR68</f>
        <v/>
      </c>
      <c r="AY68" s="35">
        <f>AX68/AR68</f>
        <v/>
      </c>
      <c r="AZ68" s="220">
        <f>AV68-AF68</f>
        <v/>
      </c>
      <c r="BA68" s="215">
        <f>AV68-SUM(Z68:AC68)</f>
        <v/>
      </c>
      <c r="BB68" s="215">
        <f>BA68-Y68</f>
        <v/>
      </c>
      <c r="BC68" s="35">
        <f>BB68/BA68</f>
        <v/>
      </c>
      <c r="BD68" s="35">
        <f>IFERROR(AZ68/AV68,)</f>
        <v/>
      </c>
      <c r="BE68" s="255">
        <f>AV68-SUM(Z68:AC68)</f>
        <v/>
      </c>
      <c r="BF68" s="255">
        <f>AV68-BE68-AC68-AB68</f>
        <v/>
      </c>
      <c r="BG68" s="255">
        <f>AV68-BE68-BF68-AB68</f>
        <v/>
      </c>
      <c r="BH68" s="255">
        <f>AB68</f>
        <v/>
      </c>
      <c r="BI68">
        <f>IF(BD68&lt;0%,"Loss",IF(BD68&lt;5%,"On Cost Plus",IF(BD68&lt;10%,"Within","Exceed")))</f>
        <v/>
      </c>
      <c r="BJ68" t="inlineStr">
        <is>
          <t>Exceed</t>
        </is>
      </c>
      <c r="BK68">
        <f>0.51*$BK$6</f>
        <v/>
      </c>
      <c r="BL68" s="190">
        <f>BK68-W68</f>
        <v/>
      </c>
      <c r="BM68" s="189">
        <f>BL68*O68</f>
        <v/>
      </c>
    </row>
    <row r="69">
      <c r="A69">
        <f>CONCATENATE(E69,F69,G69,H69,I69,J69,K69,L69)</f>
        <v/>
      </c>
      <c r="B69">
        <f>CONCATENATE(J69,"-&gt;",K69,"/",E69)</f>
        <v/>
      </c>
      <c r="C69" s="23" t="inlineStr">
        <is>
          <t>AFEEZ AJIBADE/Ebenezer</t>
        </is>
      </c>
      <c r="D69">
        <f>CONCATENATE(G69,"-",H69,"-",F69)</f>
        <v/>
      </c>
      <c r="E69" s="24" t="inlineStr">
        <is>
          <t>Lacasera-45T-NBL-DSL-JUMBO</t>
        </is>
      </c>
      <c r="F69" s="24" t="inlineStr">
        <is>
          <t>JUMBO</t>
        </is>
      </c>
      <c r="G69" s="25" t="inlineStr">
        <is>
          <t>NBL-DSL</t>
        </is>
      </c>
      <c r="H69" s="24" t="inlineStr">
        <is>
          <t>45T</t>
        </is>
      </c>
      <c r="I69" s="251" t="inlineStr">
        <is>
          <t>Lacasera</t>
        </is>
      </c>
      <c r="J69" s="251" t="inlineStr">
        <is>
          <t>Lagos</t>
        </is>
      </c>
      <c r="K69" s="23" t="inlineStr">
        <is>
          <t>Yenagoa</t>
        </is>
      </c>
      <c r="L69" t="inlineStr">
        <is>
          <t>Bayelsa</t>
        </is>
      </c>
      <c r="M69" s="1" t="inlineStr">
        <is>
          <t>East</t>
        </is>
      </c>
      <c r="N69" s="261" t="n">
        <v>546</v>
      </c>
      <c r="O69" s="257" t="n">
        <v>1092</v>
      </c>
      <c r="P69" s="227">
        <f>ROUNDUP(O69/300,)</f>
        <v/>
      </c>
      <c r="Q69" s="220" t="n">
        <v>1</v>
      </c>
      <c r="R69" s="220">
        <f>Q69+P69</f>
        <v/>
      </c>
      <c r="S69" s="198">
        <f>ROUNDDOWN(O69*0.7,)</f>
        <v/>
      </c>
      <c r="T69" s="220">
        <f>_xlfn.XLOOKUP(G69,[1]Fx!$A$4:$A$12,[1]Fx!$B$4:$B$12)</f>
        <v/>
      </c>
      <c r="U69" s="220">
        <f>_xlfn.XLOOKUP(G69,[1]Fx!$A$4:$A$12,[1]Fx!$C$4:$C$12)</f>
        <v/>
      </c>
      <c r="V69" s="220">
        <f>_xlfn.XLOOKUP(G69,[1]Fx!$A$4:$A$12,[1]Fx!$D$4:$D$12)</f>
        <v/>
      </c>
      <c r="W69" s="208">
        <f>_xlfn.XLOOKUP(H69&amp;I69,'[1]Mapping DSL'!$H:$H,'[1]Mapping DSL'!$J:$J)</f>
        <v/>
      </c>
      <c r="X69" s="220">
        <f>_xlfn.XLOOKUP(G69,[1]Fx!$A$4:$A$12,[1]Fx!$E$4:$E$12)</f>
        <v/>
      </c>
      <c r="Y69" s="220">
        <f>T69*R69</f>
        <v/>
      </c>
      <c r="Z69" s="220">
        <f>U69*O69</f>
        <v/>
      </c>
      <c r="AA69" s="220">
        <f>V69*O69</f>
        <v/>
      </c>
      <c r="AB69" s="220">
        <f>W69*O69</f>
        <v/>
      </c>
      <c r="AC69" s="198">
        <f>X69*O69</f>
        <v/>
      </c>
      <c r="AD69" s="220" t="n">
        <v>0</v>
      </c>
      <c r="AE69" s="220" t="n">
        <v>0</v>
      </c>
      <c r="AF69" s="220">
        <f>SUM(Y69:AE69)</f>
        <v/>
      </c>
      <c r="AG69" s="205">
        <f>_xlfn.XLOOKUP(G69,[1]Fx!$A$16:$A$24,[1]Fx!$B$16:$B$24)</f>
        <v/>
      </c>
      <c r="AH69" s="220">
        <f>AG69*R69</f>
        <v/>
      </c>
      <c r="AI69" s="220">
        <f>$AI$6*Z69</f>
        <v/>
      </c>
      <c r="AJ69" s="220">
        <f>$AJ$6*AA69</f>
        <v/>
      </c>
      <c r="AK69" s="220">
        <f>$AK$6*AB69</f>
        <v/>
      </c>
      <c r="AL69" s="220">
        <f>$AL$6*AC69</f>
        <v/>
      </c>
      <c r="AM69" s="220">
        <f>SUM(AH69:AL69)</f>
        <v/>
      </c>
      <c r="AN69" s="220" t="n">
        <v>0</v>
      </c>
      <c r="AO69" s="220">
        <f>AN69*AH69</f>
        <v/>
      </c>
      <c r="AP69" s="220">
        <f>AD69</f>
        <v/>
      </c>
      <c r="AQ69" s="220">
        <f>AE69</f>
        <v/>
      </c>
      <c r="AR69" s="220">
        <f>AM69-AO69</f>
        <v/>
      </c>
      <c r="AS69" s="220">
        <f>AR69-AK69</f>
        <v/>
      </c>
      <c r="AT69" s="220">
        <f>AS69*1.075</f>
        <v/>
      </c>
      <c r="AU69" s="220">
        <f>ROUNDUP(AT69+AK69+AP69+AQ69,-4)</f>
        <v/>
      </c>
      <c r="AV69" s="198" t="n">
        <v>2690008</v>
      </c>
      <c r="AW69" s="227" t="n"/>
      <c r="AX69" s="220">
        <f>AV69-AR69</f>
        <v/>
      </c>
      <c r="AY69" s="35">
        <f>AX69/AR69</f>
        <v/>
      </c>
      <c r="AZ69" s="220">
        <f>AV69-AF69</f>
        <v/>
      </c>
      <c r="BA69" s="215">
        <f>AV69-SUM(Z69:AC69)</f>
        <v/>
      </c>
      <c r="BB69" s="215">
        <f>BA69-Y69</f>
        <v/>
      </c>
      <c r="BC69" s="35">
        <f>BB69/BA69</f>
        <v/>
      </c>
      <c r="BD69" s="35">
        <f>IFERROR(AZ69/AV69,)</f>
        <v/>
      </c>
      <c r="BE69" s="255">
        <f>AV69-SUM(Z69:AC69)</f>
        <v/>
      </c>
      <c r="BF69" s="255">
        <f>AV69-BE69-AC69-AB69</f>
        <v/>
      </c>
      <c r="BG69" s="255">
        <f>AV69-BE69-BF69-AB69</f>
        <v/>
      </c>
      <c r="BH69" s="255">
        <f>AB69</f>
        <v/>
      </c>
      <c r="BI69">
        <f>IF(BD69&lt;0%,"Loss",IF(BD69&lt;5%,"On Cost Plus",IF(BD69&lt;10%,"Within","Exceed")))</f>
        <v/>
      </c>
      <c r="BJ69" t="inlineStr">
        <is>
          <t>Exceed</t>
        </is>
      </c>
      <c r="BK69">
        <f>0.51*$BK$6</f>
        <v/>
      </c>
      <c r="BL69" s="190">
        <f>BK69-W69</f>
        <v/>
      </c>
      <c r="BM69" s="189">
        <f>BL69*O69</f>
        <v/>
      </c>
    </row>
    <row r="70">
      <c r="A70">
        <f>CONCATENATE(E70,F70,G70,H70,I70,J70,K70,L70)</f>
        <v/>
      </c>
      <c r="B70">
        <f>CONCATENATE(J70,"-&gt;",K70,"/",E70)</f>
        <v/>
      </c>
      <c r="C70" s="23" t="inlineStr">
        <is>
          <t>AFEEZ AJIBADE/Ebenezer</t>
        </is>
      </c>
      <c r="D70">
        <f>CONCATENATE(G70,"-",H70,"-",F70)</f>
        <v/>
      </c>
      <c r="E70" s="24" t="inlineStr">
        <is>
          <t>Lacasera-45T-NBL-DSL-JUMBO</t>
        </is>
      </c>
      <c r="F70" s="24" t="inlineStr">
        <is>
          <t>JUMBO</t>
        </is>
      </c>
      <c r="G70" s="25" t="inlineStr">
        <is>
          <t>NBL-DSL</t>
        </is>
      </c>
      <c r="H70" s="24" t="inlineStr">
        <is>
          <t>45T</t>
        </is>
      </c>
      <c r="I70" s="251" t="inlineStr">
        <is>
          <t>Lacasera</t>
        </is>
      </c>
      <c r="J70" s="251" t="inlineStr">
        <is>
          <t>Lagos</t>
        </is>
      </c>
      <c r="K70" s="23" t="inlineStr">
        <is>
          <t>Makurdi</t>
        </is>
      </c>
      <c r="L70" t="inlineStr">
        <is>
          <t>Benue</t>
        </is>
      </c>
      <c r="M70" s="1" t="inlineStr">
        <is>
          <t>East</t>
        </is>
      </c>
      <c r="N70" s="261" t="n">
        <v>808</v>
      </c>
      <c r="O70" s="257" t="n">
        <v>1616</v>
      </c>
      <c r="P70" s="227">
        <f>ROUNDUP(O70/300,)</f>
        <v/>
      </c>
      <c r="Q70" s="220" t="n">
        <v>1</v>
      </c>
      <c r="R70" s="220">
        <f>Q70+P70</f>
        <v/>
      </c>
      <c r="S70" s="198">
        <f>ROUNDDOWN(O70*0.7,)</f>
        <v/>
      </c>
      <c r="T70" s="220">
        <f>_xlfn.XLOOKUP(G70,[1]Fx!$A$4:$A$12,[1]Fx!$B$4:$B$12)</f>
        <v/>
      </c>
      <c r="U70" s="220">
        <f>_xlfn.XLOOKUP(G70,[1]Fx!$A$4:$A$12,[1]Fx!$C$4:$C$12)</f>
        <v/>
      </c>
      <c r="V70" s="220">
        <f>_xlfn.XLOOKUP(G70,[1]Fx!$A$4:$A$12,[1]Fx!$D$4:$D$12)</f>
        <v/>
      </c>
      <c r="W70" s="208">
        <f>_xlfn.XLOOKUP(H70&amp;I70,'[1]Mapping DSL'!$H:$H,'[1]Mapping DSL'!$J:$J)</f>
        <v/>
      </c>
      <c r="X70" s="220">
        <f>_xlfn.XLOOKUP(G70,[1]Fx!$A$4:$A$12,[1]Fx!$E$4:$E$12)</f>
        <v/>
      </c>
      <c r="Y70" s="220">
        <f>T70*R70</f>
        <v/>
      </c>
      <c r="Z70" s="220">
        <f>U70*O70</f>
        <v/>
      </c>
      <c r="AA70" s="220">
        <f>V70*O70</f>
        <v/>
      </c>
      <c r="AB70" s="220">
        <f>W70*O70</f>
        <v/>
      </c>
      <c r="AC70" s="198">
        <f>X70*O70</f>
        <v/>
      </c>
      <c r="AD70" s="220" t="n">
        <v>0</v>
      </c>
      <c r="AE70" s="220" t="n">
        <v>0</v>
      </c>
      <c r="AF70" s="220">
        <f>SUM(Y70:AE70)</f>
        <v/>
      </c>
      <c r="AG70" s="205">
        <f>_xlfn.XLOOKUP(G70,[1]Fx!$A$16:$A$24,[1]Fx!$B$16:$B$24)</f>
        <v/>
      </c>
      <c r="AH70" s="220">
        <f>AG70*R70</f>
        <v/>
      </c>
      <c r="AI70" s="220">
        <f>$AI$6*Z70</f>
        <v/>
      </c>
      <c r="AJ70" s="220">
        <f>$AJ$6*AA70</f>
        <v/>
      </c>
      <c r="AK70" s="220">
        <f>$AK$6*AB70</f>
        <v/>
      </c>
      <c r="AL70" s="220">
        <f>$AL$6*AC70</f>
        <v/>
      </c>
      <c r="AM70" s="220">
        <f>SUM(AH70:AL70)</f>
        <v/>
      </c>
      <c r="AN70" s="220" t="n">
        <v>0</v>
      </c>
      <c r="AO70" s="220">
        <f>AN70*AH70</f>
        <v/>
      </c>
      <c r="AP70" s="220">
        <f>AD70</f>
        <v/>
      </c>
      <c r="AQ70" s="220">
        <f>AE70</f>
        <v/>
      </c>
      <c r="AR70" s="220">
        <f>AM70-AO70</f>
        <v/>
      </c>
      <c r="AS70" s="220">
        <f>AR70-AK70</f>
        <v/>
      </c>
      <c r="AT70" s="220">
        <f>AS70*1.075</f>
        <v/>
      </c>
      <c r="AU70" s="220">
        <f>ROUNDUP(AT70+AK70+AP70+AQ70,-4)</f>
        <v/>
      </c>
      <c r="AV70" s="198" t="n">
        <v>3808026</v>
      </c>
      <c r="AW70" s="227" t="n"/>
      <c r="AX70" s="220">
        <f>AV70-AR70</f>
        <v/>
      </c>
      <c r="AY70" s="35">
        <f>AX70/AR70</f>
        <v/>
      </c>
      <c r="AZ70" s="220">
        <f>AV70-AF70</f>
        <v/>
      </c>
      <c r="BA70" s="215">
        <f>AV70-SUM(Z70:AC70)</f>
        <v/>
      </c>
      <c r="BB70" s="215">
        <f>BA70-Y70</f>
        <v/>
      </c>
      <c r="BC70" s="35">
        <f>BB70/BA70</f>
        <v/>
      </c>
      <c r="BD70" s="35">
        <f>IFERROR(AZ70/AV70,)</f>
        <v/>
      </c>
      <c r="BE70" s="255">
        <f>AV70-SUM(Z70:AC70)</f>
        <v/>
      </c>
      <c r="BF70" s="255">
        <f>AV70-BE70-AC70-AB70</f>
        <v/>
      </c>
      <c r="BG70" s="255">
        <f>AV70-BE70-BF70-AB70</f>
        <v/>
      </c>
      <c r="BH70" s="255">
        <f>AB70</f>
        <v/>
      </c>
      <c r="BI70">
        <f>IF(BD70&lt;0%,"Loss",IF(BD70&lt;5%,"On Cost Plus",IF(BD70&lt;10%,"Within","Exceed")))</f>
        <v/>
      </c>
      <c r="BJ70" t="inlineStr">
        <is>
          <t>Exceed</t>
        </is>
      </c>
      <c r="BK70">
        <f>0.51*$BK$6</f>
        <v/>
      </c>
      <c r="BL70" s="190">
        <f>BK70-W70</f>
        <v/>
      </c>
      <c r="BM70" s="189">
        <f>BL70*O70</f>
        <v/>
      </c>
    </row>
    <row r="71">
      <c r="A71">
        <f>CONCATENATE(E71,F71,G71,H71,I71,J71,K71,L71)</f>
        <v/>
      </c>
      <c r="B71">
        <f>CONCATENATE(J71,"-&gt;",K71,"/",E71)</f>
        <v/>
      </c>
      <c r="C71" s="23" t="inlineStr">
        <is>
          <t>AFEEZ AJIBADE/Ebenezer</t>
        </is>
      </c>
      <c r="D71">
        <f>CONCATENATE(G71,"-",H71,"-",F71)</f>
        <v/>
      </c>
      <c r="E71" s="24" t="inlineStr">
        <is>
          <t>Lacasera-45T-NBL-DSL-JUMBO</t>
        </is>
      </c>
      <c r="F71" s="24" t="inlineStr">
        <is>
          <t>JUMBO</t>
        </is>
      </c>
      <c r="G71" s="25" t="inlineStr">
        <is>
          <t>NBL-DSL</t>
        </is>
      </c>
      <c r="H71" s="24" t="inlineStr">
        <is>
          <t>45T</t>
        </is>
      </c>
      <c r="I71" s="251" t="inlineStr">
        <is>
          <t>Lacasera</t>
        </is>
      </c>
      <c r="J71" s="251" t="inlineStr">
        <is>
          <t>Lagos</t>
        </is>
      </c>
      <c r="K71" s="23" t="inlineStr">
        <is>
          <t>Calabar</t>
        </is>
      </c>
      <c r="L71" t="inlineStr">
        <is>
          <t>Cross River</t>
        </is>
      </c>
      <c r="M71" s="1" t="inlineStr">
        <is>
          <t>East</t>
        </is>
      </c>
      <c r="N71" s="261" t="n">
        <v>754</v>
      </c>
      <c r="O71" s="257" t="n">
        <v>1508</v>
      </c>
      <c r="P71" s="227">
        <f>ROUNDUP(O71/300,)</f>
        <v/>
      </c>
      <c r="Q71" s="220" t="n">
        <v>1</v>
      </c>
      <c r="R71" s="220">
        <f>Q71+P71</f>
        <v/>
      </c>
      <c r="S71" s="198">
        <f>ROUNDDOWN(O71*0.7,)</f>
        <v/>
      </c>
      <c r="T71" s="220">
        <f>_xlfn.XLOOKUP(G71,[1]Fx!$A$4:$A$12,[1]Fx!$B$4:$B$12)</f>
        <v/>
      </c>
      <c r="U71" s="220">
        <f>_xlfn.XLOOKUP(G71,[1]Fx!$A$4:$A$12,[1]Fx!$C$4:$C$12)</f>
        <v/>
      </c>
      <c r="V71" s="220">
        <f>_xlfn.XLOOKUP(G71,[1]Fx!$A$4:$A$12,[1]Fx!$D$4:$D$12)</f>
        <v/>
      </c>
      <c r="W71" s="208">
        <f>_xlfn.XLOOKUP(H71&amp;I71,'[1]Mapping DSL'!$H:$H,'[1]Mapping DSL'!$J:$J)</f>
        <v/>
      </c>
      <c r="X71" s="220">
        <f>_xlfn.XLOOKUP(G71,[1]Fx!$A$4:$A$12,[1]Fx!$E$4:$E$12)</f>
        <v/>
      </c>
      <c r="Y71" s="220">
        <f>T71*R71</f>
        <v/>
      </c>
      <c r="Z71" s="220">
        <f>U71*O71</f>
        <v/>
      </c>
      <c r="AA71" s="220">
        <f>V71*O71</f>
        <v/>
      </c>
      <c r="AB71" s="220">
        <f>W71*O71</f>
        <v/>
      </c>
      <c r="AC71" s="198">
        <f>X71*O71</f>
        <v/>
      </c>
      <c r="AD71" s="220" t="n">
        <v>0</v>
      </c>
      <c r="AE71" s="220" t="n">
        <v>0</v>
      </c>
      <c r="AF71" s="220">
        <f>SUM(Y71:AE71)</f>
        <v/>
      </c>
      <c r="AG71" s="205">
        <f>_xlfn.XLOOKUP(G71,[1]Fx!$A$16:$A$24,[1]Fx!$B$16:$B$24)</f>
        <v/>
      </c>
      <c r="AH71" s="220">
        <f>AG71*R71</f>
        <v/>
      </c>
      <c r="AI71" s="220">
        <f>$AI$6*Z71</f>
        <v/>
      </c>
      <c r="AJ71" s="220">
        <f>$AJ$6*AA71</f>
        <v/>
      </c>
      <c r="AK71" s="220">
        <f>$AK$6*AB71</f>
        <v/>
      </c>
      <c r="AL71" s="220">
        <f>$AL$6*AC71</f>
        <v/>
      </c>
      <c r="AM71" s="220">
        <f>SUM(AH71:AL71)</f>
        <v/>
      </c>
      <c r="AN71" s="220" t="n">
        <v>0</v>
      </c>
      <c r="AO71" s="220">
        <f>AN71*AH71</f>
        <v/>
      </c>
      <c r="AP71" s="220">
        <f>AD71</f>
        <v/>
      </c>
      <c r="AQ71" s="220">
        <f>AE71</f>
        <v/>
      </c>
      <c r="AR71" s="220">
        <f>AM71-AO71</f>
        <v/>
      </c>
      <c r="AS71" s="220">
        <f>AR71-AK71</f>
        <v/>
      </c>
      <c r="AT71" s="220">
        <f>AS71*1.075</f>
        <v/>
      </c>
      <c r="AU71" s="220">
        <f>ROUNDUP(AT71+AK71+AP71+AQ71,-4)</f>
        <v/>
      </c>
      <c r="AV71" s="198" t="n">
        <v>3164081</v>
      </c>
      <c r="AW71" s="227" t="n"/>
      <c r="AX71" s="220">
        <f>AV71-AR71</f>
        <v/>
      </c>
      <c r="AY71" s="35">
        <f>AX71/AR71</f>
        <v/>
      </c>
      <c r="AZ71" s="220">
        <f>AV71-AF71</f>
        <v/>
      </c>
      <c r="BA71" s="215">
        <f>AV71-SUM(Z71:AC71)</f>
        <v/>
      </c>
      <c r="BB71" s="215">
        <f>BA71-Y71</f>
        <v/>
      </c>
      <c r="BC71" s="35">
        <f>BB71/BA71</f>
        <v/>
      </c>
      <c r="BD71" s="35">
        <f>IFERROR(AZ71/AV71,)</f>
        <v/>
      </c>
      <c r="BE71" s="255">
        <f>AV71-SUM(Z71:AC71)</f>
        <v/>
      </c>
      <c r="BF71" s="255">
        <f>AV71-BE71-AC71-AB71</f>
        <v/>
      </c>
      <c r="BG71" s="255">
        <f>AV71-BE71-BF71-AB71</f>
        <v/>
      </c>
      <c r="BH71" s="255">
        <f>AB71</f>
        <v/>
      </c>
      <c r="BI71">
        <f>IF(BD71&lt;0%,"Loss",IF(BD71&lt;5%,"On Cost Plus",IF(BD71&lt;10%,"Within","Exceed")))</f>
        <v/>
      </c>
      <c r="BJ71" t="inlineStr">
        <is>
          <t>Exceed</t>
        </is>
      </c>
      <c r="BK71">
        <f>0.51*$BK$6</f>
        <v/>
      </c>
      <c r="BL71" s="190">
        <f>BK71-W71</f>
        <v/>
      </c>
      <c r="BM71" s="189">
        <f>BL71*O71</f>
        <v/>
      </c>
    </row>
    <row r="72">
      <c r="A72">
        <f>CONCATENATE(E72,F72,G72,H72,I72,J72,K72,L72)</f>
        <v/>
      </c>
      <c r="B72">
        <f>CONCATENATE(J72,"-&gt;",K72,"/",E72)</f>
        <v/>
      </c>
      <c r="C72" s="23" t="inlineStr">
        <is>
          <t>AFEEZ AJIBADE/Ebenezer</t>
        </is>
      </c>
      <c r="D72">
        <f>CONCATENATE(G72,"-",H72,"-",F72)</f>
        <v/>
      </c>
      <c r="E72" s="24" t="inlineStr">
        <is>
          <t>Lacasera-45T-NBL-DSL-JUMBO</t>
        </is>
      </c>
      <c r="F72" s="24" t="inlineStr">
        <is>
          <t>JUMBO</t>
        </is>
      </c>
      <c r="G72" s="25" t="inlineStr">
        <is>
          <t>NBL-DSL</t>
        </is>
      </c>
      <c r="H72" s="24" t="inlineStr">
        <is>
          <t>45T</t>
        </is>
      </c>
      <c r="I72" s="251" t="inlineStr">
        <is>
          <t>Lacasera</t>
        </is>
      </c>
      <c r="J72" s="251" t="inlineStr">
        <is>
          <t>Lagos</t>
        </is>
      </c>
      <c r="K72" s="23" t="inlineStr">
        <is>
          <t>Abakaliki</t>
        </is>
      </c>
      <c r="L72" t="inlineStr">
        <is>
          <t>Ebonyi</t>
        </is>
      </c>
      <c r="M72" s="1" t="inlineStr">
        <is>
          <t>East</t>
        </is>
      </c>
      <c r="N72" s="261" t="n">
        <v>633</v>
      </c>
      <c r="O72" s="257" t="n">
        <v>1266</v>
      </c>
      <c r="P72" s="227">
        <f>ROUNDUP(O72/300,)</f>
        <v/>
      </c>
      <c r="Q72" s="220" t="n">
        <v>1</v>
      </c>
      <c r="R72" s="220">
        <f>Q72+P72</f>
        <v/>
      </c>
      <c r="S72" s="198">
        <f>ROUNDDOWN(O72*0.7,)</f>
        <v/>
      </c>
      <c r="T72" s="220">
        <f>_xlfn.XLOOKUP(G72,[1]Fx!$A$4:$A$12,[1]Fx!$B$4:$B$12)</f>
        <v/>
      </c>
      <c r="U72" s="220">
        <f>_xlfn.XLOOKUP(G72,[1]Fx!$A$4:$A$12,[1]Fx!$C$4:$C$12)</f>
        <v/>
      </c>
      <c r="V72" s="220">
        <f>_xlfn.XLOOKUP(G72,[1]Fx!$A$4:$A$12,[1]Fx!$D$4:$D$12)</f>
        <v/>
      </c>
      <c r="W72" s="208">
        <f>_xlfn.XLOOKUP(H72&amp;I72,'[1]Mapping DSL'!$H:$H,'[1]Mapping DSL'!$J:$J)</f>
        <v/>
      </c>
      <c r="X72" s="220">
        <f>_xlfn.XLOOKUP(G72,[1]Fx!$A$4:$A$12,[1]Fx!$E$4:$E$12)</f>
        <v/>
      </c>
      <c r="Y72" s="220">
        <f>T72*R72</f>
        <v/>
      </c>
      <c r="Z72" s="220">
        <f>U72*O72</f>
        <v/>
      </c>
      <c r="AA72" s="220">
        <f>V72*O72</f>
        <v/>
      </c>
      <c r="AB72" s="220">
        <f>W72*O72</f>
        <v/>
      </c>
      <c r="AC72" s="198">
        <f>X72*O72</f>
        <v/>
      </c>
      <c r="AD72" s="220" t="n">
        <v>0</v>
      </c>
      <c r="AE72" s="220" t="n">
        <v>0</v>
      </c>
      <c r="AF72" s="220">
        <f>SUM(Y72:AE72)</f>
        <v/>
      </c>
      <c r="AG72" s="205">
        <f>_xlfn.XLOOKUP(G72,[1]Fx!$A$16:$A$24,[1]Fx!$B$16:$B$24)</f>
        <v/>
      </c>
      <c r="AH72" s="220">
        <f>AG72*R72</f>
        <v/>
      </c>
      <c r="AI72" s="220">
        <f>$AI$6*Z72</f>
        <v/>
      </c>
      <c r="AJ72" s="220">
        <f>$AJ$6*AA72</f>
        <v/>
      </c>
      <c r="AK72" s="220">
        <f>$AK$6*AB72</f>
        <v/>
      </c>
      <c r="AL72" s="220">
        <f>$AL$6*AC72</f>
        <v/>
      </c>
      <c r="AM72" s="220">
        <f>SUM(AH72:AL72)</f>
        <v/>
      </c>
      <c r="AN72" s="220" t="n">
        <v>0</v>
      </c>
      <c r="AO72" s="220">
        <f>AN72*AH72</f>
        <v/>
      </c>
      <c r="AP72" s="220">
        <f>AD72</f>
        <v/>
      </c>
      <c r="AQ72" s="220">
        <f>AE72</f>
        <v/>
      </c>
      <c r="AR72" s="220">
        <f>AM72-AO72</f>
        <v/>
      </c>
      <c r="AS72" s="220">
        <f>AR72-AK72</f>
        <v/>
      </c>
      <c r="AT72" s="220">
        <f>AS72*1.075</f>
        <v/>
      </c>
      <c r="AU72" s="220">
        <f>ROUNDUP(AT72+AK72+AP72+AQ72,-4)</f>
        <v/>
      </c>
      <c r="AV72" s="198" t="n">
        <v>2685524</v>
      </c>
      <c r="AW72" s="227" t="n"/>
      <c r="AX72" s="220">
        <f>AV72-AR72</f>
        <v/>
      </c>
      <c r="AY72" s="35">
        <f>AX72/AR72</f>
        <v/>
      </c>
      <c r="AZ72" s="220">
        <f>AV72-AF72</f>
        <v/>
      </c>
      <c r="BA72" s="215">
        <f>AV72-SUM(Z72:AC72)</f>
        <v/>
      </c>
      <c r="BB72" s="215">
        <f>BA72-Y72</f>
        <v/>
      </c>
      <c r="BC72" s="35">
        <f>BB72/BA72</f>
        <v/>
      </c>
      <c r="BD72" s="35">
        <f>IFERROR(AZ72/AV72,)</f>
        <v/>
      </c>
      <c r="BE72" s="255">
        <f>AV72-SUM(Z72:AC72)</f>
        <v/>
      </c>
      <c r="BF72" s="255">
        <f>AV72-BE72-AC72-AB72</f>
        <v/>
      </c>
      <c r="BG72" s="255">
        <f>AV72-BE72-BF72-AB72</f>
        <v/>
      </c>
      <c r="BH72" s="255">
        <f>AB72</f>
        <v/>
      </c>
      <c r="BI72">
        <f>IF(BD72&lt;0%,"Loss",IF(BD72&lt;5%,"On Cost Plus",IF(BD72&lt;10%,"Within","Exceed")))</f>
        <v/>
      </c>
      <c r="BJ72" t="inlineStr">
        <is>
          <t>Exceed</t>
        </is>
      </c>
      <c r="BK72">
        <f>0.51*$BK$6</f>
        <v/>
      </c>
      <c r="BL72" s="190">
        <f>BK72-W72</f>
        <v/>
      </c>
      <c r="BM72" s="189">
        <f>BL72*O72</f>
        <v/>
      </c>
    </row>
    <row r="73">
      <c r="A73">
        <f>CONCATENATE(E73,F73,G73,H73,I73,J73,K73,L73)</f>
        <v/>
      </c>
      <c r="B73">
        <f>CONCATENATE(J73,"-&gt;",K73,"/",E73)</f>
        <v/>
      </c>
      <c r="C73" s="23" t="inlineStr">
        <is>
          <t>AFEEZ AJIBADE/Ebenezer</t>
        </is>
      </c>
      <c r="D73">
        <f>CONCATENATE(G73,"-",H73,"-",F73)</f>
        <v/>
      </c>
      <c r="E73" s="24" t="inlineStr">
        <is>
          <t>Lacasera-45T-NBL-DSL-JUMBO</t>
        </is>
      </c>
      <c r="F73" s="24" t="inlineStr">
        <is>
          <t>JUMBO</t>
        </is>
      </c>
      <c r="G73" s="25" t="inlineStr">
        <is>
          <t>NBL-DSL</t>
        </is>
      </c>
      <c r="H73" s="24" t="inlineStr">
        <is>
          <t>45T</t>
        </is>
      </c>
      <c r="I73" s="251" t="inlineStr">
        <is>
          <t>Lacasera</t>
        </is>
      </c>
      <c r="J73" s="251" t="inlineStr">
        <is>
          <t>Lagos</t>
        </is>
      </c>
      <c r="K73" s="23" t="inlineStr">
        <is>
          <t>Enugu</t>
        </is>
      </c>
      <c r="L73" t="inlineStr">
        <is>
          <t>Enugu</t>
        </is>
      </c>
      <c r="M73" s="1" t="inlineStr">
        <is>
          <t>East</t>
        </is>
      </c>
      <c r="N73" s="261" t="n">
        <v>560.5</v>
      </c>
      <c r="O73" s="257" t="n">
        <v>1121</v>
      </c>
      <c r="P73" s="227">
        <f>ROUNDUP(O73/300,)</f>
        <v/>
      </c>
      <c r="Q73" s="220" t="n">
        <v>1</v>
      </c>
      <c r="R73" s="220">
        <f>Q73+P73</f>
        <v/>
      </c>
      <c r="S73" s="198">
        <f>ROUNDDOWN(O73*0.7,)</f>
        <v/>
      </c>
      <c r="T73" s="220">
        <f>_xlfn.XLOOKUP(G73,[1]Fx!$A$4:$A$12,[1]Fx!$B$4:$B$12)</f>
        <v/>
      </c>
      <c r="U73" s="220">
        <f>_xlfn.XLOOKUP(G73,[1]Fx!$A$4:$A$12,[1]Fx!$C$4:$C$12)</f>
        <v/>
      </c>
      <c r="V73" s="220">
        <f>_xlfn.XLOOKUP(G73,[1]Fx!$A$4:$A$12,[1]Fx!$D$4:$D$12)</f>
        <v/>
      </c>
      <c r="W73" s="208">
        <f>_xlfn.XLOOKUP(H73&amp;I73,'[1]Mapping DSL'!$H:$H,'[1]Mapping DSL'!$J:$J)</f>
        <v/>
      </c>
      <c r="X73" s="220">
        <f>_xlfn.XLOOKUP(G73,[1]Fx!$A$4:$A$12,[1]Fx!$E$4:$E$12)</f>
        <v/>
      </c>
      <c r="Y73" s="220">
        <f>T73*R73</f>
        <v/>
      </c>
      <c r="Z73" s="220">
        <f>U73*O73</f>
        <v/>
      </c>
      <c r="AA73" s="220">
        <f>V73*O73</f>
        <v/>
      </c>
      <c r="AB73" s="220">
        <f>W73*O73</f>
        <v/>
      </c>
      <c r="AC73" s="198">
        <f>X73*O73</f>
        <v/>
      </c>
      <c r="AD73" s="220" t="n">
        <v>0</v>
      </c>
      <c r="AE73" s="220" t="n">
        <v>0</v>
      </c>
      <c r="AF73" s="220">
        <f>SUM(Y73:AE73)</f>
        <v/>
      </c>
      <c r="AG73" s="205">
        <f>_xlfn.XLOOKUP(G73,[1]Fx!$A$16:$A$24,[1]Fx!$B$16:$B$24)</f>
        <v/>
      </c>
      <c r="AH73" s="220">
        <f>AG73*R73</f>
        <v/>
      </c>
      <c r="AI73" s="220">
        <f>$AI$6*Z73</f>
        <v/>
      </c>
      <c r="AJ73" s="220">
        <f>$AJ$6*AA73</f>
        <v/>
      </c>
      <c r="AK73" s="220">
        <f>$AK$6*AB73</f>
        <v/>
      </c>
      <c r="AL73" s="220">
        <f>$AL$6*AC73</f>
        <v/>
      </c>
      <c r="AM73" s="220">
        <f>SUM(AH73:AL73)</f>
        <v/>
      </c>
      <c r="AN73" s="220" t="n">
        <v>0</v>
      </c>
      <c r="AO73" s="220">
        <f>AN73*AH73</f>
        <v/>
      </c>
      <c r="AP73" s="220">
        <f>AD73</f>
        <v/>
      </c>
      <c r="AQ73" s="220">
        <f>AE73</f>
        <v/>
      </c>
      <c r="AR73" s="220">
        <f>AM73-AO73</f>
        <v/>
      </c>
      <c r="AS73" s="220">
        <f>AR73-AK73</f>
        <v/>
      </c>
      <c r="AT73" s="220">
        <f>AS73*1.075</f>
        <v/>
      </c>
      <c r="AU73" s="220">
        <f>ROUNDUP(AT73+AK73+AP73+AQ73,-4)</f>
        <v/>
      </c>
      <c r="AV73" s="198" t="n">
        <v>2527817</v>
      </c>
      <c r="AW73" s="227" t="n"/>
      <c r="AX73" s="220">
        <f>AV73-AR73</f>
        <v/>
      </c>
      <c r="AY73" s="35">
        <f>AX73/AR73</f>
        <v/>
      </c>
      <c r="AZ73" s="220">
        <f>AV73-AF73</f>
        <v/>
      </c>
      <c r="BA73" s="215">
        <f>AV73-SUM(Z73:AC73)</f>
        <v/>
      </c>
      <c r="BB73" s="215">
        <f>BA73-Y73</f>
        <v/>
      </c>
      <c r="BC73" s="35">
        <f>BB73/BA73</f>
        <v/>
      </c>
      <c r="BD73" s="35">
        <f>IFERROR(AZ73/AV73,)</f>
        <v/>
      </c>
      <c r="BE73" s="255">
        <f>AV73-SUM(Z73:AC73)</f>
        <v/>
      </c>
      <c r="BF73" s="255">
        <f>AV73-BE73-AC73-AB73</f>
        <v/>
      </c>
      <c r="BG73" s="255">
        <f>AV73-BE73-BF73-AB73</f>
        <v/>
      </c>
      <c r="BH73" s="255">
        <f>AB73</f>
        <v/>
      </c>
      <c r="BI73">
        <f>IF(BD73&lt;0%,"Loss",IF(BD73&lt;5%,"On Cost Plus",IF(BD73&lt;10%,"Within","Exceed")))</f>
        <v/>
      </c>
      <c r="BJ73" t="inlineStr">
        <is>
          <t>Exceed</t>
        </is>
      </c>
      <c r="BK73">
        <f>0.51*$BK$6</f>
        <v/>
      </c>
      <c r="BL73" s="190">
        <f>BK73-W73</f>
        <v/>
      </c>
      <c r="BM73" s="189">
        <f>BL73*O73</f>
        <v/>
      </c>
    </row>
    <row r="74">
      <c r="A74">
        <f>CONCATENATE(E74,F74,G74,H74,I74,J74,K74,L74)</f>
        <v/>
      </c>
      <c r="B74">
        <f>CONCATENATE(J74,"-&gt;",K74,"/",E74)</f>
        <v/>
      </c>
      <c r="C74" s="23" t="inlineStr">
        <is>
          <t>AFEEZ AJIBADE/Ebenezer</t>
        </is>
      </c>
      <c r="D74">
        <f>CONCATENATE(G74,"-",H74,"-",F74)</f>
        <v/>
      </c>
      <c r="E74" s="24" t="inlineStr">
        <is>
          <t>Lacasera-45T-NBL-DSL-JUMBO</t>
        </is>
      </c>
      <c r="F74" s="24" t="inlineStr">
        <is>
          <t>JUMBO</t>
        </is>
      </c>
      <c r="G74" s="25" t="inlineStr">
        <is>
          <t>NBL-DSL</t>
        </is>
      </c>
      <c r="H74" s="24" t="inlineStr">
        <is>
          <t>45T</t>
        </is>
      </c>
      <c r="I74" s="251" t="inlineStr">
        <is>
          <t>Lacasera</t>
        </is>
      </c>
      <c r="J74" s="251" t="inlineStr">
        <is>
          <t>Lagos</t>
        </is>
      </c>
      <c r="K74" s="23" t="inlineStr">
        <is>
          <t>Nsukka</t>
        </is>
      </c>
      <c r="L74" t="inlineStr">
        <is>
          <t>Enugu</t>
        </is>
      </c>
      <c r="M74" s="1" t="inlineStr">
        <is>
          <t>East</t>
        </is>
      </c>
      <c r="N74" s="261" t="n">
        <v>563</v>
      </c>
      <c r="O74" s="257" t="n">
        <v>1126</v>
      </c>
      <c r="P74" s="227">
        <f>ROUNDUP(O74/300,)</f>
        <v/>
      </c>
      <c r="Q74" s="220" t="n">
        <v>1</v>
      </c>
      <c r="R74" s="220">
        <f>Q74+P74</f>
        <v/>
      </c>
      <c r="S74" s="198">
        <f>ROUNDDOWN(O74*0.7,)</f>
        <v/>
      </c>
      <c r="T74" s="220">
        <f>_xlfn.XLOOKUP(G74,[1]Fx!$A$4:$A$12,[1]Fx!$B$4:$B$12)</f>
        <v/>
      </c>
      <c r="U74" s="220">
        <f>_xlfn.XLOOKUP(G74,[1]Fx!$A$4:$A$12,[1]Fx!$C$4:$C$12)</f>
        <v/>
      </c>
      <c r="V74" s="220">
        <f>_xlfn.XLOOKUP(G74,[1]Fx!$A$4:$A$12,[1]Fx!$D$4:$D$12)</f>
        <v/>
      </c>
      <c r="W74" s="208">
        <f>_xlfn.XLOOKUP(H74&amp;I74,'[1]Mapping DSL'!$H:$H,'[1]Mapping DSL'!$J:$J)</f>
        <v/>
      </c>
      <c r="X74" s="220">
        <f>_xlfn.XLOOKUP(G74,[1]Fx!$A$4:$A$12,[1]Fx!$E$4:$E$12)</f>
        <v/>
      </c>
      <c r="Y74" s="220">
        <f>T74*R74</f>
        <v/>
      </c>
      <c r="Z74" s="220">
        <f>U74*O74</f>
        <v/>
      </c>
      <c r="AA74" s="220">
        <f>V74*O74</f>
        <v/>
      </c>
      <c r="AB74" s="220">
        <f>W74*O74</f>
        <v/>
      </c>
      <c r="AC74" s="198">
        <f>X74*O74</f>
        <v/>
      </c>
      <c r="AD74" s="220" t="n">
        <v>0</v>
      </c>
      <c r="AE74" s="220" t="n">
        <v>0</v>
      </c>
      <c r="AF74" s="220">
        <f>SUM(Y74:AE74)</f>
        <v/>
      </c>
      <c r="AG74" s="205">
        <f>_xlfn.XLOOKUP(G74,[1]Fx!$A$16:$A$24,[1]Fx!$B$16:$B$24)</f>
        <v/>
      </c>
      <c r="AH74" s="220">
        <f>AG74*R74</f>
        <v/>
      </c>
      <c r="AI74" s="220">
        <f>$AI$6*Z74</f>
        <v/>
      </c>
      <c r="AJ74" s="220">
        <f>$AJ$6*AA74</f>
        <v/>
      </c>
      <c r="AK74" s="220">
        <f>$AK$6*AB74</f>
        <v/>
      </c>
      <c r="AL74" s="220">
        <f>$AL$6*AC74</f>
        <v/>
      </c>
      <c r="AM74" s="220">
        <f>SUM(AH74:AL74)</f>
        <v/>
      </c>
      <c r="AN74" s="220" t="n">
        <v>0</v>
      </c>
      <c r="AO74" s="220">
        <f>AN74*AH74</f>
        <v/>
      </c>
      <c r="AP74" s="220">
        <f>AD74</f>
        <v/>
      </c>
      <c r="AQ74" s="220">
        <f>AE74</f>
        <v/>
      </c>
      <c r="AR74" s="220">
        <f>AM74-AO74</f>
        <v/>
      </c>
      <c r="AS74" s="220">
        <f>AR74-AK74</f>
        <v/>
      </c>
      <c r="AT74" s="220">
        <f>AS74*1.075</f>
        <v/>
      </c>
      <c r="AU74" s="220">
        <f>ROUNDUP(AT74+AK74+AP74+AQ74,-4)</f>
        <v/>
      </c>
      <c r="AV74" s="198" t="n">
        <v>2565819</v>
      </c>
      <c r="AW74" s="227" t="n"/>
      <c r="AX74" s="220">
        <f>AV74-AR74</f>
        <v/>
      </c>
      <c r="AY74" s="35">
        <f>AX74/AR74</f>
        <v/>
      </c>
      <c r="AZ74" s="220">
        <f>AV74-AF74</f>
        <v/>
      </c>
      <c r="BA74" s="215">
        <f>AV74-SUM(Z74:AC74)</f>
        <v/>
      </c>
      <c r="BB74" s="215">
        <f>BA74-Y74</f>
        <v/>
      </c>
      <c r="BC74" s="35">
        <f>BB74/BA74</f>
        <v/>
      </c>
      <c r="BD74" s="35">
        <f>IFERROR(AZ74/AV74,)</f>
        <v/>
      </c>
      <c r="BE74" s="255">
        <f>AV74-SUM(Z74:AC74)</f>
        <v/>
      </c>
      <c r="BF74" s="255">
        <f>AV74-BE74-AC74-AB74</f>
        <v/>
      </c>
      <c r="BG74" s="255">
        <f>AV74-BE74-BF74-AB74</f>
        <v/>
      </c>
      <c r="BH74" s="255">
        <f>AB74</f>
        <v/>
      </c>
      <c r="BI74">
        <f>IF(BD74&lt;0%,"Loss",IF(BD74&lt;5%,"On Cost Plus",IF(BD74&lt;10%,"Within","Exceed")))</f>
        <v/>
      </c>
      <c r="BJ74" t="inlineStr">
        <is>
          <t>Exceed</t>
        </is>
      </c>
      <c r="BK74">
        <f>0.51*$BK$6</f>
        <v/>
      </c>
      <c r="BL74" s="190">
        <f>BK74-W74</f>
        <v/>
      </c>
      <c r="BM74" s="189">
        <f>BL74*O74</f>
        <v/>
      </c>
    </row>
    <row r="75">
      <c r="A75">
        <f>CONCATENATE(E75,F75,G75,H75,I75,J75,K75,L75)</f>
        <v/>
      </c>
      <c r="B75">
        <f>CONCATENATE(J75,"-&gt;",K75,"/",E75)</f>
        <v/>
      </c>
      <c r="C75" s="23" t="inlineStr">
        <is>
          <t>AFEEZ AJIBADE/Ebenezer</t>
        </is>
      </c>
      <c r="D75">
        <f>CONCATENATE(G75,"-",H75,"-",F75)</f>
        <v/>
      </c>
      <c r="E75" s="24" t="inlineStr">
        <is>
          <t>Lacasera-45T-NBL-DSL-JUMBO</t>
        </is>
      </c>
      <c r="F75" s="24" t="inlineStr">
        <is>
          <t>JUMBO</t>
        </is>
      </c>
      <c r="G75" s="25" t="inlineStr">
        <is>
          <t>NBL-DSL</t>
        </is>
      </c>
      <c r="H75" s="24" t="inlineStr">
        <is>
          <t>45T</t>
        </is>
      </c>
      <c r="I75" s="251" t="inlineStr">
        <is>
          <t>Lacasera</t>
        </is>
      </c>
      <c r="J75" s="251" t="inlineStr">
        <is>
          <t>Lagos</t>
        </is>
      </c>
      <c r="K75" s="23" t="inlineStr">
        <is>
          <t>Owerri</t>
        </is>
      </c>
      <c r="L75" t="inlineStr">
        <is>
          <t>Imo</t>
        </is>
      </c>
      <c r="M75" s="1" t="inlineStr">
        <is>
          <t>East</t>
        </is>
      </c>
      <c r="N75" s="261" t="n">
        <v>567</v>
      </c>
      <c r="O75" s="257" t="n">
        <v>1134</v>
      </c>
      <c r="P75" s="227">
        <f>ROUNDUP(O75/300,)</f>
        <v/>
      </c>
      <c r="Q75" s="220" t="n">
        <v>1</v>
      </c>
      <c r="R75" s="220">
        <f>Q75+P75</f>
        <v/>
      </c>
      <c r="S75" s="198">
        <f>ROUNDDOWN(O75*0.7,)</f>
        <v/>
      </c>
      <c r="T75" s="220">
        <f>_xlfn.XLOOKUP(G75,[1]Fx!$A$4:$A$12,[1]Fx!$B$4:$B$12)</f>
        <v/>
      </c>
      <c r="U75" s="220">
        <f>_xlfn.XLOOKUP(G75,[1]Fx!$A$4:$A$12,[1]Fx!$C$4:$C$12)</f>
        <v/>
      </c>
      <c r="V75" s="220">
        <f>_xlfn.XLOOKUP(G75,[1]Fx!$A$4:$A$12,[1]Fx!$D$4:$D$12)</f>
        <v/>
      </c>
      <c r="W75" s="208">
        <f>_xlfn.XLOOKUP(H75&amp;I75,'[1]Mapping DSL'!$H:$H,'[1]Mapping DSL'!$J:$J)</f>
        <v/>
      </c>
      <c r="X75" s="220">
        <f>_xlfn.XLOOKUP(G75,[1]Fx!$A$4:$A$12,[1]Fx!$E$4:$E$12)</f>
        <v/>
      </c>
      <c r="Y75" s="220">
        <f>T75*R75</f>
        <v/>
      </c>
      <c r="Z75" s="220">
        <f>U75*O75</f>
        <v/>
      </c>
      <c r="AA75" s="220">
        <f>V75*O75</f>
        <v/>
      </c>
      <c r="AB75" s="220">
        <f>W75*O75</f>
        <v/>
      </c>
      <c r="AC75" s="198">
        <f>X75*O75</f>
        <v/>
      </c>
      <c r="AD75" s="220" t="n">
        <v>0</v>
      </c>
      <c r="AE75" s="220" t="n">
        <v>0</v>
      </c>
      <c r="AF75" s="220">
        <f>SUM(Y75:AE75)</f>
        <v/>
      </c>
      <c r="AG75" s="205">
        <f>_xlfn.XLOOKUP(G75,[1]Fx!$A$16:$A$24,[1]Fx!$B$16:$B$24)</f>
        <v/>
      </c>
      <c r="AH75" s="220">
        <f>AG75*R75</f>
        <v/>
      </c>
      <c r="AI75" s="220">
        <f>$AI$6*Z75</f>
        <v/>
      </c>
      <c r="AJ75" s="220">
        <f>$AJ$6*AA75</f>
        <v/>
      </c>
      <c r="AK75" s="220">
        <f>$AK$6*AB75</f>
        <v/>
      </c>
      <c r="AL75" s="220">
        <f>$AL$6*AC75</f>
        <v/>
      </c>
      <c r="AM75" s="220">
        <f>SUM(AH75:AL75)</f>
        <v/>
      </c>
      <c r="AN75" s="220" t="n">
        <v>0</v>
      </c>
      <c r="AO75" s="220">
        <f>AN75*AH75</f>
        <v/>
      </c>
      <c r="AP75" s="220">
        <f>AD75</f>
        <v/>
      </c>
      <c r="AQ75" s="220">
        <f>AE75</f>
        <v/>
      </c>
      <c r="AR75" s="220">
        <f>AM75-AO75</f>
        <v/>
      </c>
      <c r="AS75" s="220">
        <f>AR75-AK75</f>
        <v/>
      </c>
      <c r="AT75" s="220">
        <f>AS75*1.075</f>
        <v/>
      </c>
      <c r="AU75" s="220">
        <f>ROUNDUP(AT75+AK75+AP75+AQ75,-4)</f>
        <v/>
      </c>
      <c r="AV75" s="198" t="n">
        <v>2264195</v>
      </c>
      <c r="AW75" s="227" t="n"/>
      <c r="AX75" s="220">
        <f>AV75-AR75</f>
        <v/>
      </c>
      <c r="AY75" s="35">
        <f>AX75/AR75</f>
        <v/>
      </c>
      <c r="AZ75" s="220">
        <f>AV75-AF75</f>
        <v/>
      </c>
      <c r="BA75" s="215">
        <f>AV75-SUM(Z75:AC75)</f>
        <v/>
      </c>
      <c r="BB75" s="215">
        <f>BA75-Y75</f>
        <v/>
      </c>
      <c r="BC75" s="35">
        <f>BB75/BA75</f>
        <v/>
      </c>
      <c r="BD75" s="35">
        <f>IFERROR(AZ75/AV75,)</f>
        <v/>
      </c>
      <c r="BE75" s="255">
        <f>AV75-SUM(Z75:AC75)</f>
        <v/>
      </c>
      <c r="BF75" s="255">
        <f>AV75-BE75-AC75-AB75</f>
        <v/>
      </c>
      <c r="BG75" s="255">
        <f>AV75-BE75-BF75-AB75</f>
        <v/>
      </c>
      <c r="BH75" s="255">
        <f>AB75</f>
        <v/>
      </c>
      <c r="BI75">
        <f>IF(BD75&lt;0%,"Loss",IF(BD75&lt;5%,"On Cost Plus",IF(BD75&lt;10%,"Within","Exceed")))</f>
        <v/>
      </c>
      <c r="BJ75" t="inlineStr">
        <is>
          <t>Exceed</t>
        </is>
      </c>
      <c r="BK75">
        <f>0.51*$BK$6</f>
        <v/>
      </c>
      <c r="BL75" s="190">
        <f>BK75-W75</f>
        <v/>
      </c>
      <c r="BM75" s="189">
        <f>BL75*O75</f>
        <v/>
      </c>
    </row>
    <row r="76">
      <c r="A76">
        <f>CONCATENATE(E76,F76,G76,H76,I76,J76,K76,L76)</f>
        <v/>
      </c>
      <c r="B76">
        <f>CONCATENATE(J76,"-&gt;",K76,"/",E76)</f>
        <v/>
      </c>
      <c r="C76" s="23" t="inlineStr">
        <is>
          <t>AFEEZ AJIBADE/Ebenezer</t>
        </is>
      </c>
      <c r="D76">
        <f>CONCATENATE(G76,"-",H76,"-",F76)</f>
        <v/>
      </c>
      <c r="E76" s="24" t="inlineStr">
        <is>
          <t>Lacasera-45T-NBL-DSL-JUMBO</t>
        </is>
      </c>
      <c r="F76" s="24" t="inlineStr">
        <is>
          <t>JUMBO</t>
        </is>
      </c>
      <c r="G76" s="25" t="inlineStr">
        <is>
          <t>NBL-DSL</t>
        </is>
      </c>
      <c r="H76" s="24" t="inlineStr">
        <is>
          <t>45T</t>
        </is>
      </c>
      <c r="I76" s="251" t="inlineStr">
        <is>
          <t>Lacasera</t>
        </is>
      </c>
      <c r="J76" s="251" t="inlineStr">
        <is>
          <t>Lagos</t>
        </is>
      </c>
      <c r="K76" s="23" t="inlineStr">
        <is>
          <t>Port Harcourt</t>
        </is>
      </c>
      <c r="L76" t="inlineStr">
        <is>
          <t>Rivers</t>
        </is>
      </c>
      <c r="M76" s="1" t="inlineStr">
        <is>
          <t>East</t>
        </is>
      </c>
      <c r="N76" s="261" t="n">
        <v>601</v>
      </c>
      <c r="O76" s="257" t="n">
        <v>1202</v>
      </c>
      <c r="P76" s="227">
        <f>ROUNDUP(O76/300,)</f>
        <v/>
      </c>
      <c r="Q76" s="220" t="n">
        <v>1</v>
      </c>
      <c r="R76" s="220">
        <f>Q76+P76</f>
        <v/>
      </c>
      <c r="S76" s="198">
        <f>ROUNDDOWN(O76*0.7,)</f>
        <v/>
      </c>
      <c r="T76" s="220">
        <f>_xlfn.XLOOKUP(G76,[1]Fx!$A$4:$A$12,[1]Fx!$B$4:$B$12)</f>
        <v/>
      </c>
      <c r="U76" s="220">
        <f>_xlfn.XLOOKUP(G76,[1]Fx!$A$4:$A$12,[1]Fx!$C$4:$C$12)</f>
        <v/>
      </c>
      <c r="V76" s="220">
        <f>_xlfn.XLOOKUP(G76,[1]Fx!$A$4:$A$12,[1]Fx!$D$4:$D$12)</f>
        <v/>
      </c>
      <c r="W76" s="208">
        <f>_xlfn.XLOOKUP(H76&amp;I76,'[1]Mapping DSL'!$H:$H,'[1]Mapping DSL'!$J:$J)</f>
        <v/>
      </c>
      <c r="X76" s="220">
        <f>_xlfn.XLOOKUP(G76,[1]Fx!$A$4:$A$12,[1]Fx!$E$4:$E$12)</f>
        <v/>
      </c>
      <c r="Y76" s="220">
        <f>T76*R76</f>
        <v/>
      </c>
      <c r="Z76" s="220">
        <f>U76*O76</f>
        <v/>
      </c>
      <c r="AA76" s="220">
        <f>V76*O76</f>
        <v/>
      </c>
      <c r="AB76" s="220">
        <f>W76*O76</f>
        <v/>
      </c>
      <c r="AC76" s="198">
        <f>X76*O76</f>
        <v/>
      </c>
      <c r="AD76" s="220" t="n">
        <v>0</v>
      </c>
      <c r="AE76" s="220" t="n">
        <v>0</v>
      </c>
      <c r="AF76" s="220">
        <f>SUM(Y76:AE76)</f>
        <v/>
      </c>
      <c r="AG76" s="205">
        <f>_xlfn.XLOOKUP(G76,[1]Fx!$A$16:$A$24,[1]Fx!$B$16:$B$24)</f>
        <v/>
      </c>
      <c r="AH76" s="220">
        <f>AG76*R76</f>
        <v/>
      </c>
      <c r="AI76" s="220">
        <f>$AI$6*Z76</f>
        <v/>
      </c>
      <c r="AJ76" s="220">
        <f>$AJ$6*AA76</f>
        <v/>
      </c>
      <c r="AK76" s="220">
        <f>$AK$6*AB76</f>
        <v/>
      </c>
      <c r="AL76" s="220">
        <f>$AL$6*AC76</f>
        <v/>
      </c>
      <c r="AM76" s="220">
        <f>SUM(AH76:AL76)</f>
        <v/>
      </c>
      <c r="AN76" s="220" t="n">
        <v>0</v>
      </c>
      <c r="AO76" s="220">
        <f>AN76*AH76</f>
        <v/>
      </c>
      <c r="AP76" s="220">
        <f>AD76</f>
        <v/>
      </c>
      <c r="AQ76" s="220">
        <f>AE76</f>
        <v/>
      </c>
      <c r="AR76" s="220">
        <f>AM76-AO76</f>
        <v/>
      </c>
      <c r="AS76" s="220">
        <f>AR76-AK76</f>
        <v/>
      </c>
      <c r="AT76" s="220">
        <f>AS76*1.075</f>
        <v/>
      </c>
      <c r="AU76" s="220">
        <f>ROUNDUP(AT76+AK76+AP76+AQ76,-4)</f>
        <v/>
      </c>
      <c r="AV76" s="198" t="n">
        <v>2741678</v>
      </c>
      <c r="AW76" s="227" t="n"/>
      <c r="AX76" s="220">
        <f>AV76-AR76</f>
        <v/>
      </c>
      <c r="AY76" s="35">
        <f>AX76/AR76</f>
        <v/>
      </c>
      <c r="AZ76" s="220">
        <f>AV76-AF76</f>
        <v/>
      </c>
      <c r="BA76" s="215">
        <f>AV76-SUM(Z76:AC76)</f>
        <v/>
      </c>
      <c r="BB76" s="215">
        <f>BA76-Y76</f>
        <v/>
      </c>
      <c r="BC76" s="35">
        <f>BB76/BA76</f>
        <v/>
      </c>
      <c r="BD76" s="35">
        <f>IFERROR(AZ76/AV76,)</f>
        <v/>
      </c>
      <c r="BE76" s="255">
        <f>AV76-SUM(Z76:AC76)</f>
        <v/>
      </c>
      <c r="BF76" s="255">
        <f>AV76-BE76-AC76-AB76</f>
        <v/>
      </c>
      <c r="BG76" s="255">
        <f>AV76-BE76-BF76-AB76</f>
        <v/>
      </c>
      <c r="BH76" s="255">
        <f>AB76</f>
        <v/>
      </c>
      <c r="BI76">
        <f>IF(BD76&lt;0%,"Loss",IF(BD76&lt;5%,"On Cost Plus",IF(BD76&lt;10%,"Within","Exceed")))</f>
        <v/>
      </c>
      <c r="BJ76" t="inlineStr">
        <is>
          <t>Exceed</t>
        </is>
      </c>
      <c r="BK76">
        <f>0.51*$BK$6</f>
        <v/>
      </c>
      <c r="BL76" s="190">
        <f>BK76-W76</f>
        <v/>
      </c>
      <c r="BM76" s="189">
        <f>BL76*O76</f>
        <v/>
      </c>
    </row>
    <row r="77">
      <c r="A77">
        <f>CONCATENATE(E77,F77,G77,H77,I77,J77,K77,L77)</f>
        <v/>
      </c>
      <c r="B77">
        <f>CONCATENATE(J77,"-&gt;",K77,"/",E77)</f>
        <v/>
      </c>
      <c r="C77" s="23" t="inlineStr">
        <is>
          <t>AFEEZ AJIBADE/Ebenezer</t>
        </is>
      </c>
      <c r="D77">
        <f>CONCATENATE(G77,"-",H77,"-",F77)</f>
        <v/>
      </c>
      <c r="E77" s="24" t="inlineStr">
        <is>
          <t>Lacasera-45T-NBL-DSL-JUMBO</t>
        </is>
      </c>
      <c r="F77" s="24" t="inlineStr">
        <is>
          <t>JUMBO</t>
        </is>
      </c>
      <c r="G77" s="25" t="inlineStr">
        <is>
          <t>NBL-DSL</t>
        </is>
      </c>
      <c r="H77" s="24" t="inlineStr">
        <is>
          <t>45T</t>
        </is>
      </c>
      <c r="I77" s="251" t="inlineStr">
        <is>
          <t>Lacasera</t>
        </is>
      </c>
      <c r="J77" s="251" t="inlineStr">
        <is>
          <t>Lagos</t>
        </is>
      </c>
      <c r="K77" s="23" t="inlineStr">
        <is>
          <t>Uyo</t>
        </is>
      </c>
      <c r="L77" t="inlineStr">
        <is>
          <t>Akwa Ibom</t>
        </is>
      </c>
      <c r="M77" s="1" t="inlineStr">
        <is>
          <t>East</t>
        </is>
      </c>
      <c r="N77" s="261" t="n">
        <v>678</v>
      </c>
      <c r="O77" s="257" t="n">
        <v>1356</v>
      </c>
      <c r="P77" s="227">
        <f>ROUNDUP(O77/300,)</f>
        <v/>
      </c>
      <c r="Q77" s="220" t="n">
        <v>1</v>
      </c>
      <c r="R77" s="220">
        <f>Q77+P77</f>
        <v/>
      </c>
      <c r="S77" s="198">
        <f>ROUNDDOWN(O77*0.7,)</f>
        <v/>
      </c>
      <c r="T77" s="220">
        <f>_xlfn.XLOOKUP(G77,[1]Fx!$A$4:$A$12,[1]Fx!$B$4:$B$12)</f>
        <v/>
      </c>
      <c r="U77" s="220">
        <f>_xlfn.XLOOKUP(G77,[1]Fx!$A$4:$A$12,[1]Fx!$C$4:$C$12)</f>
        <v/>
      </c>
      <c r="V77" s="220">
        <f>_xlfn.XLOOKUP(G77,[1]Fx!$A$4:$A$12,[1]Fx!$D$4:$D$12)</f>
        <v/>
      </c>
      <c r="W77" s="208">
        <f>_xlfn.XLOOKUP(H77&amp;I77,'[1]Mapping DSL'!$H:$H,'[1]Mapping DSL'!$J:$J)</f>
        <v/>
      </c>
      <c r="X77" s="220">
        <f>_xlfn.XLOOKUP(G77,[1]Fx!$A$4:$A$12,[1]Fx!$E$4:$E$12)</f>
        <v/>
      </c>
      <c r="Y77" s="220">
        <f>T77*R77</f>
        <v/>
      </c>
      <c r="Z77" s="220">
        <f>U77*O77</f>
        <v/>
      </c>
      <c r="AA77" s="220">
        <f>V77*O77</f>
        <v/>
      </c>
      <c r="AB77" s="220">
        <f>W77*O77</f>
        <v/>
      </c>
      <c r="AC77" s="198">
        <f>X77*O77</f>
        <v/>
      </c>
      <c r="AD77" s="220" t="n">
        <v>0</v>
      </c>
      <c r="AE77" s="220" t="n">
        <v>0</v>
      </c>
      <c r="AF77" s="220">
        <f>SUM(Y77:AE77)</f>
        <v/>
      </c>
      <c r="AG77" s="205">
        <f>_xlfn.XLOOKUP(G77,[1]Fx!$A$16:$A$24,[1]Fx!$B$16:$B$24)</f>
        <v/>
      </c>
      <c r="AH77" s="220">
        <f>AG77*R77</f>
        <v/>
      </c>
      <c r="AI77" s="220">
        <f>$AI$6*Z77</f>
        <v/>
      </c>
      <c r="AJ77" s="220">
        <f>$AJ$6*AA77</f>
        <v/>
      </c>
      <c r="AK77" s="220">
        <f>$AK$6*AB77</f>
        <v/>
      </c>
      <c r="AL77" s="220">
        <f>$AL$6*AC77</f>
        <v/>
      </c>
      <c r="AM77" s="220">
        <f>SUM(AH77:AL77)</f>
        <v/>
      </c>
      <c r="AN77" s="220" t="n">
        <v>0</v>
      </c>
      <c r="AO77" s="220">
        <f>AN77*AH77</f>
        <v/>
      </c>
      <c r="AP77" s="220">
        <f>AD77</f>
        <v/>
      </c>
      <c r="AQ77" s="220">
        <f>AE77</f>
        <v/>
      </c>
      <c r="AR77" s="220">
        <f>AM77-AO77</f>
        <v/>
      </c>
      <c r="AS77" s="220">
        <f>AR77-AK77</f>
        <v/>
      </c>
      <c r="AT77" s="220">
        <f>AS77*1.075</f>
        <v/>
      </c>
      <c r="AU77" s="220">
        <f>ROUNDUP(AT77+AK77+AP77+AQ77,-4)</f>
        <v/>
      </c>
      <c r="AV77" s="198" t="n">
        <v>2774125</v>
      </c>
      <c r="AW77" s="227" t="n"/>
      <c r="AX77" s="220">
        <f>AV77-AR77</f>
        <v/>
      </c>
      <c r="AY77" s="35">
        <f>AX77/AR77</f>
        <v/>
      </c>
      <c r="AZ77" s="220">
        <f>AV77-AF77</f>
        <v/>
      </c>
      <c r="BA77" s="215">
        <f>AV77-SUM(Z77:AC77)</f>
        <v/>
      </c>
      <c r="BB77" s="215">
        <f>BA77-Y77</f>
        <v/>
      </c>
      <c r="BC77" s="35">
        <f>BB77/BA77</f>
        <v/>
      </c>
      <c r="BD77" s="35">
        <f>IFERROR(AZ77/AV77,)</f>
        <v/>
      </c>
      <c r="BE77" s="255">
        <f>AV77-SUM(Z77:AC77)</f>
        <v/>
      </c>
      <c r="BF77" s="255">
        <f>AV77-BE77-AC77-AB77</f>
        <v/>
      </c>
      <c r="BG77" s="255">
        <f>AV77-BE77-BF77-AB77</f>
        <v/>
      </c>
      <c r="BH77" s="255">
        <f>AB77</f>
        <v/>
      </c>
      <c r="BI77">
        <f>IF(BD77&lt;0%,"Loss",IF(BD77&lt;5%,"On Cost Plus",IF(BD77&lt;10%,"Within","Exceed")))</f>
        <v/>
      </c>
      <c r="BJ77" t="inlineStr">
        <is>
          <t>Exceed</t>
        </is>
      </c>
      <c r="BK77">
        <f>0.51*$BK$6</f>
        <v/>
      </c>
      <c r="BL77" s="190">
        <f>BK77-W77</f>
        <v/>
      </c>
      <c r="BM77" s="189">
        <f>BL77*O77</f>
        <v/>
      </c>
    </row>
    <row r="78">
      <c r="A78">
        <f>CONCATENATE(E78,F78,G78,H78,I78,J78,K78,L78)</f>
        <v/>
      </c>
      <c r="B78">
        <f>CONCATENATE(J78,"-&gt;",K78,"/",E78)</f>
        <v/>
      </c>
      <c r="C78" s="23" t="inlineStr">
        <is>
          <t>AFEEZ AJIBADE/Ebenezer</t>
        </is>
      </c>
      <c r="D78">
        <f>CONCATENATE(G78,"-",H78,"-",F78)</f>
        <v/>
      </c>
      <c r="E78" s="24" t="inlineStr">
        <is>
          <t>Lacasera-45T-NBL-DSL-JUMBO</t>
        </is>
      </c>
      <c r="F78" s="24" t="inlineStr">
        <is>
          <t>JUMBO</t>
        </is>
      </c>
      <c r="G78" s="25" t="inlineStr">
        <is>
          <t>NBL-DSL</t>
        </is>
      </c>
      <c r="H78" s="24" t="inlineStr">
        <is>
          <t>45T</t>
        </is>
      </c>
      <c r="I78" s="251" t="inlineStr">
        <is>
          <t>Lacasera</t>
        </is>
      </c>
      <c r="J78" s="251" t="inlineStr">
        <is>
          <t>Lagos</t>
        </is>
      </c>
      <c r="K78" s="23" t="inlineStr">
        <is>
          <t>Umunze</t>
        </is>
      </c>
      <c r="L78" t="inlineStr">
        <is>
          <t>Anambra</t>
        </is>
      </c>
      <c r="M78" s="1" t="inlineStr">
        <is>
          <t>East</t>
        </is>
      </c>
      <c r="N78" s="261" t="n">
        <v>529</v>
      </c>
      <c r="O78" s="257" t="n">
        <v>1058</v>
      </c>
      <c r="P78" s="227">
        <f>ROUNDUP(O78/300,)</f>
        <v/>
      </c>
      <c r="Q78" s="220" t="n">
        <v>1</v>
      </c>
      <c r="R78" s="220">
        <f>Q78+P78</f>
        <v/>
      </c>
      <c r="S78" s="198">
        <f>ROUNDDOWN(O78*0.7,)</f>
        <v/>
      </c>
      <c r="T78" s="220">
        <f>_xlfn.XLOOKUP(G78,[1]Fx!$A$4:$A$12,[1]Fx!$B$4:$B$12)</f>
        <v/>
      </c>
      <c r="U78" s="220">
        <f>_xlfn.XLOOKUP(G78,[1]Fx!$A$4:$A$12,[1]Fx!$C$4:$C$12)</f>
        <v/>
      </c>
      <c r="V78" s="220">
        <f>_xlfn.XLOOKUP(G78,[1]Fx!$A$4:$A$12,[1]Fx!$D$4:$D$12)</f>
        <v/>
      </c>
      <c r="W78" s="208">
        <f>_xlfn.XLOOKUP(H78&amp;I78,'[1]Mapping DSL'!$H:$H,'[1]Mapping DSL'!$J:$J)</f>
        <v/>
      </c>
      <c r="X78" s="220">
        <f>_xlfn.XLOOKUP(G78,[1]Fx!$A$4:$A$12,[1]Fx!$E$4:$E$12)</f>
        <v/>
      </c>
      <c r="Y78" s="220">
        <f>T78*R78</f>
        <v/>
      </c>
      <c r="Z78" s="220">
        <f>U78*O78</f>
        <v/>
      </c>
      <c r="AA78" s="220">
        <f>V78*O78</f>
        <v/>
      </c>
      <c r="AB78" s="220">
        <f>W78*O78</f>
        <v/>
      </c>
      <c r="AC78" s="198">
        <f>X78*O78</f>
        <v/>
      </c>
      <c r="AD78" s="220" t="n">
        <v>0</v>
      </c>
      <c r="AE78" s="220" t="n">
        <v>0</v>
      </c>
      <c r="AF78" s="220">
        <f>SUM(Y78:AE78)</f>
        <v/>
      </c>
      <c r="AG78" s="205">
        <f>_xlfn.XLOOKUP(G78,[1]Fx!$A$16:$A$24,[1]Fx!$B$16:$B$24)</f>
        <v/>
      </c>
      <c r="AH78" s="220">
        <f>AG78*R78</f>
        <v/>
      </c>
      <c r="AI78" s="220">
        <f>$AI$6*Z78</f>
        <v/>
      </c>
      <c r="AJ78" s="220">
        <f>$AJ$6*AA78</f>
        <v/>
      </c>
      <c r="AK78" s="220">
        <f>$AK$6*AB78</f>
        <v/>
      </c>
      <c r="AL78" s="220">
        <f>$AL$6*AC78</f>
        <v/>
      </c>
      <c r="AM78" s="220">
        <f>SUM(AH78:AL78)</f>
        <v/>
      </c>
      <c r="AN78" s="220" t="n">
        <v>0</v>
      </c>
      <c r="AO78" s="220">
        <f>AN78*AH78</f>
        <v/>
      </c>
      <c r="AP78" s="220">
        <f>AD78</f>
        <v/>
      </c>
      <c r="AQ78" s="220">
        <f>AE78</f>
        <v/>
      </c>
      <c r="AR78" s="220">
        <f>AM78-AO78</f>
        <v/>
      </c>
      <c r="AS78" s="220">
        <f>AR78-AK78</f>
        <v/>
      </c>
      <c r="AT78" s="220">
        <f>AS78*1.075</f>
        <v/>
      </c>
      <c r="AU78" s="220">
        <f>ROUNDUP(AT78+AK78+AP78+AQ78,-4)</f>
        <v/>
      </c>
      <c r="AV78" s="198" t="n">
        <v>2311067</v>
      </c>
      <c r="AW78" s="227" t="n"/>
      <c r="AX78" s="220">
        <f>AV78-AR78</f>
        <v/>
      </c>
      <c r="AY78" s="35">
        <f>AX78/AR78</f>
        <v/>
      </c>
      <c r="AZ78" s="220">
        <f>AV78-AF78</f>
        <v/>
      </c>
      <c r="BA78" s="215">
        <f>AV78-SUM(Z78:AC78)</f>
        <v/>
      </c>
      <c r="BB78" s="215">
        <f>BA78-Y78</f>
        <v/>
      </c>
      <c r="BC78" s="35">
        <f>BB78/BA78</f>
        <v/>
      </c>
      <c r="BD78" s="35">
        <f>IFERROR(AZ78/AV78,)</f>
        <v/>
      </c>
      <c r="BE78" s="255">
        <f>AV78-SUM(Z78:AC78)</f>
        <v/>
      </c>
      <c r="BF78" s="255">
        <f>AV78-BE78-AC78-AB78</f>
        <v/>
      </c>
      <c r="BG78" s="255">
        <f>AV78-BE78-BF78-AB78</f>
        <v/>
      </c>
      <c r="BH78" s="255">
        <f>AB78</f>
        <v/>
      </c>
      <c r="BI78">
        <f>IF(BD78&lt;0%,"Loss",IF(BD78&lt;5%,"On Cost Plus",IF(BD78&lt;10%,"Within","Exceed")))</f>
        <v/>
      </c>
      <c r="BJ78" t="inlineStr">
        <is>
          <t>Exceed</t>
        </is>
      </c>
      <c r="BK78">
        <f>0.51*$BK$6</f>
        <v/>
      </c>
      <c r="BL78" s="190">
        <f>BK78-W78</f>
        <v/>
      </c>
      <c r="BM78" s="189">
        <f>BL78*O78</f>
        <v/>
      </c>
    </row>
    <row r="79">
      <c r="A79">
        <f>CONCATENATE(E79,F79,G79,H79,I79,J79,K79,L79)</f>
        <v/>
      </c>
      <c r="B79">
        <f>CONCATENATE(J79,"-&gt;",K79,"/",E79)</f>
        <v/>
      </c>
      <c r="C79" s="23" t="inlineStr">
        <is>
          <t>AFEEZ AJIBADE/Ebenezer</t>
        </is>
      </c>
      <c r="D79">
        <f>CONCATENATE(G79,"-",H79,"-",F79)</f>
        <v/>
      </c>
      <c r="E79" s="24" t="inlineStr">
        <is>
          <t>Lacasera-45T-NBL-DSL-JUMBO</t>
        </is>
      </c>
      <c r="F79" s="24" t="inlineStr">
        <is>
          <t>JUMBO</t>
        </is>
      </c>
      <c r="G79" s="25" t="inlineStr">
        <is>
          <t>NBL-DSL</t>
        </is>
      </c>
      <c r="H79" s="24" t="inlineStr">
        <is>
          <t>45T</t>
        </is>
      </c>
      <c r="I79" s="251" t="inlineStr">
        <is>
          <t>Lacasera</t>
        </is>
      </c>
      <c r="J79" s="251" t="inlineStr">
        <is>
          <t>Lagos</t>
        </is>
      </c>
      <c r="K79" s="23" t="inlineStr">
        <is>
          <t>Abak</t>
        </is>
      </c>
      <c r="L79" t="inlineStr">
        <is>
          <t>Akwa Ibom</t>
        </is>
      </c>
      <c r="M79" s="1" t="inlineStr">
        <is>
          <t>East</t>
        </is>
      </c>
      <c r="N79" s="261" t="n">
        <v>668.5</v>
      </c>
      <c r="O79" s="257" t="n">
        <v>1337</v>
      </c>
      <c r="P79" s="227">
        <f>ROUNDUP(O79/300,)</f>
        <v/>
      </c>
      <c r="Q79" s="220" t="n">
        <v>1</v>
      </c>
      <c r="R79" s="220">
        <f>Q79+P79</f>
        <v/>
      </c>
      <c r="S79" s="198">
        <f>ROUNDDOWN(O79*0.7,)</f>
        <v/>
      </c>
      <c r="T79" s="220">
        <f>_xlfn.XLOOKUP(G79,[1]Fx!$A$4:$A$12,[1]Fx!$B$4:$B$12)</f>
        <v/>
      </c>
      <c r="U79" s="220">
        <f>_xlfn.XLOOKUP(G79,[1]Fx!$A$4:$A$12,[1]Fx!$C$4:$C$12)</f>
        <v/>
      </c>
      <c r="V79" s="220">
        <f>_xlfn.XLOOKUP(G79,[1]Fx!$A$4:$A$12,[1]Fx!$D$4:$D$12)</f>
        <v/>
      </c>
      <c r="W79" s="208">
        <f>_xlfn.XLOOKUP(H79&amp;I79,'[1]Mapping DSL'!$H:$H,'[1]Mapping DSL'!$J:$J)</f>
        <v/>
      </c>
      <c r="X79" s="220">
        <f>_xlfn.XLOOKUP(G79,[1]Fx!$A$4:$A$12,[1]Fx!$E$4:$E$12)</f>
        <v/>
      </c>
      <c r="Y79" s="220">
        <f>T79*R79</f>
        <v/>
      </c>
      <c r="Z79" s="220">
        <f>U79*O79</f>
        <v/>
      </c>
      <c r="AA79" s="220">
        <f>V79*O79</f>
        <v/>
      </c>
      <c r="AB79" s="220">
        <f>W79*O79</f>
        <v/>
      </c>
      <c r="AC79" s="198">
        <f>X79*O79</f>
        <v/>
      </c>
      <c r="AD79" s="220" t="n">
        <v>0</v>
      </c>
      <c r="AE79" s="220" t="n">
        <v>0</v>
      </c>
      <c r="AF79" s="220">
        <f>SUM(Y79:AE79)</f>
        <v/>
      </c>
      <c r="AG79" s="205">
        <f>_xlfn.XLOOKUP(G79,[1]Fx!$A$16:$A$24,[1]Fx!$B$16:$B$24)</f>
        <v/>
      </c>
      <c r="AH79" s="220">
        <f>AG79*R79</f>
        <v/>
      </c>
      <c r="AI79" s="220">
        <f>$AI$6*Z79</f>
        <v/>
      </c>
      <c r="AJ79" s="220">
        <f>$AJ$6*AA79</f>
        <v/>
      </c>
      <c r="AK79" s="220">
        <f>$AK$6*AB79</f>
        <v/>
      </c>
      <c r="AL79" s="220">
        <f>$AL$6*AC79</f>
        <v/>
      </c>
      <c r="AM79" s="220">
        <f>SUM(AH79:AL79)</f>
        <v/>
      </c>
      <c r="AN79" s="220" t="n">
        <v>0</v>
      </c>
      <c r="AO79" s="220">
        <f>AN79*AH79</f>
        <v/>
      </c>
      <c r="AP79" s="220">
        <f>AD79</f>
        <v/>
      </c>
      <c r="AQ79" s="220">
        <f>AE79</f>
        <v/>
      </c>
      <c r="AR79" s="220">
        <f>AM79-AO79</f>
        <v/>
      </c>
      <c r="AS79" s="220">
        <f>AR79-AK79</f>
        <v/>
      </c>
      <c r="AT79" s="220">
        <f>AS79*1.075</f>
        <v/>
      </c>
      <c r="AU79" s="220">
        <f>ROUNDUP(AT79+AK79+AP79+AQ79,-4)</f>
        <v/>
      </c>
      <c r="AV79" s="198" t="n">
        <v>2854350</v>
      </c>
      <c r="AW79" s="227" t="n"/>
      <c r="AX79" s="220">
        <f>AV79-AR79</f>
        <v/>
      </c>
      <c r="AY79" s="35">
        <f>AX79/AR79</f>
        <v/>
      </c>
      <c r="AZ79" s="220">
        <f>AV79-AF79</f>
        <v/>
      </c>
      <c r="BA79" s="215">
        <f>AV79-SUM(Z79:AC79)</f>
        <v/>
      </c>
      <c r="BB79" s="215">
        <f>BA79-Y79</f>
        <v/>
      </c>
      <c r="BC79" s="35">
        <f>BB79/BA79</f>
        <v/>
      </c>
      <c r="BD79" s="35">
        <f>IFERROR(AZ79/AV79,)</f>
        <v/>
      </c>
      <c r="BE79" s="255">
        <f>AV79-SUM(Z79:AC79)</f>
        <v/>
      </c>
      <c r="BF79" s="255">
        <f>AV79-BE79-AC79-AB79</f>
        <v/>
      </c>
      <c r="BG79" s="255">
        <f>AV79-BE79-BF79-AB79</f>
        <v/>
      </c>
      <c r="BH79" s="255">
        <f>AB79</f>
        <v/>
      </c>
      <c r="BI79">
        <f>IF(BD79&lt;0%,"Loss",IF(BD79&lt;5%,"On Cost Plus",IF(BD79&lt;10%,"Within","Exceed")))</f>
        <v/>
      </c>
      <c r="BJ79" t="inlineStr">
        <is>
          <t>Exceed</t>
        </is>
      </c>
      <c r="BK79">
        <f>0.51*$BK$6</f>
        <v/>
      </c>
      <c r="BL79" s="190">
        <f>BK79-W79</f>
        <v/>
      </c>
      <c r="BM79" s="189">
        <f>BL79*O79</f>
        <v/>
      </c>
    </row>
    <row r="80">
      <c r="A80">
        <f>CONCATENATE(E80,F80,G80,H80,I80,J80,K80,L80)</f>
        <v/>
      </c>
      <c r="B80">
        <f>CONCATENATE(J80,"-&gt;",K80,"/",E80)</f>
        <v/>
      </c>
      <c r="C80" s="23" t="inlineStr">
        <is>
          <t>AFEEZ AJIBADE/Ebenezer</t>
        </is>
      </c>
      <c r="D80">
        <f>CONCATENATE(G80,"-",H80,"-",F80)</f>
        <v/>
      </c>
      <c r="E80" s="24" t="inlineStr">
        <is>
          <t>Lacasera-45T-NBL-DSL-JUMBO</t>
        </is>
      </c>
      <c r="F80" s="24" t="inlineStr">
        <is>
          <t>JUMBO</t>
        </is>
      </c>
      <c r="G80" s="25" t="inlineStr">
        <is>
          <t>NBL-DSL</t>
        </is>
      </c>
      <c r="H80" s="24" t="inlineStr">
        <is>
          <t>45T</t>
        </is>
      </c>
      <c r="I80" s="251" t="inlineStr">
        <is>
          <t>Lacasera</t>
        </is>
      </c>
      <c r="J80" s="251" t="inlineStr">
        <is>
          <t>Lagos</t>
        </is>
      </c>
      <c r="K80" s="23" t="inlineStr">
        <is>
          <t>Awka</t>
        </is>
      </c>
      <c r="L80" t="inlineStr">
        <is>
          <t>Anambra</t>
        </is>
      </c>
      <c r="M80" s="1" t="inlineStr">
        <is>
          <t>East</t>
        </is>
      </c>
      <c r="N80" s="261" t="n">
        <v>498</v>
      </c>
      <c r="O80" s="257" t="n">
        <v>996</v>
      </c>
      <c r="P80" s="227">
        <f>ROUNDUP(O80/300,)</f>
        <v/>
      </c>
      <c r="Q80" s="220" t="n">
        <v>1</v>
      </c>
      <c r="R80" s="220">
        <f>Q80+P80</f>
        <v/>
      </c>
      <c r="S80" s="198">
        <f>ROUNDDOWN(O80*0.7,)</f>
        <v/>
      </c>
      <c r="T80" s="220">
        <f>_xlfn.XLOOKUP(G80,[1]Fx!$A$4:$A$12,[1]Fx!$B$4:$B$12)</f>
        <v/>
      </c>
      <c r="U80" s="220">
        <f>_xlfn.XLOOKUP(G80,[1]Fx!$A$4:$A$12,[1]Fx!$C$4:$C$12)</f>
        <v/>
      </c>
      <c r="V80" s="220">
        <f>_xlfn.XLOOKUP(G80,[1]Fx!$A$4:$A$12,[1]Fx!$D$4:$D$12)</f>
        <v/>
      </c>
      <c r="W80" s="208">
        <f>_xlfn.XLOOKUP(H80&amp;I80,'[1]Mapping DSL'!$H:$H,'[1]Mapping DSL'!$J:$J)</f>
        <v/>
      </c>
      <c r="X80" s="220">
        <f>_xlfn.XLOOKUP(G80,[1]Fx!$A$4:$A$12,[1]Fx!$E$4:$E$12)</f>
        <v/>
      </c>
      <c r="Y80" s="220">
        <f>T80*R80</f>
        <v/>
      </c>
      <c r="Z80" s="220">
        <f>U80*O80</f>
        <v/>
      </c>
      <c r="AA80" s="220">
        <f>V80*O80</f>
        <v/>
      </c>
      <c r="AB80" s="220">
        <f>W80*O80</f>
        <v/>
      </c>
      <c r="AC80" s="198">
        <f>X80*O80</f>
        <v/>
      </c>
      <c r="AD80" s="220" t="n">
        <v>0</v>
      </c>
      <c r="AE80" s="220" t="n">
        <v>0</v>
      </c>
      <c r="AF80" s="220">
        <f>SUM(Y80:AE80)</f>
        <v/>
      </c>
      <c r="AG80" s="205">
        <f>_xlfn.XLOOKUP(G80,[1]Fx!$A$16:$A$24,[1]Fx!$B$16:$B$24)</f>
        <v/>
      </c>
      <c r="AH80" s="220">
        <f>AG80*R80</f>
        <v/>
      </c>
      <c r="AI80" s="220">
        <f>$AI$6*Z80</f>
        <v/>
      </c>
      <c r="AJ80" s="220">
        <f>$AJ$6*AA80</f>
        <v/>
      </c>
      <c r="AK80" s="220">
        <f>$AK$6*AB80</f>
        <v/>
      </c>
      <c r="AL80" s="220">
        <f>$AL$6*AC80</f>
        <v/>
      </c>
      <c r="AM80" s="220">
        <f>SUM(AH80:AL80)</f>
        <v/>
      </c>
      <c r="AN80" s="220" t="n">
        <v>0</v>
      </c>
      <c r="AO80" s="220">
        <f>AN80*AH80</f>
        <v/>
      </c>
      <c r="AP80" s="220">
        <f>AD80</f>
        <v/>
      </c>
      <c r="AQ80" s="220">
        <f>AE80</f>
        <v/>
      </c>
      <c r="AR80" s="220">
        <f>AM80-AO80</f>
        <v/>
      </c>
      <c r="AS80" s="220">
        <f>AR80-AK80</f>
        <v/>
      </c>
      <c r="AT80" s="220">
        <f>AS80*1.075</f>
        <v/>
      </c>
      <c r="AU80" s="220">
        <f>ROUNDUP(AT80+AK80+AP80+AQ80,-4)</f>
        <v/>
      </c>
      <c r="AV80" s="198" t="n">
        <v>2347137</v>
      </c>
      <c r="AW80" s="227" t="n"/>
      <c r="AX80" s="220">
        <f>AV80-AR80</f>
        <v/>
      </c>
      <c r="AY80" s="35">
        <f>AX80/AR80</f>
        <v/>
      </c>
      <c r="AZ80" s="220">
        <f>AV80-AF80</f>
        <v/>
      </c>
      <c r="BA80" s="215">
        <f>AV80-SUM(Z80:AC80)</f>
        <v/>
      </c>
      <c r="BB80" s="215">
        <f>BA80-Y80</f>
        <v/>
      </c>
      <c r="BC80" s="35">
        <f>BB80/BA80</f>
        <v/>
      </c>
      <c r="BD80" s="35">
        <f>IFERROR(AZ80/AV80,)</f>
        <v/>
      </c>
      <c r="BE80" s="255">
        <f>AV80-SUM(Z80:AC80)</f>
        <v/>
      </c>
      <c r="BF80" s="255">
        <f>AV80-BE80-AC80-AB80</f>
        <v/>
      </c>
      <c r="BG80" s="255">
        <f>AV80-BE80-BF80-AB80</f>
        <v/>
      </c>
      <c r="BH80" s="255">
        <f>AB80</f>
        <v/>
      </c>
      <c r="BI80">
        <f>IF(BD80&lt;0%,"Loss",IF(BD80&lt;5%,"On Cost Plus",IF(BD80&lt;10%,"Within","Exceed")))</f>
        <v/>
      </c>
      <c r="BJ80" t="inlineStr">
        <is>
          <t>Exceed</t>
        </is>
      </c>
      <c r="BK80">
        <f>0.51*$BK$6</f>
        <v/>
      </c>
      <c r="BL80" s="190">
        <f>BK80-W80</f>
        <v/>
      </c>
      <c r="BM80" s="189">
        <f>BL80*O80</f>
        <v/>
      </c>
    </row>
    <row r="81">
      <c r="A81">
        <f>CONCATENATE(E81,F81,G81,H81,I81,J81,K81,L81)</f>
        <v/>
      </c>
      <c r="B81">
        <f>CONCATENATE(J81,"-&gt;",K81,"/",E81)</f>
        <v/>
      </c>
      <c r="C81" s="23" t="inlineStr">
        <is>
          <t>AFEEZ AJIBADE/Ebenezer</t>
        </is>
      </c>
      <c r="D81">
        <f>CONCATENATE(G81,"-",H81,"-",F81)</f>
        <v/>
      </c>
      <c r="E81" s="24" t="inlineStr">
        <is>
          <t>Lacasera-45T-NBL-DSL-JUMBO</t>
        </is>
      </c>
      <c r="F81" s="24" t="inlineStr">
        <is>
          <t>JUMBO</t>
        </is>
      </c>
      <c r="G81" s="25" t="inlineStr">
        <is>
          <t>NBL-DSL</t>
        </is>
      </c>
      <c r="H81" s="24" t="inlineStr">
        <is>
          <t>45T</t>
        </is>
      </c>
      <c r="I81" s="251" t="inlineStr">
        <is>
          <t>Lacasera</t>
        </is>
      </c>
      <c r="J81" s="251" t="inlineStr">
        <is>
          <t>Lagos</t>
        </is>
      </c>
      <c r="K81" s="23" t="inlineStr">
        <is>
          <t>Ikom</t>
        </is>
      </c>
      <c r="L81" t="inlineStr">
        <is>
          <t>Cross River</t>
        </is>
      </c>
      <c r="M81" s="1" t="inlineStr">
        <is>
          <t>East</t>
        </is>
      </c>
      <c r="N81" s="261" t="n">
        <v>776</v>
      </c>
      <c r="O81" s="257" t="n">
        <v>1552</v>
      </c>
      <c r="P81" s="227">
        <f>ROUNDUP(O81/300,)</f>
        <v/>
      </c>
      <c r="Q81" s="220" t="n">
        <v>1</v>
      </c>
      <c r="R81" s="220">
        <f>Q81+P81</f>
        <v/>
      </c>
      <c r="S81" s="198">
        <f>ROUNDDOWN(O81*0.7,)</f>
        <v/>
      </c>
      <c r="T81" s="220">
        <f>_xlfn.XLOOKUP(G81,[1]Fx!$A$4:$A$12,[1]Fx!$B$4:$B$12)</f>
        <v/>
      </c>
      <c r="U81" s="220">
        <f>_xlfn.XLOOKUP(G81,[1]Fx!$A$4:$A$12,[1]Fx!$C$4:$C$12)</f>
        <v/>
      </c>
      <c r="V81" s="220">
        <f>_xlfn.XLOOKUP(G81,[1]Fx!$A$4:$A$12,[1]Fx!$D$4:$D$12)</f>
        <v/>
      </c>
      <c r="W81" s="208">
        <f>_xlfn.XLOOKUP(H81&amp;I81,'[1]Mapping DSL'!$H:$H,'[1]Mapping DSL'!$J:$J)</f>
        <v/>
      </c>
      <c r="X81" s="220">
        <f>_xlfn.XLOOKUP(G81,[1]Fx!$A$4:$A$12,[1]Fx!$E$4:$E$12)</f>
        <v/>
      </c>
      <c r="Y81" s="220">
        <f>T81*R81</f>
        <v/>
      </c>
      <c r="Z81" s="220">
        <f>U81*O81</f>
        <v/>
      </c>
      <c r="AA81" s="220">
        <f>V81*O81</f>
        <v/>
      </c>
      <c r="AB81" s="220">
        <f>W81*O81</f>
        <v/>
      </c>
      <c r="AC81" s="198">
        <f>X81*O81</f>
        <v/>
      </c>
      <c r="AD81" s="220" t="n">
        <v>0</v>
      </c>
      <c r="AE81" s="220" t="n">
        <v>0</v>
      </c>
      <c r="AF81" s="220">
        <f>SUM(Y81:AE81)</f>
        <v/>
      </c>
      <c r="AG81" s="205">
        <f>_xlfn.XLOOKUP(G81,[1]Fx!$A$16:$A$24,[1]Fx!$B$16:$B$24)</f>
        <v/>
      </c>
      <c r="AH81" s="220">
        <f>AG81*R81</f>
        <v/>
      </c>
      <c r="AI81" s="220">
        <f>$AI$6*Z81</f>
        <v/>
      </c>
      <c r="AJ81" s="220">
        <f>$AJ$6*AA81</f>
        <v/>
      </c>
      <c r="AK81" s="220">
        <f>$AK$6*AB81</f>
        <v/>
      </c>
      <c r="AL81" s="220">
        <f>$AL$6*AC81</f>
        <v/>
      </c>
      <c r="AM81" s="220">
        <f>SUM(AH81:AL81)</f>
        <v/>
      </c>
      <c r="AN81" s="220" t="n">
        <v>0</v>
      </c>
      <c r="AO81" s="220">
        <f>AN81*AH81</f>
        <v/>
      </c>
      <c r="AP81" s="220">
        <f>AD81</f>
        <v/>
      </c>
      <c r="AQ81" s="220">
        <f>AE81</f>
        <v/>
      </c>
      <c r="AR81" s="220">
        <f>AM81-AO81</f>
        <v/>
      </c>
      <c r="AS81" s="220">
        <f>AR81-AK81</f>
        <v/>
      </c>
      <c r="AT81" s="220">
        <f>AS81*1.075</f>
        <v/>
      </c>
      <c r="AU81" s="220">
        <f>ROUNDUP(AT81+AK81+AP81+AQ81,-4)</f>
        <v/>
      </c>
      <c r="AV81" s="198" t="n">
        <v>3185106</v>
      </c>
      <c r="AW81" s="227" t="n"/>
      <c r="AX81" s="220">
        <f>AV81-AR81</f>
        <v/>
      </c>
      <c r="AY81" s="35">
        <f>AX81/AR81</f>
        <v/>
      </c>
      <c r="AZ81" s="220">
        <f>AV81-AF81</f>
        <v/>
      </c>
      <c r="BA81" s="215">
        <f>AV81-SUM(Z81:AC81)</f>
        <v/>
      </c>
      <c r="BB81" s="215">
        <f>BA81-Y81</f>
        <v/>
      </c>
      <c r="BC81" s="35">
        <f>BB81/BA81</f>
        <v/>
      </c>
      <c r="BD81" s="35">
        <f>IFERROR(AZ81/AV81,)</f>
        <v/>
      </c>
      <c r="BE81" s="255">
        <f>AV81-SUM(Z81:AC81)</f>
        <v/>
      </c>
      <c r="BF81" s="255">
        <f>AV81-BE81-AC81-AB81</f>
        <v/>
      </c>
      <c r="BG81" s="255">
        <f>AV81-BE81-BF81-AB81</f>
        <v/>
      </c>
      <c r="BH81" s="255">
        <f>AB81</f>
        <v/>
      </c>
      <c r="BI81">
        <f>IF(BD81&lt;0%,"Loss",IF(BD81&lt;5%,"On Cost Plus",IF(BD81&lt;10%,"Within","Exceed")))</f>
        <v/>
      </c>
      <c r="BJ81" t="inlineStr">
        <is>
          <t>Exceed</t>
        </is>
      </c>
      <c r="BK81">
        <f>0.51*$BK$6</f>
        <v/>
      </c>
      <c r="BL81" s="190">
        <f>BK81-W81</f>
        <v/>
      </c>
      <c r="BM81" s="189">
        <f>BL81*O81</f>
        <v/>
      </c>
    </row>
    <row r="82">
      <c r="A82">
        <f>CONCATENATE(E82,F82,G82,H82,I82,J82,K82,L82)</f>
        <v/>
      </c>
      <c r="B82">
        <f>CONCATENATE(J82,"-&gt;",K82,"/",E82)</f>
        <v/>
      </c>
      <c r="C82" s="23" t="inlineStr">
        <is>
          <t>AFEEZ AJIBADE/Ebenezer</t>
        </is>
      </c>
      <c r="D82">
        <f>CONCATENATE(G82,"-",H82,"-",F82)</f>
        <v/>
      </c>
      <c r="E82" s="24" t="inlineStr">
        <is>
          <t>Lacasera-45T-NBL-DSL-JUMBO</t>
        </is>
      </c>
      <c r="F82" s="24" t="inlineStr">
        <is>
          <t>JUMBO</t>
        </is>
      </c>
      <c r="G82" s="25" t="inlineStr">
        <is>
          <t>NBL-DSL</t>
        </is>
      </c>
      <c r="H82" s="24" t="inlineStr">
        <is>
          <t>45T</t>
        </is>
      </c>
      <c r="I82" s="251" t="inlineStr">
        <is>
          <t>Lacasera</t>
        </is>
      </c>
      <c r="J82" s="251" t="inlineStr">
        <is>
          <t>Lagos</t>
        </is>
      </c>
      <c r="K82" s="23" t="inlineStr">
        <is>
          <t>Obubra</t>
        </is>
      </c>
      <c r="L82" t="inlineStr">
        <is>
          <t>Cross River</t>
        </is>
      </c>
      <c r="M82" s="1" t="inlineStr">
        <is>
          <t>East</t>
        </is>
      </c>
      <c r="N82" s="261" t="n">
        <v>717</v>
      </c>
      <c r="O82" s="257" t="n">
        <v>1434</v>
      </c>
      <c r="P82" s="227">
        <f>ROUNDUP(O82/300,)</f>
        <v/>
      </c>
      <c r="Q82" s="220" t="n">
        <v>1</v>
      </c>
      <c r="R82" s="220">
        <f>Q82+P82</f>
        <v/>
      </c>
      <c r="S82" s="198">
        <f>ROUNDDOWN(O82*0.7,)</f>
        <v/>
      </c>
      <c r="T82" s="220">
        <f>_xlfn.XLOOKUP(G82,[1]Fx!$A$4:$A$12,[1]Fx!$B$4:$B$12)</f>
        <v/>
      </c>
      <c r="U82" s="220">
        <f>_xlfn.XLOOKUP(G82,[1]Fx!$A$4:$A$12,[1]Fx!$C$4:$C$12)</f>
        <v/>
      </c>
      <c r="V82" s="220">
        <f>_xlfn.XLOOKUP(G82,[1]Fx!$A$4:$A$12,[1]Fx!$D$4:$D$12)</f>
        <v/>
      </c>
      <c r="W82" s="208">
        <f>_xlfn.XLOOKUP(H82&amp;I82,'[1]Mapping DSL'!$H:$H,'[1]Mapping DSL'!$J:$J)</f>
        <v/>
      </c>
      <c r="X82" s="220">
        <f>_xlfn.XLOOKUP(G82,[1]Fx!$A$4:$A$12,[1]Fx!$E$4:$E$12)</f>
        <v/>
      </c>
      <c r="Y82" s="220">
        <f>T82*R82</f>
        <v/>
      </c>
      <c r="Z82" s="220">
        <f>U82*O82</f>
        <v/>
      </c>
      <c r="AA82" s="220">
        <f>V82*O82</f>
        <v/>
      </c>
      <c r="AB82" s="220">
        <f>W82*O82</f>
        <v/>
      </c>
      <c r="AC82" s="198">
        <f>X82*O82</f>
        <v/>
      </c>
      <c r="AD82" s="220" t="n">
        <v>0</v>
      </c>
      <c r="AE82" s="220" t="n">
        <v>0</v>
      </c>
      <c r="AF82" s="220">
        <f>SUM(Y82:AE82)</f>
        <v/>
      </c>
      <c r="AG82" s="205">
        <f>_xlfn.XLOOKUP(G82,[1]Fx!$A$16:$A$24,[1]Fx!$B$16:$B$24)</f>
        <v/>
      </c>
      <c r="AH82" s="220">
        <f>AG82*R82</f>
        <v/>
      </c>
      <c r="AI82" s="220">
        <f>$AI$6*Z82</f>
        <v/>
      </c>
      <c r="AJ82" s="220">
        <f>$AJ$6*AA82</f>
        <v/>
      </c>
      <c r="AK82" s="220">
        <f>$AK$6*AB82</f>
        <v/>
      </c>
      <c r="AL82" s="220">
        <f>$AL$6*AC82</f>
        <v/>
      </c>
      <c r="AM82" s="220">
        <f>SUM(AH82:AL82)</f>
        <v/>
      </c>
      <c r="AN82" s="220" t="n">
        <v>0</v>
      </c>
      <c r="AO82" s="220">
        <f>AN82*AH82</f>
        <v/>
      </c>
      <c r="AP82" s="220">
        <f>AD82</f>
        <v/>
      </c>
      <c r="AQ82" s="220">
        <f>AE82</f>
        <v/>
      </c>
      <c r="AR82" s="220">
        <f>AM82-AO82</f>
        <v/>
      </c>
      <c r="AS82" s="220">
        <f>AR82-AK82</f>
        <v/>
      </c>
      <c r="AT82" s="220">
        <f>AS82*1.075</f>
        <v/>
      </c>
      <c r="AU82" s="220">
        <f>ROUNDUP(AT82+AK82+AP82+AQ82,-4)</f>
        <v/>
      </c>
      <c r="AV82" s="198" t="n">
        <v>2952873</v>
      </c>
      <c r="AW82" s="227" t="n"/>
      <c r="AX82" s="220">
        <f>AV82-AR82</f>
        <v/>
      </c>
      <c r="AY82" s="35">
        <f>AX82/AR82</f>
        <v/>
      </c>
      <c r="AZ82" s="220">
        <f>AV82-AF82</f>
        <v/>
      </c>
      <c r="BA82" s="215">
        <f>AV82-SUM(Z82:AC82)</f>
        <v/>
      </c>
      <c r="BB82" s="215">
        <f>BA82-Y82</f>
        <v/>
      </c>
      <c r="BC82" s="35">
        <f>BB82/BA82</f>
        <v/>
      </c>
      <c r="BD82" s="35">
        <f>IFERROR(AZ82/AV82,)</f>
        <v/>
      </c>
      <c r="BE82" s="255">
        <f>AV82-SUM(Z82:AC82)</f>
        <v/>
      </c>
      <c r="BF82" s="255">
        <f>AV82-BE82-AC82-AB82</f>
        <v/>
      </c>
      <c r="BG82" s="255">
        <f>AV82-BE82-BF82-AB82</f>
        <v/>
      </c>
      <c r="BH82" s="255">
        <f>AB82</f>
        <v/>
      </c>
      <c r="BI82">
        <f>IF(BD82&lt;0%,"Loss",IF(BD82&lt;5%,"On Cost Plus",IF(BD82&lt;10%,"Within","Exceed")))</f>
        <v/>
      </c>
      <c r="BJ82" t="inlineStr">
        <is>
          <t>Exceed</t>
        </is>
      </c>
      <c r="BK82">
        <f>0.51*$BK$6</f>
        <v/>
      </c>
      <c r="BL82" s="190">
        <f>BK82-W82</f>
        <v/>
      </c>
      <c r="BM82" s="189">
        <f>BL82*O82</f>
        <v/>
      </c>
    </row>
    <row r="83">
      <c r="A83">
        <f>CONCATENATE(E83,F83,G83,H83,I83,J83,K83,L83)</f>
        <v/>
      </c>
      <c r="B83">
        <f>CONCATENATE(J83,"-&gt;",K83,"/",E83)</f>
        <v/>
      </c>
      <c r="C83" s="23" t="inlineStr">
        <is>
          <t>AFEEZ AJIBADE/Ebenezer</t>
        </is>
      </c>
      <c r="D83">
        <f>CONCATENATE(G83,"-",H83,"-",F83)</f>
        <v/>
      </c>
      <c r="E83" s="24" t="inlineStr">
        <is>
          <t>Lacasera-45T-NBL-DSL-JUMBO</t>
        </is>
      </c>
      <c r="F83" s="24" t="inlineStr">
        <is>
          <t>JUMBO</t>
        </is>
      </c>
      <c r="G83" s="25" t="inlineStr">
        <is>
          <t>NBL-DSL</t>
        </is>
      </c>
      <c r="H83" s="24" t="inlineStr">
        <is>
          <t>45T</t>
        </is>
      </c>
      <c r="I83" s="251" t="inlineStr">
        <is>
          <t>Lacasera</t>
        </is>
      </c>
      <c r="J83" s="251" t="inlineStr">
        <is>
          <t>Lagos</t>
        </is>
      </c>
      <c r="K83" s="23" t="inlineStr">
        <is>
          <t>Bori</t>
        </is>
      </c>
      <c r="L83" t="inlineStr">
        <is>
          <t>Rivers</t>
        </is>
      </c>
      <c r="M83" s="1" t="inlineStr">
        <is>
          <t>East</t>
        </is>
      </c>
      <c r="N83" s="261" t="n">
        <v>654</v>
      </c>
      <c r="O83" s="257" t="n">
        <v>1308</v>
      </c>
      <c r="P83" s="227">
        <f>ROUNDUP(O83/300,)</f>
        <v/>
      </c>
      <c r="Q83" s="220" t="n">
        <v>1</v>
      </c>
      <c r="R83" s="220">
        <f>Q83+P83</f>
        <v/>
      </c>
      <c r="S83" s="198">
        <f>ROUNDDOWN(O83*0.7,)</f>
        <v/>
      </c>
      <c r="T83" s="220">
        <f>_xlfn.XLOOKUP(G83,[1]Fx!$A$4:$A$12,[1]Fx!$B$4:$B$12)</f>
        <v/>
      </c>
      <c r="U83" s="220">
        <f>_xlfn.XLOOKUP(G83,[1]Fx!$A$4:$A$12,[1]Fx!$C$4:$C$12)</f>
        <v/>
      </c>
      <c r="V83" s="220">
        <f>_xlfn.XLOOKUP(G83,[1]Fx!$A$4:$A$12,[1]Fx!$D$4:$D$12)</f>
        <v/>
      </c>
      <c r="W83" s="208">
        <f>_xlfn.XLOOKUP(H83&amp;I83,'[1]Mapping DSL'!$H:$H,'[1]Mapping DSL'!$J:$J)</f>
        <v/>
      </c>
      <c r="X83" s="220">
        <f>_xlfn.XLOOKUP(G83,[1]Fx!$A$4:$A$12,[1]Fx!$E$4:$E$12)</f>
        <v/>
      </c>
      <c r="Y83" s="220">
        <f>T83*R83</f>
        <v/>
      </c>
      <c r="Z83" s="220">
        <f>U83*O83</f>
        <v/>
      </c>
      <c r="AA83" s="220">
        <f>V83*O83</f>
        <v/>
      </c>
      <c r="AB83" s="220">
        <f>W83*O83</f>
        <v/>
      </c>
      <c r="AC83" s="198">
        <f>X83*O83</f>
        <v/>
      </c>
      <c r="AD83" s="220" t="n">
        <v>0</v>
      </c>
      <c r="AE83" s="220" t="n">
        <v>0</v>
      </c>
      <c r="AF83" s="220">
        <f>SUM(Y83:AE83)</f>
        <v/>
      </c>
      <c r="AG83" s="205">
        <f>_xlfn.XLOOKUP(G83,[1]Fx!$A$16:$A$24,[1]Fx!$B$16:$B$24)</f>
        <v/>
      </c>
      <c r="AH83" s="220">
        <f>AG83*R83</f>
        <v/>
      </c>
      <c r="AI83" s="220">
        <f>$AI$6*Z83</f>
        <v/>
      </c>
      <c r="AJ83" s="220">
        <f>$AJ$6*AA83</f>
        <v/>
      </c>
      <c r="AK83" s="220">
        <f>$AK$6*AB83</f>
        <v/>
      </c>
      <c r="AL83" s="220">
        <f>$AL$6*AC83</f>
        <v/>
      </c>
      <c r="AM83" s="220">
        <f>SUM(AH83:AL83)</f>
        <v/>
      </c>
      <c r="AN83" s="220" t="n">
        <v>0</v>
      </c>
      <c r="AO83" s="220">
        <f>AN83*AH83</f>
        <v/>
      </c>
      <c r="AP83" s="220">
        <f>AD83</f>
        <v/>
      </c>
      <c r="AQ83" s="220">
        <f>AE83</f>
        <v/>
      </c>
      <c r="AR83" s="220">
        <f>AM83-AO83</f>
        <v/>
      </c>
      <c r="AS83" s="220">
        <f>AR83-AK83</f>
        <v/>
      </c>
      <c r="AT83" s="220">
        <f>AS83*1.075</f>
        <v/>
      </c>
      <c r="AU83" s="220">
        <f>ROUNDUP(AT83+AK83+AP83+AQ83,-4)</f>
        <v/>
      </c>
      <c r="AV83" s="198" t="n">
        <v>2859457</v>
      </c>
      <c r="AW83" s="227" t="n"/>
      <c r="AX83" s="220">
        <f>AV83-AR83</f>
        <v/>
      </c>
      <c r="AY83" s="35">
        <f>AX83/AR83</f>
        <v/>
      </c>
      <c r="AZ83" s="220">
        <f>AV83-AF83</f>
        <v/>
      </c>
      <c r="BA83" s="215">
        <f>AV83-SUM(Z83:AC83)</f>
        <v/>
      </c>
      <c r="BB83" s="215">
        <f>BA83-Y83</f>
        <v/>
      </c>
      <c r="BC83" s="35">
        <f>BB83/BA83</f>
        <v/>
      </c>
      <c r="BD83" s="35">
        <f>IFERROR(AZ83/AV83,)</f>
        <v/>
      </c>
      <c r="BE83" s="255">
        <f>AV83-SUM(Z83:AC83)</f>
        <v/>
      </c>
      <c r="BF83" s="255">
        <f>AV83-BE83-AC83-AB83</f>
        <v/>
      </c>
      <c r="BG83" s="255">
        <f>AV83-BE83-BF83-AB83</f>
        <v/>
      </c>
      <c r="BH83" s="255">
        <f>AB83</f>
        <v/>
      </c>
      <c r="BI83">
        <f>IF(BD83&lt;0%,"Loss",IF(BD83&lt;5%,"On Cost Plus",IF(BD83&lt;10%,"Within","Exceed")))</f>
        <v/>
      </c>
      <c r="BJ83" t="inlineStr">
        <is>
          <t>Exceed</t>
        </is>
      </c>
      <c r="BK83">
        <f>0.51*$BK$6</f>
        <v/>
      </c>
      <c r="BL83" s="190">
        <f>BK83-W83</f>
        <v/>
      </c>
      <c r="BM83" s="189">
        <f>BL83*O83</f>
        <v/>
      </c>
    </row>
    <row r="84">
      <c r="A84">
        <f>CONCATENATE(E84,F84,G84,H84,I84,J84,K84,L84)</f>
        <v/>
      </c>
      <c r="B84">
        <f>CONCATENATE(J84,"-&gt;",K84,"/",E84)</f>
        <v/>
      </c>
      <c r="C84" s="23" t="inlineStr">
        <is>
          <t>AFEEZ AJIBADE/Ebenezer</t>
        </is>
      </c>
      <c r="D84">
        <f>CONCATENATE(G84,"-",H84,"-",F84)</f>
        <v/>
      </c>
      <c r="E84" s="24" t="inlineStr">
        <is>
          <t>Lacasera-45T-NBL-DSL-JUMBO</t>
        </is>
      </c>
      <c r="F84" s="24" t="inlineStr">
        <is>
          <t>JUMBO</t>
        </is>
      </c>
      <c r="G84" s="25" t="inlineStr">
        <is>
          <t>NBL-DSL</t>
        </is>
      </c>
      <c r="H84" s="24" t="inlineStr">
        <is>
          <t>45T</t>
        </is>
      </c>
      <c r="I84" s="251" t="inlineStr">
        <is>
          <t>Lacasera</t>
        </is>
      </c>
      <c r="J84" s="251" t="inlineStr">
        <is>
          <t>Lagos</t>
        </is>
      </c>
      <c r="K84" s="23" t="inlineStr">
        <is>
          <t>Eket</t>
        </is>
      </c>
      <c r="L84" t="inlineStr">
        <is>
          <t>Akwa Ibom</t>
        </is>
      </c>
      <c r="M84" s="1" t="inlineStr">
        <is>
          <t>East</t>
        </is>
      </c>
      <c r="N84" s="261" t="n">
        <v>710.5</v>
      </c>
      <c r="O84" s="257" t="n">
        <v>1421</v>
      </c>
      <c r="P84" s="227">
        <f>ROUNDUP(O84/300,)</f>
        <v/>
      </c>
      <c r="Q84" s="220" t="n">
        <v>1</v>
      </c>
      <c r="R84" s="220">
        <f>Q84+P84</f>
        <v/>
      </c>
      <c r="S84" s="198">
        <f>ROUNDDOWN(O84*0.7,)</f>
        <v/>
      </c>
      <c r="T84" s="220">
        <f>_xlfn.XLOOKUP(G84,[1]Fx!$A$4:$A$12,[1]Fx!$B$4:$B$12)</f>
        <v/>
      </c>
      <c r="U84" s="220">
        <f>_xlfn.XLOOKUP(G84,[1]Fx!$A$4:$A$12,[1]Fx!$C$4:$C$12)</f>
        <v/>
      </c>
      <c r="V84" s="220">
        <f>_xlfn.XLOOKUP(G84,[1]Fx!$A$4:$A$12,[1]Fx!$D$4:$D$12)</f>
        <v/>
      </c>
      <c r="W84" s="208">
        <f>_xlfn.XLOOKUP(H84&amp;I84,'[1]Mapping DSL'!$H:$H,'[1]Mapping DSL'!$J:$J)</f>
        <v/>
      </c>
      <c r="X84" s="220">
        <f>_xlfn.XLOOKUP(G84,[1]Fx!$A$4:$A$12,[1]Fx!$E$4:$E$12)</f>
        <v/>
      </c>
      <c r="Y84" s="220">
        <f>T84*R84</f>
        <v/>
      </c>
      <c r="Z84" s="220">
        <f>U84*O84</f>
        <v/>
      </c>
      <c r="AA84" s="220">
        <f>V84*O84</f>
        <v/>
      </c>
      <c r="AB84" s="220">
        <f>W84*O84</f>
        <v/>
      </c>
      <c r="AC84" s="198">
        <f>X84*O84</f>
        <v/>
      </c>
      <c r="AD84" s="220" t="n">
        <v>0</v>
      </c>
      <c r="AE84" s="220" t="n">
        <v>0</v>
      </c>
      <c r="AF84" s="220">
        <f>SUM(Y84:AE84)</f>
        <v/>
      </c>
      <c r="AG84" s="205">
        <f>_xlfn.XLOOKUP(G84,[1]Fx!$A$16:$A$24,[1]Fx!$B$16:$B$24)</f>
        <v/>
      </c>
      <c r="AH84" s="220">
        <f>AG84*R84</f>
        <v/>
      </c>
      <c r="AI84" s="220">
        <f>$AI$6*Z84</f>
        <v/>
      </c>
      <c r="AJ84" s="220">
        <f>$AJ$6*AA84</f>
        <v/>
      </c>
      <c r="AK84" s="220">
        <f>$AK$6*AB84</f>
        <v/>
      </c>
      <c r="AL84" s="220">
        <f>$AL$6*AC84</f>
        <v/>
      </c>
      <c r="AM84" s="220">
        <f>SUM(AH84:AL84)</f>
        <v/>
      </c>
      <c r="AN84" s="220" t="n">
        <v>0</v>
      </c>
      <c r="AO84" s="220">
        <f>AN84*AH84</f>
        <v/>
      </c>
      <c r="AP84" s="220">
        <f>AD84</f>
        <v/>
      </c>
      <c r="AQ84" s="220">
        <f>AE84</f>
        <v/>
      </c>
      <c r="AR84" s="220">
        <f>AM84-AO84</f>
        <v/>
      </c>
      <c r="AS84" s="220">
        <f>AR84-AK84</f>
        <v/>
      </c>
      <c r="AT84" s="220">
        <f>AS84*1.075</f>
        <v/>
      </c>
      <c r="AU84" s="220">
        <f>ROUNDUP(AT84+AK84+AP84+AQ84,-4)</f>
        <v/>
      </c>
      <c r="AV84" s="198" t="n">
        <v>2921909</v>
      </c>
      <c r="AW84" s="227" t="n"/>
      <c r="AX84" s="220">
        <f>AV84-AR84</f>
        <v/>
      </c>
      <c r="AY84" s="35">
        <f>AX84/AR84</f>
        <v/>
      </c>
      <c r="AZ84" s="220">
        <f>AV84-AF84</f>
        <v/>
      </c>
      <c r="BA84" s="215">
        <f>AV84-SUM(Z84:AC84)</f>
        <v/>
      </c>
      <c r="BB84" s="215">
        <f>BA84-Y84</f>
        <v/>
      </c>
      <c r="BC84" s="35">
        <f>BB84/BA84</f>
        <v/>
      </c>
      <c r="BD84" s="35">
        <f>IFERROR(AZ84/AV84,)</f>
        <v/>
      </c>
      <c r="BE84" s="255">
        <f>AV84-SUM(Z84:AC84)</f>
        <v/>
      </c>
      <c r="BF84" s="255">
        <f>AV84-BE84-AC84-AB84</f>
        <v/>
      </c>
      <c r="BG84" s="255">
        <f>AV84-BE84-BF84-AB84</f>
        <v/>
      </c>
      <c r="BH84" s="255">
        <f>AB84</f>
        <v/>
      </c>
      <c r="BI84">
        <f>IF(BD84&lt;0%,"Loss",IF(BD84&lt;5%,"On Cost Plus",IF(BD84&lt;10%,"Within","Exceed")))</f>
        <v/>
      </c>
      <c r="BJ84" t="inlineStr">
        <is>
          <t>Exceed</t>
        </is>
      </c>
      <c r="BK84">
        <f>0.51*$BK$6</f>
        <v/>
      </c>
      <c r="BL84" s="190">
        <f>BK84-W84</f>
        <v/>
      </c>
      <c r="BM84" s="189">
        <f>BL84*O84</f>
        <v/>
      </c>
    </row>
    <row r="85">
      <c r="A85">
        <f>CONCATENATE(E85,F85,G85,H85,I85,J85,K85,L85)</f>
        <v/>
      </c>
      <c r="B85">
        <f>CONCATENATE(J85,"-&gt;",K85,"/",E85)</f>
        <v/>
      </c>
      <c r="C85" s="23" t="inlineStr">
        <is>
          <t>AFEEZ AJIBADE/Ebenezer</t>
        </is>
      </c>
      <c r="D85">
        <f>CONCATENATE(G85,"-",H85,"-",F85)</f>
        <v/>
      </c>
      <c r="E85" s="24" t="inlineStr">
        <is>
          <t>Lacasera-45T-NBL-DSL-JUMBO</t>
        </is>
      </c>
      <c r="F85" s="24" t="inlineStr">
        <is>
          <t>JUMBO</t>
        </is>
      </c>
      <c r="G85" s="25" t="inlineStr">
        <is>
          <t>NBL-DSL</t>
        </is>
      </c>
      <c r="H85" s="24" t="inlineStr">
        <is>
          <t>45T</t>
        </is>
      </c>
      <c r="I85" s="251" t="inlineStr">
        <is>
          <t>Lacasera</t>
        </is>
      </c>
      <c r="J85" s="251" t="inlineStr">
        <is>
          <t>Lagos</t>
        </is>
      </c>
      <c r="K85" s="23" t="inlineStr">
        <is>
          <t>Bauchi</t>
        </is>
      </c>
      <c r="L85" t="inlineStr">
        <is>
          <t>Bauchi</t>
        </is>
      </c>
      <c r="M85" s="1" t="inlineStr">
        <is>
          <t>North</t>
        </is>
      </c>
      <c r="N85" s="261" t="n">
        <v>1185</v>
      </c>
      <c r="O85" s="257" t="n">
        <v>2370</v>
      </c>
      <c r="P85" s="227">
        <f>ROUNDUP(O85/300,)</f>
        <v/>
      </c>
      <c r="Q85" s="220" t="n">
        <v>1</v>
      </c>
      <c r="R85" s="220">
        <f>Q85+P85</f>
        <v/>
      </c>
      <c r="S85" s="198">
        <f>ROUNDDOWN(O85*0.7,)</f>
        <v/>
      </c>
      <c r="T85" s="220">
        <f>_xlfn.XLOOKUP(G85,[1]Fx!$A$4:$A$12,[1]Fx!$B$4:$B$12)</f>
        <v/>
      </c>
      <c r="U85" s="220">
        <f>_xlfn.XLOOKUP(G85,[1]Fx!$A$4:$A$12,[1]Fx!$C$4:$C$12)</f>
        <v/>
      </c>
      <c r="V85" s="220">
        <f>_xlfn.XLOOKUP(G85,[1]Fx!$A$4:$A$12,[1]Fx!$D$4:$D$12)</f>
        <v/>
      </c>
      <c r="W85" s="208">
        <f>_xlfn.XLOOKUP(H85&amp;I85,'[1]Mapping DSL'!$H:$H,'[1]Mapping DSL'!$J:$J)</f>
        <v/>
      </c>
      <c r="X85" s="220">
        <f>_xlfn.XLOOKUP(G85,[1]Fx!$A$4:$A$12,[1]Fx!$E$4:$E$12)</f>
        <v/>
      </c>
      <c r="Y85" s="220">
        <f>T85*R85</f>
        <v/>
      </c>
      <c r="Z85" s="220">
        <f>U85*O85</f>
        <v/>
      </c>
      <c r="AA85" s="220">
        <f>V85*O85</f>
        <v/>
      </c>
      <c r="AB85" s="220">
        <f>W85*O85</f>
        <v/>
      </c>
      <c r="AC85" s="198">
        <f>X85*O85</f>
        <v/>
      </c>
      <c r="AD85" s="220" t="n">
        <v>0</v>
      </c>
      <c r="AE85" s="220" t="n">
        <v>0</v>
      </c>
      <c r="AF85" s="220">
        <f>SUM(Y85:AE85)</f>
        <v/>
      </c>
      <c r="AG85" s="205">
        <f>_xlfn.XLOOKUP(G85,[1]Fx!$A$16:$A$24,[1]Fx!$B$16:$B$24)</f>
        <v/>
      </c>
      <c r="AH85" s="220">
        <f>AG85*R85</f>
        <v/>
      </c>
      <c r="AI85" s="220">
        <f>$AI$6*Z85</f>
        <v/>
      </c>
      <c r="AJ85" s="220">
        <f>$AJ$6*AA85</f>
        <v/>
      </c>
      <c r="AK85" s="220">
        <f>$AK$6*AB85</f>
        <v/>
      </c>
      <c r="AL85" s="220">
        <f>$AL$6*AC85</f>
        <v/>
      </c>
      <c r="AM85" s="220">
        <f>SUM(AH85:AL85)</f>
        <v/>
      </c>
      <c r="AN85" s="220" t="n">
        <v>0</v>
      </c>
      <c r="AO85" s="220">
        <f>AN85*AH85</f>
        <v/>
      </c>
      <c r="AP85" s="220">
        <f>AD85</f>
        <v/>
      </c>
      <c r="AQ85" s="220">
        <f>AE85</f>
        <v/>
      </c>
      <c r="AR85" s="220">
        <f>AM85-AO85</f>
        <v/>
      </c>
      <c r="AS85" s="220">
        <f>AR85-AK85</f>
        <v/>
      </c>
      <c r="AT85" s="220">
        <f>AS85*1.075</f>
        <v/>
      </c>
      <c r="AU85" s="220">
        <f>ROUNDUP(AT85+AK85+AP85+AQ85,-4)</f>
        <v/>
      </c>
      <c r="AV85" s="198" t="n">
        <v>3671425</v>
      </c>
      <c r="AW85" s="227" t="n"/>
      <c r="AX85" s="220">
        <f>AV85-AR85</f>
        <v/>
      </c>
      <c r="AY85" s="35">
        <f>AX85/AR85</f>
        <v/>
      </c>
      <c r="AZ85" s="220">
        <f>AV85-AF85</f>
        <v/>
      </c>
      <c r="BA85" s="215">
        <f>AV85-SUM(Z85:AC85)</f>
        <v/>
      </c>
      <c r="BB85" s="215">
        <f>BA85-Y85</f>
        <v/>
      </c>
      <c r="BC85" s="35">
        <f>BB85/BA85</f>
        <v/>
      </c>
      <c r="BD85" s="35">
        <f>IFERROR(AZ85/AV85,)</f>
        <v/>
      </c>
      <c r="BE85" s="255">
        <f>AV85-SUM(Z85:AC85)</f>
        <v/>
      </c>
      <c r="BF85" s="255">
        <f>AV85-BE85-AC85-AB85</f>
        <v/>
      </c>
      <c r="BG85" s="255">
        <f>AV85-BE85-BF85-AB85</f>
        <v/>
      </c>
      <c r="BH85" s="255">
        <f>AB85</f>
        <v/>
      </c>
      <c r="BI85">
        <f>IF(BD85&lt;0%,"Loss",IF(BD85&lt;5%,"On Cost Plus",IF(BD85&lt;10%,"Within","Exceed")))</f>
        <v/>
      </c>
      <c r="BJ85" t="inlineStr">
        <is>
          <t>Within</t>
        </is>
      </c>
      <c r="BK85">
        <f>0.51*$BK$6</f>
        <v/>
      </c>
      <c r="BL85" s="190">
        <f>BK85-W85</f>
        <v/>
      </c>
      <c r="BM85" s="189">
        <f>BL85*O85</f>
        <v/>
      </c>
    </row>
    <row r="86">
      <c r="A86">
        <f>CONCATENATE(E86,F86,G86,H86,I86,J86,K86,L86)</f>
        <v/>
      </c>
      <c r="B86">
        <f>CONCATENATE(J86,"-&gt;",K86,"/",E86)</f>
        <v/>
      </c>
      <c r="C86" s="23" t="inlineStr">
        <is>
          <t>AFEEZ AJIBADE/Ebenezer</t>
        </is>
      </c>
      <c r="D86">
        <f>CONCATENATE(G86,"-",H86,"-",F86)</f>
        <v/>
      </c>
      <c r="E86" s="24" t="inlineStr">
        <is>
          <t>Lacasera-45T-NBL-DSL-JUMBO</t>
        </is>
      </c>
      <c r="F86" s="24" t="inlineStr">
        <is>
          <t>JUMBO</t>
        </is>
      </c>
      <c r="G86" s="25" t="inlineStr">
        <is>
          <t>NBL-DSL</t>
        </is>
      </c>
      <c r="H86" s="24" t="inlineStr">
        <is>
          <t>45T</t>
        </is>
      </c>
      <c r="I86" s="251" t="inlineStr">
        <is>
          <t>Lacasera</t>
        </is>
      </c>
      <c r="J86" s="251" t="inlineStr">
        <is>
          <t>Lagos</t>
        </is>
      </c>
      <c r="K86" s="23" t="inlineStr">
        <is>
          <t>Maiduguri</t>
        </is>
      </c>
      <c r="L86" t="inlineStr">
        <is>
          <t>Borno</t>
        </is>
      </c>
      <c r="M86" s="1" t="inlineStr">
        <is>
          <t>North</t>
        </is>
      </c>
      <c r="N86" s="261" t="n">
        <v>1560</v>
      </c>
      <c r="O86" s="257" t="n">
        <v>3120</v>
      </c>
      <c r="P86" s="227">
        <f>ROUNDUP(O86/300,)</f>
        <v/>
      </c>
      <c r="Q86" s="220" t="n">
        <v>1</v>
      </c>
      <c r="R86" s="220">
        <f>Q86+P86</f>
        <v/>
      </c>
      <c r="S86" s="198">
        <f>ROUNDDOWN(O86*0.7,)</f>
        <v/>
      </c>
      <c r="T86" s="220">
        <f>_xlfn.XLOOKUP(G86,[1]Fx!$A$4:$A$12,[1]Fx!$B$4:$B$12)</f>
        <v/>
      </c>
      <c r="U86" s="220">
        <f>_xlfn.XLOOKUP(G86,[1]Fx!$A$4:$A$12,[1]Fx!$C$4:$C$12)</f>
        <v/>
      </c>
      <c r="V86" s="220">
        <f>_xlfn.XLOOKUP(G86,[1]Fx!$A$4:$A$12,[1]Fx!$D$4:$D$12)</f>
        <v/>
      </c>
      <c r="W86" s="208">
        <f>_xlfn.XLOOKUP(H86&amp;I86,'[1]Mapping DSL'!$H:$H,'[1]Mapping DSL'!$J:$J)</f>
        <v/>
      </c>
      <c r="X86" s="220">
        <f>_xlfn.XLOOKUP(G86,[1]Fx!$A$4:$A$12,[1]Fx!$E$4:$E$12)</f>
        <v/>
      </c>
      <c r="Y86" s="220">
        <f>T86*R86</f>
        <v/>
      </c>
      <c r="Z86" s="220">
        <f>U86*O86</f>
        <v/>
      </c>
      <c r="AA86" s="220">
        <f>V86*O86</f>
        <v/>
      </c>
      <c r="AB86" s="220">
        <f>W86*O86</f>
        <v/>
      </c>
      <c r="AC86" s="198">
        <f>X86*O86</f>
        <v/>
      </c>
      <c r="AD86" s="220" t="n">
        <v>0</v>
      </c>
      <c r="AE86" s="220" t="n">
        <v>0</v>
      </c>
      <c r="AF86" s="220">
        <f>SUM(Y86:AE86)</f>
        <v/>
      </c>
      <c r="AG86" s="205">
        <f>_xlfn.XLOOKUP(G86,[1]Fx!$A$16:$A$24,[1]Fx!$B$16:$B$24)</f>
        <v/>
      </c>
      <c r="AH86" s="220">
        <f>AG86*R86</f>
        <v/>
      </c>
      <c r="AI86" s="220">
        <f>$AI$6*Z86</f>
        <v/>
      </c>
      <c r="AJ86" s="220">
        <f>$AJ$6*AA86</f>
        <v/>
      </c>
      <c r="AK86" s="220">
        <f>$AK$6*AB86</f>
        <v/>
      </c>
      <c r="AL86" s="220">
        <f>$AL$6*AC86</f>
        <v/>
      </c>
      <c r="AM86" s="220">
        <f>SUM(AH86:AL86)</f>
        <v/>
      </c>
      <c r="AN86" s="220" t="n">
        <v>0</v>
      </c>
      <c r="AO86" s="220">
        <f>AN86*AH86</f>
        <v/>
      </c>
      <c r="AP86" s="220">
        <f>AD86</f>
        <v/>
      </c>
      <c r="AQ86" s="220">
        <f>AE86</f>
        <v/>
      </c>
      <c r="AR86" s="220">
        <f>AM86-AO86</f>
        <v/>
      </c>
      <c r="AS86" s="220">
        <f>AR86-AK86</f>
        <v/>
      </c>
      <c r="AT86" s="220">
        <f>AS86*1.075</f>
        <v/>
      </c>
      <c r="AU86" s="220">
        <f>ROUNDUP(AT86+AK86+AP86+AQ86,-4)</f>
        <v/>
      </c>
      <c r="AV86" s="198" t="n">
        <v>4959375</v>
      </c>
      <c r="AW86" s="227" t="n"/>
      <c r="AX86" s="220">
        <f>AV86-AR86</f>
        <v/>
      </c>
      <c r="AY86" s="35">
        <f>AX86/AR86</f>
        <v/>
      </c>
      <c r="AZ86" s="220">
        <f>AV86-AF86</f>
        <v/>
      </c>
      <c r="BA86" s="215">
        <f>AV86-SUM(Z86:AC86)</f>
        <v/>
      </c>
      <c r="BB86" s="215">
        <f>BA86-Y86</f>
        <v/>
      </c>
      <c r="BC86" s="35">
        <f>BB86/BA86</f>
        <v/>
      </c>
      <c r="BD86" s="35">
        <f>IFERROR(AZ86/AV86,)</f>
        <v/>
      </c>
      <c r="BE86" s="255">
        <f>AV86-SUM(Z86:AC86)</f>
        <v/>
      </c>
      <c r="BF86" s="255">
        <f>AV86-BE86-AC86-AB86</f>
        <v/>
      </c>
      <c r="BG86" s="255">
        <f>AV86-BE86-BF86-AB86</f>
        <v/>
      </c>
      <c r="BH86" s="255">
        <f>AB86</f>
        <v/>
      </c>
      <c r="BI86">
        <f>IF(BD86&lt;0%,"Loss",IF(BD86&lt;5%,"On Cost Plus",IF(BD86&lt;10%,"Within","Exceed")))</f>
        <v/>
      </c>
      <c r="BJ86" t="inlineStr">
        <is>
          <t>Exceed</t>
        </is>
      </c>
      <c r="BK86">
        <f>0.51*$BK$6</f>
        <v/>
      </c>
      <c r="BL86" s="190">
        <f>BK86-W86</f>
        <v/>
      </c>
      <c r="BM86" s="189">
        <f>BL86*O86</f>
        <v/>
      </c>
    </row>
    <row r="87">
      <c r="A87">
        <f>CONCATENATE(E87,F87,G87,H87,I87,J87,K87,L87)</f>
        <v/>
      </c>
      <c r="B87">
        <f>CONCATENATE(J87,"-&gt;",K87,"/",E87)</f>
        <v/>
      </c>
      <c r="C87" s="23" t="inlineStr">
        <is>
          <t>AFEEZ AJIBADE/Ebenezer</t>
        </is>
      </c>
      <c r="D87">
        <f>CONCATENATE(G87,"-",H87,"-",F87)</f>
        <v/>
      </c>
      <c r="E87" s="24" t="inlineStr">
        <is>
          <t>Lacasera-45T-NBL-DSL-JUMBO</t>
        </is>
      </c>
      <c r="F87" s="24" t="inlineStr">
        <is>
          <t>JUMBO</t>
        </is>
      </c>
      <c r="G87" s="25" t="inlineStr">
        <is>
          <t>NBL-DSL</t>
        </is>
      </c>
      <c r="H87" s="24" t="inlineStr">
        <is>
          <t>45T</t>
        </is>
      </c>
      <c r="I87" s="251" t="inlineStr">
        <is>
          <t>Lacasera</t>
        </is>
      </c>
      <c r="J87" s="251" t="inlineStr">
        <is>
          <t>Lagos</t>
        </is>
      </c>
      <c r="K87" s="23" t="inlineStr">
        <is>
          <t>Abuja</t>
        </is>
      </c>
      <c r="L87" t="inlineStr">
        <is>
          <t>FCT</t>
        </is>
      </c>
      <c r="M87" s="1" t="inlineStr">
        <is>
          <t>North</t>
        </is>
      </c>
      <c r="N87" s="261" t="n">
        <v>786.5</v>
      </c>
      <c r="O87" s="257" t="n">
        <v>1573</v>
      </c>
      <c r="P87" s="227">
        <f>ROUNDUP(O87/300,)</f>
        <v/>
      </c>
      <c r="Q87" s="220" t="n">
        <v>1</v>
      </c>
      <c r="R87" s="220">
        <f>Q87+P87</f>
        <v/>
      </c>
      <c r="S87" s="198">
        <f>ROUNDDOWN(O87*0.7,)</f>
        <v/>
      </c>
      <c r="T87" s="220">
        <f>_xlfn.XLOOKUP(G87,[1]Fx!$A$4:$A$12,[1]Fx!$B$4:$B$12)</f>
        <v/>
      </c>
      <c r="U87" s="220">
        <f>_xlfn.XLOOKUP(G87,[1]Fx!$A$4:$A$12,[1]Fx!$C$4:$C$12)</f>
        <v/>
      </c>
      <c r="V87" s="220">
        <f>_xlfn.XLOOKUP(G87,[1]Fx!$A$4:$A$12,[1]Fx!$D$4:$D$12)</f>
        <v/>
      </c>
      <c r="W87" s="208">
        <f>_xlfn.XLOOKUP(H87&amp;I87,'[1]Mapping DSL'!$H:$H,'[1]Mapping DSL'!$J:$J)</f>
        <v/>
      </c>
      <c r="X87" s="220">
        <f>_xlfn.XLOOKUP(G87,[1]Fx!$A$4:$A$12,[1]Fx!$E$4:$E$12)</f>
        <v/>
      </c>
      <c r="Y87" s="220">
        <f>T87*R87</f>
        <v/>
      </c>
      <c r="Z87" s="220">
        <f>U87*O87</f>
        <v/>
      </c>
      <c r="AA87" s="220">
        <f>V87*O87</f>
        <v/>
      </c>
      <c r="AB87" s="220">
        <f>W87*O87</f>
        <v/>
      </c>
      <c r="AC87" s="198">
        <f>X87*O87</f>
        <v/>
      </c>
      <c r="AD87" s="220" t="n">
        <v>0</v>
      </c>
      <c r="AE87" s="220" t="n">
        <v>0</v>
      </c>
      <c r="AF87" s="220">
        <f>SUM(Y87:AE87)</f>
        <v/>
      </c>
      <c r="AG87" s="205">
        <f>_xlfn.XLOOKUP(G87,[1]Fx!$A$16:$A$24,[1]Fx!$B$16:$B$24)</f>
        <v/>
      </c>
      <c r="AH87" s="220">
        <f>AG87*R87</f>
        <v/>
      </c>
      <c r="AI87" s="220">
        <f>$AI$6*Z87</f>
        <v/>
      </c>
      <c r="AJ87" s="220">
        <f>$AJ$6*AA87</f>
        <v/>
      </c>
      <c r="AK87" s="220">
        <f>$AK$6*AB87</f>
        <v/>
      </c>
      <c r="AL87" s="220">
        <f>$AL$6*AC87</f>
        <v/>
      </c>
      <c r="AM87" s="220">
        <f>SUM(AH87:AL87)</f>
        <v/>
      </c>
      <c r="AN87" s="220" t="n">
        <v>0</v>
      </c>
      <c r="AO87" s="220">
        <f>AN87*AH87</f>
        <v/>
      </c>
      <c r="AP87" s="220">
        <f>AD87</f>
        <v/>
      </c>
      <c r="AQ87" s="220">
        <f>AE87</f>
        <v/>
      </c>
      <c r="AR87" s="220">
        <f>AM87-AO87</f>
        <v/>
      </c>
      <c r="AS87" s="220">
        <f>AR87-AK87</f>
        <v/>
      </c>
      <c r="AT87" s="220">
        <f>AS87*1.075</f>
        <v/>
      </c>
      <c r="AU87" s="220">
        <f>ROUNDUP(AT87+AK87+AP87+AQ87,-4)</f>
        <v/>
      </c>
      <c r="AV87" s="198" t="n">
        <v>3282163</v>
      </c>
      <c r="AW87" s="227" t="n"/>
      <c r="AX87" s="220">
        <f>AV87-AR87</f>
        <v/>
      </c>
      <c r="AY87" s="35">
        <f>AX87/AR87</f>
        <v/>
      </c>
      <c r="AZ87" s="220">
        <f>AV87-AF87</f>
        <v/>
      </c>
      <c r="BA87" s="215">
        <f>AV87-SUM(Z87:AC87)</f>
        <v/>
      </c>
      <c r="BB87" s="215">
        <f>BA87-Y87</f>
        <v/>
      </c>
      <c r="BC87" s="35">
        <f>BB87/BA87</f>
        <v/>
      </c>
      <c r="BD87" s="35">
        <f>IFERROR(AZ87/AV87,)</f>
        <v/>
      </c>
      <c r="BE87" s="255">
        <f>AV87-SUM(Z87:AC87)</f>
        <v/>
      </c>
      <c r="BF87" s="255">
        <f>AV87-BE87-AC87-AB87</f>
        <v/>
      </c>
      <c r="BG87" s="255">
        <f>AV87-BE87-BF87-AB87</f>
        <v/>
      </c>
      <c r="BH87" s="255">
        <f>AB87</f>
        <v/>
      </c>
      <c r="BI87">
        <f>IF(BD87&lt;0%,"Loss",IF(BD87&lt;5%,"On Cost Plus",IF(BD87&lt;10%,"Within","Exceed")))</f>
        <v/>
      </c>
      <c r="BJ87" t="inlineStr">
        <is>
          <t>Exceed</t>
        </is>
      </c>
      <c r="BK87">
        <f>0.51*$BK$6</f>
        <v/>
      </c>
      <c r="BL87" s="190">
        <f>BK87-W87</f>
        <v/>
      </c>
      <c r="BM87" s="189">
        <f>BL87*O87</f>
        <v/>
      </c>
    </row>
    <row r="88">
      <c r="A88">
        <f>CONCATENATE(E88,F88,G88,H88,I88,J88,K88,L88)</f>
        <v/>
      </c>
      <c r="B88">
        <f>CONCATENATE(J88,"-&gt;",K88,"/",E88)</f>
        <v/>
      </c>
      <c r="C88" s="23" t="inlineStr">
        <is>
          <t>AFEEZ AJIBADE/Ebenezer</t>
        </is>
      </c>
      <c r="D88">
        <f>CONCATENATE(G88,"-",H88,"-",F88)</f>
        <v/>
      </c>
      <c r="E88" s="24" t="inlineStr">
        <is>
          <t>Lacasera-45T-NBL-DSL-JUMBO</t>
        </is>
      </c>
      <c r="F88" s="24" t="inlineStr">
        <is>
          <t>JUMBO</t>
        </is>
      </c>
      <c r="G88" s="25" t="inlineStr">
        <is>
          <t>NBL-DSL</t>
        </is>
      </c>
      <c r="H88" s="24" t="inlineStr">
        <is>
          <t>45T</t>
        </is>
      </c>
      <c r="I88" s="251" t="inlineStr">
        <is>
          <t>Lacasera</t>
        </is>
      </c>
      <c r="J88" s="251" t="inlineStr">
        <is>
          <t>Lagos</t>
        </is>
      </c>
      <c r="K88" s="23" t="inlineStr">
        <is>
          <t>Gombe</t>
        </is>
      </c>
      <c r="L88" t="inlineStr">
        <is>
          <t>Gombe</t>
        </is>
      </c>
      <c r="M88" s="1" t="inlineStr">
        <is>
          <t>North</t>
        </is>
      </c>
      <c r="N88" s="261" t="n">
        <v>1349</v>
      </c>
      <c r="O88" s="257" t="n">
        <v>2698</v>
      </c>
      <c r="P88" s="227">
        <f>ROUNDUP(O88/300,)</f>
        <v/>
      </c>
      <c r="Q88" s="220" t="n">
        <v>1</v>
      </c>
      <c r="R88" s="220">
        <f>Q88+P88</f>
        <v/>
      </c>
      <c r="S88" s="198">
        <f>ROUNDDOWN(O88*0.7,)</f>
        <v/>
      </c>
      <c r="T88" s="220">
        <f>_xlfn.XLOOKUP(G88,[1]Fx!$A$4:$A$12,[1]Fx!$B$4:$B$12)</f>
        <v/>
      </c>
      <c r="U88" s="220">
        <f>_xlfn.XLOOKUP(G88,[1]Fx!$A$4:$A$12,[1]Fx!$C$4:$C$12)</f>
        <v/>
      </c>
      <c r="V88" s="220">
        <f>_xlfn.XLOOKUP(G88,[1]Fx!$A$4:$A$12,[1]Fx!$D$4:$D$12)</f>
        <v/>
      </c>
      <c r="W88" s="208">
        <f>_xlfn.XLOOKUP(H88&amp;I88,'[1]Mapping DSL'!$H:$H,'[1]Mapping DSL'!$J:$J)</f>
        <v/>
      </c>
      <c r="X88" s="220">
        <f>_xlfn.XLOOKUP(G88,[1]Fx!$A$4:$A$12,[1]Fx!$E$4:$E$12)</f>
        <v/>
      </c>
      <c r="Y88" s="220">
        <f>T88*R88</f>
        <v/>
      </c>
      <c r="Z88" s="220">
        <f>U88*O88</f>
        <v/>
      </c>
      <c r="AA88" s="220">
        <f>V88*O88</f>
        <v/>
      </c>
      <c r="AB88" s="220">
        <f>W88*O88</f>
        <v/>
      </c>
      <c r="AC88" s="198">
        <f>X88*O88</f>
        <v/>
      </c>
      <c r="AD88" s="220" t="n">
        <v>0</v>
      </c>
      <c r="AE88" s="220" t="n">
        <v>0</v>
      </c>
      <c r="AF88" s="220">
        <f>SUM(Y88:AE88)</f>
        <v/>
      </c>
      <c r="AG88" s="205">
        <f>_xlfn.XLOOKUP(G88,[1]Fx!$A$16:$A$24,[1]Fx!$B$16:$B$24)</f>
        <v/>
      </c>
      <c r="AH88" s="220">
        <f>AG88*R88</f>
        <v/>
      </c>
      <c r="AI88" s="220">
        <f>$AI$6*Z88</f>
        <v/>
      </c>
      <c r="AJ88" s="220">
        <f>$AJ$6*AA88</f>
        <v/>
      </c>
      <c r="AK88" s="220">
        <f>$AK$6*AB88</f>
        <v/>
      </c>
      <c r="AL88" s="220">
        <f>$AL$6*AC88</f>
        <v/>
      </c>
      <c r="AM88" s="220">
        <f>SUM(AH88:AL88)</f>
        <v/>
      </c>
      <c r="AN88" s="220" t="n">
        <v>0</v>
      </c>
      <c r="AO88" s="220">
        <f>AN88*AH88</f>
        <v/>
      </c>
      <c r="AP88" s="220">
        <f>AD88</f>
        <v/>
      </c>
      <c r="AQ88" s="220">
        <f>AE88</f>
        <v/>
      </c>
      <c r="AR88" s="220">
        <f>AM88-AO88</f>
        <v/>
      </c>
      <c r="AS88" s="220">
        <f>AR88-AK88</f>
        <v/>
      </c>
      <c r="AT88" s="220">
        <f>AS88*1.075</f>
        <v/>
      </c>
      <c r="AU88" s="220">
        <f>ROUNDUP(AT88+AK88+AP88+AQ88,-4)</f>
        <v/>
      </c>
      <c r="AV88" s="198" t="n">
        <v>4412705</v>
      </c>
      <c r="AW88" s="227" t="n"/>
      <c r="AX88" s="220">
        <f>AV88-AR88</f>
        <v/>
      </c>
      <c r="AY88" s="35">
        <f>AX88/AR88</f>
        <v/>
      </c>
      <c r="AZ88" s="220">
        <f>AV88-AF88</f>
        <v/>
      </c>
      <c r="BA88" s="215">
        <f>AV88-SUM(Z88:AC88)</f>
        <v/>
      </c>
      <c r="BB88" s="215">
        <f>BA88-Y88</f>
        <v/>
      </c>
      <c r="BC88" s="35">
        <f>BB88/BA88</f>
        <v/>
      </c>
      <c r="BD88" s="35">
        <f>IFERROR(AZ88/AV88,)</f>
        <v/>
      </c>
      <c r="BE88" s="255">
        <f>AV88-SUM(Z88:AC88)</f>
        <v/>
      </c>
      <c r="BF88" s="255">
        <f>AV88-BE88-AC88-AB88</f>
        <v/>
      </c>
      <c r="BG88" s="255">
        <f>AV88-BE88-BF88-AB88</f>
        <v/>
      </c>
      <c r="BH88" s="255">
        <f>AB88</f>
        <v/>
      </c>
      <c r="BI88">
        <f>IF(BD88&lt;0%,"Loss",IF(BD88&lt;5%,"On Cost Plus",IF(BD88&lt;10%,"Within","Exceed")))</f>
        <v/>
      </c>
      <c r="BJ88" t="inlineStr">
        <is>
          <t>Exceed</t>
        </is>
      </c>
      <c r="BK88">
        <f>0.51*$BK$6</f>
        <v/>
      </c>
      <c r="BL88" s="190">
        <f>BK88-W88</f>
        <v/>
      </c>
      <c r="BM88" s="189">
        <f>BL88*O88</f>
        <v/>
      </c>
    </row>
    <row r="89">
      <c r="A89">
        <f>CONCATENATE(E89,F89,G89,H89,I89,J89,K89,L89)</f>
        <v/>
      </c>
      <c r="B89">
        <f>CONCATENATE(J89,"-&gt;",K89,"/",E89)</f>
        <v/>
      </c>
      <c r="C89" s="23" t="inlineStr">
        <is>
          <t>AFEEZ AJIBADE/Ebenezer</t>
        </is>
      </c>
      <c r="D89">
        <f>CONCATENATE(G89,"-",H89,"-",F89)</f>
        <v/>
      </c>
      <c r="E89" s="24" t="inlineStr">
        <is>
          <t>Lacasera-45T-NBL-DSL-JUMBO</t>
        </is>
      </c>
      <c r="F89" s="24" t="inlineStr">
        <is>
          <t>JUMBO</t>
        </is>
      </c>
      <c r="G89" s="25" t="inlineStr">
        <is>
          <t>NBL-DSL</t>
        </is>
      </c>
      <c r="H89" s="24" t="inlineStr">
        <is>
          <t>45T</t>
        </is>
      </c>
      <c r="I89" s="251" t="inlineStr">
        <is>
          <t>Lacasera</t>
        </is>
      </c>
      <c r="J89" s="251" t="inlineStr">
        <is>
          <t>Lagos</t>
        </is>
      </c>
      <c r="K89" s="23" t="inlineStr">
        <is>
          <t>Kaduna</t>
        </is>
      </c>
      <c r="L89" t="inlineStr">
        <is>
          <t>Kaduna</t>
        </is>
      </c>
      <c r="M89" s="1" t="inlineStr">
        <is>
          <t>North</t>
        </is>
      </c>
      <c r="N89" s="261" t="n">
        <v>794.5</v>
      </c>
      <c r="O89" s="257" t="n">
        <v>1589</v>
      </c>
      <c r="P89" s="227">
        <f>ROUNDUP(O89/300,)</f>
        <v/>
      </c>
      <c r="Q89" s="220" t="n">
        <v>1</v>
      </c>
      <c r="R89" s="220">
        <f>Q89+P89</f>
        <v/>
      </c>
      <c r="S89" s="198">
        <f>ROUNDDOWN(O89*0.7,)</f>
        <v/>
      </c>
      <c r="T89" s="220">
        <f>_xlfn.XLOOKUP(G89,[1]Fx!$A$4:$A$12,[1]Fx!$B$4:$B$12)</f>
        <v/>
      </c>
      <c r="U89" s="220">
        <f>_xlfn.XLOOKUP(G89,[1]Fx!$A$4:$A$12,[1]Fx!$C$4:$C$12)</f>
        <v/>
      </c>
      <c r="V89" s="220">
        <f>_xlfn.XLOOKUP(G89,[1]Fx!$A$4:$A$12,[1]Fx!$D$4:$D$12)</f>
        <v/>
      </c>
      <c r="W89" s="208">
        <f>_xlfn.XLOOKUP(H89&amp;I89,'[1]Mapping DSL'!$H:$H,'[1]Mapping DSL'!$J:$J)</f>
        <v/>
      </c>
      <c r="X89" s="220">
        <f>_xlfn.XLOOKUP(G89,[1]Fx!$A$4:$A$12,[1]Fx!$E$4:$E$12)</f>
        <v/>
      </c>
      <c r="Y89" s="220">
        <f>T89*R89</f>
        <v/>
      </c>
      <c r="Z89" s="220">
        <f>U89*O89</f>
        <v/>
      </c>
      <c r="AA89" s="220">
        <f>V89*O89</f>
        <v/>
      </c>
      <c r="AB89" s="220">
        <f>W89*O89</f>
        <v/>
      </c>
      <c r="AC89" s="198">
        <f>X89*O89</f>
        <v/>
      </c>
      <c r="AD89" s="220" t="n">
        <v>0</v>
      </c>
      <c r="AE89" s="220" t="n">
        <v>0</v>
      </c>
      <c r="AF89" s="220">
        <f>SUM(Y89:AE89)</f>
        <v/>
      </c>
      <c r="AG89" s="205">
        <f>_xlfn.XLOOKUP(G89,[1]Fx!$A$16:$A$24,[1]Fx!$B$16:$B$24)</f>
        <v/>
      </c>
      <c r="AH89" s="220">
        <f>AG89*R89</f>
        <v/>
      </c>
      <c r="AI89" s="220">
        <f>$AI$6*Z89</f>
        <v/>
      </c>
      <c r="AJ89" s="220">
        <f>$AJ$6*AA89</f>
        <v/>
      </c>
      <c r="AK89" s="220">
        <f>$AK$6*AB89</f>
        <v/>
      </c>
      <c r="AL89" s="220">
        <f>$AL$6*AC89</f>
        <v/>
      </c>
      <c r="AM89" s="220">
        <f>SUM(AH89:AL89)</f>
        <v/>
      </c>
      <c r="AN89" s="220" t="n">
        <v>0</v>
      </c>
      <c r="AO89" s="220">
        <f>AN89*AH89</f>
        <v/>
      </c>
      <c r="AP89" s="220">
        <f>AD89</f>
        <v/>
      </c>
      <c r="AQ89" s="220">
        <f>AE89</f>
        <v/>
      </c>
      <c r="AR89" s="220">
        <f>AM89-AO89</f>
        <v/>
      </c>
      <c r="AS89" s="220">
        <f>AR89-AK89</f>
        <v/>
      </c>
      <c r="AT89" s="220">
        <f>AS89*1.075</f>
        <v/>
      </c>
      <c r="AU89" s="220">
        <f>ROUNDUP(AT89+AK89+AP89+AQ89,-4)</f>
        <v/>
      </c>
      <c r="AV89" s="198" t="n">
        <v>3403545</v>
      </c>
      <c r="AW89" s="227" t="n"/>
      <c r="AX89" s="220">
        <f>AV89-AR89</f>
        <v/>
      </c>
      <c r="AY89" s="35">
        <f>AX89/AR89</f>
        <v/>
      </c>
      <c r="AZ89" s="220">
        <f>AV89-AF89</f>
        <v/>
      </c>
      <c r="BA89" s="215">
        <f>AV89-SUM(Z89:AC89)</f>
        <v/>
      </c>
      <c r="BB89" s="215">
        <f>BA89-Y89</f>
        <v/>
      </c>
      <c r="BC89" s="35">
        <f>BB89/BA89</f>
        <v/>
      </c>
      <c r="BD89" s="35">
        <f>IFERROR(AZ89/AV89,)</f>
        <v/>
      </c>
      <c r="BE89" s="255">
        <f>AV89-SUM(Z89:AC89)</f>
        <v/>
      </c>
      <c r="BF89" s="255">
        <f>AV89-BE89-AC89-AB89</f>
        <v/>
      </c>
      <c r="BG89" s="255">
        <f>AV89-BE89-BF89-AB89</f>
        <v/>
      </c>
      <c r="BH89" s="255">
        <f>AB89</f>
        <v/>
      </c>
      <c r="BI89">
        <f>IF(BD89&lt;0%,"Loss",IF(BD89&lt;5%,"On Cost Plus",IF(BD89&lt;10%,"Within","Exceed")))</f>
        <v/>
      </c>
      <c r="BJ89" t="inlineStr">
        <is>
          <t>Exceed</t>
        </is>
      </c>
      <c r="BK89">
        <f>0.51*$BK$6</f>
        <v/>
      </c>
      <c r="BL89" s="190">
        <f>BK89-W89</f>
        <v/>
      </c>
      <c r="BM89" s="189">
        <f>BL89*O89</f>
        <v/>
      </c>
    </row>
    <row r="90">
      <c r="A90">
        <f>CONCATENATE(E90,F90,G90,H90,I90,J90,K90,L90)</f>
        <v/>
      </c>
      <c r="B90">
        <f>CONCATENATE(J90,"-&gt;",K90,"/",E90)</f>
        <v/>
      </c>
      <c r="C90" s="23" t="inlineStr">
        <is>
          <t>AFEEZ AJIBADE/Ebenezer</t>
        </is>
      </c>
      <c r="D90">
        <f>CONCATENATE(G90,"-",H90,"-",F90)</f>
        <v/>
      </c>
      <c r="E90" s="24" t="inlineStr">
        <is>
          <t>Lacasera-45T-NBL-DSL-JUMBO</t>
        </is>
      </c>
      <c r="F90" s="24" t="inlineStr">
        <is>
          <t>JUMBO</t>
        </is>
      </c>
      <c r="G90" s="25" t="inlineStr">
        <is>
          <t>NBL-DSL</t>
        </is>
      </c>
      <c r="H90" s="24" t="inlineStr">
        <is>
          <t>45T</t>
        </is>
      </c>
      <c r="I90" s="251" t="inlineStr">
        <is>
          <t>Lacasera</t>
        </is>
      </c>
      <c r="J90" s="251" t="inlineStr">
        <is>
          <t>Lagos</t>
        </is>
      </c>
      <c r="K90" s="23" t="inlineStr">
        <is>
          <t>Zaria</t>
        </is>
      </c>
      <c r="L90" t="inlineStr">
        <is>
          <t>Kaduna</t>
        </is>
      </c>
      <c r="M90" s="1" t="inlineStr">
        <is>
          <t>North</t>
        </is>
      </c>
      <c r="N90" s="261" t="n">
        <v>878.5</v>
      </c>
      <c r="O90" s="257" t="n">
        <v>1757</v>
      </c>
      <c r="P90" s="227">
        <f>ROUNDUP(O90/300,)</f>
        <v/>
      </c>
      <c r="Q90" s="220" t="n">
        <v>1</v>
      </c>
      <c r="R90" s="220">
        <f>Q90+P90</f>
        <v/>
      </c>
      <c r="S90" s="198">
        <f>ROUNDDOWN(O90*0.7,)</f>
        <v/>
      </c>
      <c r="T90" s="220">
        <f>_xlfn.XLOOKUP(G90,[1]Fx!$A$4:$A$12,[1]Fx!$B$4:$B$12)</f>
        <v/>
      </c>
      <c r="U90" s="220">
        <f>_xlfn.XLOOKUP(G90,[1]Fx!$A$4:$A$12,[1]Fx!$C$4:$C$12)</f>
        <v/>
      </c>
      <c r="V90" s="220">
        <f>_xlfn.XLOOKUP(G90,[1]Fx!$A$4:$A$12,[1]Fx!$D$4:$D$12)</f>
        <v/>
      </c>
      <c r="W90" s="208">
        <f>_xlfn.XLOOKUP(H90&amp;I90,'[1]Mapping DSL'!$H:$H,'[1]Mapping DSL'!$J:$J)</f>
        <v/>
      </c>
      <c r="X90" s="220">
        <f>_xlfn.XLOOKUP(G90,[1]Fx!$A$4:$A$12,[1]Fx!$E$4:$E$12)</f>
        <v/>
      </c>
      <c r="Y90" s="220">
        <f>T90*R90</f>
        <v/>
      </c>
      <c r="Z90" s="220">
        <f>U90*O90</f>
        <v/>
      </c>
      <c r="AA90" s="220">
        <f>V90*O90</f>
        <v/>
      </c>
      <c r="AB90" s="220">
        <f>W90*O90</f>
        <v/>
      </c>
      <c r="AC90" s="198">
        <f>X90*O90</f>
        <v/>
      </c>
      <c r="AD90" s="220" t="n">
        <v>0</v>
      </c>
      <c r="AE90" s="220" t="n">
        <v>0</v>
      </c>
      <c r="AF90" s="220">
        <f>SUM(Y90:AE90)</f>
        <v/>
      </c>
      <c r="AG90" s="205">
        <f>_xlfn.XLOOKUP(G90,[1]Fx!$A$16:$A$24,[1]Fx!$B$16:$B$24)</f>
        <v/>
      </c>
      <c r="AH90" s="220">
        <f>AG90*R90</f>
        <v/>
      </c>
      <c r="AI90" s="220">
        <f>$AI$6*Z90</f>
        <v/>
      </c>
      <c r="AJ90" s="220">
        <f>$AJ$6*AA90</f>
        <v/>
      </c>
      <c r="AK90" s="220">
        <f>$AK$6*AB90</f>
        <v/>
      </c>
      <c r="AL90" s="220">
        <f>$AL$6*AC90</f>
        <v/>
      </c>
      <c r="AM90" s="220">
        <f>SUM(AH90:AL90)</f>
        <v/>
      </c>
      <c r="AN90" s="220" t="n">
        <v>0</v>
      </c>
      <c r="AO90" s="220">
        <f>AN90*AH90</f>
        <v/>
      </c>
      <c r="AP90" s="220">
        <f>AD90</f>
        <v/>
      </c>
      <c r="AQ90" s="220">
        <f>AE90</f>
        <v/>
      </c>
      <c r="AR90" s="220">
        <f>AM90-AO90</f>
        <v/>
      </c>
      <c r="AS90" s="220">
        <f>AR90-AK90</f>
        <v/>
      </c>
      <c r="AT90" s="220">
        <f>AS90*1.075</f>
        <v/>
      </c>
      <c r="AU90" s="220">
        <f>ROUNDUP(AT90+AK90+AP90+AQ90,-4)</f>
        <v/>
      </c>
      <c r="AV90" s="198" t="n">
        <v>3512458</v>
      </c>
      <c r="AW90" s="227" t="n"/>
      <c r="AX90" s="220">
        <f>AV90-AR90</f>
        <v/>
      </c>
      <c r="AY90" s="35">
        <f>AX90/AR90</f>
        <v/>
      </c>
      <c r="AZ90" s="220">
        <f>AV90-AF90</f>
        <v/>
      </c>
      <c r="BA90" s="215">
        <f>AV90-SUM(Z90:AC90)</f>
        <v/>
      </c>
      <c r="BB90" s="215">
        <f>BA90-Y90</f>
        <v/>
      </c>
      <c r="BC90" s="35">
        <f>BB90/BA90</f>
        <v/>
      </c>
      <c r="BD90" s="35">
        <f>IFERROR(AZ90/AV90,)</f>
        <v/>
      </c>
      <c r="BE90" s="255">
        <f>AV90-SUM(Z90:AC90)</f>
        <v/>
      </c>
      <c r="BF90" s="255">
        <f>AV90-BE90-AC90-AB90</f>
        <v/>
      </c>
      <c r="BG90" s="255">
        <f>AV90-BE90-BF90-AB90</f>
        <v/>
      </c>
      <c r="BH90" s="255">
        <f>AB90</f>
        <v/>
      </c>
      <c r="BI90">
        <f>IF(BD90&lt;0%,"Loss",IF(BD90&lt;5%,"On Cost Plus",IF(BD90&lt;10%,"Within","Exceed")))</f>
        <v/>
      </c>
      <c r="BJ90" t="inlineStr">
        <is>
          <t>Exceed</t>
        </is>
      </c>
      <c r="BK90">
        <f>0.51*$BK$6</f>
        <v/>
      </c>
      <c r="BL90" s="190">
        <f>BK90-W90</f>
        <v/>
      </c>
      <c r="BM90" s="189">
        <f>BL90*O90</f>
        <v/>
      </c>
    </row>
    <row r="91">
      <c r="A91">
        <f>CONCATENATE(E91,F91,G91,H91,I91,J91,K91,L91)</f>
        <v/>
      </c>
      <c r="B91">
        <f>CONCATENATE(J91,"-&gt;",K91,"/",E91)</f>
        <v/>
      </c>
      <c r="C91" s="23" t="inlineStr">
        <is>
          <t>AFEEZ AJIBADE/Ebenezer</t>
        </is>
      </c>
      <c r="D91">
        <f>CONCATENATE(G91,"-",H91,"-",F91)</f>
        <v/>
      </c>
      <c r="E91" s="24" t="inlineStr">
        <is>
          <t>Lacasera-45T-NBL-DSL-JUMBO</t>
        </is>
      </c>
      <c r="F91" s="24" t="inlineStr">
        <is>
          <t>JUMBO</t>
        </is>
      </c>
      <c r="G91" s="25" t="inlineStr">
        <is>
          <t>NBL-DSL</t>
        </is>
      </c>
      <c r="H91" s="24" t="inlineStr">
        <is>
          <t>45T</t>
        </is>
      </c>
      <c r="I91" s="251" t="inlineStr">
        <is>
          <t>Lacasera</t>
        </is>
      </c>
      <c r="J91" s="251" t="inlineStr">
        <is>
          <t>Lagos</t>
        </is>
      </c>
      <c r="K91" s="23" t="inlineStr">
        <is>
          <t>Kano</t>
        </is>
      </c>
      <c r="L91" t="inlineStr">
        <is>
          <t>Kano</t>
        </is>
      </c>
      <c r="M91" s="1" t="inlineStr">
        <is>
          <t>North</t>
        </is>
      </c>
      <c r="N91" s="261" t="n">
        <v>1013.5</v>
      </c>
      <c r="O91" s="257" t="n">
        <v>2027</v>
      </c>
      <c r="P91" s="227">
        <f>ROUNDUP(O91/300,)</f>
        <v/>
      </c>
      <c r="Q91" s="220" t="n">
        <v>1</v>
      </c>
      <c r="R91" s="220">
        <f>Q91+P91</f>
        <v/>
      </c>
      <c r="S91" s="198">
        <f>ROUNDDOWN(O91*0.7,)</f>
        <v/>
      </c>
      <c r="T91" s="220">
        <f>_xlfn.XLOOKUP(G91,[1]Fx!$A$4:$A$12,[1]Fx!$B$4:$B$12)</f>
        <v/>
      </c>
      <c r="U91" s="220">
        <f>_xlfn.XLOOKUP(G91,[1]Fx!$A$4:$A$12,[1]Fx!$C$4:$C$12)</f>
        <v/>
      </c>
      <c r="V91" s="220">
        <f>_xlfn.XLOOKUP(G91,[1]Fx!$A$4:$A$12,[1]Fx!$D$4:$D$12)</f>
        <v/>
      </c>
      <c r="W91" s="208">
        <f>_xlfn.XLOOKUP(H91&amp;I91,'[1]Mapping DSL'!$H:$H,'[1]Mapping DSL'!$J:$J)</f>
        <v/>
      </c>
      <c r="X91" s="220">
        <f>_xlfn.XLOOKUP(G91,[1]Fx!$A$4:$A$12,[1]Fx!$E$4:$E$12)</f>
        <v/>
      </c>
      <c r="Y91" s="220">
        <f>T91*R91</f>
        <v/>
      </c>
      <c r="Z91" s="220">
        <f>U91*O91</f>
        <v/>
      </c>
      <c r="AA91" s="220">
        <f>V91*O91</f>
        <v/>
      </c>
      <c r="AB91" s="220">
        <f>W91*O91</f>
        <v/>
      </c>
      <c r="AC91" s="198">
        <f>X91*O91</f>
        <v/>
      </c>
      <c r="AD91" s="220" t="n">
        <v>0</v>
      </c>
      <c r="AE91" s="220" t="n">
        <v>0</v>
      </c>
      <c r="AF91" s="220">
        <f>SUM(Y91:AE91)</f>
        <v/>
      </c>
      <c r="AG91" s="205">
        <f>_xlfn.XLOOKUP(G91,[1]Fx!$A$16:$A$24,[1]Fx!$B$16:$B$24)</f>
        <v/>
      </c>
      <c r="AH91" s="220">
        <f>AG91*R91</f>
        <v/>
      </c>
      <c r="AI91" s="220">
        <f>$AI$6*Z91</f>
        <v/>
      </c>
      <c r="AJ91" s="220">
        <f>$AJ$6*AA91</f>
        <v/>
      </c>
      <c r="AK91" s="220">
        <f>$AK$6*AB91</f>
        <v/>
      </c>
      <c r="AL91" s="220">
        <f>$AL$6*AC91</f>
        <v/>
      </c>
      <c r="AM91" s="220">
        <f>SUM(AH91:AL91)</f>
        <v/>
      </c>
      <c r="AN91" s="220" t="n">
        <v>0</v>
      </c>
      <c r="AO91" s="220">
        <f>AN91*AH91</f>
        <v/>
      </c>
      <c r="AP91" s="220">
        <f>AD91</f>
        <v/>
      </c>
      <c r="AQ91" s="220">
        <f>AE91</f>
        <v/>
      </c>
      <c r="AR91" s="220">
        <f>AM91-AO91</f>
        <v/>
      </c>
      <c r="AS91" s="220">
        <f>AR91-AK91</f>
        <v/>
      </c>
      <c r="AT91" s="220">
        <f>AS91*1.075</f>
        <v/>
      </c>
      <c r="AU91" s="220">
        <f>ROUNDUP(AT91+AK91+AP91+AQ91,-4)</f>
        <v/>
      </c>
      <c r="AV91" s="198" t="n">
        <v>3710764</v>
      </c>
      <c r="AW91" s="227" t="n"/>
      <c r="AX91" s="220">
        <f>AV91-AR91</f>
        <v/>
      </c>
      <c r="AY91" s="35">
        <f>AX91/AR91</f>
        <v/>
      </c>
      <c r="AZ91" s="220">
        <f>AV91-AF91</f>
        <v/>
      </c>
      <c r="BA91" s="215">
        <f>AV91-SUM(Z91:AC91)</f>
        <v/>
      </c>
      <c r="BB91" s="215">
        <f>BA91-Y91</f>
        <v/>
      </c>
      <c r="BC91" s="35">
        <f>BB91/BA91</f>
        <v/>
      </c>
      <c r="BD91" s="35">
        <f>IFERROR(AZ91/AV91,)</f>
        <v/>
      </c>
      <c r="BE91" s="255">
        <f>AV91-SUM(Z91:AC91)</f>
        <v/>
      </c>
      <c r="BF91" s="255">
        <f>AV91-BE91-AC91-AB91</f>
        <v/>
      </c>
      <c r="BG91" s="255">
        <f>AV91-BE91-BF91-AB91</f>
        <v/>
      </c>
      <c r="BH91" s="255">
        <f>AB91</f>
        <v/>
      </c>
      <c r="BI91">
        <f>IF(BD91&lt;0%,"Loss",IF(BD91&lt;5%,"On Cost Plus",IF(BD91&lt;10%,"Within","Exceed")))</f>
        <v/>
      </c>
      <c r="BJ91" t="inlineStr">
        <is>
          <t>Exceed</t>
        </is>
      </c>
      <c r="BK91">
        <f>0.51*$BK$6</f>
        <v/>
      </c>
      <c r="BL91" s="190">
        <f>BK91-W91</f>
        <v/>
      </c>
      <c r="BM91" s="189">
        <f>BL91*O91</f>
        <v/>
      </c>
    </row>
    <row r="92">
      <c r="A92">
        <f>CONCATENATE(E92,F92,G92,H92,I92,J92,K92,L92)</f>
        <v/>
      </c>
      <c r="B92">
        <f>CONCATENATE(J92,"-&gt;",K92,"/",E92)</f>
        <v/>
      </c>
      <c r="C92" s="23" t="inlineStr">
        <is>
          <t>AFEEZ AJIBADE/Ebenezer</t>
        </is>
      </c>
      <c r="D92">
        <f>CONCATENATE(G92,"-",H92,"-",F92)</f>
        <v/>
      </c>
      <c r="E92" s="24" t="inlineStr">
        <is>
          <t>Lacasera-45T-NBL-DSL-JUMBO</t>
        </is>
      </c>
      <c r="F92" s="24" t="inlineStr">
        <is>
          <t>JUMBO</t>
        </is>
      </c>
      <c r="G92" s="25" t="inlineStr">
        <is>
          <t>NBL-DSL</t>
        </is>
      </c>
      <c r="H92" s="24" t="inlineStr">
        <is>
          <t>45T</t>
        </is>
      </c>
      <c r="I92" s="251" t="inlineStr">
        <is>
          <t>Lacasera</t>
        </is>
      </c>
      <c r="J92" s="251" t="inlineStr">
        <is>
          <t>Lagos</t>
        </is>
      </c>
      <c r="K92" s="23" t="inlineStr">
        <is>
          <t>Ajaokuta</t>
        </is>
      </c>
      <c r="L92" t="inlineStr">
        <is>
          <t>Kogi</t>
        </is>
      </c>
      <c r="M92" s="1" t="inlineStr">
        <is>
          <t>North</t>
        </is>
      </c>
      <c r="N92" s="261" t="n">
        <v>539.5</v>
      </c>
      <c r="O92" s="257" t="n">
        <v>1079</v>
      </c>
      <c r="P92" s="227">
        <f>ROUNDUP(O92/300,)</f>
        <v/>
      </c>
      <c r="Q92" s="220" t="n">
        <v>1</v>
      </c>
      <c r="R92" s="220">
        <f>Q92+P92</f>
        <v/>
      </c>
      <c r="S92" s="198">
        <f>ROUNDDOWN(O92*0.7,)</f>
        <v/>
      </c>
      <c r="T92" s="220">
        <f>_xlfn.XLOOKUP(G92,[1]Fx!$A$4:$A$12,[1]Fx!$B$4:$B$12)</f>
        <v/>
      </c>
      <c r="U92" s="220">
        <f>_xlfn.XLOOKUP(G92,[1]Fx!$A$4:$A$12,[1]Fx!$C$4:$C$12)</f>
        <v/>
      </c>
      <c r="V92" s="220">
        <f>_xlfn.XLOOKUP(G92,[1]Fx!$A$4:$A$12,[1]Fx!$D$4:$D$12)</f>
        <v/>
      </c>
      <c r="W92" s="208">
        <f>_xlfn.XLOOKUP(H92&amp;I92,'[1]Mapping DSL'!$H:$H,'[1]Mapping DSL'!$J:$J)</f>
        <v/>
      </c>
      <c r="X92" s="220">
        <f>_xlfn.XLOOKUP(G92,[1]Fx!$A$4:$A$12,[1]Fx!$E$4:$E$12)</f>
        <v/>
      </c>
      <c r="Y92" s="220">
        <f>T92*R92</f>
        <v/>
      </c>
      <c r="Z92" s="220">
        <f>U92*O92</f>
        <v/>
      </c>
      <c r="AA92" s="220">
        <f>V92*O92</f>
        <v/>
      </c>
      <c r="AB92" s="220">
        <f>W92*O92</f>
        <v/>
      </c>
      <c r="AC92" s="198">
        <f>X92*O92</f>
        <v/>
      </c>
      <c r="AD92" s="220" t="n">
        <v>0</v>
      </c>
      <c r="AE92" s="220" t="n">
        <v>0</v>
      </c>
      <c r="AF92" s="220">
        <f>SUM(Y92:AE92)</f>
        <v/>
      </c>
      <c r="AG92" s="205">
        <f>_xlfn.XLOOKUP(G92,[1]Fx!$A$16:$A$24,[1]Fx!$B$16:$B$24)</f>
        <v/>
      </c>
      <c r="AH92" s="220">
        <f>AG92*R92</f>
        <v/>
      </c>
      <c r="AI92" s="220">
        <f>$AI$6*Z92</f>
        <v/>
      </c>
      <c r="AJ92" s="220">
        <f>$AJ$6*AA92</f>
        <v/>
      </c>
      <c r="AK92" s="220">
        <f>$AK$6*AB92</f>
        <v/>
      </c>
      <c r="AL92" s="220">
        <f>$AL$6*AC92</f>
        <v/>
      </c>
      <c r="AM92" s="220">
        <f>SUM(AH92:AL92)</f>
        <v/>
      </c>
      <c r="AN92" s="220" t="n">
        <v>0</v>
      </c>
      <c r="AO92" s="220">
        <f>AN92*AH92</f>
        <v/>
      </c>
      <c r="AP92" s="220">
        <f>AD92</f>
        <v/>
      </c>
      <c r="AQ92" s="220">
        <f>AE92</f>
        <v/>
      </c>
      <c r="AR92" s="220">
        <f>AM92-AO92</f>
        <v/>
      </c>
      <c r="AS92" s="220">
        <f>AR92-AK92</f>
        <v/>
      </c>
      <c r="AT92" s="220">
        <f>AS92*1.075</f>
        <v/>
      </c>
      <c r="AU92" s="220">
        <f>ROUNDUP(AT92+AK92+AP92+AQ92,-4)</f>
        <v/>
      </c>
      <c r="AV92" s="198" t="n">
        <v>2643863</v>
      </c>
      <c r="AW92" s="227" t="n"/>
      <c r="AX92" s="220">
        <f>AV92-AR92</f>
        <v/>
      </c>
      <c r="AY92" s="35">
        <f>AX92/AR92</f>
        <v/>
      </c>
      <c r="AZ92" s="220">
        <f>AV92-AF92</f>
        <v/>
      </c>
      <c r="BA92" s="215">
        <f>AV92-SUM(Z92:AC92)</f>
        <v/>
      </c>
      <c r="BB92" s="215">
        <f>BA92-Y92</f>
        <v/>
      </c>
      <c r="BC92" s="35">
        <f>BB92/BA92</f>
        <v/>
      </c>
      <c r="BD92" s="35">
        <f>IFERROR(AZ92/AV92,)</f>
        <v/>
      </c>
      <c r="BE92" s="255">
        <f>AV92-SUM(Z92:AC92)</f>
        <v/>
      </c>
      <c r="BF92" s="255">
        <f>AV92-BE92-AC92-AB92</f>
        <v/>
      </c>
      <c r="BG92" s="255">
        <f>AV92-BE92-BF92-AB92</f>
        <v/>
      </c>
      <c r="BH92" s="255">
        <f>AB92</f>
        <v/>
      </c>
      <c r="BI92">
        <f>IF(BD92&lt;0%,"Loss",IF(BD92&lt;5%,"On Cost Plus",IF(BD92&lt;10%,"Within","Exceed")))</f>
        <v/>
      </c>
      <c r="BJ92" t="inlineStr">
        <is>
          <t>Exceed</t>
        </is>
      </c>
      <c r="BK92">
        <f>0.51*$BK$6</f>
        <v/>
      </c>
      <c r="BL92" s="190">
        <f>BK92-W92</f>
        <v/>
      </c>
      <c r="BM92" s="189">
        <f>BL92*O92</f>
        <v/>
      </c>
    </row>
    <row r="93">
      <c r="A93">
        <f>CONCATENATE(E93,F93,G93,H93,I93,J93,K93,L93)</f>
        <v/>
      </c>
      <c r="B93">
        <f>CONCATENATE(J93,"-&gt;",K93,"/",E93)</f>
        <v/>
      </c>
      <c r="C93" s="23" t="inlineStr">
        <is>
          <t>AFEEZ AJIBADE/Ebenezer</t>
        </is>
      </c>
      <c r="D93">
        <f>CONCATENATE(G93,"-",H93,"-",F93)</f>
        <v/>
      </c>
      <c r="E93" s="24" t="inlineStr">
        <is>
          <t>Lacasera-45T-NBL-DSL-JUMBO</t>
        </is>
      </c>
      <c r="F93" s="24" t="inlineStr">
        <is>
          <t>JUMBO</t>
        </is>
      </c>
      <c r="G93" s="25" t="inlineStr">
        <is>
          <t>NBL-DSL</t>
        </is>
      </c>
      <c r="H93" s="24" t="inlineStr">
        <is>
          <t>45T</t>
        </is>
      </c>
      <c r="I93" s="251" t="inlineStr">
        <is>
          <t>Lacasera</t>
        </is>
      </c>
      <c r="J93" s="251" t="inlineStr">
        <is>
          <t>Lagos</t>
        </is>
      </c>
      <c r="K93" s="23" t="inlineStr">
        <is>
          <t>Lokoja</t>
        </is>
      </c>
      <c r="L93" t="inlineStr">
        <is>
          <t>Kogi</t>
        </is>
      </c>
      <c r="M93" s="1" t="inlineStr">
        <is>
          <t>Central</t>
        </is>
      </c>
      <c r="N93" s="261" t="n">
        <v>548.5</v>
      </c>
      <c r="O93" s="257" t="n">
        <v>1097</v>
      </c>
      <c r="P93" s="227">
        <f>ROUNDUP(O93/300,)</f>
        <v/>
      </c>
      <c r="Q93" s="220" t="n">
        <v>1</v>
      </c>
      <c r="R93" s="220">
        <f>Q93+P93</f>
        <v/>
      </c>
      <c r="S93" s="198">
        <f>ROUNDDOWN(O93*0.7,)</f>
        <v/>
      </c>
      <c r="T93" s="220">
        <f>_xlfn.XLOOKUP(G93,[1]Fx!$A$4:$A$12,[1]Fx!$B$4:$B$12)</f>
        <v/>
      </c>
      <c r="U93" s="220">
        <f>_xlfn.XLOOKUP(G93,[1]Fx!$A$4:$A$12,[1]Fx!$C$4:$C$12)</f>
        <v/>
      </c>
      <c r="V93" s="220">
        <f>_xlfn.XLOOKUP(G93,[1]Fx!$A$4:$A$12,[1]Fx!$D$4:$D$12)</f>
        <v/>
      </c>
      <c r="W93" s="208">
        <f>_xlfn.XLOOKUP(H93&amp;I93,'[1]Mapping DSL'!$H:$H,'[1]Mapping DSL'!$J:$J)</f>
        <v/>
      </c>
      <c r="X93" s="220">
        <f>_xlfn.XLOOKUP(G93,[1]Fx!$A$4:$A$12,[1]Fx!$E$4:$E$12)</f>
        <v/>
      </c>
      <c r="Y93" s="220">
        <f>T93*R93</f>
        <v/>
      </c>
      <c r="Z93" s="220">
        <f>U93*O93</f>
        <v/>
      </c>
      <c r="AA93" s="220">
        <f>V93*O93</f>
        <v/>
      </c>
      <c r="AB93" s="220">
        <f>W93*O93</f>
        <v/>
      </c>
      <c r="AC93" s="198">
        <f>X93*O93</f>
        <v/>
      </c>
      <c r="AD93" s="220" t="n">
        <v>0</v>
      </c>
      <c r="AE93" s="220" t="n">
        <v>0</v>
      </c>
      <c r="AF93" s="220">
        <f>SUM(Y93:AE93)</f>
        <v/>
      </c>
      <c r="AG93" s="205">
        <f>_xlfn.XLOOKUP(G93,[1]Fx!$A$16:$A$24,[1]Fx!$B$16:$B$24)</f>
        <v/>
      </c>
      <c r="AH93" s="220">
        <f>AG93*R93</f>
        <v/>
      </c>
      <c r="AI93" s="220">
        <f>$AI$6*Z93</f>
        <v/>
      </c>
      <c r="AJ93" s="220">
        <f>$AJ$6*AA93</f>
        <v/>
      </c>
      <c r="AK93" s="220">
        <f>$AK$6*AB93</f>
        <v/>
      </c>
      <c r="AL93" s="220">
        <f>$AL$6*AC93</f>
        <v/>
      </c>
      <c r="AM93" s="220">
        <f>SUM(AH93:AL93)</f>
        <v/>
      </c>
      <c r="AN93" s="220" t="n">
        <v>0</v>
      </c>
      <c r="AO93" s="220">
        <f>AN93*AH93</f>
        <v/>
      </c>
      <c r="AP93" s="220">
        <f>AD93</f>
        <v/>
      </c>
      <c r="AQ93" s="220">
        <f>AE93</f>
        <v/>
      </c>
      <c r="AR93" s="220">
        <f>AM93-AO93</f>
        <v/>
      </c>
      <c r="AS93" s="220">
        <f>AR93-AK93</f>
        <v/>
      </c>
      <c r="AT93" s="220">
        <f>AS93*1.075</f>
        <v/>
      </c>
      <c r="AU93" s="220">
        <f>ROUNDUP(AT93+AK93+AP93+AQ93,-4)</f>
        <v/>
      </c>
      <c r="AV93" s="198" t="n">
        <v>2599205</v>
      </c>
      <c r="AW93" s="227" t="n"/>
      <c r="AX93" s="220">
        <f>AV93-AR93</f>
        <v/>
      </c>
      <c r="AY93" s="35">
        <f>AX93/AR93</f>
        <v/>
      </c>
      <c r="AZ93" s="220">
        <f>AV93-AF93</f>
        <v/>
      </c>
      <c r="BA93" s="215">
        <f>AV93-SUM(Z93:AC93)</f>
        <v/>
      </c>
      <c r="BB93" s="215">
        <f>BA93-Y93</f>
        <v/>
      </c>
      <c r="BC93" s="35">
        <f>BB93/BA93</f>
        <v/>
      </c>
      <c r="BD93" s="35">
        <f>IFERROR(AZ93/AV93,)</f>
        <v/>
      </c>
      <c r="BE93" s="255">
        <f>AV93-SUM(Z93:AC93)</f>
        <v/>
      </c>
      <c r="BF93" s="255">
        <f>AV93-BE93-AC93-AB93</f>
        <v/>
      </c>
      <c r="BG93" s="255">
        <f>AV93-BE93-BF93-AB93</f>
        <v/>
      </c>
      <c r="BH93" s="255">
        <f>AB93</f>
        <v/>
      </c>
      <c r="BI93">
        <f>IF(BD93&lt;0%,"Loss",IF(BD93&lt;5%,"On Cost Plus",IF(BD93&lt;10%,"Within","Exceed")))</f>
        <v/>
      </c>
      <c r="BJ93" t="inlineStr">
        <is>
          <t>Exceed</t>
        </is>
      </c>
      <c r="BK93">
        <f>0.51*$BK$6</f>
        <v/>
      </c>
      <c r="BL93" s="190">
        <f>BK93-W93</f>
        <v/>
      </c>
      <c r="BM93" s="189">
        <f>BL93*O93</f>
        <v/>
      </c>
    </row>
    <row r="94">
      <c r="A94">
        <f>CONCATENATE(E94,F94,G94,H94,I94,J94,K94,L94)</f>
        <v/>
      </c>
      <c r="B94">
        <f>CONCATENATE(J94,"-&gt;",K94,"/",E94)</f>
        <v/>
      </c>
      <c r="C94" s="23" t="inlineStr">
        <is>
          <t>AFEEZ AJIBADE/Ebenezer</t>
        </is>
      </c>
      <c r="D94">
        <f>CONCATENATE(G94,"-",H94,"-",F94)</f>
        <v/>
      </c>
      <c r="E94" s="24" t="inlineStr">
        <is>
          <t>Lacasera-45T-NBL-DSL-JUMBO</t>
        </is>
      </c>
      <c r="F94" s="24" t="inlineStr">
        <is>
          <t>JUMBO</t>
        </is>
      </c>
      <c r="G94" s="25" t="inlineStr">
        <is>
          <t>NBL-DSL</t>
        </is>
      </c>
      <c r="H94" s="24" t="inlineStr">
        <is>
          <t>45T</t>
        </is>
      </c>
      <c r="I94" s="251" t="inlineStr">
        <is>
          <t>Lacasera</t>
        </is>
      </c>
      <c r="J94" s="251" t="inlineStr">
        <is>
          <t>Lagos</t>
        </is>
      </c>
      <c r="K94" s="23" t="inlineStr">
        <is>
          <t>Ayangba</t>
        </is>
      </c>
      <c r="L94" t="inlineStr">
        <is>
          <t>Kogi</t>
        </is>
      </c>
      <c r="M94" s="1" t="inlineStr">
        <is>
          <t>Central</t>
        </is>
      </c>
      <c r="N94" s="261" t="n">
        <v>587</v>
      </c>
      <c r="O94" s="257" t="n">
        <v>1174</v>
      </c>
      <c r="P94" s="227">
        <f>ROUNDUP(O94/300,)</f>
        <v/>
      </c>
      <c r="Q94" s="220" t="n">
        <v>1</v>
      </c>
      <c r="R94" s="220">
        <f>Q94+P94</f>
        <v/>
      </c>
      <c r="S94" s="198">
        <f>ROUNDDOWN(O94*0.7,)</f>
        <v/>
      </c>
      <c r="T94" s="220">
        <f>_xlfn.XLOOKUP(G94,[1]Fx!$A$4:$A$12,[1]Fx!$B$4:$B$12)</f>
        <v/>
      </c>
      <c r="U94" s="220">
        <f>_xlfn.XLOOKUP(G94,[1]Fx!$A$4:$A$12,[1]Fx!$C$4:$C$12)</f>
        <v/>
      </c>
      <c r="V94" s="220">
        <f>_xlfn.XLOOKUP(G94,[1]Fx!$A$4:$A$12,[1]Fx!$D$4:$D$12)</f>
        <v/>
      </c>
      <c r="W94" s="208">
        <f>_xlfn.XLOOKUP(H94&amp;I94,'[1]Mapping DSL'!$H:$H,'[1]Mapping DSL'!$J:$J)</f>
        <v/>
      </c>
      <c r="X94" s="220">
        <f>_xlfn.XLOOKUP(G94,[1]Fx!$A$4:$A$12,[1]Fx!$E$4:$E$12)</f>
        <v/>
      </c>
      <c r="Y94" s="220">
        <f>T94*R94</f>
        <v/>
      </c>
      <c r="Z94" s="220">
        <f>U94*O94</f>
        <v/>
      </c>
      <c r="AA94" s="220">
        <f>V94*O94</f>
        <v/>
      </c>
      <c r="AB94" s="220">
        <f>W94*O94</f>
        <v/>
      </c>
      <c r="AC94" s="198">
        <f>X94*O94</f>
        <v/>
      </c>
      <c r="AD94" s="220" t="n">
        <v>0</v>
      </c>
      <c r="AE94" s="220" t="n">
        <v>0</v>
      </c>
      <c r="AF94" s="220">
        <f>SUM(Y94:AE94)</f>
        <v/>
      </c>
      <c r="AG94" s="205">
        <f>_xlfn.XLOOKUP(G94,[1]Fx!$A$16:$A$24,[1]Fx!$B$16:$B$24)</f>
        <v/>
      </c>
      <c r="AH94" s="220">
        <f>AG94*R94</f>
        <v/>
      </c>
      <c r="AI94" s="220">
        <f>$AI$6*Z94</f>
        <v/>
      </c>
      <c r="AJ94" s="220">
        <f>$AJ$6*AA94</f>
        <v/>
      </c>
      <c r="AK94" s="220">
        <f>$AK$6*AB94</f>
        <v/>
      </c>
      <c r="AL94" s="220">
        <f>$AL$6*AC94</f>
        <v/>
      </c>
      <c r="AM94" s="220">
        <f>SUM(AH94:AL94)</f>
        <v/>
      </c>
      <c r="AN94" s="220" t="n">
        <v>0</v>
      </c>
      <c r="AO94" s="220">
        <f>AN94*AH94</f>
        <v/>
      </c>
      <c r="AP94" s="220">
        <f>AD94</f>
        <v/>
      </c>
      <c r="AQ94" s="220">
        <f>AE94</f>
        <v/>
      </c>
      <c r="AR94" s="220">
        <f>AM94-AO94</f>
        <v/>
      </c>
      <c r="AS94" s="220">
        <f>AR94-AK94</f>
        <v/>
      </c>
      <c r="AT94" s="220">
        <f>AS94*1.075</f>
        <v/>
      </c>
      <c r="AU94" s="220">
        <f>ROUNDUP(AT94+AK94+AP94+AQ94,-4)</f>
        <v/>
      </c>
      <c r="AV94" s="198" t="n">
        <v>2611351</v>
      </c>
      <c r="AW94" s="227" t="n"/>
      <c r="AX94" s="220">
        <f>AV94-AR94</f>
        <v/>
      </c>
      <c r="AY94" s="35">
        <f>AX94/AR94</f>
        <v/>
      </c>
      <c r="AZ94" s="220">
        <f>AV94-AF94</f>
        <v/>
      </c>
      <c r="BA94" s="215">
        <f>AV94-SUM(Z94:AC94)</f>
        <v/>
      </c>
      <c r="BB94" s="215">
        <f>BA94-Y94</f>
        <v/>
      </c>
      <c r="BC94" s="35">
        <f>BB94/BA94</f>
        <v/>
      </c>
      <c r="BD94" s="35">
        <f>IFERROR(AZ94/AV94,)</f>
        <v/>
      </c>
      <c r="BE94" s="255">
        <f>AV94-SUM(Z94:AC94)</f>
        <v/>
      </c>
      <c r="BF94" s="255">
        <f>AV94-BE94-AC94-AB94</f>
        <v/>
      </c>
      <c r="BG94" s="255">
        <f>AV94-BE94-BF94-AB94</f>
        <v/>
      </c>
      <c r="BH94" s="255">
        <f>AB94</f>
        <v/>
      </c>
      <c r="BI94">
        <f>IF(BD94&lt;0%,"Loss",IF(BD94&lt;5%,"On Cost Plus",IF(BD94&lt;10%,"Within","Exceed")))</f>
        <v/>
      </c>
      <c r="BJ94" t="inlineStr">
        <is>
          <t>Exceed</t>
        </is>
      </c>
      <c r="BK94">
        <f>0.51*$BK$6</f>
        <v/>
      </c>
      <c r="BL94" s="190">
        <f>BK94-W94</f>
        <v/>
      </c>
      <c r="BM94" s="189">
        <f>BL94*O94</f>
        <v/>
      </c>
    </row>
    <row r="95">
      <c r="A95">
        <f>CONCATENATE(E95,F95,G95,H95,I95,J95,K95,L95)</f>
        <v/>
      </c>
      <c r="B95">
        <f>CONCATENATE(J95,"-&gt;",K95,"/",E95)</f>
        <v/>
      </c>
      <c r="C95" s="23" t="inlineStr">
        <is>
          <t>AFEEZ AJIBADE/Ebenezer</t>
        </is>
      </c>
      <c r="D95">
        <f>CONCATENATE(G95,"-",H95,"-",F95)</f>
        <v/>
      </c>
      <c r="E95" s="24" t="inlineStr">
        <is>
          <t>Lacasera-45T-NBL-DSL-JUMBO</t>
        </is>
      </c>
      <c r="F95" s="24" t="inlineStr">
        <is>
          <t>JUMBO</t>
        </is>
      </c>
      <c r="G95" s="25" t="inlineStr">
        <is>
          <t>NBL-DSL</t>
        </is>
      </c>
      <c r="H95" s="24" t="inlineStr">
        <is>
          <t>45T</t>
        </is>
      </c>
      <c r="I95" s="251" t="inlineStr">
        <is>
          <t>Lacasera</t>
        </is>
      </c>
      <c r="J95" s="251" t="inlineStr">
        <is>
          <t>Lagos</t>
        </is>
      </c>
      <c r="K95" s="23" t="inlineStr">
        <is>
          <t>Okene</t>
        </is>
      </c>
      <c r="L95" t="inlineStr">
        <is>
          <t>Kogi</t>
        </is>
      </c>
      <c r="M95" s="1" t="inlineStr">
        <is>
          <t>North</t>
        </is>
      </c>
      <c r="N95" s="261" t="n">
        <v>475.5</v>
      </c>
      <c r="O95" s="257" t="n">
        <v>951</v>
      </c>
      <c r="P95" s="227">
        <f>ROUNDUP(O95/300,)</f>
        <v/>
      </c>
      <c r="Q95" s="220" t="n">
        <v>1</v>
      </c>
      <c r="R95" s="220">
        <f>Q95+P95</f>
        <v/>
      </c>
      <c r="S95" s="198">
        <f>ROUNDDOWN(O95*0.7,)</f>
        <v/>
      </c>
      <c r="T95" s="220">
        <f>_xlfn.XLOOKUP(G95,[1]Fx!$A$4:$A$12,[1]Fx!$B$4:$B$12)</f>
        <v/>
      </c>
      <c r="U95" s="220">
        <f>_xlfn.XLOOKUP(G95,[1]Fx!$A$4:$A$12,[1]Fx!$C$4:$C$12)</f>
        <v/>
      </c>
      <c r="V95" s="220">
        <f>_xlfn.XLOOKUP(G95,[1]Fx!$A$4:$A$12,[1]Fx!$D$4:$D$12)</f>
        <v/>
      </c>
      <c r="W95" s="208">
        <f>_xlfn.XLOOKUP(H95&amp;I95,'[1]Mapping DSL'!$H:$H,'[1]Mapping DSL'!$J:$J)</f>
        <v/>
      </c>
      <c r="X95" s="220">
        <f>_xlfn.XLOOKUP(G95,[1]Fx!$A$4:$A$12,[1]Fx!$E$4:$E$12)</f>
        <v/>
      </c>
      <c r="Y95" s="220">
        <f>T95*R95</f>
        <v/>
      </c>
      <c r="Z95" s="220">
        <f>U95*O95</f>
        <v/>
      </c>
      <c r="AA95" s="220">
        <f>V95*O95</f>
        <v/>
      </c>
      <c r="AB95" s="220">
        <f>W95*O95</f>
        <v/>
      </c>
      <c r="AC95" s="198">
        <f>X95*O95</f>
        <v/>
      </c>
      <c r="AD95" s="220" t="n">
        <v>0</v>
      </c>
      <c r="AE95" s="220" t="n">
        <v>0</v>
      </c>
      <c r="AF95" s="220">
        <f>SUM(Y95:AE95)</f>
        <v/>
      </c>
      <c r="AG95" s="205">
        <f>_xlfn.XLOOKUP(G95,[1]Fx!$A$16:$A$24,[1]Fx!$B$16:$B$24)</f>
        <v/>
      </c>
      <c r="AH95" s="220">
        <f>AG95*R95</f>
        <v/>
      </c>
      <c r="AI95" s="220">
        <f>$AI$6*Z95</f>
        <v/>
      </c>
      <c r="AJ95" s="220">
        <f>$AJ$6*AA95</f>
        <v/>
      </c>
      <c r="AK95" s="220">
        <f>$AK$6*AB95</f>
        <v/>
      </c>
      <c r="AL95" s="220">
        <f>$AL$6*AC95</f>
        <v/>
      </c>
      <c r="AM95" s="220">
        <f>SUM(AH95:AL95)</f>
        <v/>
      </c>
      <c r="AN95" s="220" t="n">
        <v>0</v>
      </c>
      <c r="AO95" s="220">
        <f>AN95*AH95</f>
        <v/>
      </c>
      <c r="AP95" s="220">
        <f>AD95</f>
        <v/>
      </c>
      <c r="AQ95" s="220">
        <f>AE95</f>
        <v/>
      </c>
      <c r="AR95" s="220">
        <f>AM95-AO95</f>
        <v/>
      </c>
      <c r="AS95" s="220">
        <f>AR95-AK95</f>
        <v/>
      </c>
      <c r="AT95" s="220">
        <f>AS95*1.075</f>
        <v/>
      </c>
      <c r="AU95" s="220">
        <f>ROUNDUP(AT95+AK95+AP95+AQ95,-4)</f>
        <v/>
      </c>
      <c r="AV95" s="198" t="n">
        <v>2453579</v>
      </c>
      <c r="AW95" s="227" t="n"/>
      <c r="AX95" s="220">
        <f>AV95-AR95</f>
        <v/>
      </c>
      <c r="AY95" s="35">
        <f>AX95/AR95</f>
        <v/>
      </c>
      <c r="AZ95" s="220">
        <f>AV95-AF95</f>
        <v/>
      </c>
      <c r="BA95" s="215">
        <f>AV95-SUM(Z95:AC95)</f>
        <v/>
      </c>
      <c r="BB95" s="215">
        <f>BA95-Y95</f>
        <v/>
      </c>
      <c r="BC95" s="35">
        <f>BB95/BA95</f>
        <v/>
      </c>
      <c r="BD95" s="35">
        <f>IFERROR(AZ95/AV95,)</f>
        <v/>
      </c>
      <c r="BE95" s="255">
        <f>AV95-SUM(Z95:AC95)</f>
        <v/>
      </c>
      <c r="BF95" s="255">
        <f>AV95-BE95-AC95-AB95</f>
        <v/>
      </c>
      <c r="BG95" s="255">
        <f>AV95-BE95-BF95-AB95</f>
        <v/>
      </c>
      <c r="BH95" s="255">
        <f>AB95</f>
        <v/>
      </c>
      <c r="BI95">
        <f>IF(BD95&lt;0%,"Loss",IF(BD95&lt;5%,"On Cost Plus",IF(BD95&lt;10%,"Within","Exceed")))</f>
        <v/>
      </c>
      <c r="BJ95" t="inlineStr">
        <is>
          <t>Exceed</t>
        </is>
      </c>
      <c r="BK95">
        <f>0.51*$BK$6</f>
        <v/>
      </c>
      <c r="BL95" s="190">
        <f>BK95-W95</f>
        <v/>
      </c>
      <c r="BM95" s="189">
        <f>BL95*O95</f>
        <v/>
      </c>
    </row>
    <row r="96">
      <c r="A96">
        <f>CONCATENATE(E96,F96,G96,H96,I96,J96,K96,L96)</f>
        <v/>
      </c>
      <c r="B96">
        <f>CONCATENATE(J96,"-&gt;",K96,"/",E96)</f>
        <v/>
      </c>
      <c r="C96" s="23" t="inlineStr">
        <is>
          <t>AFEEZ AJIBADE/Ebenezer</t>
        </is>
      </c>
      <c r="D96">
        <f>CONCATENATE(G96,"-",H96,"-",F96)</f>
        <v/>
      </c>
      <c r="E96" s="24" t="inlineStr">
        <is>
          <t>Lacasera-45T-NBL-DSL-JUMBO</t>
        </is>
      </c>
      <c r="F96" s="24" t="inlineStr">
        <is>
          <t>JUMBO</t>
        </is>
      </c>
      <c r="G96" s="25" t="inlineStr">
        <is>
          <t>NBL-DSL</t>
        </is>
      </c>
      <c r="H96" s="24" t="inlineStr">
        <is>
          <t>45T</t>
        </is>
      </c>
      <c r="I96" s="251" t="inlineStr">
        <is>
          <t>Lacasera</t>
        </is>
      </c>
      <c r="J96" s="251" t="inlineStr">
        <is>
          <t>Lagos</t>
        </is>
      </c>
      <c r="K96" s="23" t="inlineStr">
        <is>
          <t>Akwanga</t>
        </is>
      </c>
      <c r="L96" t="inlineStr">
        <is>
          <t>Nasarawa</t>
        </is>
      </c>
      <c r="M96" s="1" t="inlineStr">
        <is>
          <t>North</t>
        </is>
      </c>
      <c r="N96" s="261" t="n">
        <v>904</v>
      </c>
      <c r="O96" s="257" t="n">
        <v>1808</v>
      </c>
      <c r="P96" s="227">
        <f>ROUNDUP(O96/300,)</f>
        <v/>
      </c>
      <c r="Q96" s="220" t="n">
        <v>1</v>
      </c>
      <c r="R96" s="220">
        <f>Q96+P96</f>
        <v/>
      </c>
      <c r="S96" s="198">
        <f>ROUNDDOWN(O96*0.7,)</f>
        <v/>
      </c>
      <c r="T96" s="220">
        <f>_xlfn.XLOOKUP(G96,[1]Fx!$A$4:$A$12,[1]Fx!$B$4:$B$12)</f>
        <v/>
      </c>
      <c r="U96" s="220">
        <f>_xlfn.XLOOKUP(G96,[1]Fx!$A$4:$A$12,[1]Fx!$C$4:$C$12)</f>
        <v/>
      </c>
      <c r="V96" s="220">
        <f>_xlfn.XLOOKUP(G96,[1]Fx!$A$4:$A$12,[1]Fx!$D$4:$D$12)</f>
        <v/>
      </c>
      <c r="W96" s="208">
        <f>_xlfn.XLOOKUP(H96&amp;I96,'[1]Mapping DSL'!$H:$H,'[1]Mapping DSL'!$J:$J)</f>
        <v/>
      </c>
      <c r="X96" s="220">
        <f>_xlfn.XLOOKUP(G96,[1]Fx!$A$4:$A$12,[1]Fx!$E$4:$E$12)</f>
        <v/>
      </c>
      <c r="Y96" s="220">
        <f>T96*R96</f>
        <v/>
      </c>
      <c r="Z96" s="220">
        <f>U96*O96</f>
        <v/>
      </c>
      <c r="AA96" s="220">
        <f>V96*O96</f>
        <v/>
      </c>
      <c r="AB96" s="220">
        <f>W96*O96</f>
        <v/>
      </c>
      <c r="AC96" s="198">
        <f>X96*O96</f>
        <v/>
      </c>
      <c r="AD96" s="220" t="n">
        <v>0</v>
      </c>
      <c r="AE96" s="220" t="n">
        <v>0</v>
      </c>
      <c r="AF96" s="220">
        <f>SUM(Y96:AE96)</f>
        <v/>
      </c>
      <c r="AG96" s="205">
        <f>_xlfn.XLOOKUP(G96,[1]Fx!$A$16:$A$24,[1]Fx!$B$16:$B$24)</f>
        <v/>
      </c>
      <c r="AH96" s="220">
        <f>AG96*R96</f>
        <v/>
      </c>
      <c r="AI96" s="220">
        <f>$AI$6*Z96</f>
        <v/>
      </c>
      <c r="AJ96" s="220">
        <f>$AJ$6*AA96</f>
        <v/>
      </c>
      <c r="AK96" s="220">
        <f>$AK$6*AB96</f>
        <v/>
      </c>
      <c r="AL96" s="220">
        <f>$AL$6*AC96</f>
        <v/>
      </c>
      <c r="AM96" s="220">
        <f>SUM(AH96:AL96)</f>
        <v/>
      </c>
      <c r="AN96" s="220" t="n">
        <v>0</v>
      </c>
      <c r="AO96" s="220">
        <f>AN96*AH96</f>
        <v/>
      </c>
      <c r="AP96" s="220">
        <f>AD96</f>
        <v/>
      </c>
      <c r="AQ96" s="220">
        <f>AE96</f>
        <v/>
      </c>
      <c r="AR96" s="220">
        <f>AM96-AO96</f>
        <v/>
      </c>
      <c r="AS96" s="220">
        <f>AR96-AK96</f>
        <v/>
      </c>
      <c r="AT96" s="220">
        <f>AS96*1.075</f>
        <v/>
      </c>
      <c r="AU96" s="220">
        <f>ROUNDUP(AT96+AK96+AP96+AQ96,-4)</f>
        <v/>
      </c>
      <c r="AV96" s="198" t="n">
        <v>3592478</v>
      </c>
      <c r="AW96" s="227" t="n"/>
      <c r="AX96" s="220">
        <f>AV96-AR96</f>
        <v/>
      </c>
      <c r="AY96" s="35">
        <f>AX96/AR96</f>
        <v/>
      </c>
      <c r="AZ96" s="220">
        <f>AV96-AF96</f>
        <v/>
      </c>
      <c r="BA96" s="215">
        <f>AV96-SUM(Z96:AC96)</f>
        <v/>
      </c>
      <c r="BB96" s="215">
        <f>BA96-Y96</f>
        <v/>
      </c>
      <c r="BC96" s="35">
        <f>BB96/BA96</f>
        <v/>
      </c>
      <c r="BD96" s="35">
        <f>IFERROR(AZ96/AV96,)</f>
        <v/>
      </c>
      <c r="BE96" s="255">
        <f>AV96-SUM(Z96:AC96)</f>
        <v/>
      </c>
      <c r="BF96" s="255">
        <f>AV96-BE96-AC96-AB96</f>
        <v/>
      </c>
      <c r="BG96" s="255">
        <f>AV96-BE96-BF96-AB96</f>
        <v/>
      </c>
      <c r="BH96" s="255">
        <f>AB96</f>
        <v/>
      </c>
      <c r="BI96">
        <f>IF(BD96&lt;0%,"Loss",IF(BD96&lt;5%,"On Cost Plus",IF(BD96&lt;10%,"Within","Exceed")))</f>
        <v/>
      </c>
      <c r="BJ96" t="inlineStr">
        <is>
          <t>Exceed</t>
        </is>
      </c>
      <c r="BK96">
        <f>0.51*$BK$6</f>
        <v/>
      </c>
      <c r="BL96" s="190">
        <f>BK96-W96</f>
        <v/>
      </c>
      <c r="BM96" s="189">
        <f>BL96*O96</f>
        <v/>
      </c>
    </row>
    <row r="97">
      <c r="A97">
        <f>CONCATENATE(E97,F97,G97,H97,I97,J97,K97,L97)</f>
        <v/>
      </c>
      <c r="B97">
        <f>CONCATENATE(J97,"-&gt;",K97,"/",E97)</f>
        <v/>
      </c>
      <c r="C97" s="23" t="inlineStr">
        <is>
          <t>AFEEZ AJIBADE/Ebenezer</t>
        </is>
      </c>
      <c r="D97">
        <f>CONCATENATE(G97,"-",H97,"-",F97)</f>
        <v/>
      </c>
      <c r="E97" s="24" t="inlineStr">
        <is>
          <t>Lacasera-45T-NBL-DSL-JUMBO</t>
        </is>
      </c>
      <c r="F97" s="24" t="inlineStr">
        <is>
          <t>JUMBO</t>
        </is>
      </c>
      <c r="G97" s="25" t="inlineStr">
        <is>
          <t>NBL-DSL</t>
        </is>
      </c>
      <c r="H97" s="24" t="inlineStr">
        <is>
          <t>45T</t>
        </is>
      </c>
      <c r="I97" s="251" t="inlineStr">
        <is>
          <t>Lacasera</t>
        </is>
      </c>
      <c r="J97" s="251" t="inlineStr">
        <is>
          <t>Lagos</t>
        </is>
      </c>
      <c r="K97" s="23" t="inlineStr">
        <is>
          <t>Keffi</t>
        </is>
      </c>
      <c r="L97" t="inlineStr">
        <is>
          <t>Nasarawa</t>
        </is>
      </c>
      <c r="M97" s="1" t="inlineStr">
        <is>
          <t>North</t>
        </is>
      </c>
      <c r="N97" s="261" t="n">
        <v>840</v>
      </c>
      <c r="O97" s="257" t="n">
        <v>1680</v>
      </c>
      <c r="P97" s="227">
        <f>ROUNDUP(O97/300,)</f>
        <v/>
      </c>
      <c r="Q97" s="220" t="n">
        <v>1</v>
      </c>
      <c r="R97" s="220">
        <f>Q97+P97</f>
        <v/>
      </c>
      <c r="S97" s="198">
        <f>ROUNDDOWN(O97*0.7,)</f>
        <v/>
      </c>
      <c r="T97" s="220">
        <f>_xlfn.XLOOKUP(G97,[1]Fx!$A$4:$A$12,[1]Fx!$B$4:$B$12)</f>
        <v/>
      </c>
      <c r="U97" s="220">
        <f>_xlfn.XLOOKUP(G97,[1]Fx!$A$4:$A$12,[1]Fx!$C$4:$C$12)</f>
        <v/>
      </c>
      <c r="V97" s="220">
        <f>_xlfn.XLOOKUP(G97,[1]Fx!$A$4:$A$12,[1]Fx!$D$4:$D$12)</f>
        <v/>
      </c>
      <c r="W97" s="208">
        <f>_xlfn.XLOOKUP(H97&amp;I97,'[1]Mapping DSL'!$H:$H,'[1]Mapping DSL'!$J:$J)</f>
        <v/>
      </c>
      <c r="X97" s="220">
        <f>_xlfn.XLOOKUP(G97,[1]Fx!$A$4:$A$12,[1]Fx!$E$4:$E$12)</f>
        <v/>
      </c>
      <c r="Y97" s="220">
        <f>T97*R97</f>
        <v/>
      </c>
      <c r="Z97" s="220">
        <f>U97*O97</f>
        <v/>
      </c>
      <c r="AA97" s="220">
        <f>V97*O97</f>
        <v/>
      </c>
      <c r="AB97" s="220">
        <f>W97*O97</f>
        <v/>
      </c>
      <c r="AC97" s="198">
        <f>X97*O97</f>
        <v/>
      </c>
      <c r="AD97" s="220" t="n">
        <v>0</v>
      </c>
      <c r="AE97" s="220" t="n">
        <v>0</v>
      </c>
      <c r="AF97" s="220">
        <f>SUM(Y97:AE97)</f>
        <v/>
      </c>
      <c r="AG97" s="205">
        <f>_xlfn.XLOOKUP(G97,[1]Fx!$A$16:$A$24,[1]Fx!$B$16:$B$24)</f>
        <v/>
      </c>
      <c r="AH97" s="220">
        <f>AG97*R97</f>
        <v/>
      </c>
      <c r="AI97" s="220">
        <f>$AI$6*Z97</f>
        <v/>
      </c>
      <c r="AJ97" s="220">
        <f>$AJ$6*AA97</f>
        <v/>
      </c>
      <c r="AK97" s="220">
        <f>$AK$6*AB97</f>
        <v/>
      </c>
      <c r="AL97" s="220">
        <f>$AL$6*AC97</f>
        <v/>
      </c>
      <c r="AM97" s="220">
        <f>SUM(AH97:AL97)</f>
        <v/>
      </c>
      <c r="AN97" s="220" t="n">
        <v>0</v>
      </c>
      <c r="AO97" s="220">
        <f>AN97*AH97</f>
        <v/>
      </c>
      <c r="AP97" s="220">
        <f>AD97</f>
        <v/>
      </c>
      <c r="AQ97" s="220">
        <f>AE97</f>
        <v/>
      </c>
      <c r="AR97" s="220">
        <f>AM97-AO97</f>
        <v/>
      </c>
      <c r="AS97" s="220">
        <f>AR97-AK97</f>
        <v/>
      </c>
      <c r="AT97" s="220">
        <f>AS97*1.075</f>
        <v/>
      </c>
      <c r="AU97" s="220">
        <f>ROUNDUP(AT97+AK97+AP97+AQ97,-4)</f>
        <v/>
      </c>
      <c r="AV97" s="198" t="n">
        <v>3333587</v>
      </c>
      <c r="AW97" s="227" t="n"/>
      <c r="AX97" s="220">
        <f>AV97-AR97</f>
        <v/>
      </c>
      <c r="AY97" s="35">
        <f>AX97/AR97</f>
        <v/>
      </c>
      <c r="AZ97" s="220">
        <f>AV97-AF97</f>
        <v/>
      </c>
      <c r="BA97" s="215">
        <f>AV97-SUM(Z97:AC97)</f>
        <v/>
      </c>
      <c r="BB97" s="215">
        <f>BA97-Y97</f>
        <v/>
      </c>
      <c r="BC97" s="35">
        <f>BB97/BA97</f>
        <v/>
      </c>
      <c r="BD97" s="35">
        <f>IFERROR(AZ97/AV97,)</f>
        <v/>
      </c>
      <c r="BE97" s="255">
        <f>AV97-SUM(Z97:AC97)</f>
        <v/>
      </c>
      <c r="BF97" s="255">
        <f>AV97-BE97-AC97-AB97</f>
        <v/>
      </c>
      <c r="BG97" s="255">
        <f>AV97-BE97-BF97-AB97</f>
        <v/>
      </c>
      <c r="BH97" s="255">
        <f>AB97</f>
        <v/>
      </c>
      <c r="BI97">
        <f>IF(BD97&lt;0%,"Loss",IF(BD97&lt;5%,"On Cost Plus",IF(BD97&lt;10%,"Within","Exceed")))</f>
        <v/>
      </c>
      <c r="BJ97" t="inlineStr">
        <is>
          <t>Exceed</t>
        </is>
      </c>
      <c r="BK97">
        <f>0.51*$BK$6</f>
        <v/>
      </c>
      <c r="BL97" s="190">
        <f>BK97-W97</f>
        <v/>
      </c>
      <c r="BM97" s="189">
        <f>BL97*O97</f>
        <v/>
      </c>
    </row>
    <row r="98">
      <c r="A98">
        <f>CONCATENATE(E98,F98,G98,H98,I98,J98,K98,L98)</f>
        <v/>
      </c>
      <c r="B98">
        <f>CONCATENATE(J98,"-&gt;",K98,"/",E98)</f>
        <v/>
      </c>
      <c r="C98" s="23" t="inlineStr">
        <is>
          <t>AFEEZ AJIBADE/Ebenezer</t>
        </is>
      </c>
      <c r="D98">
        <f>CONCATENATE(G98,"-",H98,"-",F98)</f>
        <v/>
      </c>
      <c r="E98" s="24" t="inlineStr">
        <is>
          <t>Lacasera-45T-NBL-DSL-JUMBO</t>
        </is>
      </c>
      <c r="F98" s="24" t="inlineStr">
        <is>
          <t>JUMBO</t>
        </is>
      </c>
      <c r="G98" s="25" t="inlineStr">
        <is>
          <t>NBL-DSL</t>
        </is>
      </c>
      <c r="H98" s="24" t="inlineStr">
        <is>
          <t>45T</t>
        </is>
      </c>
      <c r="I98" s="251" t="inlineStr">
        <is>
          <t>Lacasera</t>
        </is>
      </c>
      <c r="J98" s="251" t="inlineStr">
        <is>
          <t>Lagos</t>
        </is>
      </c>
      <c r="K98" s="23" t="inlineStr">
        <is>
          <t>Lafia</t>
        </is>
      </c>
      <c r="L98" t="inlineStr">
        <is>
          <t>Nasarawa</t>
        </is>
      </c>
      <c r="M98" s="1" t="inlineStr">
        <is>
          <t>North</t>
        </is>
      </c>
      <c r="N98" s="261" t="n">
        <v>907.5</v>
      </c>
      <c r="O98" s="257" t="n">
        <v>1815</v>
      </c>
      <c r="P98" s="227">
        <f>ROUNDUP(O98/300,)</f>
        <v/>
      </c>
      <c r="Q98" s="220" t="n">
        <v>1</v>
      </c>
      <c r="R98" s="220">
        <f>Q98+P98</f>
        <v/>
      </c>
      <c r="S98" s="198">
        <f>ROUNDDOWN(O98*0.7,)</f>
        <v/>
      </c>
      <c r="T98" s="220">
        <f>_xlfn.XLOOKUP(G98,[1]Fx!$A$4:$A$12,[1]Fx!$B$4:$B$12)</f>
        <v/>
      </c>
      <c r="U98" s="220">
        <f>_xlfn.XLOOKUP(G98,[1]Fx!$A$4:$A$12,[1]Fx!$C$4:$C$12)</f>
        <v/>
      </c>
      <c r="V98" s="220">
        <f>_xlfn.XLOOKUP(G98,[1]Fx!$A$4:$A$12,[1]Fx!$D$4:$D$12)</f>
        <v/>
      </c>
      <c r="W98" s="208">
        <f>_xlfn.XLOOKUP(H98&amp;I98,'[1]Mapping DSL'!$H:$H,'[1]Mapping DSL'!$J:$J)</f>
        <v/>
      </c>
      <c r="X98" s="220">
        <f>_xlfn.XLOOKUP(G98,[1]Fx!$A$4:$A$12,[1]Fx!$E$4:$E$12)</f>
        <v/>
      </c>
      <c r="Y98" s="220">
        <f>T98*R98</f>
        <v/>
      </c>
      <c r="Z98" s="220">
        <f>U98*O98</f>
        <v/>
      </c>
      <c r="AA98" s="220">
        <f>V98*O98</f>
        <v/>
      </c>
      <c r="AB98" s="220">
        <f>W98*O98</f>
        <v/>
      </c>
      <c r="AC98" s="198">
        <f>X98*O98</f>
        <v/>
      </c>
      <c r="AD98" s="220" t="n">
        <v>0</v>
      </c>
      <c r="AE98" s="220" t="n">
        <v>0</v>
      </c>
      <c r="AF98" s="220">
        <f>SUM(Y98:AE98)</f>
        <v/>
      </c>
      <c r="AG98" s="205">
        <f>_xlfn.XLOOKUP(G98,[1]Fx!$A$16:$A$24,[1]Fx!$B$16:$B$24)</f>
        <v/>
      </c>
      <c r="AH98" s="220">
        <f>AG98*R98</f>
        <v/>
      </c>
      <c r="AI98" s="220">
        <f>$AI$6*Z98</f>
        <v/>
      </c>
      <c r="AJ98" s="220">
        <f>$AJ$6*AA98</f>
        <v/>
      </c>
      <c r="AK98" s="220">
        <f>$AK$6*AB98</f>
        <v/>
      </c>
      <c r="AL98" s="220">
        <f>$AL$6*AC98</f>
        <v/>
      </c>
      <c r="AM98" s="220">
        <f>SUM(AH98:AL98)</f>
        <v/>
      </c>
      <c r="AN98" s="220" t="n">
        <v>0</v>
      </c>
      <c r="AO98" s="220">
        <f>AN98*AH98</f>
        <v/>
      </c>
      <c r="AP98" s="220">
        <f>AD98</f>
        <v/>
      </c>
      <c r="AQ98" s="220">
        <f>AE98</f>
        <v/>
      </c>
      <c r="AR98" s="220">
        <f>AM98-AO98</f>
        <v/>
      </c>
      <c r="AS98" s="220">
        <f>AR98-AK98</f>
        <v/>
      </c>
      <c r="AT98" s="220">
        <f>AS98*1.075</f>
        <v/>
      </c>
      <c r="AU98" s="220">
        <f>ROUNDUP(AT98+AK98+AP98+AQ98,-4)</f>
        <v/>
      </c>
      <c r="AV98" s="198" t="n">
        <v>3684781</v>
      </c>
      <c r="AW98" s="227" t="n"/>
      <c r="AX98" s="220">
        <f>AV98-AR98</f>
        <v/>
      </c>
      <c r="AY98" s="35">
        <f>AX98/AR98</f>
        <v/>
      </c>
      <c r="AZ98" s="220">
        <f>AV98-AF98</f>
        <v/>
      </c>
      <c r="BA98" s="215">
        <f>AV98-SUM(Z98:AC98)</f>
        <v/>
      </c>
      <c r="BB98" s="215">
        <f>BA98-Y98</f>
        <v/>
      </c>
      <c r="BC98" s="35">
        <f>BB98/BA98</f>
        <v/>
      </c>
      <c r="BD98" s="35">
        <f>IFERROR(AZ98/AV98,)</f>
        <v/>
      </c>
      <c r="BE98" s="255">
        <f>AV98-SUM(Z98:AC98)</f>
        <v/>
      </c>
      <c r="BF98" s="255">
        <f>AV98-BE98-AC98-AB98</f>
        <v/>
      </c>
      <c r="BG98" s="255">
        <f>AV98-BE98-BF98-AB98</f>
        <v/>
      </c>
      <c r="BH98" s="255">
        <f>AB98</f>
        <v/>
      </c>
      <c r="BI98">
        <f>IF(BD98&lt;0%,"Loss",IF(BD98&lt;5%,"On Cost Plus",IF(BD98&lt;10%,"Within","Exceed")))</f>
        <v/>
      </c>
      <c r="BJ98" t="inlineStr">
        <is>
          <t>Exceed</t>
        </is>
      </c>
      <c r="BK98">
        <f>0.51*$BK$6</f>
        <v/>
      </c>
      <c r="BL98" s="190">
        <f>BK98-W98</f>
        <v/>
      </c>
      <c r="BM98" s="189">
        <f>BL98*O98</f>
        <v/>
      </c>
    </row>
    <row r="99">
      <c r="A99">
        <f>CONCATENATE(E99,F99,G99,H99,I99,J99,K99,L99)</f>
        <v/>
      </c>
      <c r="B99">
        <f>CONCATENATE(J99,"-&gt;",K99,"/",E99)</f>
        <v/>
      </c>
      <c r="C99" s="23" t="inlineStr">
        <is>
          <t>AFEEZ AJIBADE/Ebenezer</t>
        </is>
      </c>
      <c r="D99">
        <f>CONCATENATE(G99,"-",H99,"-",F99)</f>
        <v/>
      </c>
      <c r="E99" s="24" t="inlineStr">
        <is>
          <t>Lacasera-45T-NBL-DSL-JUMBO</t>
        </is>
      </c>
      <c r="F99" s="24" t="inlineStr">
        <is>
          <t>JUMBO</t>
        </is>
      </c>
      <c r="G99" s="25" t="inlineStr">
        <is>
          <t>NBL-DSL</t>
        </is>
      </c>
      <c r="H99" s="24" t="inlineStr">
        <is>
          <t>45T</t>
        </is>
      </c>
      <c r="I99" s="251" t="inlineStr">
        <is>
          <t>Lacasera</t>
        </is>
      </c>
      <c r="J99" s="251" t="inlineStr">
        <is>
          <t>Lagos</t>
        </is>
      </c>
      <c r="K99" s="23" t="inlineStr">
        <is>
          <t>Kontagora</t>
        </is>
      </c>
      <c r="L99" t="inlineStr">
        <is>
          <t>Niger</t>
        </is>
      </c>
      <c r="M99" s="1" t="inlineStr">
        <is>
          <t>North</t>
        </is>
      </c>
      <c r="N99" s="261" t="n">
        <v>584.5</v>
      </c>
      <c r="O99" s="257" t="n">
        <v>1169</v>
      </c>
      <c r="P99" s="227">
        <f>ROUNDUP(O99/300,)</f>
        <v/>
      </c>
      <c r="Q99" s="220" t="n">
        <v>1</v>
      </c>
      <c r="R99" s="220">
        <f>Q99+P99</f>
        <v/>
      </c>
      <c r="S99" s="198">
        <f>ROUNDDOWN(O99*0.7,)</f>
        <v/>
      </c>
      <c r="T99" s="220">
        <f>_xlfn.XLOOKUP(G99,[1]Fx!$A$4:$A$12,[1]Fx!$B$4:$B$12)</f>
        <v/>
      </c>
      <c r="U99" s="220">
        <f>_xlfn.XLOOKUP(G99,[1]Fx!$A$4:$A$12,[1]Fx!$C$4:$C$12)</f>
        <v/>
      </c>
      <c r="V99" s="220">
        <f>_xlfn.XLOOKUP(G99,[1]Fx!$A$4:$A$12,[1]Fx!$D$4:$D$12)</f>
        <v/>
      </c>
      <c r="W99" s="208">
        <f>_xlfn.XLOOKUP(H99&amp;I99,'[1]Mapping DSL'!$H:$H,'[1]Mapping DSL'!$J:$J)</f>
        <v/>
      </c>
      <c r="X99" s="220">
        <f>_xlfn.XLOOKUP(G99,[1]Fx!$A$4:$A$12,[1]Fx!$E$4:$E$12)</f>
        <v/>
      </c>
      <c r="Y99" s="220">
        <f>T99*R99</f>
        <v/>
      </c>
      <c r="Z99" s="220">
        <f>U99*O99</f>
        <v/>
      </c>
      <c r="AA99" s="220">
        <f>V99*O99</f>
        <v/>
      </c>
      <c r="AB99" s="220">
        <f>W99*O99</f>
        <v/>
      </c>
      <c r="AC99" s="198">
        <f>X99*O99</f>
        <v/>
      </c>
      <c r="AD99" s="220" t="n">
        <v>0</v>
      </c>
      <c r="AE99" s="220" t="n">
        <v>0</v>
      </c>
      <c r="AF99" s="220">
        <f>SUM(Y99:AE99)</f>
        <v/>
      </c>
      <c r="AG99" s="205">
        <f>_xlfn.XLOOKUP(G99,[1]Fx!$A$16:$A$24,[1]Fx!$B$16:$B$24)</f>
        <v/>
      </c>
      <c r="AH99" s="220">
        <f>AG99*R99</f>
        <v/>
      </c>
      <c r="AI99" s="220">
        <f>$AI$6*Z99</f>
        <v/>
      </c>
      <c r="AJ99" s="220">
        <f>$AJ$6*AA99</f>
        <v/>
      </c>
      <c r="AK99" s="220">
        <f>$AK$6*AB99</f>
        <v/>
      </c>
      <c r="AL99" s="220">
        <f>$AL$6*AC99</f>
        <v/>
      </c>
      <c r="AM99" s="220">
        <f>SUM(AH99:AL99)</f>
        <v/>
      </c>
      <c r="AN99" s="220" t="n">
        <v>0</v>
      </c>
      <c r="AO99" s="220">
        <f>AN99*AH99</f>
        <v/>
      </c>
      <c r="AP99" s="220">
        <f>AD99</f>
        <v/>
      </c>
      <c r="AQ99" s="220">
        <f>AE99</f>
        <v/>
      </c>
      <c r="AR99" s="220">
        <f>AM99-AO99</f>
        <v/>
      </c>
      <c r="AS99" s="220">
        <f>AR99-AK99</f>
        <v/>
      </c>
      <c r="AT99" s="220">
        <f>AS99*1.075</f>
        <v/>
      </c>
      <c r="AU99" s="220">
        <f>ROUNDUP(AT99+AK99+AP99+AQ99,-4)</f>
        <v/>
      </c>
      <c r="AV99" s="198" t="n">
        <v>3128754</v>
      </c>
      <c r="AW99" s="227" t="n"/>
      <c r="AX99" s="220">
        <f>AV99-AR99</f>
        <v/>
      </c>
      <c r="AY99" s="35">
        <f>AX99/AR99</f>
        <v/>
      </c>
      <c r="AZ99" s="220">
        <f>AV99-AF99</f>
        <v/>
      </c>
      <c r="BA99" s="215">
        <f>AV99-SUM(Z99:AC99)</f>
        <v/>
      </c>
      <c r="BB99" s="215">
        <f>BA99-Y99</f>
        <v/>
      </c>
      <c r="BC99" s="35">
        <f>BB99/BA99</f>
        <v/>
      </c>
      <c r="BD99" s="35">
        <f>IFERROR(AZ99/AV99,)</f>
        <v/>
      </c>
      <c r="BE99" s="255">
        <f>AV99-SUM(Z99:AC99)</f>
        <v/>
      </c>
      <c r="BF99" s="255">
        <f>AV99-BE99-AC99-AB99</f>
        <v/>
      </c>
      <c r="BG99" s="255">
        <f>AV99-BE99-BF99-AB99</f>
        <v/>
      </c>
      <c r="BH99" s="255">
        <f>AB99</f>
        <v/>
      </c>
      <c r="BI99">
        <f>IF(BD99&lt;0%,"Loss",IF(BD99&lt;5%,"On Cost Plus",IF(BD99&lt;10%,"Within","Exceed")))</f>
        <v/>
      </c>
      <c r="BJ99" t="inlineStr">
        <is>
          <t>Exceed</t>
        </is>
      </c>
      <c r="BK99">
        <f>0.51*$BK$6</f>
        <v/>
      </c>
      <c r="BL99" s="190">
        <f>BK99-W99</f>
        <v/>
      </c>
      <c r="BM99" s="189">
        <f>BL99*O99</f>
        <v/>
      </c>
    </row>
    <row r="100">
      <c r="A100">
        <f>CONCATENATE(E100,F100,G100,H100,I100,J100,K100,L100)</f>
        <v/>
      </c>
      <c r="B100">
        <f>CONCATENATE(J100,"-&gt;",K100,"/",E100)</f>
        <v/>
      </c>
      <c r="C100" s="23" t="inlineStr">
        <is>
          <t>AFEEZ AJIBADE/Ebenezer</t>
        </is>
      </c>
      <c r="D100">
        <f>CONCATENATE(G100,"-",H100,"-",F100)</f>
        <v/>
      </c>
      <c r="E100" s="24" t="inlineStr">
        <is>
          <t>Lacasera-45T-NBL-DSL-JUMBO</t>
        </is>
      </c>
      <c r="F100" s="24" t="inlineStr">
        <is>
          <t>JUMBO</t>
        </is>
      </c>
      <c r="G100" s="25" t="inlineStr">
        <is>
          <t>NBL-DSL</t>
        </is>
      </c>
      <c r="H100" s="24" t="inlineStr">
        <is>
          <t>45T</t>
        </is>
      </c>
      <c r="I100" s="251" t="inlineStr">
        <is>
          <t>Lacasera</t>
        </is>
      </c>
      <c r="J100" s="251" t="inlineStr">
        <is>
          <t>Lagos</t>
        </is>
      </c>
      <c r="K100" s="23" t="inlineStr">
        <is>
          <t>Minna</t>
        </is>
      </c>
      <c r="L100" t="inlineStr">
        <is>
          <t>Niger</t>
        </is>
      </c>
      <c r="M100" s="1" t="inlineStr">
        <is>
          <t>North</t>
        </is>
      </c>
      <c r="N100" s="261" t="n">
        <v>626.5</v>
      </c>
      <c r="O100" s="257" t="n">
        <v>1253</v>
      </c>
      <c r="P100" s="227">
        <f>ROUNDUP(O100/300,)</f>
        <v/>
      </c>
      <c r="Q100" s="220" t="n">
        <v>1</v>
      </c>
      <c r="R100" s="220">
        <f>Q100+P100</f>
        <v/>
      </c>
      <c r="S100" s="198">
        <f>ROUNDDOWN(O100*0.7,)</f>
        <v/>
      </c>
      <c r="T100" s="220">
        <f>_xlfn.XLOOKUP(G100,[1]Fx!$A$4:$A$12,[1]Fx!$B$4:$B$12)</f>
        <v/>
      </c>
      <c r="U100" s="220">
        <f>_xlfn.XLOOKUP(G100,[1]Fx!$A$4:$A$12,[1]Fx!$C$4:$C$12)</f>
        <v/>
      </c>
      <c r="V100" s="220">
        <f>_xlfn.XLOOKUP(G100,[1]Fx!$A$4:$A$12,[1]Fx!$D$4:$D$12)</f>
        <v/>
      </c>
      <c r="W100" s="208">
        <f>_xlfn.XLOOKUP(H100&amp;I100,'[1]Mapping DSL'!$H:$H,'[1]Mapping DSL'!$J:$J)</f>
        <v/>
      </c>
      <c r="X100" s="220">
        <f>_xlfn.XLOOKUP(G100,[1]Fx!$A$4:$A$12,[1]Fx!$E$4:$E$12)</f>
        <v/>
      </c>
      <c r="Y100" s="220">
        <f>T100*R100</f>
        <v/>
      </c>
      <c r="Z100" s="220">
        <f>U100*O100</f>
        <v/>
      </c>
      <c r="AA100" s="220">
        <f>V100*O100</f>
        <v/>
      </c>
      <c r="AB100" s="220">
        <f>W100*O100</f>
        <v/>
      </c>
      <c r="AC100" s="198">
        <f>X100*O100</f>
        <v/>
      </c>
      <c r="AD100" s="220" t="n">
        <v>0</v>
      </c>
      <c r="AE100" s="220" t="n">
        <v>0</v>
      </c>
      <c r="AF100" s="220">
        <f>SUM(Y100:AE100)</f>
        <v/>
      </c>
      <c r="AG100" s="205">
        <f>_xlfn.XLOOKUP(G100,[1]Fx!$A$16:$A$24,[1]Fx!$B$16:$B$24)</f>
        <v/>
      </c>
      <c r="AH100" s="220">
        <f>AG100*R100</f>
        <v/>
      </c>
      <c r="AI100" s="220">
        <f>$AI$6*Z100</f>
        <v/>
      </c>
      <c r="AJ100" s="220">
        <f>$AJ$6*AA100</f>
        <v/>
      </c>
      <c r="AK100" s="220">
        <f>$AK$6*AB100</f>
        <v/>
      </c>
      <c r="AL100" s="220">
        <f>$AL$6*AC100</f>
        <v/>
      </c>
      <c r="AM100" s="220">
        <f>SUM(AH100:AL100)</f>
        <v/>
      </c>
      <c r="AN100" s="220" t="n">
        <v>0</v>
      </c>
      <c r="AO100" s="220">
        <f>AN100*AH100</f>
        <v/>
      </c>
      <c r="AP100" s="220">
        <f>AD100</f>
        <v/>
      </c>
      <c r="AQ100" s="220">
        <f>AE100</f>
        <v/>
      </c>
      <c r="AR100" s="220">
        <f>AM100-AO100</f>
        <v/>
      </c>
      <c r="AS100" s="220">
        <f>AR100-AK100</f>
        <v/>
      </c>
      <c r="AT100" s="220">
        <f>AS100*1.075</f>
        <v/>
      </c>
      <c r="AU100" s="220">
        <f>ROUNDUP(AT100+AK100+AP100+AQ100,-4)</f>
        <v/>
      </c>
      <c r="AV100" s="198" t="n">
        <v>3091244</v>
      </c>
      <c r="AW100" s="227" t="n"/>
      <c r="AX100" s="220">
        <f>AV100-AR100</f>
        <v/>
      </c>
      <c r="AY100" s="35">
        <f>AX100/AR100</f>
        <v/>
      </c>
      <c r="AZ100" s="220">
        <f>AV100-AF100</f>
        <v/>
      </c>
      <c r="BA100" s="215">
        <f>AV100-SUM(Z100:AC100)</f>
        <v/>
      </c>
      <c r="BB100" s="215">
        <f>BA100-Y100</f>
        <v/>
      </c>
      <c r="BC100" s="35">
        <f>BB100/BA100</f>
        <v/>
      </c>
      <c r="BD100" s="35">
        <f>IFERROR(AZ100/AV100,)</f>
        <v/>
      </c>
      <c r="BE100" s="255">
        <f>AV100-SUM(Z100:AC100)</f>
        <v/>
      </c>
      <c r="BF100" s="255">
        <f>AV100-BE100-AC100-AB100</f>
        <v/>
      </c>
      <c r="BG100" s="255">
        <f>AV100-BE100-BF100-AB100</f>
        <v/>
      </c>
      <c r="BH100" s="255">
        <f>AB100</f>
        <v/>
      </c>
      <c r="BI100">
        <f>IF(BD100&lt;0%,"Loss",IF(BD100&lt;5%,"On Cost Plus",IF(BD100&lt;10%,"Within","Exceed")))</f>
        <v/>
      </c>
      <c r="BJ100" t="inlineStr">
        <is>
          <t>Exceed</t>
        </is>
      </c>
      <c r="BK100">
        <f>0.51*$BK$6</f>
        <v/>
      </c>
      <c r="BL100" s="190">
        <f>BK100-W100</f>
        <v/>
      </c>
      <c r="BM100" s="189">
        <f>BL100*O100</f>
        <v/>
      </c>
    </row>
    <row r="101">
      <c r="A101">
        <f>CONCATENATE(E101,F101,G101,H101,I101,J101,K101,L101)</f>
        <v/>
      </c>
      <c r="B101">
        <f>CONCATENATE(J101,"-&gt;",K101,"/",E101)</f>
        <v/>
      </c>
      <c r="C101" s="23" t="inlineStr">
        <is>
          <t>AFEEZ AJIBADE/Ebenezer</t>
        </is>
      </c>
      <c r="D101">
        <f>CONCATENATE(G101,"-",H101,"-",F101)</f>
        <v/>
      </c>
      <c r="E101" s="24" t="inlineStr">
        <is>
          <t>Lacasera-45T-NBL-DSL-JUMBO</t>
        </is>
      </c>
      <c r="F101" s="24" t="inlineStr">
        <is>
          <t>JUMBO</t>
        </is>
      </c>
      <c r="G101" s="25" t="inlineStr">
        <is>
          <t>NBL-DSL</t>
        </is>
      </c>
      <c r="H101" s="24" t="inlineStr">
        <is>
          <t>45T</t>
        </is>
      </c>
      <c r="I101" s="251" t="inlineStr">
        <is>
          <t>Lacasera</t>
        </is>
      </c>
      <c r="J101" s="251" t="inlineStr">
        <is>
          <t>Lagos</t>
        </is>
      </c>
      <c r="K101" s="23" t="inlineStr">
        <is>
          <t>Jos</t>
        </is>
      </c>
      <c r="L101" t="inlineStr">
        <is>
          <t>Plateau</t>
        </is>
      </c>
      <c r="M101" s="1" t="inlineStr">
        <is>
          <t>North</t>
        </is>
      </c>
      <c r="N101" s="261" t="n">
        <v>1025</v>
      </c>
      <c r="O101" s="257" t="n">
        <v>2050</v>
      </c>
      <c r="P101" s="227">
        <f>ROUNDUP(O101/300,)</f>
        <v/>
      </c>
      <c r="Q101" s="220" t="n">
        <v>1</v>
      </c>
      <c r="R101" s="220">
        <f>Q101+P101</f>
        <v/>
      </c>
      <c r="S101" s="198">
        <f>ROUNDDOWN(O101*0.7,)</f>
        <v/>
      </c>
      <c r="T101" s="220">
        <f>_xlfn.XLOOKUP(G101,[1]Fx!$A$4:$A$12,[1]Fx!$B$4:$B$12)</f>
        <v/>
      </c>
      <c r="U101" s="220">
        <f>_xlfn.XLOOKUP(G101,[1]Fx!$A$4:$A$12,[1]Fx!$C$4:$C$12)</f>
        <v/>
      </c>
      <c r="V101" s="220">
        <f>_xlfn.XLOOKUP(G101,[1]Fx!$A$4:$A$12,[1]Fx!$D$4:$D$12)</f>
        <v/>
      </c>
      <c r="W101" s="208">
        <f>_xlfn.XLOOKUP(H101&amp;I101,'[1]Mapping DSL'!$H:$H,'[1]Mapping DSL'!$J:$J)</f>
        <v/>
      </c>
      <c r="X101" s="220">
        <f>_xlfn.XLOOKUP(G101,[1]Fx!$A$4:$A$12,[1]Fx!$E$4:$E$12)</f>
        <v/>
      </c>
      <c r="Y101" s="220">
        <f>T101*R101</f>
        <v/>
      </c>
      <c r="Z101" s="220">
        <f>U101*O101</f>
        <v/>
      </c>
      <c r="AA101" s="220">
        <f>V101*O101</f>
        <v/>
      </c>
      <c r="AB101" s="220">
        <f>W101*O101</f>
        <v/>
      </c>
      <c r="AC101" s="198">
        <f>X101*O101</f>
        <v/>
      </c>
      <c r="AD101" s="220" t="n">
        <v>0</v>
      </c>
      <c r="AE101" s="220" t="n">
        <v>0</v>
      </c>
      <c r="AF101" s="220">
        <f>SUM(Y101:AE101)</f>
        <v/>
      </c>
      <c r="AG101" s="205">
        <f>_xlfn.XLOOKUP(G101,[1]Fx!$A$16:$A$24,[1]Fx!$B$16:$B$24)</f>
        <v/>
      </c>
      <c r="AH101" s="220">
        <f>AG101*R101</f>
        <v/>
      </c>
      <c r="AI101" s="220">
        <f>$AI$6*Z101</f>
        <v/>
      </c>
      <c r="AJ101" s="220">
        <f>$AJ$6*AA101</f>
        <v/>
      </c>
      <c r="AK101" s="220">
        <f>$AK$6*AB101</f>
        <v/>
      </c>
      <c r="AL101" s="220">
        <f>$AL$6*AC101</f>
        <v/>
      </c>
      <c r="AM101" s="220">
        <f>SUM(AH101:AL101)</f>
        <v/>
      </c>
      <c r="AN101" s="220" t="n">
        <v>0</v>
      </c>
      <c r="AO101" s="220">
        <f>AN101*AH101</f>
        <v/>
      </c>
      <c r="AP101" s="220">
        <f>AD101</f>
        <v/>
      </c>
      <c r="AQ101" s="220">
        <f>AE101</f>
        <v/>
      </c>
      <c r="AR101" s="220">
        <f>AM101-AO101</f>
        <v/>
      </c>
      <c r="AS101" s="220">
        <f>AR101-AK101</f>
        <v/>
      </c>
      <c r="AT101" s="220">
        <f>AS101*1.075</f>
        <v/>
      </c>
      <c r="AU101" s="220">
        <f>ROUNDUP(AT101+AK101+AP101+AQ101,-4)</f>
        <v/>
      </c>
      <c r="AV101" s="198" t="n">
        <v>3498710</v>
      </c>
      <c r="AW101" s="227" t="n"/>
      <c r="AX101" s="220">
        <f>AV101-AR101</f>
        <v/>
      </c>
      <c r="AY101" s="35">
        <f>AX101/AR101</f>
        <v/>
      </c>
      <c r="AZ101" s="220">
        <f>AV101-AF101</f>
        <v/>
      </c>
      <c r="BA101" s="215">
        <f>AV101-SUM(Z101:AC101)</f>
        <v/>
      </c>
      <c r="BB101" s="215">
        <f>BA101-Y101</f>
        <v/>
      </c>
      <c r="BC101" s="35">
        <f>BB101/BA101</f>
        <v/>
      </c>
      <c r="BD101" s="35">
        <f>IFERROR(AZ101/AV101,)</f>
        <v/>
      </c>
      <c r="BE101" s="255">
        <f>AV101-SUM(Z101:AC101)</f>
        <v/>
      </c>
      <c r="BF101" s="255">
        <f>AV101-BE101-AC101-AB101</f>
        <v/>
      </c>
      <c r="BG101" s="255">
        <f>AV101-BE101-BF101-AB101</f>
        <v/>
      </c>
      <c r="BH101" s="255">
        <f>AB101</f>
        <v/>
      </c>
      <c r="BI101">
        <f>IF(BD101&lt;0%,"Loss",IF(BD101&lt;5%,"On Cost Plus",IF(BD101&lt;10%,"Within","Exceed")))</f>
        <v/>
      </c>
      <c r="BJ101" t="inlineStr">
        <is>
          <t>Exceed</t>
        </is>
      </c>
      <c r="BK101">
        <f>0.51*$BK$6</f>
        <v/>
      </c>
      <c r="BL101" s="190">
        <f>BK101-W101</f>
        <v/>
      </c>
      <c r="BM101" s="189">
        <f>BL101*O101</f>
        <v/>
      </c>
    </row>
    <row r="102">
      <c r="A102">
        <f>CONCATENATE(E102,F102,G102,H102,I102,J102,K102,L102)</f>
        <v/>
      </c>
      <c r="B102">
        <f>CONCATENATE(J102,"-&gt;",K102,"/",E102)</f>
        <v/>
      </c>
      <c r="C102" s="23" t="inlineStr">
        <is>
          <t>AFEEZ AJIBADE/Ebenezer</t>
        </is>
      </c>
      <c r="D102">
        <f>CONCATENATE(G102,"-",H102,"-",F102)</f>
        <v/>
      </c>
      <c r="E102" s="24" t="inlineStr">
        <is>
          <t>Lacasera-45T-NBL-DSL-JUMBO</t>
        </is>
      </c>
      <c r="F102" s="24" t="inlineStr">
        <is>
          <t>JUMBO</t>
        </is>
      </c>
      <c r="G102" s="25" t="inlineStr">
        <is>
          <t>NBL-DSL</t>
        </is>
      </c>
      <c r="H102" s="24" t="inlineStr">
        <is>
          <t>45T</t>
        </is>
      </c>
      <c r="I102" s="251" t="inlineStr">
        <is>
          <t>Lacasera</t>
        </is>
      </c>
      <c r="J102" s="251" t="inlineStr">
        <is>
          <t>Lagos</t>
        </is>
      </c>
      <c r="K102" s="23" t="inlineStr">
        <is>
          <t>Shendam</t>
        </is>
      </c>
      <c r="L102" t="inlineStr">
        <is>
          <t>Plateau</t>
        </is>
      </c>
      <c r="M102" s="1" t="inlineStr">
        <is>
          <t>North</t>
        </is>
      </c>
      <c r="N102" s="261" t="n">
        <v>1033</v>
      </c>
      <c r="O102" s="257" t="n">
        <v>2066</v>
      </c>
      <c r="P102" s="227">
        <f>ROUNDUP(O102/300,)</f>
        <v/>
      </c>
      <c r="Q102" s="220" t="n">
        <v>1</v>
      </c>
      <c r="R102" s="220">
        <f>Q102+P102</f>
        <v/>
      </c>
      <c r="S102" s="198">
        <f>ROUNDDOWN(O102*0.7,)</f>
        <v/>
      </c>
      <c r="T102" s="220">
        <f>_xlfn.XLOOKUP(G102,[1]Fx!$A$4:$A$12,[1]Fx!$B$4:$B$12)</f>
        <v/>
      </c>
      <c r="U102" s="220">
        <f>_xlfn.XLOOKUP(G102,[1]Fx!$A$4:$A$12,[1]Fx!$C$4:$C$12)</f>
        <v/>
      </c>
      <c r="V102" s="220">
        <f>_xlfn.XLOOKUP(G102,[1]Fx!$A$4:$A$12,[1]Fx!$D$4:$D$12)</f>
        <v/>
      </c>
      <c r="W102" s="208">
        <f>_xlfn.XLOOKUP(H102&amp;I102,'[1]Mapping DSL'!$H:$H,'[1]Mapping DSL'!$J:$J)</f>
        <v/>
      </c>
      <c r="X102" s="220">
        <f>_xlfn.XLOOKUP(G102,[1]Fx!$A$4:$A$12,[1]Fx!$E$4:$E$12)</f>
        <v/>
      </c>
      <c r="Y102" s="220">
        <f>T102*R102</f>
        <v/>
      </c>
      <c r="Z102" s="220">
        <f>U102*O102</f>
        <v/>
      </c>
      <c r="AA102" s="220">
        <f>V102*O102</f>
        <v/>
      </c>
      <c r="AB102" s="220">
        <f>W102*O102</f>
        <v/>
      </c>
      <c r="AC102" s="198">
        <f>X102*O102</f>
        <v/>
      </c>
      <c r="AD102" s="220" t="n">
        <v>0</v>
      </c>
      <c r="AE102" s="220" t="n">
        <v>0</v>
      </c>
      <c r="AF102" s="220">
        <f>SUM(Y102:AE102)</f>
        <v/>
      </c>
      <c r="AG102" s="205">
        <f>_xlfn.XLOOKUP(G102,[1]Fx!$A$16:$A$24,[1]Fx!$B$16:$B$24)</f>
        <v/>
      </c>
      <c r="AH102" s="220">
        <f>AG102*R102</f>
        <v/>
      </c>
      <c r="AI102" s="220">
        <f>$AI$6*Z102</f>
        <v/>
      </c>
      <c r="AJ102" s="220">
        <f>$AJ$6*AA102</f>
        <v/>
      </c>
      <c r="AK102" s="220">
        <f>$AK$6*AB102</f>
        <v/>
      </c>
      <c r="AL102" s="220">
        <f>$AL$6*AC102</f>
        <v/>
      </c>
      <c r="AM102" s="220">
        <f>SUM(AH102:AL102)</f>
        <v/>
      </c>
      <c r="AN102" s="220" t="n">
        <v>0</v>
      </c>
      <c r="AO102" s="220">
        <f>AN102*AH102</f>
        <v/>
      </c>
      <c r="AP102" s="220">
        <f>AD102</f>
        <v/>
      </c>
      <c r="AQ102" s="220">
        <f>AE102</f>
        <v/>
      </c>
      <c r="AR102" s="220">
        <f>AM102-AO102</f>
        <v/>
      </c>
      <c r="AS102" s="220">
        <f>AR102-AK102</f>
        <v/>
      </c>
      <c r="AT102" s="220">
        <f>AS102*1.075</f>
        <v/>
      </c>
      <c r="AU102" s="220">
        <f>ROUNDUP(AT102+AK102+AP102+AQ102,-4)</f>
        <v/>
      </c>
      <c r="AV102" s="198" t="n">
        <v>4052524</v>
      </c>
      <c r="AW102" s="227" t="n"/>
      <c r="AX102" s="220">
        <f>AV102-AR102</f>
        <v/>
      </c>
      <c r="AY102" s="35">
        <f>AX102/AR102</f>
        <v/>
      </c>
      <c r="AZ102" s="220">
        <f>AV102-AF102</f>
        <v/>
      </c>
      <c r="BA102" s="215">
        <f>AV102-SUM(Z102:AC102)</f>
        <v/>
      </c>
      <c r="BB102" s="215">
        <f>BA102-Y102</f>
        <v/>
      </c>
      <c r="BC102" s="35">
        <f>BB102/BA102</f>
        <v/>
      </c>
      <c r="BD102" s="35">
        <f>IFERROR(AZ102/AV102,)</f>
        <v/>
      </c>
      <c r="BE102" s="255">
        <f>AV102-SUM(Z102:AC102)</f>
        <v/>
      </c>
      <c r="BF102" s="255">
        <f>AV102-BE102-AC102-AB102</f>
        <v/>
      </c>
      <c r="BG102" s="255">
        <f>AV102-BE102-BF102-AB102</f>
        <v/>
      </c>
      <c r="BH102" s="255">
        <f>AB102</f>
        <v/>
      </c>
      <c r="BI102">
        <f>IF(BD102&lt;0%,"Loss",IF(BD102&lt;5%,"On Cost Plus",IF(BD102&lt;10%,"Within","Exceed")))</f>
        <v/>
      </c>
      <c r="BJ102" t="inlineStr">
        <is>
          <t>Exceed</t>
        </is>
      </c>
      <c r="BK102">
        <f>0.51*$BK$6</f>
        <v/>
      </c>
      <c r="BL102" s="190">
        <f>BK102-W102</f>
        <v/>
      </c>
      <c r="BM102" s="189">
        <f>BL102*O102</f>
        <v/>
      </c>
    </row>
    <row r="103">
      <c r="A103">
        <f>CONCATENATE(E103,F103,G103,H103,I103,J103,K103,L103)</f>
        <v/>
      </c>
      <c r="B103">
        <f>CONCATENATE(J103,"-&gt;",K103,"/",E103)</f>
        <v/>
      </c>
      <c r="C103" s="23" t="inlineStr">
        <is>
          <t>AFEEZ AJIBADE/Ebenezer</t>
        </is>
      </c>
      <c r="D103">
        <f>CONCATENATE(G103,"-",H103,"-",F103)</f>
        <v/>
      </c>
      <c r="E103" s="24" t="inlineStr">
        <is>
          <t>Lacasera-45T-NBL-DSL-JUMBO</t>
        </is>
      </c>
      <c r="F103" s="24" t="inlineStr">
        <is>
          <t>JUMBO</t>
        </is>
      </c>
      <c r="G103" s="25" t="inlineStr">
        <is>
          <t>NBL-DSL</t>
        </is>
      </c>
      <c r="H103" s="24" t="inlineStr">
        <is>
          <t>45T</t>
        </is>
      </c>
      <c r="I103" s="251" t="inlineStr">
        <is>
          <t>Lacasera</t>
        </is>
      </c>
      <c r="J103" s="251" t="inlineStr">
        <is>
          <t>Lagos</t>
        </is>
      </c>
      <c r="K103" s="23" t="inlineStr">
        <is>
          <t>Sokoto</t>
        </is>
      </c>
      <c r="L103" t="inlineStr">
        <is>
          <t>Sokoto</t>
        </is>
      </c>
      <c r="M103" s="1" t="inlineStr">
        <is>
          <t>North</t>
        </is>
      </c>
      <c r="N103" s="261" t="n">
        <v>991.5</v>
      </c>
      <c r="O103" s="257" t="n">
        <v>1983</v>
      </c>
      <c r="P103" s="227">
        <f>ROUNDUP(O103/300,)</f>
        <v/>
      </c>
      <c r="Q103" s="220" t="n">
        <v>1</v>
      </c>
      <c r="R103" s="220">
        <f>Q103+P103</f>
        <v/>
      </c>
      <c r="S103" s="198">
        <f>ROUNDDOWN(O103*0.7,)</f>
        <v/>
      </c>
      <c r="T103" s="220">
        <f>_xlfn.XLOOKUP(G103,[1]Fx!$A$4:$A$12,[1]Fx!$B$4:$B$12)</f>
        <v/>
      </c>
      <c r="U103" s="220">
        <f>_xlfn.XLOOKUP(G103,[1]Fx!$A$4:$A$12,[1]Fx!$C$4:$C$12)</f>
        <v/>
      </c>
      <c r="V103" s="220">
        <f>_xlfn.XLOOKUP(G103,[1]Fx!$A$4:$A$12,[1]Fx!$D$4:$D$12)</f>
        <v/>
      </c>
      <c r="W103" s="208">
        <f>_xlfn.XLOOKUP(H103&amp;I103,'[1]Mapping DSL'!$H:$H,'[1]Mapping DSL'!$J:$J)</f>
        <v/>
      </c>
      <c r="X103" s="220">
        <f>_xlfn.XLOOKUP(G103,[1]Fx!$A$4:$A$12,[1]Fx!$E$4:$E$12)</f>
        <v/>
      </c>
      <c r="Y103" s="220">
        <f>T103*R103</f>
        <v/>
      </c>
      <c r="Z103" s="220">
        <f>U103*O103</f>
        <v/>
      </c>
      <c r="AA103" s="220">
        <f>V103*O103</f>
        <v/>
      </c>
      <c r="AB103" s="220">
        <f>W103*O103</f>
        <v/>
      </c>
      <c r="AC103" s="198">
        <f>X103*O103</f>
        <v/>
      </c>
      <c r="AD103" s="220" t="n">
        <v>0</v>
      </c>
      <c r="AE103" s="220" t="n">
        <v>0</v>
      </c>
      <c r="AF103" s="220">
        <f>SUM(Y103:AE103)</f>
        <v/>
      </c>
      <c r="AG103" s="205">
        <f>_xlfn.XLOOKUP(G103,[1]Fx!$A$16:$A$24,[1]Fx!$B$16:$B$24)</f>
        <v/>
      </c>
      <c r="AH103" s="220">
        <f>AG103*R103</f>
        <v/>
      </c>
      <c r="AI103" s="220">
        <f>$AI$6*Z103</f>
        <v/>
      </c>
      <c r="AJ103" s="220">
        <f>$AJ$6*AA103</f>
        <v/>
      </c>
      <c r="AK103" s="220">
        <f>$AK$6*AB103</f>
        <v/>
      </c>
      <c r="AL103" s="220">
        <f>$AL$6*AC103</f>
        <v/>
      </c>
      <c r="AM103" s="220">
        <f>SUM(AH103:AL103)</f>
        <v/>
      </c>
      <c r="AN103" s="220" t="n">
        <v>0</v>
      </c>
      <c r="AO103" s="220">
        <f>AN103*AH103</f>
        <v/>
      </c>
      <c r="AP103" s="220">
        <f>AD103</f>
        <v/>
      </c>
      <c r="AQ103" s="220">
        <f>AE103</f>
        <v/>
      </c>
      <c r="AR103" s="220">
        <f>AM103-AO103</f>
        <v/>
      </c>
      <c r="AS103" s="220">
        <f>AR103-AK103</f>
        <v/>
      </c>
      <c r="AT103" s="220">
        <f>AS103*1.075</f>
        <v/>
      </c>
      <c r="AU103" s="220">
        <f>ROUNDUP(AT103+AK103+AP103+AQ103,-4)</f>
        <v/>
      </c>
      <c r="AV103" s="198" t="n">
        <v>4204707</v>
      </c>
      <c r="AW103" s="227" t="n"/>
      <c r="AX103" s="220">
        <f>AV103-AR103</f>
        <v/>
      </c>
      <c r="AY103" s="35">
        <f>AX103/AR103</f>
        <v/>
      </c>
      <c r="AZ103" s="220">
        <f>AV103-AF103</f>
        <v/>
      </c>
      <c r="BA103" s="215">
        <f>AV103-SUM(Z103:AC103)</f>
        <v/>
      </c>
      <c r="BB103" s="215">
        <f>BA103-Y103</f>
        <v/>
      </c>
      <c r="BC103" s="35">
        <f>BB103/BA103</f>
        <v/>
      </c>
      <c r="BD103" s="35">
        <f>IFERROR(AZ103/AV103,)</f>
        <v/>
      </c>
      <c r="BE103" s="255">
        <f>AV103-SUM(Z103:AC103)</f>
        <v/>
      </c>
      <c r="BF103" s="255">
        <f>AV103-BE103-AC103-AB103</f>
        <v/>
      </c>
      <c r="BG103" s="255">
        <f>AV103-BE103-BF103-AB103</f>
        <v/>
      </c>
      <c r="BH103" s="255">
        <f>AB103</f>
        <v/>
      </c>
      <c r="BI103">
        <f>IF(BD103&lt;0%,"Loss",IF(BD103&lt;5%,"On Cost Plus",IF(BD103&lt;10%,"Within","Exceed")))</f>
        <v/>
      </c>
      <c r="BJ103" t="inlineStr">
        <is>
          <t>Exceed</t>
        </is>
      </c>
      <c r="BK103">
        <f>0.51*$BK$6</f>
        <v/>
      </c>
      <c r="BL103" s="190">
        <f>BK103-W103</f>
        <v/>
      </c>
      <c r="BM103" s="189">
        <f>BL103*O103</f>
        <v/>
      </c>
    </row>
    <row r="104">
      <c r="A104">
        <f>CONCATENATE(E104,F104,G104,H104,I104,J104,K104,L104)</f>
        <v/>
      </c>
      <c r="B104">
        <f>CONCATENATE(J104,"-&gt;",K104,"/",E104)</f>
        <v/>
      </c>
      <c r="C104" s="23" t="inlineStr">
        <is>
          <t>AFEEZ AJIBADE/Ebenezer</t>
        </is>
      </c>
      <c r="D104">
        <f>CONCATENATE(G104,"-",H104,"-",F104)</f>
        <v/>
      </c>
      <c r="E104" s="24" t="inlineStr">
        <is>
          <t>Lacasera-45T-NBL-DSL-JUMBO</t>
        </is>
      </c>
      <c r="F104" s="24" t="inlineStr">
        <is>
          <t>JUMBO</t>
        </is>
      </c>
      <c r="G104" s="25" t="inlineStr">
        <is>
          <t>NBL-DSL</t>
        </is>
      </c>
      <c r="H104" s="24" t="inlineStr">
        <is>
          <t>45T</t>
        </is>
      </c>
      <c r="I104" s="251" t="inlineStr">
        <is>
          <t>Lacasera</t>
        </is>
      </c>
      <c r="J104" s="251" t="inlineStr">
        <is>
          <t>Lagos</t>
        </is>
      </c>
      <c r="K104" s="23" t="inlineStr">
        <is>
          <t>Birnin Kebbi</t>
        </is>
      </c>
      <c r="L104" t="inlineStr">
        <is>
          <t>Kebbi</t>
        </is>
      </c>
      <c r="M104" s="1" t="inlineStr">
        <is>
          <t>North</t>
        </is>
      </c>
      <c r="N104" s="261" t="n">
        <v>885</v>
      </c>
      <c r="O104" s="257" t="n">
        <v>1770</v>
      </c>
      <c r="P104" s="227">
        <f>ROUNDUP(O104/300,)</f>
        <v/>
      </c>
      <c r="Q104" s="220" t="n">
        <v>1</v>
      </c>
      <c r="R104" s="220">
        <f>Q104+P104</f>
        <v/>
      </c>
      <c r="S104" s="198">
        <f>ROUNDDOWN(O104*0.7,)</f>
        <v/>
      </c>
      <c r="T104" s="220">
        <f>_xlfn.XLOOKUP(G104,[1]Fx!$A$4:$A$12,[1]Fx!$B$4:$B$12)</f>
        <v/>
      </c>
      <c r="U104" s="220">
        <f>_xlfn.XLOOKUP(G104,[1]Fx!$A$4:$A$12,[1]Fx!$C$4:$C$12)</f>
        <v/>
      </c>
      <c r="V104" s="220">
        <f>_xlfn.XLOOKUP(G104,[1]Fx!$A$4:$A$12,[1]Fx!$D$4:$D$12)</f>
        <v/>
      </c>
      <c r="W104" s="208">
        <f>_xlfn.XLOOKUP(H104&amp;I104,'[1]Mapping DSL'!$H:$H,'[1]Mapping DSL'!$J:$J)</f>
        <v/>
      </c>
      <c r="X104" s="220">
        <f>_xlfn.XLOOKUP(G104,[1]Fx!$A$4:$A$12,[1]Fx!$E$4:$E$12)</f>
        <v/>
      </c>
      <c r="Y104" s="220">
        <f>T104*R104</f>
        <v/>
      </c>
      <c r="Z104" s="220">
        <f>U104*O104</f>
        <v/>
      </c>
      <c r="AA104" s="220">
        <f>V104*O104</f>
        <v/>
      </c>
      <c r="AB104" s="220">
        <f>W104*O104</f>
        <v/>
      </c>
      <c r="AC104" s="198">
        <f>X104*O104</f>
        <v/>
      </c>
      <c r="AD104" s="220" t="n">
        <v>0</v>
      </c>
      <c r="AE104" s="220" t="n">
        <v>0</v>
      </c>
      <c r="AF104" s="220">
        <f>SUM(Y104:AE104)</f>
        <v/>
      </c>
      <c r="AG104" s="205">
        <f>_xlfn.XLOOKUP(G104,[1]Fx!$A$16:$A$24,[1]Fx!$B$16:$B$24)</f>
        <v/>
      </c>
      <c r="AH104" s="220">
        <f>AG104*R104</f>
        <v/>
      </c>
      <c r="AI104" s="220">
        <f>$AI$6*Z104</f>
        <v/>
      </c>
      <c r="AJ104" s="220">
        <f>$AJ$6*AA104</f>
        <v/>
      </c>
      <c r="AK104" s="220">
        <f>$AK$6*AB104</f>
        <v/>
      </c>
      <c r="AL104" s="220">
        <f>$AL$6*AC104</f>
        <v/>
      </c>
      <c r="AM104" s="220">
        <f>SUM(AH104:AL104)</f>
        <v/>
      </c>
      <c r="AN104" s="220" t="n">
        <v>0</v>
      </c>
      <c r="AO104" s="220">
        <f>AN104*AH104</f>
        <v/>
      </c>
      <c r="AP104" s="220">
        <f>AD104</f>
        <v/>
      </c>
      <c r="AQ104" s="220">
        <f>AE104</f>
        <v/>
      </c>
      <c r="AR104" s="220">
        <f>AM104-AO104</f>
        <v/>
      </c>
      <c r="AS104" s="220">
        <f>AR104-AK104</f>
        <v/>
      </c>
      <c r="AT104" s="220">
        <f>AS104*1.075</f>
        <v/>
      </c>
      <c r="AU104" s="220">
        <f>ROUNDUP(AT104+AK104+AP104+AQ104,-4)</f>
        <v/>
      </c>
      <c r="AV104" s="198" t="n">
        <v>3863703</v>
      </c>
      <c r="AW104" s="227" t="n"/>
      <c r="AX104" s="220">
        <f>AV104-AR104</f>
        <v/>
      </c>
      <c r="AY104" s="35">
        <f>AX104/AR104</f>
        <v/>
      </c>
      <c r="AZ104" s="220">
        <f>AV104-AF104</f>
        <v/>
      </c>
      <c r="BA104" s="215">
        <f>AV104-SUM(Z104:AC104)</f>
        <v/>
      </c>
      <c r="BB104" s="215">
        <f>BA104-Y104</f>
        <v/>
      </c>
      <c r="BC104" s="35">
        <f>BB104/BA104</f>
        <v/>
      </c>
      <c r="BD104" s="35">
        <f>IFERROR(AZ104/AV104,)</f>
        <v/>
      </c>
      <c r="BE104" s="255">
        <f>AV104-SUM(Z104:AC104)</f>
        <v/>
      </c>
      <c r="BF104" s="255">
        <f>AV104-BE104-AC104-AB104</f>
        <v/>
      </c>
      <c r="BG104" s="255">
        <f>AV104-BE104-BF104-AB104</f>
        <v/>
      </c>
      <c r="BH104" s="255">
        <f>AB104</f>
        <v/>
      </c>
      <c r="BI104">
        <f>IF(BD104&lt;0%,"Loss",IF(BD104&lt;5%,"On Cost Plus",IF(BD104&lt;10%,"Within","Exceed")))</f>
        <v/>
      </c>
      <c r="BJ104" t="inlineStr">
        <is>
          <t>Exceed</t>
        </is>
      </c>
      <c r="BK104">
        <f>0.51*$BK$6</f>
        <v/>
      </c>
      <c r="BL104" s="190">
        <f>BK104-W104</f>
        <v/>
      </c>
      <c r="BM104" s="189">
        <f>BL104*O104</f>
        <v/>
      </c>
    </row>
    <row r="105">
      <c r="A105">
        <f>CONCATENATE(E105,F105,G105,H105,I105,J105,K105,L105)</f>
        <v/>
      </c>
      <c r="B105">
        <f>CONCATENATE(J105,"-&gt;",K105,"/",E105)</f>
        <v/>
      </c>
      <c r="C105" s="23" t="inlineStr">
        <is>
          <t>AFEEZ AJIBADE/Ebenezer</t>
        </is>
      </c>
      <c r="D105">
        <f>CONCATENATE(G105,"-",H105,"-",F105)</f>
        <v/>
      </c>
      <c r="E105" s="24" t="inlineStr">
        <is>
          <t>Lacasera-45T-NBL-DSL-JUMBO</t>
        </is>
      </c>
      <c r="F105" s="24" t="inlineStr">
        <is>
          <t>JUMBO</t>
        </is>
      </c>
      <c r="G105" s="25" t="inlineStr">
        <is>
          <t>NBL-DSL</t>
        </is>
      </c>
      <c r="H105" s="24" t="inlineStr">
        <is>
          <t>45T</t>
        </is>
      </c>
      <c r="I105" s="251" t="inlineStr">
        <is>
          <t>Lacasera</t>
        </is>
      </c>
      <c r="J105" s="251" t="inlineStr">
        <is>
          <t>Lagos</t>
        </is>
      </c>
      <c r="K105" s="23" t="inlineStr">
        <is>
          <t>Illela</t>
        </is>
      </c>
      <c r="L105" t="inlineStr">
        <is>
          <t>Sokoto</t>
        </is>
      </c>
      <c r="M105" s="1" t="inlineStr">
        <is>
          <t>North</t>
        </is>
      </c>
      <c r="N105" s="261" t="n">
        <v>995</v>
      </c>
      <c r="O105" s="257" t="n">
        <v>1990</v>
      </c>
      <c r="P105" s="227">
        <f>ROUNDUP(O105/300,)</f>
        <v/>
      </c>
      <c r="Q105" s="220" t="n">
        <v>1</v>
      </c>
      <c r="R105" s="220">
        <f>Q105+P105</f>
        <v/>
      </c>
      <c r="S105" s="198">
        <f>ROUNDDOWN(O105*0.7,)</f>
        <v/>
      </c>
      <c r="T105" s="220">
        <f>_xlfn.XLOOKUP(G105,[1]Fx!$A$4:$A$12,[1]Fx!$B$4:$B$12)</f>
        <v/>
      </c>
      <c r="U105" s="220">
        <f>_xlfn.XLOOKUP(G105,[1]Fx!$A$4:$A$12,[1]Fx!$C$4:$C$12)</f>
        <v/>
      </c>
      <c r="V105" s="220">
        <f>_xlfn.XLOOKUP(G105,[1]Fx!$A$4:$A$12,[1]Fx!$D$4:$D$12)</f>
        <v/>
      </c>
      <c r="W105" s="208">
        <f>_xlfn.XLOOKUP(H105&amp;I105,'[1]Mapping DSL'!$H:$H,'[1]Mapping DSL'!$J:$J)</f>
        <v/>
      </c>
      <c r="X105" s="220">
        <f>_xlfn.XLOOKUP(G105,[1]Fx!$A$4:$A$12,[1]Fx!$E$4:$E$12)</f>
        <v/>
      </c>
      <c r="Y105" s="220">
        <f>T105*R105</f>
        <v/>
      </c>
      <c r="Z105" s="220">
        <f>U105*O105</f>
        <v/>
      </c>
      <c r="AA105" s="220">
        <f>V105*O105</f>
        <v/>
      </c>
      <c r="AB105" s="220">
        <f>W105*O105</f>
        <v/>
      </c>
      <c r="AC105" s="198">
        <f>X105*O105</f>
        <v/>
      </c>
      <c r="AD105" s="220" t="n">
        <v>0</v>
      </c>
      <c r="AE105" s="220" t="n">
        <v>0</v>
      </c>
      <c r="AF105" s="220">
        <f>SUM(Y105:AE105)</f>
        <v/>
      </c>
      <c r="AG105" s="205">
        <f>_xlfn.XLOOKUP(G105,[1]Fx!$A$16:$A$24,[1]Fx!$B$16:$B$24)</f>
        <v/>
      </c>
      <c r="AH105" s="220">
        <f>AG105*R105</f>
        <v/>
      </c>
      <c r="AI105" s="220">
        <f>$AI$6*Z105</f>
        <v/>
      </c>
      <c r="AJ105" s="220">
        <f>$AJ$6*AA105</f>
        <v/>
      </c>
      <c r="AK105" s="220">
        <f>$AK$6*AB105</f>
        <v/>
      </c>
      <c r="AL105" s="220">
        <f>$AL$6*AC105</f>
        <v/>
      </c>
      <c r="AM105" s="220">
        <f>SUM(AH105:AL105)</f>
        <v/>
      </c>
      <c r="AN105" s="220" t="n">
        <v>0</v>
      </c>
      <c r="AO105" s="220">
        <f>AN105*AH105</f>
        <v/>
      </c>
      <c r="AP105" s="220">
        <f>AD105</f>
        <v/>
      </c>
      <c r="AQ105" s="220">
        <f>AE105</f>
        <v/>
      </c>
      <c r="AR105" s="220">
        <f>AM105-AO105</f>
        <v/>
      </c>
      <c r="AS105" s="220">
        <f>AR105-AK105</f>
        <v/>
      </c>
      <c r="AT105" s="220">
        <f>AS105*1.075</f>
        <v/>
      </c>
      <c r="AU105" s="220">
        <f>ROUNDUP(AT105+AK105+AP105+AQ105,-4)</f>
        <v/>
      </c>
      <c r="AV105" s="198" t="n">
        <v>4257120</v>
      </c>
      <c r="AW105" s="227" t="n"/>
      <c r="AX105" s="220">
        <f>AV105-AR105</f>
        <v/>
      </c>
      <c r="AY105" s="35">
        <f>AX105/AR105</f>
        <v/>
      </c>
      <c r="AZ105" s="220">
        <f>AV105-AF105</f>
        <v/>
      </c>
      <c r="BA105" s="215">
        <f>AV105-SUM(Z105:AC105)</f>
        <v/>
      </c>
      <c r="BB105" s="215">
        <f>BA105-Y105</f>
        <v/>
      </c>
      <c r="BC105" s="35">
        <f>BB105/BA105</f>
        <v/>
      </c>
      <c r="BD105" s="35">
        <f>IFERROR(AZ105/AV105,)</f>
        <v/>
      </c>
      <c r="BE105" s="255">
        <f>AV105-SUM(Z105:AC105)</f>
        <v/>
      </c>
      <c r="BF105" s="255">
        <f>AV105-BE105-AC105-AB105</f>
        <v/>
      </c>
      <c r="BG105" s="255">
        <f>AV105-BE105-BF105-AB105</f>
        <v/>
      </c>
      <c r="BH105" s="255">
        <f>AB105</f>
        <v/>
      </c>
      <c r="BI105">
        <f>IF(BD105&lt;0%,"Loss",IF(BD105&lt;5%,"On Cost Plus",IF(BD105&lt;10%,"Within","Exceed")))</f>
        <v/>
      </c>
      <c r="BJ105" t="inlineStr">
        <is>
          <t>Exceed</t>
        </is>
      </c>
      <c r="BK105">
        <f>0.51*$BK$6</f>
        <v/>
      </c>
      <c r="BL105" s="190">
        <f>BK105-W105</f>
        <v/>
      </c>
      <c r="BM105" s="189">
        <f>BL105*O105</f>
        <v/>
      </c>
    </row>
    <row r="106">
      <c r="A106">
        <f>CONCATENATE(E106,F106,G106,H106,I106,J106,K106,L106)</f>
        <v/>
      </c>
      <c r="B106">
        <f>CONCATENATE(J106,"-&gt;",K106,"/",E106)</f>
        <v/>
      </c>
      <c r="C106" s="23" t="inlineStr">
        <is>
          <t>AFEEZ AJIBADE/Ebenezer</t>
        </is>
      </c>
      <c r="D106">
        <f>CONCATENATE(G106,"-",H106,"-",F106)</f>
        <v/>
      </c>
      <c r="E106" s="24" t="inlineStr">
        <is>
          <t>Lacasera-45T-NBL-DSL-JUMBO</t>
        </is>
      </c>
      <c r="F106" s="24" t="inlineStr">
        <is>
          <t>JUMBO</t>
        </is>
      </c>
      <c r="G106" s="25" t="inlineStr">
        <is>
          <t>NBL-DSL</t>
        </is>
      </c>
      <c r="H106" s="24" t="inlineStr">
        <is>
          <t>45T</t>
        </is>
      </c>
      <c r="I106" s="251" t="inlineStr">
        <is>
          <t>Lacasera</t>
        </is>
      </c>
      <c r="J106" s="251" t="inlineStr">
        <is>
          <t>Lagos</t>
        </is>
      </c>
      <c r="K106" s="23" t="inlineStr">
        <is>
          <t>Jalingo</t>
        </is>
      </c>
      <c r="L106" t="inlineStr">
        <is>
          <t>Taraba</t>
        </is>
      </c>
      <c r="M106" s="1" t="inlineStr">
        <is>
          <t>North</t>
        </is>
      </c>
      <c r="N106" s="261" t="n">
        <v>1169</v>
      </c>
      <c r="O106" s="257" t="n">
        <v>2338</v>
      </c>
      <c r="P106" s="227">
        <f>ROUNDUP(O106/300,)</f>
        <v/>
      </c>
      <c r="Q106" s="220" t="n">
        <v>1</v>
      </c>
      <c r="R106" s="220">
        <f>Q106+P106</f>
        <v/>
      </c>
      <c r="S106" s="198">
        <f>ROUNDDOWN(O106*0.7,)</f>
        <v/>
      </c>
      <c r="T106" s="220">
        <f>_xlfn.XLOOKUP(G106,[1]Fx!$A$4:$A$12,[1]Fx!$B$4:$B$12)</f>
        <v/>
      </c>
      <c r="U106" s="220">
        <f>_xlfn.XLOOKUP(G106,[1]Fx!$A$4:$A$12,[1]Fx!$C$4:$C$12)</f>
        <v/>
      </c>
      <c r="V106" s="220">
        <f>_xlfn.XLOOKUP(G106,[1]Fx!$A$4:$A$12,[1]Fx!$D$4:$D$12)</f>
        <v/>
      </c>
      <c r="W106" s="208">
        <f>_xlfn.XLOOKUP(H106&amp;I106,'[1]Mapping DSL'!$H:$H,'[1]Mapping DSL'!$J:$J)</f>
        <v/>
      </c>
      <c r="X106" s="220">
        <f>_xlfn.XLOOKUP(G106,[1]Fx!$A$4:$A$12,[1]Fx!$E$4:$E$12)</f>
        <v/>
      </c>
      <c r="Y106" s="220">
        <f>T106*R106</f>
        <v/>
      </c>
      <c r="Z106" s="220">
        <f>U106*O106</f>
        <v/>
      </c>
      <c r="AA106" s="220">
        <f>V106*O106</f>
        <v/>
      </c>
      <c r="AB106" s="220">
        <f>W106*O106</f>
        <v/>
      </c>
      <c r="AC106" s="198">
        <f>X106*O106</f>
        <v/>
      </c>
      <c r="AD106" s="220" t="n">
        <v>0</v>
      </c>
      <c r="AE106" s="220" t="n">
        <v>0</v>
      </c>
      <c r="AF106" s="220">
        <f>SUM(Y106:AE106)</f>
        <v/>
      </c>
      <c r="AG106" s="205">
        <f>_xlfn.XLOOKUP(G106,[1]Fx!$A$16:$A$24,[1]Fx!$B$16:$B$24)</f>
        <v/>
      </c>
      <c r="AH106" s="220">
        <f>AG106*R106</f>
        <v/>
      </c>
      <c r="AI106" s="220">
        <f>$AI$6*Z106</f>
        <v/>
      </c>
      <c r="AJ106" s="220">
        <f>$AJ$6*AA106</f>
        <v/>
      </c>
      <c r="AK106" s="220">
        <f>$AK$6*AB106</f>
        <v/>
      </c>
      <c r="AL106" s="220">
        <f>$AL$6*AC106</f>
        <v/>
      </c>
      <c r="AM106" s="220">
        <f>SUM(AH106:AL106)</f>
        <v/>
      </c>
      <c r="AN106" s="220" t="n">
        <v>0</v>
      </c>
      <c r="AO106" s="220">
        <f>AN106*AH106</f>
        <v/>
      </c>
      <c r="AP106" s="220">
        <f>AD106</f>
        <v/>
      </c>
      <c r="AQ106" s="220">
        <f>AE106</f>
        <v/>
      </c>
      <c r="AR106" s="220">
        <f>AM106-AO106</f>
        <v/>
      </c>
      <c r="AS106" s="220">
        <f>AR106-AK106</f>
        <v/>
      </c>
      <c r="AT106" s="220">
        <f>AS106*1.075</f>
        <v/>
      </c>
      <c r="AU106" s="220">
        <f>ROUNDUP(AT106+AK106+AP106+AQ106,-4)</f>
        <v/>
      </c>
      <c r="AV106" s="198" t="n">
        <v>4691569</v>
      </c>
      <c r="AW106" s="227" t="n"/>
      <c r="AX106" s="220">
        <f>AV106-AR106</f>
        <v/>
      </c>
      <c r="AY106" s="35">
        <f>AX106/AR106</f>
        <v/>
      </c>
      <c r="AZ106" s="220">
        <f>AV106-AF106</f>
        <v/>
      </c>
      <c r="BA106" s="215">
        <f>AV106-SUM(Z106:AC106)</f>
        <v/>
      </c>
      <c r="BB106" s="215">
        <f>BA106-Y106</f>
        <v/>
      </c>
      <c r="BC106" s="35">
        <f>BB106/BA106</f>
        <v/>
      </c>
      <c r="BD106" s="35">
        <f>IFERROR(AZ106/AV106,)</f>
        <v/>
      </c>
      <c r="BE106" s="255">
        <f>AV106-SUM(Z106:AC106)</f>
        <v/>
      </c>
      <c r="BF106" s="255">
        <f>AV106-BE106-AC106-AB106</f>
        <v/>
      </c>
      <c r="BG106" s="255">
        <f>AV106-BE106-BF106-AB106</f>
        <v/>
      </c>
      <c r="BH106" s="255">
        <f>AB106</f>
        <v/>
      </c>
      <c r="BI106">
        <f>IF(BD106&lt;0%,"Loss",IF(BD106&lt;5%,"On Cost Plus",IF(BD106&lt;10%,"Within","Exceed")))</f>
        <v/>
      </c>
      <c r="BJ106" t="inlineStr">
        <is>
          <t>Exceed</t>
        </is>
      </c>
      <c r="BK106">
        <f>0.51*$BK$6</f>
        <v/>
      </c>
      <c r="BL106" s="190">
        <f>BK106-W106</f>
        <v/>
      </c>
      <c r="BM106" s="189">
        <f>BL106*O106</f>
        <v/>
      </c>
    </row>
    <row r="107">
      <c r="A107">
        <f>CONCATENATE(E107,F107,G107,H107,I107,J107,K107,L107)</f>
        <v/>
      </c>
      <c r="B107">
        <f>CONCATENATE(J107,"-&gt;",K107,"/",E107)</f>
        <v/>
      </c>
      <c r="C107" s="23" t="inlineStr">
        <is>
          <t>AFEEZ AJIBADE/Ebenezer</t>
        </is>
      </c>
      <c r="D107">
        <f>CONCATENATE(G107,"-",H107,"-",F107)</f>
        <v/>
      </c>
      <c r="E107" s="24" t="inlineStr">
        <is>
          <t>Lacasera-45T-NBL-DSL-JUMBO</t>
        </is>
      </c>
      <c r="F107" s="24" t="inlineStr">
        <is>
          <t>JUMBO</t>
        </is>
      </c>
      <c r="G107" s="25" t="inlineStr">
        <is>
          <t>NBL-DSL</t>
        </is>
      </c>
      <c r="H107" s="24" t="inlineStr">
        <is>
          <t>45T</t>
        </is>
      </c>
      <c r="I107" s="251" t="inlineStr">
        <is>
          <t>Lacasera</t>
        </is>
      </c>
      <c r="J107" s="251" t="inlineStr">
        <is>
          <t>Lagos</t>
        </is>
      </c>
      <c r="K107" s="23" t="inlineStr">
        <is>
          <t>Wukari</t>
        </is>
      </c>
      <c r="L107" t="inlineStr">
        <is>
          <t>Taraba</t>
        </is>
      </c>
      <c r="M107" s="1" t="inlineStr">
        <is>
          <t>North</t>
        </is>
      </c>
      <c r="N107" s="261" t="n">
        <v>948.5</v>
      </c>
      <c r="O107" s="257" t="n">
        <v>1897</v>
      </c>
      <c r="P107" s="227">
        <f>ROUNDUP(O107/300,)</f>
        <v/>
      </c>
      <c r="Q107" s="220" t="n">
        <v>1</v>
      </c>
      <c r="R107" s="220">
        <f>Q107+P107</f>
        <v/>
      </c>
      <c r="S107" s="198">
        <f>ROUNDDOWN(O107*0.7,)</f>
        <v/>
      </c>
      <c r="T107" s="220">
        <f>_xlfn.XLOOKUP(G107,[1]Fx!$A$4:$A$12,[1]Fx!$B$4:$B$12)</f>
        <v/>
      </c>
      <c r="U107" s="220">
        <f>_xlfn.XLOOKUP(G107,[1]Fx!$A$4:$A$12,[1]Fx!$C$4:$C$12)</f>
        <v/>
      </c>
      <c r="V107" s="220">
        <f>_xlfn.XLOOKUP(G107,[1]Fx!$A$4:$A$12,[1]Fx!$D$4:$D$12)</f>
        <v/>
      </c>
      <c r="W107" s="208">
        <f>_xlfn.XLOOKUP(H107&amp;I107,'[1]Mapping DSL'!$H:$H,'[1]Mapping DSL'!$J:$J)</f>
        <v/>
      </c>
      <c r="X107" s="220">
        <f>_xlfn.XLOOKUP(G107,[1]Fx!$A$4:$A$12,[1]Fx!$E$4:$E$12)</f>
        <v/>
      </c>
      <c r="Y107" s="220">
        <f>T107*R107</f>
        <v/>
      </c>
      <c r="Z107" s="220">
        <f>U107*O107</f>
        <v/>
      </c>
      <c r="AA107" s="220">
        <f>V107*O107</f>
        <v/>
      </c>
      <c r="AB107" s="220">
        <f>W107*O107</f>
        <v/>
      </c>
      <c r="AC107" s="198">
        <f>X107*O107</f>
        <v/>
      </c>
      <c r="AD107" s="220" t="n">
        <v>0</v>
      </c>
      <c r="AE107" s="220" t="n">
        <v>0</v>
      </c>
      <c r="AF107" s="220">
        <f>SUM(Y107:AE107)</f>
        <v/>
      </c>
      <c r="AG107" s="205">
        <f>_xlfn.XLOOKUP(G107,[1]Fx!$A$16:$A$24,[1]Fx!$B$16:$B$24)</f>
        <v/>
      </c>
      <c r="AH107" s="220">
        <f>AG107*R107</f>
        <v/>
      </c>
      <c r="AI107" s="220">
        <f>$AI$6*Z107</f>
        <v/>
      </c>
      <c r="AJ107" s="220">
        <f>$AJ$6*AA107</f>
        <v/>
      </c>
      <c r="AK107" s="220">
        <f>$AK$6*AB107</f>
        <v/>
      </c>
      <c r="AL107" s="220">
        <f>$AL$6*AC107</f>
        <v/>
      </c>
      <c r="AM107" s="220">
        <f>SUM(AH107:AL107)</f>
        <v/>
      </c>
      <c r="AN107" s="220" t="n">
        <v>0</v>
      </c>
      <c r="AO107" s="220">
        <f>AN107*AH107</f>
        <v/>
      </c>
      <c r="AP107" s="220">
        <f>AD107</f>
        <v/>
      </c>
      <c r="AQ107" s="220">
        <f>AE107</f>
        <v/>
      </c>
      <c r="AR107" s="220">
        <f>AM107-AO107</f>
        <v/>
      </c>
      <c r="AS107" s="220">
        <f>AR107-AK107</f>
        <v/>
      </c>
      <c r="AT107" s="220">
        <f>AS107*1.075</f>
        <v/>
      </c>
      <c r="AU107" s="220">
        <f>ROUNDUP(AT107+AK107+AP107+AQ107,-4)</f>
        <v/>
      </c>
      <c r="AV107" s="198" t="n">
        <v>4132533</v>
      </c>
      <c r="AW107" s="227" t="n"/>
      <c r="AX107" s="220">
        <f>AV107-AR107</f>
        <v/>
      </c>
      <c r="AY107" s="35">
        <f>AX107/AR107</f>
        <v/>
      </c>
      <c r="AZ107" s="220">
        <f>AV107-AF107</f>
        <v/>
      </c>
      <c r="BA107" s="215">
        <f>AV107-SUM(Z107:AC107)</f>
        <v/>
      </c>
      <c r="BB107" s="215">
        <f>BA107-Y107</f>
        <v/>
      </c>
      <c r="BC107" s="35">
        <f>BB107/BA107</f>
        <v/>
      </c>
      <c r="BD107" s="35">
        <f>IFERROR(AZ107/AV107,)</f>
        <v/>
      </c>
      <c r="BE107" s="255">
        <f>AV107-SUM(Z107:AC107)</f>
        <v/>
      </c>
      <c r="BF107" s="255">
        <f>AV107-BE107-AC107-AB107</f>
        <v/>
      </c>
      <c r="BG107" s="255">
        <f>AV107-BE107-BF107-AB107</f>
        <v/>
      </c>
      <c r="BH107" s="255">
        <f>AB107</f>
        <v/>
      </c>
      <c r="BI107">
        <f>IF(BD107&lt;0%,"Loss",IF(BD107&lt;5%,"On Cost Plus",IF(BD107&lt;10%,"Within","Exceed")))</f>
        <v/>
      </c>
      <c r="BJ107" t="inlineStr">
        <is>
          <t>Exceed</t>
        </is>
      </c>
      <c r="BK107">
        <f>0.51*$BK$6</f>
        <v/>
      </c>
      <c r="BL107" s="190">
        <f>BK107-W107</f>
        <v/>
      </c>
      <c r="BM107" s="189">
        <f>BL107*O107</f>
        <v/>
      </c>
    </row>
    <row r="108">
      <c r="A108">
        <f>CONCATENATE(E108,F108,G108,H108,I108,J108,K108,L108)</f>
        <v/>
      </c>
      <c r="B108">
        <f>CONCATENATE(J108,"-&gt;",K108,"/",E108)</f>
        <v/>
      </c>
      <c r="C108" s="23" t="inlineStr">
        <is>
          <t>AFEEZ AJIBADE/Ebenezer</t>
        </is>
      </c>
      <c r="D108">
        <f>CONCATENATE(G108,"-",H108,"-",F108)</f>
        <v/>
      </c>
      <c r="E108" s="24" t="inlineStr">
        <is>
          <t>Lacasera-45T-NBL-DSL-JUMBO</t>
        </is>
      </c>
      <c r="F108" s="24" t="inlineStr">
        <is>
          <t>JUMBO</t>
        </is>
      </c>
      <c r="G108" s="25" t="inlineStr">
        <is>
          <t>NBL-DSL</t>
        </is>
      </c>
      <c r="H108" s="24" t="inlineStr">
        <is>
          <t>45T</t>
        </is>
      </c>
      <c r="I108" s="251" t="inlineStr">
        <is>
          <t>Lacasera</t>
        </is>
      </c>
      <c r="J108" s="251" t="inlineStr">
        <is>
          <t>Lagos</t>
        </is>
      </c>
      <c r="K108" s="23" t="inlineStr">
        <is>
          <t>Gusau</t>
        </is>
      </c>
      <c r="L108" t="inlineStr">
        <is>
          <t>Zamfara</t>
        </is>
      </c>
      <c r="M108" s="1" t="inlineStr">
        <is>
          <t>North</t>
        </is>
      </c>
      <c r="N108" s="261" t="n">
        <v>880.5</v>
      </c>
      <c r="O108" s="257" t="n">
        <v>1761</v>
      </c>
      <c r="P108" s="227">
        <f>ROUNDUP(O108/300,)</f>
        <v/>
      </c>
      <c r="Q108" s="220" t="n">
        <v>1</v>
      </c>
      <c r="R108" s="220">
        <f>Q108+P108</f>
        <v/>
      </c>
      <c r="S108" s="198">
        <f>ROUNDDOWN(O108*0.7,)</f>
        <v/>
      </c>
      <c r="T108" s="220">
        <f>_xlfn.XLOOKUP(G108,[1]Fx!$A$4:$A$12,[1]Fx!$B$4:$B$12)</f>
        <v/>
      </c>
      <c r="U108" s="220">
        <f>_xlfn.XLOOKUP(G108,[1]Fx!$A$4:$A$12,[1]Fx!$C$4:$C$12)</f>
        <v/>
      </c>
      <c r="V108" s="220">
        <f>_xlfn.XLOOKUP(G108,[1]Fx!$A$4:$A$12,[1]Fx!$D$4:$D$12)</f>
        <v/>
      </c>
      <c r="W108" s="208">
        <f>_xlfn.XLOOKUP(H108&amp;I108,'[1]Mapping DSL'!$H:$H,'[1]Mapping DSL'!$J:$J)</f>
        <v/>
      </c>
      <c r="X108" s="220">
        <f>_xlfn.XLOOKUP(G108,[1]Fx!$A$4:$A$12,[1]Fx!$E$4:$E$12)</f>
        <v/>
      </c>
      <c r="Y108" s="220">
        <f>T108*R108</f>
        <v/>
      </c>
      <c r="Z108" s="220">
        <f>U108*O108</f>
        <v/>
      </c>
      <c r="AA108" s="220">
        <f>V108*O108</f>
        <v/>
      </c>
      <c r="AB108" s="220">
        <f>W108*O108</f>
        <v/>
      </c>
      <c r="AC108" s="198">
        <f>X108*O108</f>
        <v/>
      </c>
      <c r="AD108" s="220" t="n">
        <v>0</v>
      </c>
      <c r="AE108" s="220" t="n">
        <v>0</v>
      </c>
      <c r="AF108" s="220">
        <f>SUM(Y108:AE108)</f>
        <v/>
      </c>
      <c r="AG108" s="205">
        <f>_xlfn.XLOOKUP(G108,[1]Fx!$A$16:$A$24,[1]Fx!$B$16:$B$24)</f>
        <v/>
      </c>
      <c r="AH108" s="220">
        <f>AG108*R108</f>
        <v/>
      </c>
      <c r="AI108" s="220">
        <f>$AI$6*Z108</f>
        <v/>
      </c>
      <c r="AJ108" s="220">
        <f>$AJ$6*AA108</f>
        <v/>
      </c>
      <c r="AK108" s="220">
        <f>$AK$6*AB108</f>
        <v/>
      </c>
      <c r="AL108" s="220">
        <f>$AL$6*AC108</f>
        <v/>
      </c>
      <c r="AM108" s="220">
        <f>SUM(AH108:AL108)</f>
        <v/>
      </c>
      <c r="AN108" s="220" t="n">
        <v>0</v>
      </c>
      <c r="AO108" s="220">
        <f>AN108*AH108</f>
        <v/>
      </c>
      <c r="AP108" s="220">
        <f>AD108</f>
        <v/>
      </c>
      <c r="AQ108" s="220">
        <f>AE108</f>
        <v/>
      </c>
      <c r="AR108" s="220">
        <f>AM108-AO108</f>
        <v/>
      </c>
      <c r="AS108" s="220">
        <f>AR108-AK108</f>
        <v/>
      </c>
      <c r="AT108" s="220">
        <f>AS108*1.075</f>
        <v/>
      </c>
      <c r="AU108" s="220">
        <f>ROUNDUP(AT108+AK108+AP108+AQ108,-4)</f>
        <v/>
      </c>
      <c r="AV108" s="198" t="n">
        <v>4109146</v>
      </c>
      <c r="AW108" s="227" t="n"/>
      <c r="AX108" s="220">
        <f>AV108-AR108</f>
        <v/>
      </c>
      <c r="AY108" s="35">
        <f>AX108/AR108</f>
        <v/>
      </c>
      <c r="AZ108" s="220">
        <f>AV108-AF108</f>
        <v/>
      </c>
      <c r="BA108" s="215">
        <f>AV108-SUM(Z108:AC108)</f>
        <v/>
      </c>
      <c r="BB108" s="215">
        <f>BA108-Y108</f>
        <v/>
      </c>
      <c r="BC108" s="35">
        <f>BB108/BA108</f>
        <v/>
      </c>
      <c r="BD108" s="35">
        <f>IFERROR(AZ108/AV108,)</f>
        <v/>
      </c>
      <c r="BE108" s="255">
        <f>AV108-SUM(Z108:AC108)</f>
        <v/>
      </c>
      <c r="BF108" s="255">
        <f>AV108-BE108-AC108-AB108</f>
        <v/>
      </c>
      <c r="BG108" s="255">
        <f>AV108-BE108-BF108-AB108</f>
        <v/>
      </c>
      <c r="BH108" s="255">
        <f>AB108</f>
        <v/>
      </c>
      <c r="BI108">
        <f>IF(BD108&lt;0%,"Loss",IF(BD108&lt;5%,"On Cost Plus",IF(BD108&lt;10%,"Within","Exceed")))</f>
        <v/>
      </c>
      <c r="BJ108" t="inlineStr">
        <is>
          <t>Exceed</t>
        </is>
      </c>
      <c r="BK108">
        <f>0.51*$BK$6</f>
        <v/>
      </c>
      <c r="BL108" s="190">
        <f>BK108-W108</f>
        <v/>
      </c>
      <c r="BM108" s="189">
        <f>BL108*O108</f>
        <v/>
      </c>
    </row>
    <row r="109">
      <c r="A109">
        <f>CONCATENATE(E109,F109,G109,H109,I109,J109,K109,L109)</f>
        <v/>
      </c>
      <c r="B109">
        <f>CONCATENATE(J109,"-&gt;",K109,"/",E109)</f>
        <v/>
      </c>
      <c r="C109" s="23" t="inlineStr">
        <is>
          <t>AFEEZ AJIBADE/Ebenezer</t>
        </is>
      </c>
      <c r="D109">
        <f>CONCATENATE(G109,"-",H109,"-",F109)</f>
        <v/>
      </c>
      <c r="E109" s="24" t="inlineStr">
        <is>
          <t>Lacasera-45T-NBL-DSL-JUMBO</t>
        </is>
      </c>
      <c r="F109" s="24" t="inlineStr">
        <is>
          <t>JUMBO</t>
        </is>
      </c>
      <c r="G109" s="25" t="inlineStr">
        <is>
          <t>NBL-DSL</t>
        </is>
      </c>
      <c r="H109" s="24" t="inlineStr">
        <is>
          <t>45T</t>
        </is>
      </c>
      <c r="I109" s="251" t="inlineStr">
        <is>
          <t>Lacasera</t>
        </is>
      </c>
      <c r="J109" s="251" t="inlineStr">
        <is>
          <t>Lagos</t>
        </is>
      </c>
      <c r="K109" s="23" t="inlineStr">
        <is>
          <t>Yola</t>
        </is>
      </c>
      <c r="L109" t="inlineStr">
        <is>
          <t>Adamawa</t>
        </is>
      </c>
      <c r="M109" s="1" t="inlineStr">
        <is>
          <t>North</t>
        </is>
      </c>
      <c r="N109" s="261" t="n">
        <v>1332.5</v>
      </c>
      <c r="O109" s="257" t="n">
        <v>2665</v>
      </c>
      <c r="P109" s="227">
        <f>ROUNDUP(O109/300,)</f>
        <v/>
      </c>
      <c r="Q109" s="220" t="n">
        <v>1</v>
      </c>
      <c r="R109" s="220">
        <f>Q109+P109</f>
        <v/>
      </c>
      <c r="S109" s="198">
        <f>ROUNDDOWN(O109*0.7,)</f>
        <v/>
      </c>
      <c r="T109" s="220">
        <f>_xlfn.XLOOKUP(G109,[1]Fx!$A$4:$A$12,[1]Fx!$B$4:$B$12)</f>
        <v/>
      </c>
      <c r="U109" s="220">
        <f>_xlfn.XLOOKUP(G109,[1]Fx!$A$4:$A$12,[1]Fx!$C$4:$C$12)</f>
        <v/>
      </c>
      <c r="V109" s="220">
        <f>_xlfn.XLOOKUP(G109,[1]Fx!$A$4:$A$12,[1]Fx!$D$4:$D$12)</f>
        <v/>
      </c>
      <c r="W109" s="208">
        <f>_xlfn.XLOOKUP(H109&amp;I109,'[1]Mapping DSL'!$H:$H,'[1]Mapping DSL'!$J:$J)</f>
        <v/>
      </c>
      <c r="X109" s="220">
        <f>_xlfn.XLOOKUP(G109,[1]Fx!$A$4:$A$12,[1]Fx!$E$4:$E$12)</f>
        <v/>
      </c>
      <c r="Y109" s="220">
        <f>T109*R109</f>
        <v/>
      </c>
      <c r="Z109" s="220">
        <f>U109*O109</f>
        <v/>
      </c>
      <c r="AA109" s="220">
        <f>V109*O109</f>
        <v/>
      </c>
      <c r="AB109" s="220">
        <f>W109*O109</f>
        <v/>
      </c>
      <c r="AC109" s="198">
        <f>X109*O109</f>
        <v/>
      </c>
      <c r="AD109" s="220" t="n">
        <v>0</v>
      </c>
      <c r="AE109" s="220" t="n">
        <v>0</v>
      </c>
      <c r="AF109" s="220">
        <f>SUM(Y109:AE109)</f>
        <v/>
      </c>
      <c r="AG109" s="205">
        <f>_xlfn.XLOOKUP(G109,[1]Fx!$A$16:$A$24,[1]Fx!$B$16:$B$24)</f>
        <v/>
      </c>
      <c r="AH109" s="220">
        <f>AG109*R109</f>
        <v/>
      </c>
      <c r="AI109" s="220">
        <f>$AI$6*Z109</f>
        <v/>
      </c>
      <c r="AJ109" s="220">
        <f>$AJ$6*AA109</f>
        <v/>
      </c>
      <c r="AK109" s="220">
        <f>$AK$6*AB109</f>
        <v/>
      </c>
      <c r="AL109" s="220">
        <f>$AL$6*AC109</f>
        <v/>
      </c>
      <c r="AM109" s="220">
        <f>SUM(AH109:AL109)</f>
        <v/>
      </c>
      <c r="AN109" s="220" t="n">
        <v>0</v>
      </c>
      <c r="AO109" s="220">
        <f>AN109*AH109</f>
        <v/>
      </c>
      <c r="AP109" s="220">
        <f>AD109</f>
        <v/>
      </c>
      <c r="AQ109" s="220">
        <f>AE109</f>
        <v/>
      </c>
      <c r="AR109" s="220">
        <f>AM109-AO109</f>
        <v/>
      </c>
      <c r="AS109" s="220">
        <f>AR109-AK109</f>
        <v/>
      </c>
      <c r="AT109" s="220">
        <f>AS109*1.075</f>
        <v/>
      </c>
      <c r="AU109" s="220">
        <f>ROUNDUP(AT109+AK109+AP109+AQ109,-4)</f>
        <v/>
      </c>
      <c r="AV109" s="198" t="n">
        <v>4860188</v>
      </c>
      <c r="AW109" s="227" t="n"/>
      <c r="AX109" s="220">
        <f>AV109-AR109</f>
        <v/>
      </c>
      <c r="AY109" s="35">
        <f>AX109/AR109</f>
        <v/>
      </c>
      <c r="AZ109" s="220">
        <f>AV109-AF109</f>
        <v/>
      </c>
      <c r="BA109" s="215">
        <f>AV109-SUM(Z109:AC109)</f>
        <v/>
      </c>
      <c r="BB109" s="215">
        <f>BA109-Y109</f>
        <v/>
      </c>
      <c r="BC109" s="35">
        <f>BB109/BA109</f>
        <v/>
      </c>
      <c r="BD109" s="35">
        <f>IFERROR(AZ109/AV109,)</f>
        <v/>
      </c>
      <c r="BE109" s="255">
        <f>AV109-SUM(Z109:AC109)</f>
        <v/>
      </c>
      <c r="BF109" s="255">
        <f>AV109-BE109-AC109-AB109</f>
        <v/>
      </c>
      <c r="BG109" s="255">
        <f>AV109-BE109-BF109-AB109</f>
        <v/>
      </c>
      <c r="BH109" s="255">
        <f>AB109</f>
        <v/>
      </c>
      <c r="BI109">
        <f>IF(BD109&lt;0%,"Loss",IF(BD109&lt;5%,"On Cost Plus",IF(BD109&lt;10%,"Within","Exceed")))</f>
        <v/>
      </c>
      <c r="BJ109" t="inlineStr">
        <is>
          <t>Exceed</t>
        </is>
      </c>
      <c r="BK109">
        <f>0.51*$BK$6</f>
        <v/>
      </c>
      <c r="BL109" s="190">
        <f>BK109-W109</f>
        <v/>
      </c>
      <c r="BM109" s="189">
        <f>BL109*O109</f>
        <v/>
      </c>
    </row>
    <row r="110">
      <c r="A110">
        <f>CONCATENATE(E110,F110,G110,H110,I110,J110,K110,L110)</f>
        <v/>
      </c>
      <c r="B110">
        <f>CONCATENATE(J110,"-&gt;",K110,"/",E110)</f>
        <v/>
      </c>
      <c r="C110" s="23" t="inlineStr">
        <is>
          <t>AFEEZ AJIBADE/Ebenezer</t>
        </is>
      </c>
      <c r="D110">
        <f>CONCATENATE(G110,"-",H110,"-",F110)</f>
        <v/>
      </c>
      <c r="E110" s="24" t="inlineStr">
        <is>
          <t>Lacasera-45T-NBL-DSL-JUMBO</t>
        </is>
      </c>
      <c r="F110" s="24" t="inlineStr">
        <is>
          <t>JUMBO</t>
        </is>
      </c>
      <c r="G110" s="25" t="inlineStr">
        <is>
          <t>NBL-DSL</t>
        </is>
      </c>
      <c r="H110" s="24" t="inlineStr">
        <is>
          <t>45T</t>
        </is>
      </c>
      <c r="I110" s="251" t="inlineStr">
        <is>
          <t>Lacasera</t>
        </is>
      </c>
      <c r="J110" s="251" t="inlineStr">
        <is>
          <t>Lagos</t>
        </is>
      </c>
      <c r="K110" s="23" t="inlineStr">
        <is>
          <t>Mubi</t>
        </is>
      </c>
      <c r="L110" t="inlineStr">
        <is>
          <t>Adamawa</t>
        </is>
      </c>
      <c r="M110" s="1" t="inlineStr">
        <is>
          <t>North</t>
        </is>
      </c>
      <c r="N110" s="261" t="n">
        <v>1508</v>
      </c>
      <c r="O110" s="257" t="n">
        <v>3016</v>
      </c>
      <c r="P110" s="227">
        <f>ROUNDUP(O110/300,)</f>
        <v/>
      </c>
      <c r="Q110" s="220" t="n">
        <v>1</v>
      </c>
      <c r="R110" s="220">
        <f>Q110+P110</f>
        <v/>
      </c>
      <c r="S110" s="198">
        <f>ROUNDDOWN(O110*0.7,)</f>
        <v/>
      </c>
      <c r="T110" s="220">
        <f>_xlfn.XLOOKUP(G110,[1]Fx!$A$4:$A$12,[1]Fx!$B$4:$B$12)</f>
        <v/>
      </c>
      <c r="U110" s="220">
        <f>_xlfn.XLOOKUP(G110,[1]Fx!$A$4:$A$12,[1]Fx!$C$4:$C$12)</f>
        <v/>
      </c>
      <c r="V110" s="220">
        <f>_xlfn.XLOOKUP(G110,[1]Fx!$A$4:$A$12,[1]Fx!$D$4:$D$12)</f>
        <v/>
      </c>
      <c r="W110" s="208">
        <f>_xlfn.XLOOKUP(H110&amp;I110,'[1]Mapping DSL'!$H:$H,'[1]Mapping DSL'!$J:$J)</f>
        <v/>
      </c>
      <c r="X110" s="220">
        <f>_xlfn.XLOOKUP(G110,[1]Fx!$A$4:$A$12,[1]Fx!$E$4:$E$12)</f>
        <v/>
      </c>
      <c r="Y110" s="220">
        <f>T110*R110</f>
        <v/>
      </c>
      <c r="Z110" s="220">
        <f>U110*O110</f>
        <v/>
      </c>
      <c r="AA110" s="220">
        <f>V110*O110</f>
        <v/>
      </c>
      <c r="AB110" s="220">
        <f>W110*O110</f>
        <v/>
      </c>
      <c r="AC110" s="198">
        <f>X110*O110</f>
        <v/>
      </c>
      <c r="AD110" s="220" t="n">
        <v>0</v>
      </c>
      <c r="AE110" s="220" t="n">
        <v>0</v>
      </c>
      <c r="AF110" s="220">
        <f>SUM(Y110:AE110)</f>
        <v/>
      </c>
      <c r="AG110" s="205">
        <f>_xlfn.XLOOKUP(G110,[1]Fx!$A$16:$A$24,[1]Fx!$B$16:$B$24)</f>
        <v/>
      </c>
      <c r="AH110" s="220">
        <f>AG110*R110</f>
        <v/>
      </c>
      <c r="AI110" s="220">
        <f>$AI$6*Z110</f>
        <v/>
      </c>
      <c r="AJ110" s="220">
        <f>$AJ$6*AA110</f>
        <v/>
      </c>
      <c r="AK110" s="220">
        <f>$AK$6*AB110</f>
        <v/>
      </c>
      <c r="AL110" s="220">
        <f>$AL$6*AC110</f>
        <v/>
      </c>
      <c r="AM110" s="220">
        <f>SUM(AH110:AL110)</f>
        <v/>
      </c>
      <c r="AN110" s="220" t="n">
        <v>0</v>
      </c>
      <c r="AO110" s="220">
        <f>AN110*AH110</f>
        <v/>
      </c>
      <c r="AP110" s="220">
        <f>AD110</f>
        <v/>
      </c>
      <c r="AQ110" s="220">
        <f>AE110</f>
        <v/>
      </c>
      <c r="AR110" s="220">
        <f>AM110-AO110</f>
        <v/>
      </c>
      <c r="AS110" s="220">
        <f>AR110-AK110</f>
        <v/>
      </c>
      <c r="AT110" s="220">
        <f>AS110*1.075</f>
        <v/>
      </c>
      <c r="AU110" s="220">
        <f>ROUNDUP(AT110+AK110+AP110+AQ110,-4)</f>
        <v/>
      </c>
      <c r="AV110" s="198" t="n">
        <v>4959375</v>
      </c>
      <c r="AW110" s="227" t="n"/>
      <c r="AX110" s="220">
        <f>AV110-AR110</f>
        <v/>
      </c>
      <c r="AY110" s="35">
        <f>AX110/AR110</f>
        <v/>
      </c>
      <c r="AZ110" s="220">
        <f>AV110-AF110</f>
        <v/>
      </c>
      <c r="BA110" s="215">
        <f>AV110-SUM(Z110:AC110)</f>
        <v/>
      </c>
      <c r="BB110" s="215">
        <f>BA110-Y110</f>
        <v/>
      </c>
      <c r="BC110" s="35">
        <f>BB110/BA110</f>
        <v/>
      </c>
      <c r="BD110" s="35">
        <f>IFERROR(AZ110/AV110,)</f>
        <v/>
      </c>
      <c r="BE110" s="255">
        <f>AV110-SUM(Z110:AC110)</f>
        <v/>
      </c>
      <c r="BF110" s="255">
        <f>AV110-BE110-AC110-AB110</f>
        <v/>
      </c>
      <c r="BG110" s="255">
        <f>AV110-BE110-BF110-AB110</f>
        <v/>
      </c>
      <c r="BH110" s="255">
        <f>AB110</f>
        <v/>
      </c>
      <c r="BI110">
        <f>IF(BD110&lt;0%,"Loss",IF(BD110&lt;5%,"On Cost Plus",IF(BD110&lt;10%,"Within","Exceed")))</f>
        <v/>
      </c>
      <c r="BJ110" t="inlineStr">
        <is>
          <t>Exceed</t>
        </is>
      </c>
      <c r="BK110">
        <f>0.51*$BK$6</f>
        <v/>
      </c>
      <c r="BL110" s="190">
        <f>BK110-W110</f>
        <v/>
      </c>
      <c r="BM110" s="189">
        <f>BL110*O110</f>
        <v/>
      </c>
    </row>
    <row r="111">
      <c r="A111">
        <f>CONCATENATE(E111,F111,G111,H111,I111,J111,K111,L111)</f>
        <v/>
      </c>
      <c r="B111">
        <f>CONCATENATE(J111,"-&gt;",K111,"/",E111)</f>
        <v/>
      </c>
      <c r="C111" s="23" t="inlineStr">
        <is>
          <t>AFEEZ AJIBADE/Ebenezer</t>
        </is>
      </c>
      <c r="D111">
        <f>CONCATENATE(G111,"-",H111,"-",F111)</f>
        <v/>
      </c>
      <c r="E111" s="24" t="inlineStr">
        <is>
          <t>Lacasera-45T-NBL-DSL-JUMBO</t>
        </is>
      </c>
      <c r="F111" s="24" t="inlineStr">
        <is>
          <t>JUMBO</t>
        </is>
      </c>
      <c r="G111" s="25" t="inlineStr">
        <is>
          <t>NBL-DSL</t>
        </is>
      </c>
      <c r="H111" s="24" t="inlineStr">
        <is>
          <t>45T</t>
        </is>
      </c>
      <c r="I111" s="251" t="inlineStr">
        <is>
          <t>Lacasera</t>
        </is>
      </c>
      <c r="J111" s="251" t="inlineStr">
        <is>
          <t>Lagos</t>
        </is>
      </c>
      <c r="K111" s="23" t="inlineStr">
        <is>
          <t>Madagali</t>
        </is>
      </c>
      <c r="L111" t="inlineStr">
        <is>
          <t>Adamawa</t>
        </is>
      </c>
      <c r="M111" s="1" t="inlineStr">
        <is>
          <t>North</t>
        </is>
      </c>
      <c r="N111" s="261" t="n">
        <v>1711.5</v>
      </c>
      <c r="O111" s="257" t="n">
        <v>3423</v>
      </c>
      <c r="P111" s="227">
        <f>ROUNDUP(O111/300,)</f>
        <v/>
      </c>
      <c r="Q111" s="220" t="n">
        <v>1</v>
      </c>
      <c r="R111" s="220">
        <f>Q111+P111</f>
        <v/>
      </c>
      <c r="S111" s="198">
        <f>ROUNDDOWN(O111*0.7,)</f>
        <v/>
      </c>
      <c r="T111" s="220">
        <f>_xlfn.XLOOKUP(G111,[1]Fx!$A$4:$A$12,[1]Fx!$B$4:$B$12)</f>
        <v/>
      </c>
      <c r="U111" s="220">
        <f>_xlfn.XLOOKUP(G111,[1]Fx!$A$4:$A$12,[1]Fx!$C$4:$C$12)</f>
        <v/>
      </c>
      <c r="V111" s="220">
        <f>_xlfn.XLOOKUP(G111,[1]Fx!$A$4:$A$12,[1]Fx!$D$4:$D$12)</f>
        <v/>
      </c>
      <c r="W111" s="208">
        <f>_xlfn.XLOOKUP(H111&amp;I111,'[1]Mapping DSL'!$H:$H,'[1]Mapping DSL'!$J:$J)</f>
        <v/>
      </c>
      <c r="X111" s="220">
        <f>_xlfn.XLOOKUP(G111,[1]Fx!$A$4:$A$12,[1]Fx!$E$4:$E$12)</f>
        <v/>
      </c>
      <c r="Y111" s="220">
        <f>T111*R111</f>
        <v/>
      </c>
      <c r="Z111" s="220">
        <f>U111*O111</f>
        <v/>
      </c>
      <c r="AA111" s="220">
        <f>V111*O111</f>
        <v/>
      </c>
      <c r="AB111" s="220">
        <f>W111*O111</f>
        <v/>
      </c>
      <c r="AC111" s="198">
        <f>X111*O111</f>
        <v/>
      </c>
      <c r="AD111" s="220" t="n">
        <v>0</v>
      </c>
      <c r="AE111" s="220" t="n">
        <v>0</v>
      </c>
      <c r="AF111" s="220">
        <f>SUM(Y111:AE111)</f>
        <v/>
      </c>
      <c r="AG111" s="205">
        <f>_xlfn.XLOOKUP(G111,[1]Fx!$A$16:$A$24,[1]Fx!$B$16:$B$24)</f>
        <v/>
      </c>
      <c r="AH111" s="220">
        <f>AG111*R111</f>
        <v/>
      </c>
      <c r="AI111" s="220">
        <f>$AI$6*Z111</f>
        <v/>
      </c>
      <c r="AJ111" s="220">
        <f>$AJ$6*AA111</f>
        <v/>
      </c>
      <c r="AK111" s="220">
        <f>$AK$6*AB111</f>
        <v/>
      </c>
      <c r="AL111" s="220">
        <f>$AL$6*AC111</f>
        <v/>
      </c>
      <c r="AM111" s="220">
        <f>SUM(AH111:AL111)</f>
        <v/>
      </c>
      <c r="AN111" s="220" t="n">
        <v>0</v>
      </c>
      <c r="AO111" s="220">
        <f>AN111*AH111</f>
        <v/>
      </c>
      <c r="AP111" s="220">
        <f>AD111</f>
        <v/>
      </c>
      <c r="AQ111" s="220">
        <f>AE111</f>
        <v/>
      </c>
      <c r="AR111" s="220">
        <f>AM111-AO111</f>
        <v/>
      </c>
      <c r="AS111" s="220">
        <f>AR111-AK111</f>
        <v/>
      </c>
      <c r="AT111" s="220">
        <f>AS111*1.075</f>
        <v/>
      </c>
      <c r="AU111" s="220">
        <f>ROUNDUP(AT111+AK111+AP111+AQ111,-4)</f>
        <v/>
      </c>
      <c r="AV111" s="198" t="n">
        <v>4959375</v>
      </c>
      <c r="AW111" s="227" t="n"/>
      <c r="AX111" s="220">
        <f>AV111-AR111</f>
        <v/>
      </c>
      <c r="AY111" s="35">
        <f>AX111/AR111</f>
        <v/>
      </c>
      <c r="AZ111" s="220">
        <f>AV111-AF111</f>
        <v/>
      </c>
      <c r="BA111" s="215">
        <f>AV111-SUM(Z111:AC111)</f>
        <v/>
      </c>
      <c r="BB111" s="215">
        <f>BA111-Y111</f>
        <v/>
      </c>
      <c r="BC111" s="35">
        <f>BB111/BA111</f>
        <v/>
      </c>
      <c r="BD111" s="35">
        <f>IFERROR(AZ111/AV111,)</f>
        <v/>
      </c>
      <c r="BE111" s="255">
        <f>AV111-SUM(Z111:AC111)</f>
        <v/>
      </c>
      <c r="BF111" s="255">
        <f>AV111-BE111-AC111-AB111</f>
        <v/>
      </c>
      <c r="BG111" s="255">
        <f>AV111-BE111-BF111-AB111</f>
        <v/>
      </c>
      <c r="BH111" s="255">
        <f>AB111</f>
        <v/>
      </c>
      <c r="BI111">
        <f>IF(BD111&lt;0%,"Loss",IF(BD111&lt;5%,"On Cost Plus",IF(BD111&lt;10%,"Within","Exceed")))</f>
        <v/>
      </c>
      <c r="BJ111" t="inlineStr">
        <is>
          <t>On Cost Plus</t>
        </is>
      </c>
      <c r="BK111">
        <f>0.51*$BK$6</f>
        <v/>
      </c>
      <c r="BL111" s="190">
        <f>BK111-W111</f>
        <v/>
      </c>
      <c r="BM111" s="189">
        <f>BL111*O111</f>
        <v/>
      </c>
    </row>
    <row r="112">
      <c r="A112">
        <f>CONCATENATE(E112,F112,G112,H112,I112,J112,K112,L112)</f>
        <v/>
      </c>
      <c r="B112">
        <f>CONCATENATE(J112,"-&gt;",K112,"/",E112)</f>
        <v/>
      </c>
      <c r="C112" s="23" t="inlineStr">
        <is>
          <t>AFEEZ AJIBADE/Ebenezer</t>
        </is>
      </c>
      <c r="D112">
        <f>CONCATENATE(G112,"-",H112,"-",F112)</f>
        <v/>
      </c>
      <c r="E112" s="24" t="inlineStr">
        <is>
          <t>Lacasera-45T-NBL-DSL-JUMBO</t>
        </is>
      </c>
      <c r="F112" s="24" t="inlineStr">
        <is>
          <t>JUMBO</t>
        </is>
      </c>
      <c r="G112" s="25" t="inlineStr">
        <is>
          <t>NBL-DSL</t>
        </is>
      </c>
      <c r="H112" s="24" t="inlineStr">
        <is>
          <t>45T</t>
        </is>
      </c>
      <c r="I112" s="251" t="inlineStr">
        <is>
          <t>Lacasera</t>
        </is>
      </c>
      <c r="J112" s="251" t="inlineStr">
        <is>
          <t>Lagos</t>
        </is>
      </c>
      <c r="K112" s="23" t="inlineStr">
        <is>
          <t>Bida</t>
        </is>
      </c>
      <c r="L112" t="inlineStr">
        <is>
          <t>Niger</t>
        </is>
      </c>
      <c r="M112" s="1" t="inlineStr">
        <is>
          <t>North</t>
        </is>
      </c>
      <c r="N112" s="261" t="n">
        <v>541.5</v>
      </c>
      <c r="O112" s="257" t="n">
        <v>1083</v>
      </c>
      <c r="P112" s="227">
        <f>ROUNDUP(O112/300,)</f>
        <v/>
      </c>
      <c r="Q112" s="220" t="n">
        <v>1</v>
      </c>
      <c r="R112" s="220">
        <f>Q112+P112</f>
        <v/>
      </c>
      <c r="S112" s="198">
        <f>ROUNDDOWN(O112*0.7,)</f>
        <v/>
      </c>
      <c r="T112" s="220">
        <f>_xlfn.XLOOKUP(G112,[1]Fx!$A$4:$A$12,[1]Fx!$B$4:$B$12)</f>
        <v/>
      </c>
      <c r="U112" s="220">
        <f>_xlfn.XLOOKUP(G112,[1]Fx!$A$4:$A$12,[1]Fx!$C$4:$C$12)</f>
        <v/>
      </c>
      <c r="V112" s="220">
        <f>_xlfn.XLOOKUP(G112,[1]Fx!$A$4:$A$12,[1]Fx!$D$4:$D$12)</f>
        <v/>
      </c>
      <c r="W112" s="208">
        <f>_xlfn.XLOOKUP(H112&amp;I112,'[1]Mapping DSL'!$H:$H,'[1]Mapping DSL'!$J:$J)</f>
        <v/>
      </c>
      <c r="X112" s="220">
        <f>_xlfn.XLOOKUP(G112,[1]Fx!$A$4:$A$12,[1]Fx!$E$4:$E$12)</f>
        <v/>
      </c>
      <c r="Y112" s="220">
        <f>T112*R112</f>
        <v/>
      </c>
      <c r="Z112" s="220">
        <f>U112*O112</f>
        <v/>
      </c>
      <c r="AA112" s="220">
        <f>V112*O112</f>
        <v/>
      </c>
      <c r="AB112" s="220">
        <f>W112*O112</f>
        <v/>
      </c>
      <c r="AC112" s="198">
        <f>X112*O112</f>
        <v/>
      </c>
      <c r="AD112" s="220" t="n">
        <v>0</v>
      </c>
      <c r="AE112" s="220" t="n">
        <v>0</v>
      </c>
      <c r="AF112" s="220">
        <f>SUM(Y112:AE112)</f>
        <v/>
      </c>
      <c r="AG112" s="205">
        <f>_xlfn.XLOOKUP(G112,[1]Fx!$A$16:$A$24,[1]Fx!$B$16:$B$24)</f>
        <v/>
      </c>
      <c r="AH112" s="220">
        <f>AG112*R112</f>
        <v/>
      </c>
      <c r="AI112" s="220">
        <f>$AI$6*Z112</f>
        <v/>
      </c>
      <c r="AJ112" s="220">
        <f>$AJ$6*AA112</f>
        <v/>
      </c>
      <c r="AK112" s="220">
        <f>$AK$6*AB112</f>
        <v/>
      </c>
      <c r="AL112" s="220">
        <f>$AL$6*AC112</f>
        <v/>
      </c>
      <c r="AM112" s="220">
        <f>SUM(AH112:AL112)</f>
        <v/>
      </c>
      <c r="AN112" s="220" t="n">
        <v>0</v>
      </c>
      <c r="AO112" s="220">
        <f>AN112*AH112</f>
        <v/>
      </c>
      <c r="AP112" s="220">
        <f>AD112</f>
        <v/>
      </c>
      <c r="AQ112" s="220">
        <f>AE112</f>
        <v/>
      </c>
      <c r="AR112" s="220">
        <f>AM112-AO112</f>
        <v/>
      </c>
      <c r="AS112" s="220">
        <f>AR112-AK112</f>
        <v/>
      </c>
      <c r="AT112" s="220">
        <f>AS112*1.075</f>
        <v/>
      </c>
      <c r="AU112" s="220">
        <f>ROUNDUP(AT112+AK112+AP112+AQ112,-4)</f>
        <v/>
      </c>
      <c r="AV112" s="198" t="n">
        <v>3001708</v>
      </c>
      <c r="AW112" s="227" t="n"/>
      <c r="AX112" s="220">
        <f>AV112-AR112</f>
        <v/>
      </c>
      <c r="AY112" s="35">
        <f>AX112/AR112</f>
        <v/>
      </c>
      <c r="AZ112" s="220">
        <f>AV112-AF112</f>
        <v/>
      </c>
      <c r="BA112" s="215">
        <f>AV112-SUM(Z112:AC112)</f>
        <v/>
      </c>
      <c r="BB112" s="215">
        <f>BA112-Y112</f>
        <v/>
      </c>
      <c r="BC112" s="35">
        <f>BB112/BA112</f>
        <v/>
      </c>
      <c r="BD112" s="35">
        <f>IFERROR(AZ112/AV112,)</f>
        <v/>
      </c>
      <c r="BE112" s="255">
        <f>AV112-SUM(Z112:AC112)</f>
        <v/>
      </c>
      <c r="BF112" s="255">
        <f>AV112-BE112-AC112-AB112</f>
        <v/>
      </c>
      <c r="BG112" s="255">
        <f>AV112-BE112-BF112-AB112</f>
        <v/>
      </c>
      <c r="BH112" s="255">
        <f>AB112</f>
        <v/>
      </c>
      <c r="BI112">
        <f>IF(BD112&lt;0%,"Loss",IF(BD112&lt;5%,"On Cost Plus",IF(BD112&lt;10%,"Within","Exceed")))</f>
        <v/>
      </c>
      <c r="BJ112" t="inlineStr">
        <is>
          <t>Exceed</t>
        </is>
      </c>
      <c r="BK112">
        <f>0.51*$BK$6</f>
        <v/>
      </c>
      <c r="BL112" s="190">
        <f>BK112-W112</f>
        <v/>
      </c>
      <c r="BM112" s="189">
        <f>BL112*O112</f>
        <v/>
      </c>
    </row>
    <row r="113">
      <c r="A113">
        <f>CONCATENATE(E113,F113,G113,H113,I113,J113,K113,L113)</f>
        <v/>
      </c>
      <c r="B113">
        <f>CONCATENATE(J113,"-&gt;",K113,"/",E113)</f>
        <v/>
      </c>
      <c r="C113" s="23" t="inlineStr">
        <is>
          <t>AFEEZ AJIBADE/Ebenezer</t>
        </is>
      </c>
      <c r="D113">
        <f>CONCATENATE(G113,"-",H113,"-",F113)</f>
        <v/>
      </c>
      <c r="E113" s="24" t="inlineStr">
        <is>
          <t>Lacasera-45T-NBL-DSL-JUMBO</t>
        </is>
      </c>
      <c r="F113" s="24" t="inlineStr">
        <is>
          <t>JUMBO</t>
        </is>
      </c>
      <c r="G113" s="25" t="inlineStr">
        <is>
          <t>NBL-DSL</t>
        </is>
      </c>
      <c r="H113" s="24" t="inlineStr">
        <is>
          <t>45T</t>
        </is>
      </c>
      <c r="I113" s="251" t="inlineStr">
        <is>
          <t>Lacasera</t>
        </is>
      </c>
      <c r="J113" s="251" t="inlineStr">
        <is>
          <t>Lagos</t>
        </is>
      </c>
      <c r="K113" s="23" t="inlineStr">
        <is>
          <t>Katsina</t>
        </is>
      </c>
      <c r="L113" t="inlineStr">
        <is>
          <t>Katsina</t>
        </is>
      </c>
      <c r="M113" s="1" t="inlineStr">
        <is>
          <t>North</t>
        </is>
      </c>
      <c r="N113" s="261" t="n">
        <v>956</v>
      </c>
      <c r="O113" s="257" t="n">
        <v>1912</v>
      </c>
      <c r="P113" s="227">
        <f>ROUNDUP(O113/300,)</f>
        <v/>
      </c>
      <c r="Q113" s="220" t="n">
        <v>1</v>
      </c>
      <c r="R113" s="220">
        <f>Q113+P113</f>
        <v/>
      </c>
      <c r="S113" s="198">
        <f>ROUNDDOWN(O113*0.7,)</f>
        <v/>
      </c>
      <c r="T113" s="220">
        <f>_xlfn.XLOOKUP(G113,[1]Fx!$A$4:$A$12,[1]Fx!$B$4:$B$12)</f>
        <v/>
      </c>
      <c r="U113" s="220">
        <f>_xlfn.XLOOKUP(G113,[1]Fx!$A$4:$A$12,[1]Fx!$C$4:$C$12)</f>
        <v/>
      </c>
      <c r="V113" s="220">
        <f>_xlfn.XLOOKUP(G113,[1]Fx!$A$4:$A$12,[1]Fx!$D$4:$D$12)</f>
        <v/>
      </c>
      <c r="W113" s="208">
        <f>_xlfn.XLOOKUP(H113&amp;I113,'[1]Mapping DSL'!$H:$H,'[1]Mapping DSL'!$J:$J)</f>
        <v/>
      </c>
      <c r="X113" s="220">
        <f>_xlfn.XLOOKUP(G113,[1]Fx!$A$4:$A$12,[1]Fx!$E$4:$E$12)</f>
        <v/>
      </c>
      <c r="Y113" s="220">
        <f>T113*R113</f>
        <v/>
      </c>
      <c r="Z113" s="220">
        <f>U113*O113</f>
        <v/>
      </c>
      <c r="AA113" s="220">
        <f>V113*O113</f>
        <v/>
      </c>
      <c r="AB113" s="220">
        <f>W113*O113</f>
        <v/>
      </c>
      <c r="AC113" s="198">
        <f>X113*O113</f>
        <v/>
      </c>
      <c r="AD113" s="220" t="n">
        <v>0</v>
      </c>
      <c r="AE113" s="220" t="n">
        <v>0</v>
      </c>
      <c r="AF113" s="220">
        <f>SUM(Y113:AE113)</f>
        <v/>
      </c>
      <c r="AG113" s="205">
        <f>_xlfn.XLOOKUP(G113,[1]Fx!$A$16:$A$24,[1]Fx!$B$16:$B$24)</f>
        <v/>
      </c>
      <c r="AH113" s="220">
        <f>AG113*R113</f>
        <v/>
      </c>
      <c r="AI113" s="220">
        <f>$AI$6*Z113</f>
        <v/>
      </c>
      <c r="AJ113" s="220">
        <f>$AJ$6*AA113</f>
        <v/>
      </c>
      <c r="AK113" s="220">
        <f>$AK$6*AB113</f>
        <v/>
      </c>
      <c r="AL113" s="220">
        <f>$AL$6*AC113</f>
        <v/>
      </c>
      <c r="AM113" s="220">
        <f>SUM(AH113:AL113)</f>
        <v/>
      </c>
      <c r="AN113" s="220" t="n">
        <v>0</v>
      </c>
      <c r="AO113" s="220">
        <f>AN113*AH113</f>
        <v/>
      </c>
      <c r="AP113" s="220">
        <f>AD113</f>
        <v/>
      </c>
      <c r="AQ113" s="220">
        <f>AE113</f>
        <v/>
      </c>
      <c r="AR113" s="220">
        <f>AM113-AO113</f>
        <v/>
      </c>
      <c r="AS113" s="220">
        <f>AR113-AK113</f>
        <v/>
      </c>
      <c r="AT113" s="220">
        <f>AS113*1.075</f>
        <v/>
      </c>
      <c r="AU113" s="220">
        <f>ROUNDUP(AT113+AK113+AP113+AQ113,-4)</f>
        <v/>
      </c>
      <c r="AV113" s="198" t="n">
        <v>3858651</v>
      </c>
      <c r="AW113" s="227" t="n"/>
      <c r="AX113" s="220">
        <f>AV113-AR113</f>
        <v/>
      </c>
      <c r="AY113" s="35">
        <f>AX113/AR113</f>
        <v/>
      </c>
      <c r="AZ113" s="220">
        <f>AV113-AF113</f>
        <v/>
      </c>
      <c r="BA113" s="215">
        <f>AV113-SUM(Z113:AC113)</f>
        <v/>
      </c>
      <c r="BB113" s="215">
        <f>BA113-Y113</f>
        <v/>
      </c>
      <c r="BC113" s="35">
        <f>BB113/BA113</f>
        <v/>
      </c>
      <c r="BD113" s="35">
        <f>IFERROR(AZ113/AV113,)</f>
        <v/>
      </c>
      <c r="BE113" s="255">
        <f>AV113-SUM(Z113:AC113)</f>
        <v/>
      </c>
      <c r="BF113" s="255">
        <f>AV113-BE113-AC113-AB113</f>
        <v/>
      </c>
      <c r="BG113" s="255">
        <f>AV113-BE113-BF113-AB113</f>
        <v/>
      </c>
      <c r="BH113" s="255">
        <f>AB113</f>
        <v/>
      </c>
      <c r="BI113">
        <f>IF(BD113&lt;0%,"Loss",IF(BD113&lt;5%,"On Cost Plus",IF(BD113&lt;10%,"Within","Exceed")))</f>
        <v/>
      </c>
      <c r="BJ113" t="inlineStr">
        <is>
          <t>Exceed</t>
        </is>
      </c>
      <c r="BK113">
        <f>0.51*$BK$6</f>
        <v/>
      </c>
      <c r="BL113" s="190">
        <f>BK113-W113</f>
        <v/>
      </c>
      <c r="BM113" s="189">
        <f>BL113*O113</f>
        <v/>
      </c>
    </row>
    <row r="114">
      <c r="A114">
        <f>CONCATENATE(E114,F114,G114,H114,I114,J114,K114,L114)</f>
        <v/>
      </c>
      <c r="B114">
        <f>CONCATENATE(J114,"-&gt;",K114,"/",E114)</f>
        <v/>
      </c>
      <c r="C114" s="23" t="inlineStr">
        <is>
          <t>AFEEZ AJIBADE/Ebenezer</t>
        </is>
      </c>
      <c r="D114">
        <f>CONCATENATE(G114,"-",H114,"-",F114)</f>
        <v/>
      </c>
      <c r="E114" s="24" t="inlineStr">
        <is>
          <t>Lacasera-45T-NBL-DSL-JUMBO</t>
        </is>
      </c>
      <c r="F114" s="24" t="inlineStr">
        <is>
          <t>JUMBO</t>
        </is>
      </c>
      <c r="G114" s="25" t="inlineStr">
        <is>
          <t>NBL-DSL</t>
        </is>
      </c>
      <c r="H114" s="24" t="inlineStr">
        <is>
          <t>45T</t>
        </is>
      </c>
      <c r="I114" s="251" t="inlineStr">
        <is>
          <t>Lacasera</t>
        </is>
      </c>
      <c r="J114" s="251" t="inlineStr">
        <is>
          <t>Lagos</t>
        </is>
      </c>
      <c r="K114" s="23" t="inlineStr">
        <is>
          <t>Jebba</t>
        </is>
      </c>
      <c r="L114" t="inlineStr">
        <is>
          <t>Kwara</t>
        </is>
      </c>
      <c r="M114" s="1" t="inlineStr">
        <is>
          <t>West</t>
        </is>
      </c>
      <c r="N114" s="261" t="n">
        <v>374</v>
      </c>
      <c r="O114" s="257" t="n">
        <v>748</v>
      </c>
      <c r="P114" s="227">
        <f>ROUNDUP(O114/300,)</f>
        <v/>
      </c>
      <c r="Q114" s="220" t="n">
        <v>1</v>
      </c>
      <c r="R114" s="220">
        <f>Q114+P114</f>
        <v/>
      </c>
      <c r="S114" s="198">
        <f>ROUNDDOWN(O114*0.7,)</f>
        <v/>
      </c>
      <c r="T114" s="220">
        <f>_xlfn.XLOOKUP(G114,[1]Fx!$A$4:$A$12,[1]Fx!$B$4:$B$12)</f>
        <v/>
      </c>
      <c r="U114" s="220">
        <f>_xlfn.XLOOKUP(G114,[1]Fx!$A$4:$A$12,[1]Fx!$C$4:$C$12)</f>
        <v/>
      </c>
      <c r="V114" s="220">
        <f>_xlfn.XLOOKUP(G114,[1]Fx!$A$4:$A$12,[1]Fx!$D$4:$D$12)</f>
        <v/>
      </c>
      <c r="W114" s="208">
        <f>_xlfn.XLOOKUP(H114&amp;I114,'[1]Mapping DSL'!$H:$H,'[1]Mapping DSL'!$J:$J)</f>
        <v/>
      </c>
      <c r="X114" s="220">
        <f>_xlfn.XLOOKUP(G114,[1]Fx!$A$4:$A$12,[1]Fx!$E$4:$E$12)</f>
        <v/>
      </c>
      <c r="Y114" s="220">
        <f>T114*R114</f>
        <v/>
      </c>
      <c r="Z114" s="220">
        <f>U114*O114</f>
        <v/>
      </c>
      <c r="AA114" s="220">
        <f>V114*O114</f>
        <v/>
      </c>
      <c r="AB114" s="220">
        <f>W114*O114</f>
        <v/>
      </c>
      <c r="AC114" s="198">
        <f>X114*O114</f>
        <v/>
      </c>
      <c r="AD114" s="220" t="n">
        <v>0</v>
      </c>
      <c r="AE114" s="220" t="n">
        <v>0</v>
      </c>
      <c r="AF114" s="220">
        <f>SUM(Y114:AE114)</f>
        <v/>
      </c>
      <c r="AG114" s="205">
        <f>_xlfn.XLOOKUP(G114,[1]Fx!$A$16:$A$24,[1]Fx!$B$16:$B$24)</f>
        <v/>
      </c>
      <c r="AH114" s="220">
        <f>AG114*R114</f>
        <v/>
      </c>
      <c r="AI114" s="220">
        <f>$AI$6*Z114</f>
        <v/>
      </c>
      <c r="AJ114" s="220">
        <f>$AJ$6*AA114</f>
        <v/>
      </c>
      <c r="AK114" s="220">
        <f>$AK$6*AB114</f>
        <v/>
      </c>
      <c r="AL114" s="220">
        <f>$AL$6*AC114</f>
        <v/>
      </c>
      <c r="AM114" s="220">
        <f>SUM(AH114:AL114)</f>
        <v/>
      </c>
      <c r="AN114" s="220" t="n">
        <v>0</v>
      </c>
      <c r="AO114" s="220">
        <f>AN114*AH114</f>
        <v/>
      </c>
      <c r="AP114" s="220">
        <f>AD114</f>
        <v/>
      </c>
      <c r="AQ114" s="220">
        <f>AE114</f>
        <v/>
      </c>
      <c r="AR114" s="220">
        <f>AM114-AO114</f>
        <v/>
      </c>
      <c r="AS114" s="220">
        <f>AR114-AK114</f>
        <v/>
      </c>
      <c r="AT114" s="220">
        <f>AS114*1.075</f>
        <v/>
      </c>
      <c r="AU114" s="220">
        <f>ROUNDUP(AT114+AK114+AP114+AQ114,-4)</f>
        <v/>
      </c>
      <c r="AV114" s="198" t="n">
        <v>1538365</v>
      </c>
      <c r="AW114" s="227" t="n"/>
      <c r="AX114" s="220">
        <f>AV114-AR114</f>
        <v/>
      </c>
      <c r="AY114" s="35">
        <f>AX114/AR114</f>
        <v/>
      </c>
      <c r="AZ114" s="220">
        <f>AV114-AF114</f>
        <v/>
      </c>
      <c r="BA114" s="215">
        <f>AV114-SUM(Z114:AC114)</f>
        <v/>
      </c>
      <c r="BB114" s="215">
        <f>BA114-Y114</f>
        <v/>
      </c>
      <c r="BC114" s="35">
        <f>BB114/BA114</f>
        <v/>
      </c>
      <c r="BD114" s="35">
        <f>IFERROR(AZ114/AV114,)</f>
        <v/>
      </c>
      <c r="BE114" s="255">
        <f>AV114-SUM(Z114:AC114)</f>
        <v/>
      </c>
      <c r="BF114" s="255">
        <f>AV114-BE114-AC114-AB114</f>
        <v/>
      </c>
      <c r="BG114" s="255">
        <f>AV114-BE114-BF114-AB114</f>
        <v/>
      </c>
      <c r="BH114" s="255">
        <f>AB114</f>
        <v/>
      </c>
      <c r="BI114">
        <f>IF(BD114&lt;0%,"Loss",IF(BD114&lt;5%,"On Cost Plus",IF(BD114&lt;10%,"Within","Exceed")))</f>
        <v/>
      </c>
      <c r="BJ114" t="inlineStr">
        <is>
          <t>Exceed</t>
        </is>
      </c>
      <c r="BK114">
        <f>0.51*$BK$6</f>
        <v/>
      </c>
      <c r="BL114" s="190">
        <f>BK114-W114</f>
        <v/>
      </c>
      <c r="BM114" s="189">
        <f>BL114*O114</f>
        <v/>
      </c>
    </row>
    <row r="115">
      <c r="A115">
        <f>CONCATENATE(E115,F115,G115,H115,I115,J115,K115,L115)</f>
        <v/>
      </c>
      <c r="B115">
        <f>CONCATENATE(J115,"-&gt;",K115,"/",E115)</f>
        <v/>
      </c>
      <c r="C115" s="23" t="inlineStr">
        <is>
          <t>AFEEZ AJIBADE/Ebenezer</t>
        </is>
      </c>
      <c r="D115">
        <f>CONCATENATE(G115,"-",H115,"-",F115)</f>
        <v/>
      </c>
      <c r="E115" s="24" t="inlineStr">
        <is>
          <t>Lacasera-45T-NBL-DSL-JUMBO</t>
        </is>
      </c>
      <c r="F115" s="24" t="inlineStr">
        <is>
          <t>JUMBO</t>
        </is>
      </c>
      <c r="G115" s="25" t="inlineStr">
        <is>
          <t>NBL-DSL</t>
        </is>
      </c>
      <c r="H115" s="24" t="inlineStr">
        <is>
          <t>45T</t>
        </is>
      </c>
      <c r="I115" s="251" t="inlineStr">
        <is>
          <t>Lacasera</t>
        </is>
      </c>
      <c r="J115" s="251" t="inlineStr">
        <is>
          <t>Lagos</t>
        </is>
      </c>
      <c r="K115" s="23" t="inlineStr">
        <is>
          <t>Ilorin</t>
        </is>
      </c>
      <c r="L115" t="inlineStr">
        <is>
          <t>Kwara</t>
        </is>
      </c>
      <c r="M115" s="1" t="inlineStr">
        <is>
          <t>West</t>
        </is>
      </c>
      <c r="N115" s="261" t="n">
        <v>305</v>
      </c>
      <c r="O115" s="257" t="n">
        <v>610</v>
      </c>
      <c r="P115" s="227">
        <f>ROUNDUP(O115/300,)</f>
        <v/>
      </c>
      <c r="Q115" s="220" t="n">
        <v>1</v>
      </c>
      <c r="R115" s="220">
        <f>Q115+P115</f>
        <v/>
      </c>
      <c r="S115" s="198">
        <f>ROUNDDOWN(O115*0.7,)</f>
        <v/>
      </c>
      <c r="T115" s="220">
        <f>_xlfn.XLOOKUP(G115,[1]Fx!$A$4:$A$12,[1]Fx!$B$4:$B$12)</f>
        <v/>
      </c>
      <c r="U115" s="220">
        <f>_xlfn.XLOOKUP(G115,[1]Fx!$A$4:$A$12,[1]Fx!$C$4:$C$12)</f>
        <v/>
      </c>
      <c r="V115" s="220">
        <f>_xlfn.XLOOKUP(G115,[1]Fx!$A$4:$A$12,[1]Fx!$D$4:$D$12)</f>
        <v/>
      </c>
      <c r="W115" s="208">
        <f>_xlfn.XLOOKUP(H115&amp;I115,'[1]Mapping DSL'!$H:$H,'[1]Mapping DSL'!$J:$J)</f>
        <v/>
      </c>
      <c r="X115" s="220">
        <f>_xlfn.XLOOKUP(G115,[1]Fx!$A$4:$A$12,[1]Fx!$E$4:$E$12)</f>
        <v/>
      </c>
      <c r="Y115" s="220">
        <f>T115*R115</f>
        <v/>
      </c>
      <c r="Z115" s="220">
        <f>U115*O115</f>
        <v/>
      </c>
      <c r="AA115" s="220">
        <f>V115*O115</f>
        <v/>
      </c>
      <c r="AB115" s="220">
        <f>W115*O115</f>
        <v/>
      </c>
      <c r="AC115" s="198">
        <f>X115*O115</f>
        <v/>
      </c>
      <c r="AD115" s="220" t="n">
        <v>0</v>
      </c>
      <c r="AE115" s="220" t="n">
        <v>0</v>
      </c>
      <c r="AF115" s="220">
        <f>SUM(Y115:AE115)</f>
        <v/>
      </c>
      <c r="AG115" s="205">
        <f>_xlfn.XLOOKUP(G115,[1]Fx!$A$16:$A$24,[1]Fx!$B$16:$B$24)</f>
        <v/>
      </c>
      <c r="AH115" s="220">
        <f>AG115*R115</f>
        <v/>
      </c>
      <c r="AI115" s="220">
        <f>$AI$6*Z115</f>
        <v/>
      </c>
      <c r="AJ115" s="220">
        <f>$AJ$6*AA115</f>
        <v/>
      </c>
      <c r="AK115" s="220">
        <f>$AK$6*AB115</f>
        <v/>
      </c>
      <c r="AL115" s="220">
        <f>$AL$6*AC115</f>
        <v/>
      </c>
      <c r="AM115" s="220">
        <f>SUM(AH115:AL115)</f>
        <v/>
      </c>
      <c r="AN115" s="220" t="n">
        <v>0</v>
      </c>
      <c r="AO115" s="220">
        <f>AN115*AH115</f>
        <v/>
      </c>
      <c r="AP115" s="220">
        <f>AD115</f>
        <v/>
      </c>
      <c r="AQ115" s="220">
        <f>AE115</f>
        <v/>
      </c>
      <c r="AR115" s="220">
        <f>AM115-AO115</f>
        <v/>
      </c>
      <c r="AS115" s="220">
        <f>AR115-AK115</f>
        <v/>
      </c>
      <c r="AT115" s="220">
        <f>AS115*1.075</f>
        <v/>
      </c>
      <c r="AU115" s="220">
        <f>ROUNDUP(AT115+AK115+AP115+AQ115,-4)</f>
        <v/>
      </c>
      <c r="AV115" s="198" t="n">
        <v>1349764</v>
      </c>
      <c r="AW115" s="227" t="n"/>
      <c r="AX115" s="220">
        <f>AV115-AR115</f>
        <v/>
      </c>
      <c r="AY115" s="35">
        <f>AX115/AR115</f>
        <v/>
      </c>
      <c r="AZ115" s="220">
        <f>AV115-AF115</f>
        <v/>
      </c>
      <c r="BA115" s="215">
        <f>AV115-SUM(Z115:AC115)</f>
        <v/>
      </c>
      <c r="BB115" s="215">
        <f>BA115-Y115</f>
        <v/>
      </c>
      <c r="BC115" s="35">
        <f>BB115/BA115</f>
        <v/>
      </c>
      <c r="BD115" s="35">
        <f>IFERROR(AZ115/AV115,)</f>
        <v/>
      </c>
      <c r="BE115" s="255">
        <f>AV115-SUM(Z115:AC115)</f>
        <v/>
      </c>
      <c r="BF115" s="255">
        <f>AV115-BE115-AC115-AB115</f>
        <v/>
      </c>
      <c r="BG115" s="255">
        <f>AV115-BE115-BF115-AB115</f>
        <v/>
      </c>
      <c r="BH115" s="255">
        <f>AB115</f>
        <v/>
      </c>
      <c r="BI115">
        <f>IF(BD115&lt;0%,"Loss",IF(BD115&lt;5%,"On Cost Plus",IF(BD115&lt;10%,"Within","Exceed")))</f>
        <v/>
      </c>
      <c r="BJ115" t="inlineStr">
        <is>
          <t>Exceed</t>
        </is>
      </c>
      <c r="BK115">
        <f>0.51*$BK$6</f>
        <v/>
      </c>
      <c r="BL115" s="190">
        <f>BK115-W115</f>
        <v/>
      </c>
      <c r="BM115" s="189">
        <f>BL115*O115</f>
        <v/>
      </c>
    </row>
    <row r="116">
      <c r="A116">
        <f>CONCATENATE(E116,F116,G116,H116,I116,J116,K116,L116)</f>
        <v/>
      </c>
      <c r="B116">
        <f>CONCATENATE(J116,"-&gt;",K116,"/",E116)</f>
        <v/>
      </c>
      <c r="C116" s="23" t="inlineStr">
        <is>
          <t>AFEEZ AJIBADE/Ebenezer</t>
        </is>
      </c>
      <c r="D116">
        <f>CONCATENATE(G116,"-",H116,"-",F116)</f>
        <v/>
      </c>
      <c r="E116" s="24" t="inlineStr">
        <is>
          <t>Lacasera-45T-NBL-DSL-JUMBO</t>
        </is>
      </c>
      <c r="F116" s="24" t="inlineStr">
        <is>
          <t>JUMBO</t>
        </is>
      </c>
      <c r="G116" s="25" t="inlineStr">
        <is>
          <t>NBL-DSL</t>
        </is>
      </c>
      <c r="H116" s="24" t="inlineStr">
        <is>
          <t>45T</t>
        </is>
      </c>
      <c r="I116" s="251" t="inlineStr">
        <is>
          <t>Lacasera</t>
        </is>
      </c>
      <c r="J116" s="251" t="inlineStr">
        <is>
          <t>Lagos</t>
        </is>
      </c>
      <c r="K116" s="23" t="inlineStr">
        <is>
          <t>Offa</t>
        </is>
      </c>
      <c r="L116" t="inlineStr">
        <is>
          <t>Kwara</t>
        </is>
      </c>
      <c r="M116" s="1" t="inlineStr">
        <is>
          <t>West</t>
        </is>
      </c>
      <c r="N116" s="261" t="n">
        <v>278.5</v>
      </c>
      <c r="O116" s="257" t="n">
        <v>557</v>
      </c>
      <c r="P116" s="227">
        <f>ROUNDUP(O116/300,)</f>
        <v/>
      </c>
      <c r="Q116" s="220" t="n">
        <v>1</v>
      </c>
      <c r="R116" s="220">
        <f>Q116+P116</f>
        <v/>
      </c>
      <c r="S116" s="198">
        <f>ROUNDDOWN(O116*0.7,)</f>
        <v/>
      </c>
      <c r="T116" s="220">
        <f>_xlfn.XLOOKUP(G116,[1]Fx!$A$4:$A$12,[1]Fx!$B$4:$B$12)</f>
        <v/>
      </c>
      <c r="U116" s="220">
        <f>_xlfn.XLOOKUP(G116,[1]Fx!$A$4:$A$12,[1]Fx!$C$4:$C$12)</f>
        <v/>
      </c>
      <c r="V116" s="220">
        <f>_xlfn.XLOOKUP(G116,[1]Fx!$A$4:$A$12,[1]Fx!$D$4:$D$12)</f>
        <v/>
      </c>
      <c r="W116" s="208">
        <f>_xlfn.XLOOKUP(H116&amp;I116,'[1]Mapping DSL'!$H:$H,'[1]Mapping DSL'!$J:$J)</f>
        <v/>
      </c>
      <c r="X116" s="220">
        <f>_xlfn.XLOOKUP(G116,[1]Fx!$A$4:$A$12,[1]Fx!$E$4:$E$12)</f>
        <v/>
      </c>
      <c r="Y116" s="220">
        <f>T116*R116</f>
        <v/>
      </c>
      <c r="Z116" s="220">
        <f>U116*O116</f>
        <v/>
      </c>
      <c r="AA116" s="220">
        <f>V116*O116</f>
        <v/>
      </c>
      <c r="AB116" s="220">
        <f>W116*O116</f>
        <v/>
      </c>
      <c r="AC116" s="198">
        <f>X116*O116</f>
        <v/>
      </c>
      <c r="AD116" s="220" t="n">
        <v>0</v>
      </c>
      <c r="AE116" s="220" t="n">
        <v>0</v>
      </c>
      <c r="AF116" s="220">
        <f>SUM(Y116:AE116)</f>
        <v/>
      </c>
      <c r="AG116" s="205">
        <f>_xlfn.XLOOKUP(G116,[1]Fx!$A$16:$A$24,[1]Fx!$B$16:$B$24)</f>
        <v/>
      </c>
      <c r="AH116" s="220">
        <f>AG116*R116</f>
        <v/>
      </c>
      <c r="AI116" s="220">
        <f>$AI$6*Z116</f>
        <v/>
      </c>
      <c r="AJ116" s="220">
        <f>$AJ$6*AA116</f>
        <v/>
      </c>
      <c r="AK116" s="220">
        <f>$AK$6*AB116</f>
        <v/>
      </c>
      <c r="AL116" s="220">
        <f>$AL$6*AC116</f>
        <v/>
      </c>
      <c r="AM116" s="220">
        <f>SUM(AH116:AL116)</f>
        <v/>
      </c>
      <c r="AN116" s="220" t="n">
        <v>0</v>
      </c>
      <c r="AO116" s="220">
        <f>AN116*AH116</f>
        <v/>
      </c>
      <c r="AP116" s="220">
        <f>AD116</f>
        <v/>
      </c>
      <c r="AQ116" s="220">
        <f>AE116</f>
        <v/>
      </c>
      <c r="AR116" s="220">
        <f>AM116-AO116</f>
        <v/>
      </c>
      <c r="AS116" s="220">
        <f>AR116-AK116</f>
        <v/>
      </c>
      <c r="AT116" s="220">
        <f>AS116*1.075</f>
        <v/>
      </c>
      <c r="AU116" s="220">
        <f>ROUNDUP(AT116+AK116+AP116+AQ116,-4)</f>
        <v/>
      </c>
      <c r="AV116" s="198" t="n">
        <v>1349764</v>
      </c>
      <c r="AW116" s="227" t="n"/>
      <c r="AX116" s="220">
        <f>AV116-AR116</f>
        <v/>
      </c>
      <c r="AY116" s="35">
        <f>AX116/AR116</f>
        <v/>
      </c>
      <c r="AZ116" s="220">
        <f>AV116-AF116</f>
        <v/>
      </c>
      <c r="BA116" s="215">
        <f>AV116-SUM(Z116:AC116)</f>
        <v/>
      </c>
      <c r="BB116" s="215">
        <f>BA116-Y116</f>
        <v/>
      </c>
      <c r="BC116" s="35">
        <f>BB116/BA116</f>
        <v/>
      </c>
      <c r="BD116" s="35">
        <f>IFERROR(AZ116/AV116,)</f>
        <v/>
      </c>
      <c r="BE116" s="255">
        <f>AV116-SUM(Z116:AC116)</f>
        <v/>
      </c>
      <c r="BF116" s="255">
        <f>AV116-BE116-AC116-AB116</f>
        <v/>
      </c>
      <c r="BG116" s="255">
        <f>AV116-BE116-BF116-AB116</f>
        <v/>
      </c>
      <c r="BH116" s="255">
        <f>AB116</f>
        <v/>
      </c>
      <c r="BI116">
        <f>IF(BD116&lt;0%,"Loss",IF(BD116&lt;5%,"On Cost Plus",IF(BD116&lt;10%,"Within","Exceed")))</f>
        <v/>
      </c>
      <c r="BJ116" t="inlineStr">
        <is>
          <t>Exceed</t>
        </is>
      </c>
      <c r="BK116">
        <f>0.51*$BK$6</f>
        <v/>
      </c>
      <c r="BL116" s="190">
        <f>BK116-W116</f>
        <v/>
      </c>
      <c r="BM116" s="189">
        <f>BL116*O116</f>
        <v/>
      </c>
    </row>
    <row r="117">
      <c r="A117">
        <f>CONCATENATE(E117,F117,G117,H117,I117,J117,K117,L117)</f>
        <v/>
      </c>
      <c r="B117">
        <f>CONCATENATE(J117,"-&gt;",K117,"/",E117)</f>
        <v/>
      </c>
      <c r="C117" s="23" t="inlineStr">
        <is>
          <t>AFEEZ AJIBADE/Ebenezer</t>
        </is>
      </c>
      <c r="D117">
        <f>CONCATENATE(G117,"-",H117,"-",F117)</f>
        <v/>
      </c>
      <c r="E117" s="24" t="inlineStr">
        <is>
          <t>Lacasera-45T-NBL-DSL-JUMBO</t>
        </is>
      </c>
      <c r="F117" s="24" t="inlineStr">
        <is>
          <t>JUMBO</t>
        </is>
      </c>
      <c r="G117" s="25" t="inlineStr">
        <is>
          <t>NBL-DSL</t>
        </is>
      </c>
      <c r="H117" s="24" t="inlineStr">
        <is>
          <t>45T</t>
        </is>
      </c>
      <c r="I117" s="251" t="inlineStr">
        <is>
          <t>Lacasera</t>
        </is>
      </c>
      <c r="J117" s="251" t="inlineStr">
        <is>
          <t>Lagos</t>
        </is>
      </c>
      <c r="K117" s="23" t="inlineStr">
        <is>
          <t>Akure</t>
        </is>
      </c>
      <c r="L117" t="inlineStr">
        <is>
          <t>Ondo</t>
        </is>
      </c>
      <c r="M117" s="1" t="inlineStr">
        <is>
          <t>West</t>
        </is>
      </c>
      <c r="N117" s="261" t="n">
        <v>301.5</v>
      </c>
      <c r="O117" s="257" t="n">
        <v>603</v>
      </c>
      <c r="P117" s="227">
        <f>ROUNDUP(O117/300,)</f>
        <v/>
      </c>
      <c r="Q117" s="220" t="n">
        <v>1</v>
      </c>
      <c r="R117" s="220">
        <f>Q117+P117</f>
        <v/>
      </c>
      <c r="S117" s="198">
        <f>ROUNDDOWN(O117*0.7,)</f>
        <v/>
      </c>
      <c r="T117" s="220">
        <f>_xlfn.XLOOKUP(G117,[1]Fx!$A$4:$A$12,[1]Fx!$B$4:$B$12)</f>
        <v/>
      </c>
      <c r="U117" s="220">
        <f>_xlfn.XLOOKUP(G117,[1]Fx!$A$4:$A$12,[1]Fx!$C$4:$C$12)</f>
        <v/>
      </c>
      <c r="V117" s="220">
        <f>_xlfn.XLOOKUP(G117,[1]Fx!$A$4:$A$12,[1]Fx!$D$4:$D$12)</f>
        <v/>
      </c>
      <c r="W117" s="208">
        <f>_xlfn.XLOOKUP(H117&amp;I117,'[1]Mapping DSL'!$H:$H,'[1]Mapping DSL'!$J:$J)</f>
        <v/>
      </c>
      <c r="X117" s="220">
        <f>_xlfn.XLOOKUP(G117,[1]Fx!$A$4:$A$12,[1]Fx!$E$4:$E$12)</f>
        <v/>
      </c>
      <c r="Y117" s="220">
        <f>T117*R117</f>
        <v/>
      </c>
      <c r="Z117" s="220">
        <f>U117*O117</f>
        <v/>
      </c>
      <c r="AA117" s="220">
        <f>V117*O117</f>
        <v/>
      </c>
      <c r="AB117" s="220">
        <f>W117*O117</f>
        <v/>
      </c>
      <c r="AC117" s="198">
        <f>X117*O117</f>
        <v/>
      </c>
      <c r="AD117" s="220" t="n">
        <v>0</v>
      </c>
      <c r="AE117" s="220" t="n">
        <v>0</v>
      </c>
      <c r="AF117" s="220">
        <f>SUM(Y117:AE117)</f>
        <v/>
      </c>
      <c r="AG117" s="205">
        <f>_xlfn.XLOOKUP(G117,[1]Fx!$A$16:$A$24,[1]Fx!$B$16:$B$24)</f>
        <v/>
      </c>
      <c r="AH117" s="220">
        <f>AG117*R117</f>
        <v/>
      </c>
      <c r="AI117" s="220">
        <f>$AI$6*Z117</f>
        <v/>
      </c>
      <c r="AJ117" s="220">
        <f>$AJ$6*AA117</f>
        <v/>
      </c>
      <c r="AK117" s="220">
        <f>$AK$6*AB117</f>
        <v/>
      </c>
      <c r="AL117" s="220">
        <f>$AL$6*AC117</f>
        <v/>
      </c>
      <c r="AM117" s="220">
        <f>SUM(AH117:AL117)</f>
        <v/>
      </c>
      <c r="AN117" s="220" t="n">
        <v>0</v>
      </c>
      <c r="AO117" s="220">
        <f>AN117*AH117</f>
        <v/>
      </c>
      <c r="AP117" s="220">
        <f>AD117</f>
        <v/>
      </c>
      <c r="AQ117" s="220">
        <f>AE117</f>
        <v/>
      </c>
      <c r="AR117" s="220">
        <f>AM117-AO117</f>
        <v/>
      </c>
      <c r="AS117" s="220">
        <f>AR117-AK117</f>
        <v/>
      </c>
      <c r="AT117" s="220">
        <f>AS117*1.075</f>
        <v/>
      </c>
      <c r="AU117" s="220">
        <f>ROUNDUP(AT117+AK117+AP117+AQ117,-4)</f>
        <v/>
      </c>
      <c r="AV117" s="198" t="n">
        <v>1429990</v>
      </c>
      <c r="AW117" s="227" t="n"/>
      <c r="AX117" s="220">
        <f>AV117-AR117</f>
        <v/>
      </c>
      <c r="AY117" s="35">
        <f>AX117/AR117</f>
        <v/>
      </c>
      <c r="AZ117" s="220">
        <f>AV117-AF117</f>
        <v/>
      </c>
      <c r="BA117" s="215">
        <f>AV117-SUM(Z117:AC117)</f>
        <v/>
      </c>
      <c r="BB117" s="215">
        <f>BA117-Y117</f>
        <v/>
      </c>
      <c r="BC117" s="35">
        <f>BB117/BA117</f>
        <v/>
      </c>
      <c r="BD117" s="35">
        <f>IFERROR(AZ117/AV117,)</f>
        <v/>
      </c>
      <c r="BE117" s="255">
        <f>AV117-SUM(Z117:AC117)</f>
        <v/>
      </c>
      <c r="BF117" s="255">
        <f>AV117-BE117-AC117-AB117</f>
        <v/>
      </c>
      <c r="BG117" s="255">
        <f>AV117-BE117-BF117-AB117</f>
        <v/>
      </c>
      <c r="BH117" s="255">
        <f>AB117</f>
        <v/>
      </c>
      <c r="BI117">
        <f>IF(BD117&lt;0%,"Loss",IF(BD117&lt;5%,"On Cost Plus",IF(BD117&lt;10%,"Within","Exceed")))</f>
        <v/>
      </c>
      <c r="BJ117" t="inlineStr">
        <is>
          <t>Exceed</t>
        </is>
      </c>
      <c r="BK117">
        <f>0.51*$BK$6</f>
        <v/>
      </c>
      <c r="BL117" s="190">
        <f>BK117-W117</f>
        <v/>
      </c>
      <c r="BM117" s="189">
        <f>BL117*O117</f>
        <v/>
      </c>
    </row>
    <row r="118">
      <c r="A118">
        <f>CONCATENATE(E118,F118,G118,H118,I118,J118,K118,L118)</f>
        <v/>
      </c>
      <c r="B118">
        <f>CONCATENATE(J118,"-&gt;",K118,"/",E118)</f>
        <v/>
      </c>
      <c r="C118" s="23" t="inlineStr">
        <is>
          <t>AFEEZ AJIBADE/Ebenezer</t>
        </is>
      </c>
      <c r="D118">
        <f>CONCATENATE(G118,"-",H118,"-",F118)</f>
        <v/>
      </c>
      <c r="E118" s="24" t="inlineStr">
        <is>
          <t>Lacasera-45T-NBL-DSL-JUMBO</t>
        </is>
      </c>
      <c r="F118" s="24" t="inlineStr">
        <is>
          <t>JUMBO</t>
        </is>
      </c>
      <c r="G118" s="25" t="inlineStr">
        <is>
          <t>NBL-DSL</t>
        </is>
      </c>
      <c r="H118" s="24" t="inlineStr">
        <is>
          <t>45T</t>
        </is>
      </c>
      <c r="I118" s="251" t="inlineStr">
        <is>
          <t>Lacasera</t>
        </is>
      </c>
      <c r="J118" s="251" t="inlineStr">
        <is>
          <t>Lagos</t>
        </is>
      </c>
      <c r="K118" s="23" t="inlineStr">
        <is>
          <t>Ibadan</t>
        </is>
      </c>
      <c r="L118" t="inlineStr">
        <is>
          <t>Oyo</t>
        </is>
      </c>
      <c r="M118" s="1" t="inlineStr">
        <is>
          <t>West</t>
        </is>
      </c>
      <c r="N118" s="261" t="n">
        <v>135</v>
      </c>
      <c r="O118" s="257" t="n">
        <v>270</v>
      </c>
      <c r="P118" s="227">
        <f>ROUNDUP(O118/300,)</f>
        <v/>
      </c>
      <c r="Q118" s="220" t="n">
        <v>1</v>
      </c>
      <c r="R118" s="220">
        <f>Q118+P118</f>
        <v/>
      </c>
      <c r="S118" s="198">
        <f>ROUNDDOWN(O118*0.7,)</f>
        <v/>
      </c>
      <c r="T118" s="220">
        <f>_xlfn.XLOOKUP(G118,[1]Fx!$A$4:$A$12,[1]Fx!$B$4:$B$12)</f>
        <v/>
      </c>
      <c r="U118" s="220">
        <f>_xlfn.XLOOKUP(G118,[1]Fx!$A$4:$A$12,[1]Fx!$C$4:$C$12)</f>
        <v/>
      </c>
      <c r="V118" s="220">
        <f>_xlfn.XLOOKUP(G118,[1]Fx!$A$4:$A$12,[1]Fx!$D$4:$D$12)</f>
        <v/>
      </c>
      <c r="W118" s="208">
        <f>_xlfn.XLOOKUP(H118&amp;I118,'[1]Mapping DSL'!$H:$H,'[1]Mapping DSL'!$J:$J)</f>
        <v/>
      </c>
      <c r="X118" s="220">
        <f>_xlfn.XLOOKUP(G118,[1]Fx!$A$4:$A$12,[1]Fx!$E$4:$E$12)</f>
        <v/>
      </c>
      <c r="Y118" s="220">
        <f>T118*R118</f>
        <v/>
      </c>
      <c r="Z118" s="220">
        <f>U118*O118</f>
        <v/>
      </c>
      <c r="AA118" s="220">
        <f>V118*O118</f>
        <v/>
      </c>
      <c r="AB118" s="220">
        <f>W118*O118</f>
        <v/>
      </c>
      <c r="AC118" s="198">
        <f>X118*O118</f>
        <v/>
      </c>
      <c r="AD118" s="220" t="n">
        <v>0</v>
      </c>
      <c r="AE118" s="220" t="n">
        <v>0</v>
      </c>
      <c r="AF118" s="220">
        <f>SUM(Y118:AE118)</f>
        <v/>
      </c>
      <c r="AG118" s="205">
        <f>_xlfn.XLOOKUP(G118,[1]Fx!$A$16:$A$24,[1]Fx!$B$16:$B$24)</f>
        <v/>
      </c>
      <c r="AH118" s="220">
        <f>AG118*R118</f>
        <v/>
      </c>
      <c r="AI118" s="220">
        <f>$AI$6*Z118</f>
        <v/>
      </c>
      <c r="AJ118" s="220">
        <f>$AJ$6*AA118</f>
        <v/>
      </c>
      <c r="AK118" s="220">
        <f>$AK$6*AB118</f>
        <v/>
      </c>
      <c r="AL118" s="220">
        <f>$AL$6*AC118</f>
        <v/>
      </c>
      <c r="AM118" s="220">
        <f>SUM(AH118:AL118)</f>
        <v/>
      </c>
      <c r="AN118" s="220" t="n">
        <v>0</v>
      </c>
      <c r="AO118" s="220">
        <f>AN118*AH118</f>
        <v/>
      </c>
      <c r="AP118" s="220">
        <f>AD118</f>
        <v/>
      </c>
      <c r="AQ118" s="220">
        <f>AE118</f>
        <v/>
      </c>
      <c r="AR118" s="220">
        <f>AM118-AO118</f>
        <v/>
      </c>
      <c r="AS118" s="220">
        <f>AR118-AK118</f>
        <v/>
      </c>
      <c r="AT118" s="220">
        <f>AS118*1.075</f>
        <v/>
      </c>
      <c r="AU118" s="220">
        <f>ROUNDUP(AT118+AK118+AP118+AQ118,-4)</f>
        <v/>
      </c>
      <c r="AV118" s="198" t="n">
        <v>879460</v>
      </c>
      <c r="AW118" s="227" t="n"/>
      <c r="AX118" s="220">
        <f>AV118-AR118</f>
        <v/>
      </c>
      <c r="AY118" s="35">
        <f>AX118/AR118</f>
        <v/>
      </c>
      <c r="AZ118" s="220">
        <f>AV118-AF118</f>
        <v/>
      </c>
      <c r="BA118" s="215">
        <f>AV118-SUM(Z118:AC118)</f>
        <v/>
      </c>
      <c r="BB118" s="215">
        <f>BA118-Y118</f>
        <v/>
      </c>
      <c r="BC118" s="35">
        <f>BB118/BA118</f>
        <v/>
      </c>
      <c r="BD118" s="35">
        <f>IFERROR(AZ118/AV118,)</f>
        <v/>
      </c>
      <c r="BE118" s="255">
        <f>AV118-SUM(Z118:AC118)</f>
        <v/>
      </c>
      <c r="BF118" s="255">
        <f>AV118-BE118-AC118-AB118</f>
        <v/>
      </c>
      <c r="BG118" s="255">
        <f>AV118-BE118-BF118-AB118</f>
        <v/>
      </c>
      <c r="BH118" s="255">
        <f>AB118</f>
        <v/>
      </c>
      <c r="BI118">
        <f>IF(BD118&lt;0%,"Loss",IF(BD118&lt;5%,"On Cost Plus",IF(BD118&lt;10%,"Within","Exceed")))</f>
        <v/>
      </c>
      <c r="BJ118" t="inlineStr">
        <is>
          <t>Exceed</t>
        </is>
      </c>
      <c r="BK118">
        <f>0.51*$BK$6</f>
        <v/>
      </c>
      <c r="BL118" s="190">
        <f>BK118-W118</f>
        <v/>
      </c>
      <c r="BM118" s="189">
        <f>BL118*O118</f>
        <v/>
      </c>
    </row>
    <row r="119">
      <c r="A119">
        <f>CONCATENATE(E119,F119,G119,H119,I119,J119,K119,L119)</f>
        <v/>
      </c>
      <c r="B119">
        <f>CONCATENATE(J119,"-&gt;",K119,"/",E119)</f>
        <v/>
      </c>
      <c r="C119" s="23" t="inlineStr">
        <is>
          <t>AFEEZ AJIBADE/Ebenezer</t>
        </is>
      </c>
      <c r="D119">
        <f>CONCATENATE(G119,"-",H119,"-",F119)</f>
        <v/>
      </c>
      <c r="E119" s="24" t="inlineStr">
        <is>
          <t>Lacasera-45T-NBL-DSL-JUMBO</t>
        </is>
      </c>
      <c r="F119" s="24" t="inlineStr">
        <is>
          <t>JUMBO</t>
        </is>
      </c>
      <c r="G119" s="25" t="inlineStr">
        <is>
          <t>NBL-DSL</t>
        </is>
      </c>
      <c r="H119" s="24" t="inlineStr">
        <is>
          <t>45T</t>
        </is>
      </c>
      <c r="I119" s="251" t="inlineStr">
        <is>
          <t>Lacasera</t>
        </is>
      </c>
      <c r="J119" s="251" t="inlineStr">
        <is>
          <t>Lagos</t>
        </is>
      </c>
      <c r="K119" s="23" t="inlineStr">
        <is>
          <t>Iseyin</t>
        </is>
      </c>
      <c r="L119" t="inlineStr">
        <is>
          <t>Oyo</t>
        </is>
      </c>
      <c r="M119" s="1" t="inlineStr">
        <is>
          <t>West</t>
        </is>
      </c>
      <c r="N119" s="261" t="n">
        <v>222.5</v>
      </c>
      <c r="O119" s="257" t="n">
        <v>445</v>
      </c>
      <c r="P119" s="227">
        <f>ROUNDUP(O119/300,)</f>
        <v/>
      </c>
      <c r="Q119" s="220" t="n">
        <v>1</v>
      </c>
      <c r="R119" s="220">
        <f>Q119+P119</f>
        <v/>
      </c>
      <c r="S119" s="198">
        <f>ROUNDDOWN(O119*0.7,)</f>
        <v/>
      </c>
      <c r="T119" s="220">
        <f>_xlfn.XLOOKUP(G119,[1]Fx!$A$4:$A$12,[1]Fx!$B$4:$B$12)</f>
        <v/>
      </c>
      <c r="U119" s="220">
        <f>_xlfn.XLOOKUP(G119,[1]Fx!$A$4:$A$12,[1]Fx!$C$4:$C$12)</f>
        <v/>
      </c>
      <c r="V119" s="220">
        <f>_xlfn.XLOOKUP(G119,[1]Fx!$A$4:$A$12,[1]Fx!$D$4:$D$12)</f>
        <v/>
      </c>
      <c r="W119" s="208">
        <f>_xlfn.XLOOKUP(H119&amp;I119,'[1]Mapping DSL'!$H:$H,'[1]Mapping DSL'!$J:$J)</f>
        <v/>
      </c>
      <c r="X119" s="220">
        <f>_xlfn.XLOOKUP(G119,[1]Fx!$A$4:$A$12,[1]Fx!$E$4:$E$12)</f>
        <v/>
      </c>
      <c r="Y119" s="220">
        <f>T119*R119</f>
        <v/>
      </c>
      <c r="Z119" s="220">
        <f>U119*O119</f>
        <v/>
      </c>
      <c r="AA119" s="220">
        <f>V119*O119</f>
        <v/>
      </c>
      <c r="AB119" s="220">
        <f>W119*O119</f>
        <v/>
      </c>
      <c r="AC119" s="198">
        <f>X119*O119</f>
        <v/>
      </c>
      <c r="AD119" s="220" t="n">
        <v>0</v>
      </c>
      <c r="AE119" s="220" t="n">
        <v>0</v>
      </c>
      <c r="AF119" s="220">
        <f>SUM(Y119:AE119)</f>
        <v/>
      </c>
      <c r="AG119" s="205">
        <f>_xlfn.XLOOKUP(G119,[1]Fx!$A$16:$A$24,[1]Fx!$B$16:$B$24)</f>
        <v/>
      </c>
      <c r="AH119" s="220">
        <f>AG119*R119</f>
        <v/>
      </c>
      <c r="AI119" s="220">
        <f>$AI$6*Z119</f>
        <v/>
      </c>
      <c r="AJ119" s="220">
        <f>$AJ$6*AA119</f>
        <v/>
      </c>
      <c r="AK119" s="220">
        <f>$AK$6*AB119</f>
        <v/>
      </c>
      <c r="AL119" s="220">
        <f>$AL$6*AC119</f>
        <v/>
      </c>
      <c r="AM119" s="220">
        <f>SUM(AH119:AL119)</f>
        <v/>
      </c>
      <c r="AN119" s="220" t="n">
        <v>0</v>
      </c>
      <c r="AO119" s="220">
        <f>AN119*AH119</f>
        <v/>
      </c>
      <c r="AP119" s="220">
        <f>AD119</f>
        <v/>
      </c>
      <c r="AQ119" s="220">
        <f>AE119</f>
        <v/>
      </c>
      <c r="AR119" s="220">
        <f>AM119-AO119</f>
        <v/>
      </c>
      <c r="AS119" s="220">
        <f>AR119-AK119</f>
        <v/>
      </c>
      <c r="AT119" s="220">
        <f>AS119*1.075</f>
        <v/>
      </c>
      <c r="AU119" s="220">
        <f>ROUNDUP(AT119+AK119+AP119+AQ119,-4)</f>
        <v/>
      </c>
      <c r="AV119" s="198" t="n">
        <v>1179460</v>
      </c>
      <c r="AW119" s="227" t="n"/>
      <c r="AX119" s="220">
        <f>AV119-AR119</f>
        <v/>
      </c>
      <c r="AY119" s="35">
        <f>AX119/AR119</f>
        <v/>
      </c>
      <c r="AZ119" s="220">
        <f>AV119-AF119</f>
        <v/>
      </c>
      <c r="BA119" s="215">
        <f>AV119-SUM(Z119:AC119)</f>
        <v/>
      </c>
      <c r="BB119" s="215">
        <f>BA119-Y119</f>
        <v/>
      </c>
      <c r="BC119" s="35">
        <f>BB119/BA119</f>
        <v/>
      </c>
      <c r="BD119" s="35">
        <f>IFERROR(AZ119/AV119,)</f>
        <v/>
      </c>
      <c r="BE119" s="255">
        <f>AV119-SUM(Z119:AC119)</f>
        <v/>
      </c>
      <c r="BF119" s="255">
        <f>AV119-BE119-AC119-AB119</f>
        <v/>
      </c>
      <c r="BG119" s="255">
        <f>AV119-BE119-BF119-AB119</f>
        <v/>
      </c>
      <c r="BH119" s="255">
        <f>AB119</f>
        <v/>
      </c>
      <c r="BI119">
        <f>IF(BD119&lt;0%,"Loss",IF(BD119&lt;5%,"On Cost Plus",IF(BD119&lt;10%,"Within","Exceed")))</f>
        <v/>
      </c>
      <c r="BJ119" t="inlineStr">
        <is>
          <t>Exceed</t>
        </is>
      </c>
      <c r="BK119">
        <f>0.51*$BK$6</f>
        <v/>
      </c>
      <c r="BL119" s="190">
        <f>BK119-W119</f>
        <v/>
      </c>
      <c r="BM119" s="189">
        <f>BL119*O119</f>
        <v/>
      </c>
    </row>
    <row r="120">
      <c r="A120">
        <f>CONCATENATE(E120,F120,G120,H120,I120,J120,K120,L120)</f>
        <v/>
      </c>
      <c r="B120">
        <f>CONCATENATE(J120,"-&gt;",K120,"/",E120)</f>
        <v/>
      </c>
      <c r="C120" s="23" t="inlineStr">
        <is>
          <t>AFEEZ AJIBADE/Ebenezer</t>
        </is>
      </c>
      <c r="D120">
        <f>CONCATENATE(G120,"-",H120,"-",F120)</f>
        <v/>
      </c>
      <c r="E120" s="24" t="inlineStr">
        <is>
          <t>Lacasera-45T-NBL-DSL-JUMBO</t>
        </is>
      </c>
      <c r="F120" s="24" t="inlineStr">
        <is>
          <t>JUMBO</t>
        </is>
      </c>
      <c r="G120" s="25" t="inlineStr">
        <is>
          <t>NBL-DSL</t>
        </is>
      </c>
      <c r="H120" s="24" t="inlineStr">
        <is>
          <t>45T</t>
        </is>
      </c>
      <c r="I120" s="251" t="inlineStr">
        <is>
          <t>Lacasera</t>
        </is>
      </c>
      <c r="J120" s="251" t="inlineStr">
        <is>
          <t>Lagos</t>
        </is>
      </c>
      <c r="K120" s="23" t="inlineStr">
        <is>
          <t>Ilaro</t>
        </is>
      </c>
      <c r="L120" t="inlineStr">
        <is>
          <t>Ogun</t>
        </is>
      </c>
      <c r="M120" s="1" t="inlineStr">
        <is>
          <t>West</t>
        </is>
      </c>
      <c r="N120" s="261" t="n">
        <v>43</v>
      </c>
      <c r="O120" s="257" t="n">
        <v>86</v>
      </c>
      <c r="P120" s="227">
        <f>ROUNDUP(O120/300,)</f>
        <v/>
      </c>
      <c r="Q120" s="220" t="n">
        <v>1</v>
      </c>
      <c r="R120" s="220">
        <f>Q120+P120</f>
        <v/>
      </c>
      <c r="S120" s="198">
        <f>ROUNDDOWN(O120*0.7,)</f>
        <v/>
      </c>
      <c r="T120" s="220">
        <f>_xlfn.XLOOKUP(G120,[1]Fx!$A$4:$A$12,[1]Fx!$B$4:$B$12)</f>
        <v/>
      </c>
      <c r="U120" s="220">
        <f>_xlfn.XLOOKUP(G120,[1]Fx!$A$4:$A$12,[1]Fx!$C$4:$C$12)</f>
        <v/>
      </c>
      <c r="V120" s="220">
        <f>_xlfn.XLOOKUP(G120,[1]Fx!$A$4:$A$12,[1]Fx!$D$4:$D$12)</f>
        <v/>
      </c>
      <c r="W120" s="208">
        <f>_xlfn.XLOOKUP(H120&amp;I120,'[1]Mapping DSL'!$H:$H,'[1]Mapping DSL'!$J:$J)</f>
        <v/>
      </c>
      <c r="X120" s="220">
        <f>_xlfn.XLOOKUP(G120,[1]Fx!$A$4:$A$12,[1]Fx!$E$4:$E$12)</f>
        <v/>
      </c>
      <c r="Y120" s="220">
        <f>T120*R120</f>
        <v/>
      </c>
      <c r="Z120" s="220">
        <f>U120*O120</f>
        <v/>
      </c>
      <c r="AA120" s="220">
        <f>V120*O120</f>
        <v/>
      </c>
      <c r="AB120" s="220">
        <f>W120*O120</f>
        <v/>
      </c>
      <c r="AC120" s="198">
        <f>X120*O120</f>
        <v/>
      </c>
      <c r="AD120" s="220" t="n">
        <v>0</v>
      </c>
      <c r="AE120" s="220" t="n">
        <v>0</v>
      </c>
      <c r="AF120" s="220">
        <f>SUM(Y120:AE120)</f>
        <v/>
      </c>
      <c r="AG120" s="205">
        <f>_xlfn.XLOOKUP(G120,[1]Fx!$A$16:$A$24,[1]Fx!$B$16:$B$24)</f>
        <v/>
      </c>
      <c r="AH120" s="220">
        <f>AG120*R120</f>
        <v/>
      </c>
      <c r="AI120" s="220">
        <f>$AI$6*Z120</f>
        <v/>
      </c>
      <c r="AJ120" s="220">
        <f>$AJ$6*AA120</f>
        <v/>
      </c>
      <c r="AK120" s="220">
        <f>$AK$6*AB120</f>
        <v/>
      </c>
      <c r="AL120" s="220">
        <f>$AL$6*AC120</f>
        <v/>
      </c>
      <c r="AM120" s="220">
        <f>SUM(AH120:AL120)</f>
        <v/>
      </c>
      <c r="AN120" s="220" t="n">
        <v>0</v>
      </c>
      <c r="AO120" s="220">
        <f>AN120*AH120</f>
        <v/>
      </c>
      <c r="AP120" s="220">
        <f>AD120</f>
        <v/>
      </c>
      <c r="AQ120" s="220">
        <f>AE120</f>
        <v/>
      </c>
      <c r="AR120" s="220">
        <f>AM120-AO120</f>
        <v/>
      </c>
      <c r="AS120" s="220">
        <f>AR120-AK120</f>
        <v/>
      </c>
      <c r="AT120" s="220">
        <f>AS120*1.075</f>
        <v/>
      </c>
      <c r="AU120" s="220">
        <f>ROUNDUP(AT120+AK120+AP120+AQ120,-4)</f>
        <v/>
      </c>
      <c r="AV120" s="198" t="n">
        <v>1083752</v>
      </c>
      <c r="AW120" s="227" t="n"/>
      <c r="AX120" s="220">
        <f>AV120-AR120</f>
        <v/>
      </c>
      <c r="AY120" s="35">
        <f>AX120/AR120</f>
        <v/>
      </c>
      <c r="AZ120" s="220">
        <f>AV120-AF120</f>
        <v/>
      </c>
      <c r="BA120" s="215">
        <f>AV120-SUM(Z120:AC120)</f>
        <v/>
      </c>
      <c r="BB120" s="215">
        <f>BA120-Y120</f>
        <v/>
      </c>
      <c r="BC120" s="35">
        <f>BB120/BA120</f>
        <v/>
      </c>
      <c r="BD120" s="35">
        <f>IFERROR(AZ120/AV120,)</f>
        <v/>
      </c>
      <c r="BE120" s="255">
        <f>AV120-SUM(Z120:AC120)</f>
        <v/>
      </c>
      <c r="BF120" s="255">
        <f>AV120-BE120-AC120-AB120</f>
        <v/>
      </c>
      <c r="BG120" s="255">
        <f>AV120-BE120-BF120-AB120</f>
        <v/>
      </c>
      <c r="BH120" s="255">
        <f>AB120</f>
        <v/>
      </c>
      <c r="BI120">
        <f>IF(BD120&lt;0%,"Loss",IF(BD120&lt;5%,"On Cost Plus",IF(BD120&lt;10%,"Within","Exceed")))</f>
        <v/>
      </c>
      <c r="BJ120" t="inlineStr">
        <is>
          <t>Exceed</t>
        </is>
      </c>
      <c r="BK120">
        <f>0.51*$BK$6</f>
        <v/>
      </c>
      <c r="BL120" s="190">
        <f>BK120-W120</f>
        <v/>
      </c>
      <c r="BM120" s="189">
        <f>BL120*O120</f>
        <v/>
      </c>
    </row>
    <row r="121">
      <c r="A121">
        <f>CONCATENATE(E121,F121,G121,H121,I121,J121,K121,L121)</f>
        <v/>
      </c>
      <c r="B121">
        <f>CONCATENATE(J121,"-&gt;",K121,"/",E121)</f>
        <v/>
      </c>
      <c r="C121" s="23" t="inlineStr">
        <is>
          <t>AFEEZ AJIBADE/Ebenezer</t>
        </is>
      </c>
      <c r="D121">
        <f>CONCATENATE(G121,"-",H121,"-",F121)</f>
        <v/>
      </c>
      <c r="E121" s="24" t="inlineStr">
        <is>
          <t>Lacasera-45T-NBL-DSL-JUMBO</t>
        </is>
      </c>
      <c r="F121" s="24" t="inlineStr">
        <is>
          <t>JUMBO</t>
        </is>
      </c>
      <c r="G121" s="25" t="inlineStr">
        <is>
          <t>NBL-DSL</t>
        </is>
      </c>
      <c r="H121" s="24" t="inlineStr">
        <is>
          <t>45T</t>
        </is>
      </c>
      <c r="I121" s="251" t="inlineStr">
        <is>
          <t>Lacasera</t>
        </is>
      </c>
      <c r="J121" s="251" t="inlineStr">
        <is>
          <t>Lagos</t>
        </is>
      </c>
      <c r="K121" s="23" t="inlineStr">
        <is>
          <t>Osogbo</t>
        </is>
      </c>
      <c r="L121" t="inlineStr">
        <is>
          <t>Osun</t>
        </is>
      </c>
      <c r="M121" s="1" t="inlineStr">
        <is>
          <t>West</t>
        </is>
      </c>
      <c r="N121" s="261" t="n">
        <v>229.5</v>
      </c>
      <c r="O121" s="257" t="n">
        <v>459</v>
      </c>
      <c r="P121" s="227">
        <f>ROUNDUP(O121/300,)</f>
        <v/>
      </c>
      <c r="Q121" s="220" t="n">
        <v>1</v>
      </c>
      <c r="R121" s="220">
        <f>Q121+P121</f>
        <v/>
      </c>
      <c r="S121" s="198">
        <f>ROUNDDOWN(O121*0.7,)</f>
        <v/>
      </c>
      <c r="T121" s="220">
        <f>_xlfn.XLOOKUP(G121,[1]Fx!$A$4:$A$12,[1]Fx!$B$4:$B$12)</f>
        <v/>
      </c>
      <c r="U121" s="220">
        <f>_xlfn.XLOOKUP(G121,[1]Fx!$A$4:$A$12,[1]Fx!$C$4:$C$12)</f>
        <v/>
      </c>
      <c r="V121" s="220">
        <f>_xlfn.XLOOKUP(G121,[1]Fx!$A$4:$A$12,[1]Fx!$D$4:$D$12)</f>
        <v/>
      </c>
      <c r="W121" s="208">
        <f>_xlfn.XLOOKUP(H121&amp;I121,'[1]Mapping DSL'!$H:$H,'[1]Mapping DSL'!$J:$J)</f>
        <v/>
      </c>
      <c r="X121" s="220">
        <f>_xlfn.XLOOKUP(G121,[1]Fx!$A$4:$A$12,[1]Fx!$E$4:$E$12)</f>
        <v/>
      </c>
      <c r="Y121" s="220">
        <f>T121*R121</f>
        <v/>
      </c>
      <c r="Z121" s="220">
        <f>U121*O121</f>
        <v/>
      </c>
      <c r="AA121" s="220">
        <f>V121*O121</f>
        <v/>
      </c>
      <c r="AB121" s="220">
        <f>W121*O121</f>
        <v/>
      </c>
      <c r="AC121" s="198">
        <f>X121*O121</f>
        <v/>
      </c>
      <c r="AD121" s="220" t="n">
        <v>0</v>
      </c>
      <c r="AE121" s="220" t="n">
        <v>0</v>
      </c>
      <c r="AF121" s="220">
        <f>SUM(Y121:AE121)</f>
        <v/>
      </c>
      <c r="AG121" s="205">
        <f>_xlfn.XLOOKUP(G121,[1]Fx!$A$16:$A$24,[1]Fx!$B$16:$B$24)</f>
        <v/>
      </c>
      <c r="AH121" s="220">
        <f>AG121*R121</f>
        <v/>
      </c>
      <c r="AI121" s="220">
        <f>$AI$6*Z121</f>
        <v/>
      </c>
      <c r="AJ121" s="220">
        <f>$AJ$6*AA121</f>
        <v/>
      </c>
      <c r="AK121" s="220">
        <f>$AK$6*AB121</f>
        <v/>
      </c>
      <c r="AL121" s="220">
        <f>$AL$6*AC121</f>
        <v/>
      </c>
      <c r="AM121" s="220">
        <f>SUM(AH121:AL121)</f>
        <v/>
      </c>
      <c r="AN121" s="220" t="n">
        <v>0</v>
      </c>
      <c r="AO121" s="220">
        <f>AN121*AH121</f>
        <v/>
      </c>
      <c r="AP121" s="220">
        <f>AD121</f>
        <v/>
      </c>
      <c r="AQ121" s="220">
        <f>AE121</f>
        <v/>
      </c>
      <c r="AR121" s="220">
        <f>AM121-AO121</f>
        <v/>
      </c>
      <c r="AS121" s="220">
        <f>AR121-AK121</f>
        <v/>
      </c>
      <c r="AT121" s="220">
        <f>AS121*1.075</f>
        <v/>
      </c>
      <c r="AU121" s="220">
        <f>ROUNDUP(AT121+AK121+AP121+AQ121,-4)</f>
        <v/>
      </c>
      <c r="AV121" s="198" t="n">
        <v>1210425</v>
      </c>
      <c r="AW121" s="227" t="n"/>
      <c r="AX121" s="220">
        <f>AV121-AR121</f>
        <v/>
      </c>
      <c r="AY121" s="35">
        <f>AX121/AR121</f>
        <v/>
      </c>
      <c r="AZ121" s="220">
        <f>AV121-AF121</f>
        <v/>
      </c>
      <c r="BA121" s="215">
        <f>AV121-SUM(Z121:AC121)</f>
        <v/>
      </c>
      <c r="BB121" s="215">
        <f>BA121-Y121</f>
        <v/>
      </c>
      <c r="BC121" s="35">
        <f>BB121/BA121</f>
        <v/>
      </c>
      <c r="BD121" s="35">
        <f>IFERROR(AZ121/AV121,)</f>
        <v/>
      </c>
      <c r="BE121" s="255">
        <f>AV121-SUM(Z121:AC121)</f>
        <v/>
      </c>
      <c r="BF121" s="255">
        <f>AV121-BE121-AC121-AB121</f>
        <v/>
      </c>
      <c r="BG121" s="255">
        <f>AV121-BE121-BF121-AB121</f>
        <v/>
      </c>
      <c r="BH121" s="255">
        <f>AB121</f>
        <v/>
      </c>
      <c r="BI121">
        <f>IF(BD121&lt;0%,"Loss",IF(BD121&lt;5%,"On Cost Plus",IF(BD121&lt;10%,"Within","Exceed")))</f>
        <v/>
      </c>
      <c r="BJ121" t="inlineStr">
        <is>
          <t>Exceed</t>
        </is>
      </c>
      <c r="BK121">
        <f>0.51*$BK$6</f>
        <v/>
      </c>
      <c r="BL121" s="190">
        <f>BK121-W121</f>
        <v/>
      </c>
      <c r="BM121" s="189">
        <f>BL121*O121</f>
        <v/>
      </c>
    </row>
    <row r="122">
      <c r="A122">
        <f>CONCATENATE(E122,F122,G122,H122,I122,J122,K122,L122)</f>
        <v/>
      </c>
      <c r="B122">
        <f>CONCATENATE(J122,"-&gt;",K122,"/",E122)</f>
        <v/>
      </c>
      <c r="C122" s="23" t="inlineStr">
        <is>
          <t>AFEEZ AJIBADE/Ebenezer</t>
        </is>
      </c>
      <c r="D122">
        <f>CONCATENATE(G122,"-",H122,"-",F122)</f>
        <v/>
      </c>
      <c r="E122" s="24" t="inlineStr">
        <is>
          <t>Lacasera-45T-NBL-DSL-JUMBO</t>
        </is>
      </c>
      <c r="F122" s="24" t="inlineStr">
        <is>
          <t>JUMBO</t>
        </is>
      </c>
      <c r="G122" s="25" t="inlineStr">
        <is>
          <t>NBL-DSL</t>
        </is>
      </c>
      <c r="H122" s="24" t="inlineStr">
        <is>
          <t>45T</t>
        </is>
      </c>
      <c r="I122" s="251" t="inlineStr">
        <is>
          <t>Lacasera</t>
        </is>
      </c>
      <c r="J122" s="251" t="inlineStr">
        <is>
          <t>Lagos</t>
        </is>
      </c>
      <c r="K122" s="23" t="inlineStr">
        <is>
          <t>Ado-Ekiti</t>
        </is>
      </c>
      <c r="L122" t="inlineStr">
        <is>
          <t>Ekiti</t>
        </is>
      </c>
      <c r="M122" s="1" t="inlineStr">
        <is>
          <t>West</t>
        </is>
      </c>
      <c r="N122" s="261" t="n">
        <v>325.5</v>
      </c>
      <c r="O122" s="257" t="n">
        <v>651</v>
      </c>
      <c r="P122" s="227">
        <f>ROUNDUP(O122/300,)</f>
        <v/>
      </c>
      <c r="Q122" s="220" t="n">
        <v>1</v>
      </c>
      <c r="R122" s="220">
        <f>Q122+P122</f>
        <v/>
      </c>
      <c r="S122" s="198">
        <f>ROUNDDOWN(O122*0.7,)</f>
        <v/>
      </c>
      <c r="T122" s="220">
        <f>_xlfn.XLOOKUP(G122,[1]Fx!$A$4:$A$12,[1]Fx!$B$4:$B$12)</f>
        <v/>
      </c>
      <c r="U122" s="220">
        <f>_xlfn.XLOOKUP(G122,[1]Fx!$A$4:$A$12,[1]Fx!$C$4:$C$12)</f>
        <v/>
      </c>
      <c r="V122" s="220">
        <f>_xlfn.XLOOKUP(G122,[1]Fx!$A$4:$A$12,[1]Fx!$D$4:$D$12)</f>
        <v/>
      </c>
      <c r="W122" s="208">
        <f>_xlfn.XLOOKUP(H122&amp;I122,'[1]Mapping DSL'!$H:$H,'[1]Mapping DSL'!$J:$J)</f>
        <v/>
      </c>
      <c r="X122" s="220">
        <f>_xlfn.XLOOKUP(G122,[1]Fx!$A$4:$A$12,[1]Fx!$E$4:$E$12)</f>
        <v/>
      </c>
      <c r="Y122" s="220">
        <f>T122*R122</f>
        <v/>
      </c>
      <c r="Z122" s="220">
        <f>U122*O122</f>
        <v/>
      </c>
      <c r="AA122" s="220">
        <f>V122*O122</f>
        <v/>
      </c>
      <c r="AB122" s="220">
        <f>W122*O122</f>
        <v/>
      </c>
      <c r="AC122" s="198">
        <f>X122*O122</f>
        <v/>
      </c>
      <c r="AD122" s="220" t="n">
        <v>0</v>
      </c>
      <c r="AE122" s="220" t="n">
        <v>0</v>
      </c>
      <c r="AF122" s="220">
        <f>SUM(Y122:AE122)</f>
        <v/>
      </c>
      <c r="AG122" s="205">
        <f>_xlfn.XLOOKUP(G122,[1]Fx!$A$16:$A$24,[1]Fx!$B$16:$B$24)</f>
        <v/>
      </c>
      <c r="AH122" s="220">
        <f>AG122*R122</f>
        <v/>
      </c>
      <c r="AI122" s="220">
        <f>$AI$6*Z122</f>
        <v/>
      </c>
      <c r="AJ122" s="220">
        <f>$AJ$6*AA122</f>
        <v/>
      </c>
      <c r="AK122" s="220">
        <f>$AK$6*AB122</f>
        <v/>
      </c>
      <c r="AL122" s="220">
        <f>$AL$6*AC122</f>
        <v/>
      </c>
      <c r="AM122" s="220">
        <f>SUM(AH122:AL122)</f>
        <v/>
      </c>
      <c r="AN122" s="220" t="n">
        <v>0</v>
      </c>
      <c r="AO122" s="220">
        <f>AN122*AH122</f>
        <v/>
      </c>
      <c r="AP122" s="220">
        <f>AD122</f>
        <v/>
      </c>
      <c r="AQ122" s="220">
        <f>AE122</f>
        <v/>
      </c>
      <c r="AR122" s="220">
        <f>AM122-AO122</f>
        <v/>
      </c>
      <c r="AS122" s="220">
        <f>AR122-AK122</f>
        <v/>
      </c>
      <c r="AT122" s="220">
        <f>AS122*1.075</f>
        <v/>
      </c>
      <c r="AU122" s="220">
        <f>ROUNDUP(AT122+AK122+AP122+AQ122,-4)</f>
        <v/>
      </c>
      <c r="AV122" s="198" t="n">
        <v>1673483</v>
      </c>
      <c r="AW122" s="227" t="n"/>
      <c r="AX122" s="220">
        <f>AV122-AR122</f>
        <v/>
      </c>
      <c r="AY122" s="35">
        <f>AX122/AR122</f>
        <v/>
      </c>
      <c r="AZ122" s="220">
        <f>AV122-AF122</f>
        <v/>
      </c>
      <c r="BA122" s="215">
        <f>AV122-SUM(Z122:AC122)</f>
        <v/>
      </c>
      <c r="BB122" s="215">
        <f>BA122-Y122</f>
        <v/>
      </c>
      <c r="BC122" s="35">
        <f>BB122/BA122</f>
        <v/>
      </c>
      <c r="BD122" s="35">
        <f>IFERROR(AZ122/AV122,)</f>
        <v/>
      </c>
      <c r="BE122" s="255">
        <f>AV122-SUM(Z122:AC122)</f>
        <v/>
      </c>
      <c r="BF122" s="255">
        <f>AV122-BE122-AC122-AB122</f>
        <v/>
      </c>
      <c r="BG122" s="255">
        <f>AV122-BE122-BF122-AB122</f>
        <v/>
      </c>
      <c r="BH122" s="255">
        <f>AB122</f>
        <v/>
      </c>
      <c r="BI122">
        <f>IF(BD122&lt;0%,"Loss",IF(BD122&lt;5%,"On Cost Plus",IF(BD122&lt;10%,"Within","Exceed")))</f>
        <v/>
      </c>
      <c r="BJ122" t="inlineStr">
        <is>
          <t>Exceed</t>
        </is>
      </c>
      <c r="BK122">
        <f>0.51*$BK$6</f>
        <v/>
      </c>
      <c r="BL122" s="190">
        <f>BK122-W122</f>
        <v/>
      </c>
      <c r="BM122" s="189">
        <f>BL122*O122</f>
        <v/>
      </c>
    </row>
    <row r="123">
      <c r="A123">
        <f>CONCATENATE(E123,F123,G123,H123,I123,J123,K123,L123)</f>
        <v/>
      </c>
      <c r="B123">
        <f>CONCATENATE(J123,"-&gt;",K123,"/",E123)</f>
        <v/>
      </c>
      <c r="C123" s="23" t="inlineStr">
        <is>
          <t>AFEEZ AJIBADE/Ebenezer</t>
        </is>
      </c>
      <c r="D123">
        <f>CONCATENATE(G123,"-",H123,"-",F123)</f>
        <v/>
      </c>
      <c r="E123" s="24" t="inlineStr">
        <is>
          <t>Lacasera-45T-NBL-DSL-JUMBO</t>
        </is>
      </c>
      <c r="F123" s="24" t="inlineStr">
        <is>
          <t>JUMBO</t>
        </is>
      </c>
      <c r="G123" s="25" t="inlineStr">
        <is>
          <t>NBL-DSL</t>
        </is>
      </c>
      <c r="H123" s="24" t="inlineStr">
        <is>
          <t>45T</t>
        </is>
      </c>
      <c r="I123" s="251" t="inlineStr">
        <is>
          <t>Lacasera</t>
        </is>
      </c>
      <c r="J123" s="251" t="inlineStr">
        <is>
          <t>Lagos</t>
        </is>
      </c>
      <c r="K123" s="23" t="inlineStr">
        <is>
          <t>Auchi</t>
        </is>
      </c>
      <c r="L123" t="inlineStr">
        <is>
          <t>Edo</t>
        </is>
      </c>
      <c r="M123" s="1" t="inlineStr">
        <is>
          <t>West</t>
        </is>
      </c>
      <c r="N123" s="261" t="n">
        <v>433</v>
      </c>
      <c r="O123" s="257" t="n">
        <v>866</v>
      </c>
      <c r="P123" s="227">
        <f>ROUNDUP(O123/300,)</f>
        <v/>
      </c>
      <c r="Q123" s="220" t="n">
        <v>1</v>
      </c>
      <c r="R123" s="220">
        <f>Q123+P123</f>
        <v/>
      </c>
      <c r="S123" s="198">
        <f>ROUNDDOWN(O123*0.7,)</f>
        <v/>
      </c>
      <c r="T123" s="220">
        <f>_xlfn.XLOOKUP(G123,[1]Fx!$A$4:$A$12,[1]Fx!$B$4:$B$12)</f>
        <v/>
      </c>
      <c r="U123" s="220">
        <f>_xlfn.XLOOKUP(G123,[1]Fx!$A$4:$A$12,[1]Fx!$C$4:$C$12)</f>
        <v/>
      </c>
      <c r="V123" s="220">
        <f>_xlfn.XLOOKUP(G123,[1]Fx!$A$4:$A$12,[1]Fx!$D$4:$D$12)</f>
        <v/>
      </c>
      <c r="W123" s="208">
        <f>_xlfn.XLOOKUP(H123&amp;I123,'[1]Mapping DSL'!$H:$H,'[1]Mapping DSL'!$J:$J)</f>
        <v/>
      </c>
      <c r="X123" s="220">
        <f>_xlfn.XLOOKUP(G123,[1]Fx!$A$4:$A$12,[1]Fx!$E$4:$E$12)</f>
        <v/>
      </c>
      <c r="Y123" s="220">
        <f>T123*R123</f>
        <v/>
      </c>
      <c r="Z123" s="220">
        <f>U123*O123</f>
        <v/>
      </c>
      <c r="AA123" s="220">
        <f>V123*O123</f>
        <v/>
      </c>
      <c r="AB123" s="220">
        <f>W123*O123</f>
        <v/>
      </c>
      <c r="AC123" s="198">
        <f>X123*O123</f>
        <v/>
      </c>
      <c r="AD123" s="220" t="n">
        <v>0</v>
      </c>
      <c r="AE123" s="220" t="n">
        <v>0</v>
      </c>
      <c r="AF123" s="220">
        <f>SUM(Y123:AE123)</f>
        <v/>
      </c>
      <c r="AG123" s="205">
        <f>_xlfn.XLOOKUP(G123,[1]Fx!$A$16:$A$24,[1]Fx!$B$16:$B$24)</f>
        <v/>
      </c>
      <c r="AH123" s="220">
        <f>AG123*R123</f>
        <v/>
      </c>
      <c r="AI123" s="220">
        <f>$AI$6*Z123</f>
        <v/>
      </c>
      <c r="AJ123" s="220">
        <f>$AJ$6*AA123</f>
        <v/>
      </c>
      <c r="AK123" s="220">
        <f>$AK$6*AB123</f>
        <v/>
      </c>
      <c r="AL123" s="220">
        <f>$AL$6*AC123</f>
        <v/>
      </c>
      <c r="AM123" s="220">
        <f>SUM(AH123:AL123)</f>
        <v/>
      </c>
      <c r="AN123" s="220" t="n">
        <v>0</v>
      </c>
      <c r="AO123" s="220">
        <f>AN123*AH123</f>
        <v/>
      </c>
      <c r="AP123" s="220">
        <f>AD123</f>
        <v/>
      </c>
      <c r="AQ123" s="220">
        <f>AE123</f>
        <v/>
      </c>
      <c r="AR123" s="220">
        <f>AM123-AO123</f>
        <v/>
      </c>
      <c r="AS123" s="220">
        <f>AR123-AK123</f>
        <v/>
      </c>
      <c r="AT123" s="220">
        <f>AS123*1.075</f>
        <v/>
      </c>
      <c r="AU123" s="220">
        <f>ROUNDUP(AT123+AK123+AP123+AQ123,-4)</f>
        <v/>
      </c>
      <c r="AV123" s="198" t="n">
        <v>2101354</v>
      </c>
      <c r="AW123" s="227" t="n"/>
      <c r="AX123" s="220">
        <f>AV123-AR123</f>
        <v/>
      </c>
      <c r="AY123" s="35">
        <f>AX123/AR123</f>
        <v/>
      </c>
      <c r="AZ123" s="220">
        <f>AV123-AF123</f>
        <v/>
      </c>
      <c r="BA123" s="215">
        <f>AV123-SUM(Z123:AC123)</f>
        <v/>
      </c>
      <c r="BB123" s="215">
        <f>BA123-Y123</f>
        <v/>
      </c>
      <c r="BC123" s="35">
        <f>BB123/BA123</f>
        <v/>
      </c>
      <c r="BD123" s="35">
        <f>IFERROR(AZ123/AV123,)</f>
        <v/>
      </c>
      <c r="BE123" s="255">
        <f>AV123-SUM(Z123:AC123)</f>
        <v/>
      </c>
      <c r="BF123" s="255">
        <f>AV123-BE123-AC123-AB123</f>
        <v/>
      </c>
      <c r="BG123" s="255">
        <f>AV123-BE123-BF123-AB123</f>
        <v/>
      </c>
      <c r="BH123" s="255">
        <f>AB123</f>
        <v/>
      </c>
      <c r="BI123">
        <f>IF(BD123&lt;0%,"Loss",IF(BD123&lt;5%,"On Cost Plus",IF(BD123&lt;10%,"Within","Exceed")))</f>
        <v/>
      </c>
      <c r="BJ123" t="inlineStr">
        <is>
          <t>Exceed</t>
        </is>
      </c>
      <c r="BK123">
        <f>0.51*$BK$6</f>
        <v/>
      </c>
      <c r="BL123" s="190">
        <f>BK123-W123</f>
        <v/>
      </c>
      <c r="BM123" s="189">
        <f>BL123*O123</f>
        <v/>
      </c>
    </row>
    <row r="124">
      <c r="A124">
        <f>CONCATENATE(E124,F124,G124,H124,I124,J124,K124,L124)</f>
        <v/>
      </c>
      <c r="B124">
        <f>CONCATENATE(J124,"-&gt;",K124,"/",E124)</f>
        <v/>
      </c>
      <c r="C124" s="23" t="inlineStr">
        <is>
          <t>AFEEZ AJIBADE/Ebenezer</t>
        </is>
      </c>
      <c r="D124">
        <f>CONCATENATE(G124,"-",H124,"-",F124)</f>
        <v/>
      </c>
      <c r="E124" s="24" t="inlineStr">
        <is>
          <t>Lacasera-45T-NBL-DSL-JUMBO</t>
        </is>
      </c>
      <c r="F124" s="24" t="inlineStr">
        <is>
          <t>JUMBO</t>
        </is>
      </c>
      <c r="G124" s="25" t="inlineStr">
        <is>
          <t>NBL-DSL</t>
        </is>
      </c>
      <c r="H124" s="24" t="inlineStr">
        <is>
          <t>45T</t>
        </is>
      </c>
      <c r="I124" s="251" t="inlineStr">
        <is>
          <t>Lacasera</t>
        </is>
      </c>
      <c r="J124" s="251" t="inlineStr">
        <is>
          <t>Lagos</t>
        </is>
      </c>
      <c r="K124" s="23" t="inlineStr">
        <is>
          <t>Oja-Odan</t>
        </is>
      </c>
      <c r="L124" t="inlineStr">
        <is>
          <t>Ogun</t>
        </is>
      </c>
      <c r="M124" s="1" t="inlineStr">
        <is>
          <t>West</t>
        </is>
      </c>
      <c r="N124" s="261" t="n">
        <v>98.5</v>
      </c>
      <c r="O124" s="257" t="n">
        <v>197</v>
      </c>
      <c r="P124" s="227">
        <f>ROUNDUP(O124/300,)</f>
        <v/>
      </c>
      <c r="Q124" s="220" t="n">
        <v>1</v>
      </c>
      <c r="R124" s="220">
        <f>Q124+P124</f>
        <v/>
      </c>
      <c r="S124" s="198">
        <f>ROUNDDOWN(O124*0.7,)</f>
        <v/>
      </c>
      <c r="T124" s="220">
        <f>_xlfn.XLOOKUP(G124,[1]Fx!$A$4:$A$12,[1]Fx!$B$4:$B$12)</f>
        <v/>
      </c>
      <c r="U124" s="220">
        <f>_xlfn.XLOOKUP(G124,[1]Fx!$A$4:$A$12,[1]Fx!$C$4:$C$12)</f>
        <v/>
      </c>
      <c r="V124" s="220">
        <f>_xlfn.XLOOKUP(G124,[1]Fx!$A$4:$A$12,[1]Fx!$D$4:$D$12)</f>
        <v/>
      </c>
      <c r="W124" s="208">
        <f>_xlfn.XLOOKUP(H124&amp;I124,'[1]Mapping DSL'!$H:$H,'[1]Mapping DSL'!$J:$J)</f>
        <v/>
      </c>
      <c r="X124" s="220">
        <f>_xlfn.XLOOKUP(G124,[1]Fx!$A$4:$A$12,[1]Fx!$E$4:$E$12)</f>
        <v/>
      </c>
      <c r="Y124" s="220">
        <f>T124*R124</f>
        <v/>
      </c>
      <c r="Z124" s="220">
        <f>U124*O124</f>
        <v/>
      </c>
      <c r="AA124" s="220">
        <f>V124*O124</f>
        <v/>
      </c>
      <c r="AB124" s="220">
        <f>W124*O124</f>
        <v/>
      </c>
      <c r="AC124" s="198">
        <f>X124*O124</f>
        <v/>
      </c>
      <c r="AD124" s="220" t="n">
        <v>0</v>
      </c>
      <c r="AE124" s="220" t="n">
        <v>0</v>
      </c>
      <c r="AF124" s="220">
        <f>SUM(Y124:AE124)</f>
        <v/>
      </c>
      <c r="AG124" s="205">
        <f>_xlfn.XLOOKUP(G124,[1]Fx!$A$16:$A$24,[1]Fx!$B$16:$B$24)</f>
        <v/>
      </c>
      <c r="AH124" s="220">
        <f>AG124*R124</f>
        <v/>
      </c>
      <c r="AI124" s="220">
        <f>$AI$6*Z124</f>
        <v/>
      </c>
      <c r="AJ124" s="220">
        <f>$AJ$6*AA124</f>
        <v/>
      </c>
      <c r="AK124" s="220">
        <f>$AK$6*AB124</f>
        <v/>
      </c>
      <c r="AL124" s="220">
        <f>$AL$6*AC124</f>
        <v/>
      </c>
      <c r="AM124" s="220">
        <f>SUM(AH124:AL124)</f>
        <v/>
      </c>
      <c r="AN124" s="220" t="n">
        <v>0</v>
      </c>
      <c r="AO124" s="220">
        <f>AN124*AH124</f>
        <v/>
      </c>
      <c r="AP124" s="220">
        <f>AD124</f>
        <v/>
      </c>
      <c r="AQ124" s="220">
        <f>AE124</f>
        <v/>
      </c>
      <c r="AR124" s="220">
        <f>AM124-AO124</f>
        <v/>
      </c>
      <c r="AS124" s="220">
        <f>AR124-AK124</f>
        <v/>
      </c>
      <c r="AT124" s="220">
        <f>AS124*1.075</f>
        <v/>
      </c>
      <c r="AU124" s="220">
        <f>ROUNDUP(AT124+AK124+AP124+AQ124,-4)</f>
        <v/>
      </c>
      <c r="AV124" s="198" t="n">
        <v>907328</v>
      </c>
      <c r="AW124" s="227" t="n"/>
      <c r="AX124" s="220">
        <f>AV124-AR124</f>
        <v/>
      </c>
      <c r="AY124" s="35">
        <f>AX124/AR124</f>
        <v/>
      </c>
      <c r="AZ124" s="220">
        <f>AV124-AF124</f>
        <v/>
      </c>
      <c r="BA124" s="215">
        <f>AV124-SUM(Z124:AC124)</f>
        <v/>
      </c>
      <c r="BB124" s="215">
        <f>BA124-Y124</f>
        <v/>
      </c>
      <c r="BC124" s="35">
        <f>BB124/BA124</f>
        <v/>
      </c>
      <c r="BD124" s="35">
        <f>IFERROR(AZ124/AV124,)</f>
        <v/>
      </c>
      <c r="BE124" s="255">
        <f>AV124-SUM(Z124:AC124)</f>
        <v/>
      </c>
      <c r="BF124" s="255">
        <f>AV124-BE124-AC124-AB124</f>
        <v/>
      </c>
      <c r="BG124" s="255">
        <f>AV124-BE124-BF124-AB124</f>
        <v/>
      </c>
      <c r="BH124" s="255">
        <f>AB124</f>
        <v/>
      </c>
      <c r="BI124">
        <f>IF(BD124&lt;0%,"Loss",IF(BD124&lt;5%,"On Cost Plus",IF(BD124&lt;10%,"Within","Exceed")))</f>
        <v/>
      </c>
      <c r="BJ124" t="inlineStr">
        <is>
          <t>Exceed</t>
        </is>
      </c>
      <c r="BK124">
        <f>0.51*$BK$6</f>
        <v/>
      </c>
      <c r="BL124" s="190">
        <f>BK124-W124</f>
        <v/>
      </c>
      <c r="BM124" s="189">
        <f>BL124*O124</f>
        <v/>
      </c>
    </row>
    <row r="125">
      <c r="A125">
        <f>CONCATENATE(E125,F125,G125,H125,I125,J125,K125,L125)</f>
        <v/>
      </c>
      <c r="B125">
        <f>CONCATENATE(J125,"-&gt;",K125,"/",E125)</f>
        <v/>
      </c>
      <c r="C125" s="23" t="inlineStr">
        <is>
          <t>AFEEZ AJIBADE/Ebenezer</t>
        </is>
      </c>
      <c r="D125">
        <f>CONCATENATE(G125,"-",H125,"-",F125)</f>
        <v/>
      </c>
      <c r="E125" s="24" t="inlineStr">
        <is>
          <t>Lacasera-45T-NBL-DSL-JUMBO</t>
        </is>
      </c>
      <c r="F125" s="24" t="inlineStr">
        <is>
          <t>JUMBO</t>
        </is>
      </c>
      <c r="G125" s="25" t="inlineStr">
        <is>
          <t>NBL-DSL</t>
        </is>
      </c>
      <c r="H125" s="24" t="inlineStr">
        <is>
          <t>45T</t>
        </is>
      </c>
      <c r="I125" s="251" t="inlineStr">
        <is>
          <t>Lacasera</t>
        </is>
      </c>
      <c r="J125" s="251" t="inlineStr">
        <is>
          <t>Lagos</t>
        </is>
      </c>
      <c r="K125" s="23" t="inlineStr">
        <is>
          <t>Kaiama</t>
        </is>
      </c>
      <c r="L125" t="inlineStr">
        <is>
          <t>Kwara</t>
        </is>
      </c>
      <c r="M125" s="1" t="inlineStr">
        <is>
          <t>West</t>
        </is>
      </c>
      <c r="N125" s="261" t="n">
        <v>435</v>
      </c>
      <c r="O125" s="257" t="n">
        <v>870</v>
      </c>
      <c r="P125" s="227">
        <f>ROUNDUP(O125/300,)</f>
        <v/>
      </c>
      <c r="Q125" s="220" t="n">
        <v>1</v>
      </c>
      <c r="R125" s="220">
        <f>Q125+P125</f>
        <v/>
      </c>
      <c r="S125" s="198">
        <f>ROUNDDOWN(O125*0.7,)</f>
        <v/>
      </c>
      <c r="T125" s="220">
        <f>_xlfn.XLOOKUP(G125,[1]Fx!$A$4:$A$12,[1]Fx!$B$4:$B$12)</f>
        <v/>
      </c>
      <c r="U125" s="220">
        <f>_xlfn.XLOOKUP(G125,[1]Fx!$A$4:$A$12,[1]Fx!$C$4:$C$12)</f>
        <v/>
      </c>
      <c r="V125" s="220">
        <f>_xlfn.XLOOKUP(G125,[1]Fx!$A$4:$A$12,[1]Fx!$D$4:$D$12)</f>
        <v/>
      </c>
      <c r="W125" s="208">
        <f>_xlfn.XLOOKUP(H125&amp;I125,'[1]Mapping DSL'!$H:$H,'[1]Mapping DSL'!$J:$J)</f>
        <v/>
      </c>
      <c r="X125" s="220">
        <f>_xlfn.XLOOKUP(G125,[1]Fx!$A$4:$A$12,[1]Fx!$E$4:$E$12)</f>
        <v/>
      </c>
      <c r="Y125" s="220">
        <f>T125*R125</f>
        <v/>
      </c>
      <c r="Z125" s="220">
        <f>U125*O125</f>
        <v/>
      </c>
      <c r="AA125" s="220">
        <f>V125*O125</f>
        <v/>
      </c>
      <c r="AB125" s="220">
        <f>W125*O125</f>
        <v/>
      </c>
      <c r="AC125" s="198">
        <f>X125*O125</f>
        <v/>
      </c>
      <c r="AD125" s="220" t="n">
        <v>0</v>
      </c>
      <c r="AE125" s="220" t="n">
        <v>0</v>
      </c>
      <c r="AF125" s="220">
        <f>SUM(Y125:AE125)</f>
        <v/>
      </c>
      <c r="AG125" s="205">
        <f>_xlfn.XLOOKUP(G125,[1]Fx!$A$16:$A$24,[1]Fx!$B$16:$B$24)</f>
        <v/>
      </c>
      <c r="AH125" s="220">
        <f>AG125*R125</f>
        <v/>
      </c>
      <c r="AI125" s="220">
        <f>$AI$6*Z125</f>
        <v/>
      </c>
      <c r="AJ125" s="220">
        <f>$AJ$6*AA125</f>
        <v/>
      </c>
      <c r="AK125" s="220">
        <f>$AK$6*AB125</f>
        <v/>
      </c>
      <c r="AL125" s="220">
        <f>$AL$6*AC125</f>
        <v/>
      </c>
      <c r="AM125" s="220">
        <f>SUM(AH125:AL125)</f>
        <v/>
      </c>
      <c r="AN125" s="220" t="n">
        <v>0</v>
      </c>
      <c r="AO125" s="220">
        <f>AN125*AH125</f>
        <v/>
      </c>
      <c r="AP125" s="220">
        <f>AD125</f>
        <v/>
      </c>
      <c r="AQ125" s="220">
        <f>AE125</f>
        <v/>
      </c>
      <c r="AR125" s="220">
        <f>AM125-AO125</f>
        <v/>
      </c>
      <c r="AS125" s="220">
        <f>AR125-AK125</f>
        <v/>
      </c>
      <c r="AT125" s="220">
        <f>AS125*1.075</f>
        <v/>
      </c>
      <c r="AU125" s="220">
        <f>ROUNDUP(AT125+AK125+AP125+AQ125,-4)</f>
        <v/>
      </c>
      <c r="AV125" s="198" t="n">
        <v>1953504</v>
      </c>
      <c r="AW125" s="227" t="n"/>
      <c r="AX125" s="220">
        <f>AV125-AR125</f>
        <v/>
      </c>
      <c r="AY125" s="35">
        <f>AX125/AR125</f>
        <v/>
      </c>
      <c r="AZ125" s="220">
        <f>AV125-AF125</f>
        <v/>
      </c>
      <c r="BA125" s="215">
        <f>AV125-SUM(Z125:AC125)</f>
        <v/>
      </c>
      <c r="BB125" s="215">
        <f>BA125-Y125</f>
        <v/>
      </c>
      <c r="BC125" s="35">
        <f>BB125/BA125</f>
        <v/>
      </c>
      <c r="BD125" s="35">
        <f>IFERROR(AZ125/AV125,)</f>
        <v/>
      </c>
      <c r="BE125" s="255">
        <f>AV125-SUM(Z125:AC125)</f>
        <v/>
      </c>
      <c r="BF125" s="255">
        <f>AV125-BE125-AC125-AB125</f>
        <v/>
      </c>
      <c r="BG125" s="255">
        <f>AV125-BE125-BF125-AB125</f>
        <v/>
      </c>
      <c r="BH125" s="255">
        <f>AB125</f>
        <v/>
      </c>
      <c r="BI125">
        <f>IF(BD125&lt;0%,"Loss",IF(BD125&lt;5%,"On Cost Plus",IF(BD125&lt;10%,"Within","Exceed")))</f>
        <v/>
      </c>
      <c r="BJ125" t="inlineStr">
        <is>
          <t>Exceed</t>
        </is>
      </c>
      <c r="BK125">
        <f>0.51*$BK$6</f>
        <v/>
      </c>
      <c r="BL125" s="190">
        <f>BK125-W125</f>
        <v/>
      </c>
      <c r="BM125" s="189">
        <f>BL125*O125</f>
        <v/>
      </c>
    </row>
    <row r="126">
      <c r="A126">
        <f>CONCATENATE(E126,F126,G126,H126,I126,J126,K126,L126)</f>
        <v/>
      </c>
      <c r="B126">
        <f>CONCATENATE(J126,"-&gt;",K126,"/",E126)</f>
        <v/>
      </c>
      <c r="C126" s="23" t="inlineStr">
        <is>
          <t>AFEEZ AJIBADE/Ebenezer</t>
        </is>
      </c>
      <c r="D126">
        <f>CONCATENATE(G126,"-",H126,"-",F126)</f>
        <v/>
      </c>
      <c r="E126" s="24" t="inlineStr">
        <is>
          <t>Lacasera-45T-NBL-DSL-JUMBO</t>
        </is>
      </c>
      <c r="F126" s="24" t="inlineStr">
        <is>
          <t>JUMBO</t>
        </is>
      </c>
      <c r="G126" s="25" t="inlineStr">
        <is>
          <t>NBL-DSL</t>
        </is>
      </c>
      <c r="H126" s="24" t="inlineStr">
        <is>
          <t>45T</t>
        </is>
      </c>
      <c r="I126" s="251" t="inlineStr">
        <is>
          <t>Lacasera</t>
        </is>
      </c>
      <c r="J126" s="251" t="inlineStr">
        <is>
          <t>Lagos</t>
        </is>
      </c>
      <c r="K126" s="23" t="inlineStr">
        <is>
          <t>Imeko</t>
        </is>
      </c>
      <c r="L126" t="inlineStr">
        <is>
          <t>Ogun</t>
        </is>
      </c>
      <c r="M126" s="1" t="inlineStr">
        <is>
          <t>West</t>
        </is>
      </c>
      <c r="N126" s="261" t="n">
        <v>179.5</v>
      </c>
      <c r="O126" s="257" t="n">
        <v>359</v>
      </c>
      <c r="P126" s="227">
        <f>ROUNDUP(O126/300,)</f>
        <v/>
      </c>
      <c r="Q126" s="220" t="n">
        <v>1</v>
      </c>
      <c r="R126" s="220">
        <f>Q126+P126</f>
        <v/>
      </c>
      <c r="S126" s="198">
        <f>ROUNDDOWN(O126*0.7,)</f>
        <v/>
      </c>
      <c r="T126" s="220">
        <f>_xlfn.XLOOKUP(G126,[1]Fx!$A$4:$A$12,[1]Fx!$B$4:$B$12)</f>
        <v/>
      </c>
      <c r="U126" s="220">
        <f>_xlfn.XLOOKUP(G126,[1]Fx!$A$4:$A$12,[1]Fx!$C$4:$C$12)</f>
        <v/>
      </c>
      <c r="V126" s="220">
        <f>_xlfn.XLOOKUP(G126,[1]Fx!$A$4:$A$12,[1]Fx!$D$4:$D$12)</f>
        <v/>
      </c>
      <c r="W126" s="208">
        <f>_xlfn.XLOOKUP(H126&amp;I126,'[1]Mapping DSL'!$H:$H,'[1]Mapping DSL'!$J:$J)</f>
        <v/>
      </c>
      <c r="X126" s="220">
        <f>_xlfn.XLOOKUP(G126,[1]Fx!$A$4:$A$12,[1]Fx!$E$4:$E$12)</f>
        <v/>
      </c>
      <c r="Y126" s="220">
        <f>T126*R126</f>
        <v/>
      </c>
      <c r="Z126" s="220">
        <f>U126*O126</f>
        <v/>
      </c>
      <c r="AA126" s="220">
        <f>V126*O126</f>
        <v/>
      </c>
      <c r="AB126" s="220">
        <f>W126*O126</f>
        <v/>
      </c>
      <c r="AC126" s="198">
        <f>X126*O126</f>
        <v/>
      </c>
      <c r="AD126" s="220" t="n">
        <v>0</v>
      </c>
      <c r="AE126" s="220" t="n">
        <v>0</v>
      </c>
      <c r="AF126" s="220">
        <f>SUM(Y126:AE126)</f>
        <v/>
      </c>
      <c r="AG126" s="205">
        <f>_xlfn.XLOOKUP(G126,[1]Fx!$A$16:$A$24,[1]Fx!$B$16:$B$24)</f>
        <v/>
      </c>
      <c r="AH126" s="220">
        <f>AG126*R126</f>
        <v/>
      </c>
      <c r="AI126" s="220">
        <f>$AI$6*Z126</f>
        <v/>
      </c>
      <c r="AJ126" s="220">
        <f>$AJ$6*AA126</f>
        <v/>
      </c>
      <c r="AK126" s="220">
        <f>$AK$6*AB126</f>
        <v/>
      </c>
      <c r="AL126" s="220">
        <f>$AL$6*AC126</f>
        <v/>
      </c>
      <c r="AM126" s="220">
        <f>SUM(AH126:AL126)</f>
        <v/>
      </c>
      <c r="AN126" s="220" t="n">
        <v>0</v>
      </c>
      <c r="AO126" s="220">
        <f>AN126*AH126</f>
        <v/>
      </c>
      <c r="AP126" s="220">
        <f>AD126</f>
        <v/>
      </c>
      <c r="AQ126" s="220">
        <f>AE126</f>
        <v/>
      </c>
      <c r="AR126" s="220">
        <f>AM126-AO126</f>
        <v/>
      </c>
      <c r="AS126" s="220">
        <f>AR126-AK126</f>
        <v/>
      </c>
      <c r="AT126" s="220">
        <f>AS126*1.075</f>
        <v/>
      </c>
      <c r="AU126" s="220">
        <f>ROUNDUP(AT126+AK126+AP126+AQ126,-4)</f>
        <v/>
      </c>
      <c r="AV126" s="198" t="n">
        <v>967816</v>
      </c>
      <c r="AW126" s="227" t="n"/>
      <c r="AX126" s="220">
        <f>AV126-AR126</f>
        <v/>
      </c>
      <c r="AY126" s="35">
        <f>AX126/AR126</f>
        <v/>
      </c>
      <c r="AZ126" s="220">
        <f>AV126-AF126</f>
        <v/>
      </c>
      <c r="BA126" s="215">
        <f>AV126-SUM(Z126:AC126)</f>
        <v/>
      </c>
      <c r="BB126" s="215">
        <f>BA126-Y126</f>
        <v/>
      </c>
      <c r="BC126" s="35">
        <f>BB126/BA126</f>
        <v/>
      </c>
      <c r="BD126" s="35">
        <f>IFERROR(AZ126/AV126,)</f>
        <v/>
      </c>
      <c r="BE126" s="255">
        <f>AV126-SUM(Z126:AC126)</f>
        <v/>
      </c>
      <c r="BF126" s="255">
        <f>AV126-BE126-AC126-AB126</f>
        <v/>
      </c>
      <c r="BG126" s="255">
        <f>AV126-BE126-BF126-AB126</f>
        <v/>
      </c>
      <c r="BH126" s="255">
        <f>AB126</f>
        <v/>
      </c>
      <c r="BI126">
        <f>IF(BD126&lt;0%,"Loss",IF(BD126&lt;5%,"On Cost Plus",IF(BD126&lt;10%,"Within","Exceed")))</f>
        <v/>
      </c>
      <c r="BJ126" t="inlineStr">
        <is>
          <t>Exceed</t>
        </is>
      </c>
      <c r="BK126">
        <f>0.51*$BK$6</f>
        <v/>
      </c>
      <c r="BL126" s="190">
        <f>BK126-W126</f>
        <v/>
      </c>
      <c r="BM126" s="189">
        <f>BL126*O126</f>
        <v/>
      </c>
    </row>
    <row r="127">
      <c r="A127">
        <f>CONCATENATE(E127,F127,G127,H127,I127,J127,K127,L127)</f>
        <v/>
      </c>
      <c r="B127">
        <f>CONCATENATE(J127,"-&gt;",K127,"/",E127)</f>
        <v/>
      </c>
      <c r="C127" s="23" t="inlineStr">
        <is>
          <t>AFEEZ AJIBADE/Ebenezer</t>
        </is>
      </c>
      <c r="D127">
        <f>CONCATENATE(G127,"-",H127,"-",F127)</f>
        <v/>
      </c>
      <c r="E127" s="24" t="inlineStr">
        <is>
          <t>Lacasera-45T-NBL-DSL-JUMBO</t>
        </is>
      </c>
      <c r="F127" s="24" t="inlineStr">
        <is>
          <t>JUMBO</t>
        </is>
      </c>
      <c r="G127" s="25" t="inlineStr">
        <is>
          <t>NBL-DSL</t>
        </is>
      </c>
      <c r="H127" s="24" t="inlineStr">
        <is>
          <t>45T</t>
        </is>
      </c>
      <c r="I127" s="251" t="inlineStr">
        <is>
          <t>Lacasera</t>
        </is>
      </c>
      <c r="J127" s="251" t="inlineStr">
        <is>
          <t>Lagos</t>
        </is>
      </c>
      <c r="K127" s="23" t="inlineStr">
        <is>
          <t>Benin City</t>
        </is>
      </c>
      <c r="L127" t="inlineStr">
        <is>
          <t>Edo</t>
        </is>
      </c>
      <c r="M127" s="1" t="inlineStr">
        <is>
          <t>West</t>
        </is>
      </c>
      <c r="N127" s="261" t="n">
        <v>320</v>
      </c>
      <c r="O127" s="257" t="n">
        <v>640</v>
      </c>
      <c r="P127" s="227">
        <f>ROUNDUP(O127/300,)</f>
        <v/>
      </c>
      <c r="Q127" s="220" t="n">
        <v>1</v>
      </c>
      <c r="R127" s="220">
        <f>Q127+P127</f>
        <v/>
      </c>
      <c r="S127" s="198">
        <f>ROUNDDOWN(O127*0.7,)</f>
        <v/>
      </c>
      <c r="T127" s="220">
        <f>_xlfn.XLOOKUP(G127,[1]Fx!$A$4:$A$12,[1]Fx!$B$4:$B$12)</f>
        <v/>
      </c>
      <c r="U127" s="220">
        <f>_xlfn.XLOOKUP(G127,[1]Fx!$A$4:$A$12,[1]Fx!$C$4:$C$12)</f>
        <v/>
      </c>
      <c r="V127" s="220">
        <f>_xlfn.XLOOKUP(G127,[1]Fx!$A$4:$A$12,[1]Fx!$D$4:$D$12)</f>
        <v/>
      </c>
      <c r="W127" s="208">
        <f>_xlfn.XLOOKUP(H127&amp;I127,'[1]Mapping DSL'!$H:$H,'[1]Mapping DSL'!$J:$J)</f>
        <v/>
      </c>
      <c r="X127" s="220">
        <f>_xlfn.XLOOKUP(G127,[1]Fx!$A$4:$A$12,[1]Fx!$E$4:$E$12)</f>
        <v/>
      </c>
      <c r="Y127" s="220">
        <f>T127*R127</f>
        <v/>
      </c>
      <c r="Z127" s="220">
        <f>U127*O127</f>
        <v/>
      </c>
      <c r="AA127" s="220">
        <f>V127*O127</f>
        <v/>
      </c>
      <c r="AB127" s="220">
        <f>W127*O127</f>
        <v/>
      </c>
      <c r="AC127" s="198">
        <f>X127*O127</f>
        <v/>
      </c>
      <c r="AD127" s="220" t="n">
        <v>0</v>
      </c>
      <c r="AE127" s="220" t="n">
        <v>0</v>
      </c>
      <c r="AF127" s="220">
        <f>SUM(Y127:AE127)</f>
        <v/>
      </c>
      <c r="AG127" s="205">
        <f>_xlfn.XLOOKUP(G127,[1]Fx!$A$16:$A$24,[1]Fx!$B$16:$B$24)</f>
        <v/>
      </c>
      <c r="AH127" s="220">
        <f>AG127*R127</f>
        <v/>
      </c>
      <c r="AI127" s="220">
        <f>$AI$6*Z127</f>
        <v/>
      </c>
      <c r="AJ127" s="220">
        <f>$AJ$6*AA127</f>
        <v/>
      </c>
      <c r="AK127" s="220">
        <f>$AK$6*AB127</f>
        <v/>
      </c>
      <c r="AL127" s="220">
        <f>$AL$6*AC127</f>
        <v/>
      </c>
      <c r="AM127" s="220">
        <f>SUM(AH127:AL127)</f>
        <v/>
      </c>
      <c r="AN127" s="220" t="n">
        <v>0</v>
      </c>
      <c r="AO127" s="220">
        <f>AN127*AH127</f>
        <v/>
      </c>
      <c r="AP127" s="220">
        <f>AD127</f>
        <v/>
      </c>
      <c r="AQ127" s="220">
        <f>AE127</f>
        <v/>
      </c>
      <c r="AR127" s="220">
        <f>AM127-AO127</f>
        <v/>
      </c>
      <c r="AS127" s="220">
        <f>AR127-AK127</f>
        <v/>
      </c>
      <c r="AT127" s="220">
        <f>AS127*1.075</f>
        <v/>
      </c>
      <c r="AU127" s="220">
        <f>ROUNDUP(AT127+AK127+AP127+AQ127,-4)</f>
        <v/>
      </c>
      <c r="AV127" s="198" t="n">
        <v>1634564</v>
      </c>
      <c r="AW127" s="227" t="n"/>
      <c r="AX127" s="220">
        <f>AV127-AR127</f>
        <v/>
      </c>
      <c r="AY127" s="35">
        <f>AX127/AR127</f>
        <v/>
      </c>
      <c r="AZ127" s="220">
        <f>AV127-AF127</f>
        <v/>
      </c>
      <c r="BA127" s="215">
        <f>AV127-SUM(Z127:AC127)</f>
        <v/>
      </c>
      <c r="BB127" s="215">
        <f>BA127-Y127</f>
        <v/>
      </c>
      <c r="BC127" s="35">
        <f>BB127/BA127</f>
        <v/>
      </c>
      <c r="BD127" s="35">
        <f>IFERROR(AZ127/AV127,)</f>
        <v/>
      </c>
      <c r="BE127" s="255">
        <f>AV127-SUM(Z127:AC127)</f>
        <v/>
      </c>
      <c r="BF127" s="255">
        <f>AV127-BE127-AC127-AB127</f>
        <v/>
      </c>
      <c r="BG127" s="255">
        <f>AV127-BE127-BF127-AB127</f>
        <v/>
      </c>
      <c r="BH127" s="255">
        <f>AB127</f>
        <v/>
      </c>
      <c r="BI127">
        <f>IF(BD127&lt;0%,"Loss",IF(BD127&lt;5%,"On Cost Plus",IF(BD127&lt;10%,"Within","Exceed")))</f>
        <v/>
      </c>
      <c r="BJ127" t="inlineStr">
        <is>
          <t>Exceed</t>
        </is>
      </c>
      <c r="BK127">
        <f>0.51*$BK$6</f>
        <v/>
      </c>
      <c r="BL127" s="190">
        <f>BK127-W127</f>
        <v/>
      </c>
      <c r="BM127" s="189">
        <f>BL127*O127</f>
        <v/>
      </c>
    </row>
    <row r="128">
      <c r="A128">
        <f>CONCATENATE(E128,F128,G128,H128,I128,J128,K128,L128)</f>
        <v/>
      </c>
      <c r="B128">
        <f>CONCATENATE(J128,"-&gt;",K128,"/",E128)</f>
        <v/>
      </c>
      <c r="C128" s="23" t="inlineStr">
        <is>
          <t>AFEEZ AJIBADE/Ebenezer</t>
        </is>
      </c>
      <c r="D128">
        <f>CONCATENATE(G128,"-",H128,"-",F128)</f>
        <v/>
      </c>
      <c r="E128" s="24" t="inlineStr">
        <is>
          <t>Lacasera-45T-NBL-DSL-JUMBO</t>
        </is>
      </c>
      <c r="F128" s="24" t="inlineStr">
        <is>
          <t>JUMBO</t>
        </is>
      </c>
      <c r="G128" s="25" t="inlineStr">
        <is>
          <t>NBL-DSL</t>
        </is>
      </c>
      <c r="H128" s="24" t="inlineStr">
        <is>
          <t>45T</t>
        </is>
      </c>
      <c r="I128" s="251" t="inlineStr">
        <is>
          <t>Lacasera</t>
        </is>
      </c>
      <c r="J128" s="251" t="inlineStr">
        <is>
          <t>Lagos</t>
        </is>
      </c>
      <c r="K128" s="23" t="inlineStr">
        <is>
          <t>Uromi</t>
        </is>
      </c>
      <c r="L128" t="inlineStr">
        <is>
          <t>Edo</t>
        </is>
      </c>
      <c r="M128" s="1" t="inlineStr">
        <is>
          <t>West</t>
        </is>
      </c>
      <c r="N128" s="261" t="n">
        <v>413</v>
      </c>
      <c r="O128" s="257" t="n">
        <v>826</v>
      </c>
      <c r="P128" s="227">
        <f>ROUNDUP(O128/300,)</f>
        <v/>
      </c>
      <c r="Q128" s="220" t="n">
        <v>1</v>
      </c>
      <c r="R128" s="220">
        <f>Q128+P128</f>
        <v/>
      </c>
      <c r="S128" s="198">
        <f>ROUNDDOWN(O128*0.7,)</f>
        <v/>
      </c>
      <c r="T128" s="220">
        <f>_xlfn.XLOOKUP(G128,[1]Fx!$A$4:$A$12,[1]Fx!$B$4:$B$12)</f>
        <v/>
      </c>
      <c r="U128" s="220">
        <f>_xlfn.XLOOKUP(G128,[1]Fx!$A$4:$A$12,[1]Fx!$C$4:$C$12)</f>
        <v/>
      </c>
      <c r="V128" s="220">
        <f>_xlfn.XLOOKUP(G128,[1]Fx!$A$4:$A$12,[1]Fx!$D$4:$D$12)</f>
        <v/>
      </c>
      <c r="W128" s="208">
        <f>_xlfn.XLOOKUP(H128&amp;I128,'[1]Mapping DSL'!$H:$H,'[1]Mapping DSL'!$J:$J)</f>
        <v/>
      </c>
      <c r="X128" s="220">
        <f>_xlfn.XLOOKUP(G128,[1]Fx!$A$4:$A$12,[1]Fx!$E$4:$E$12)</f>
        <v/>
      </c>
      <c r="Y128" s="220">
        <f>T128*R128</f>
        <v/>
      </c>
      <c r="Z128" s="220">
        <f>U128*O128</f>
        <v/>
      </c>
      <c r="AA128" s="220">
        <f>V128*O128</f>
        <v/>
      </c>
      <c r="AB128" s="220">
        <f>W128*O128</f>
        <v/>
      </c>
      <c r="AC128" s="198">
        <f>X128*O128</f>
        <v/>
      </c>
      <c r="AD128" s="220" t="n">
        <v>0</v>
      </c>
      <c r="AE128" s="220" t="n">
        <v>0</v>
      </c>
      <c r="AF128" s="220">
        <f>SUM(Y128:AE128)</f>
        <v/>
      </c>
      <c r="AG128" s="205">
        <f>_xlfn.XLOOKUP(G128,[1]Fx!$A$16:$A$24,[1]Fx!$B$16:$B$24)</f>
        <v/>
      </c>
      <c r="AH128" s="220">
        <f>AG128*R128</f>
        <v/>
      </c>
      <c r="AI128" s="220">
        <f>$AI$6*Z128</f>
        <v/>
      </c>
      <c r="AJ128" s="220">
        <f>$AJ$6*AA128</f>
        <v/>
      </c>
      <c r="AK128" s="220">
        <f>$AK$6*AB128</f>
        <v/>
      </c>
      <c r="AL128" s="220">
        <f>$AL$6*AC128</f>
        <v/>
      </c>
      <c r="AM128" s="220">
        <f>SUM(AH128:AL128)</f>
        <v/>
      </c>
      <c r="AN128" s="220" t="n">
        <v>0</v>
      </c>
      <c r="AO128" s="220">
        <f>AN128*AH128</f>
        <v/>
      </c>
      <c r="AP128" s="220">
        <f>AD128</f>
        <v/>
      </c>
      <c r="AQ128" s="220">
        <f>AE128</f>
        <v/>
      </c>
      <c r="AR128" s="220">
        <f>AM128-AO128</f>
        <v/>
      </c>
      <c r="AS128" s="220">
        <f>AR128-AK128</f>
        <v/>
      </c>
      <c r="AT128" s="220">
        <f>AS128*1.075</f>
        <v/>
      </c>
      <c r="AU128" s="220">
        <f>ROUNDUP(AT128+AK128+AP128+AQ128,-4)</f>
        <v/>
      </c>
      <c r="AV128" s="198" t="n">
        <v>1831152</v>
      </c>
      <c r="AW128" s="227" t="n"/>
      <c r="AX128" s="220">
        <f>AV128-AR128</f>
        <v/>
      </c>
      <c r="AY128" s="35">
        <f>AX128/AR128</f>
        <v/>
      </c>
      <c r="AZ128" s="220">
        <f>AV128-AF128</f>
        <v/>
      </c>
      <c r="BA128" s="215">
        <f>AV128-SUM(Z128:AC128)</f>
        <v/>
      </c>
      <c r="BB128" s="215">
        <f>BA128-Y128</f>
        <v/>
      </c>
      <c r="BC128" s="35">
        <f>BB128/BA128</f>
        <v/>
      </c>
      <c r="BD128" s="35">
        <f>IFERROR(AZ128/AV128,)</f>
        <v/>
      </c>
      <c r="BE128" s="255">
        <f>AV128-SUM(Z128:AC128)</f>
        <v/>
      </c>
      <c r="BF128" s="255">
        <f>AV128-BE128-AC128-AB128</f>
        <v/>
      </c>
      <c r="BG128" s="255">
        <f>AV128-BE128-BF128-AB128</f>
        <v/>
      </c>
      <c r="BH128" s="255">
        <f>AB128</f>
        <v/>
      </c>
      <c r="BI128">
        <f>IF(BD128&lt;0%,"Loss",IF(BD128&lt;5%,"On Cost Plus",IF(BD128&lt;10%,"Within","Exceed")))</f>
        <v/>
      </c>
      <c r="BJ128" t="inlineStr">
        <is>
          <t>Exceed</t>
        </is>
      </c>
      <c r="BK128">
        <f>0.51*$BK$6</f>
        <v/>
      </c>
      <c r="BL128" s="190">
        <f>BK128-W128</f>
        <v/>
      </c>
      <c r="BM128" s="189">
        <f>BL128*O128</f>
        <v/>
      </c>
    </row>
    <row r="129">
      <c r="A129">
        <f>CONCATENATE(E129,F129,G129,H129,I129,J129,K129,L129)</f>
        <v/>
      </c>
      <c r="B129">
        <f>CONCATENATE(J129,"-&gt;",K129,"/",E129)</f>
        <v/>
      </c>
      <c r="C129" s="23" t="inlineStr">
        <is>
          <t>AFEEZ AJIBADE/Ebenezer</t>
        </is>
      </c>
      <c r="D129">
        <f>CONCATENATE(G129,"-",H129,"-",F129)</f>
        <v/>
      </c>
      <c r="E129" s="24" t="inlineStr">
        <is>
          <t>Lacasera-45T-NBL-DSL-JUMBO</t>
        </is>
      </c>
      <c r="F129" s="24" t="inlineStr">
        <is>
          <t>JUMBO</t>
        </is>
      </c>
      <c r="G129" s="25" t="inlineStr">
        <is>
          <t>NBL-DSL</t>
        </is>
      </c>
      <c r="H129" s="24" t="inlineStr">
        <is>
          <t>45T</t>
        </is>
      </c>
      <c r="I129" s="251" t="inlineStr">
        <is>
          <t>Lacasera</t>
        </is>
      </c>
      <c r="J129" s="251" t="inlineStr">
        <is>
          <t>Lagos</t>
        </is>
      </c>
      <c r="K129" s="23" t="inlineStr">
        <is>
          <t>Warri</t>
        </is>
      </c>
      <c r="L129" t="inlineStr">
        <is>
          <t>Delta</t>
        </is>
      </c>
      <c r="M129" s="1" t="inlineStr">
        <is>
          <t>Central</t>
        </is>
      </c>
      <c r="N129" s="261" t="n">
        <v>426.5</v>
      </c>
      <c r="O129" s="257" t="n">
        <v>853</v>
      </c>
      <c r="P129" s="227">
        <f>ROUNDUP(O129/300,)</f>
        <v/>
      </c>
      <c r="Q129" s="220" t="n">
        <v>1</v>
      </c>
      <c r="R129" s="220">
        <f>Q129+P129</f>
        <v/>
      </c>
      <c r="S129" s="198">
        <f>ROUNDDOWN(O129*0.7,)</f>
        <v/>
      </c>
      <c r="T129" s="220">
        <f>_xlfn.XLOOKUP(G129,[1]Fx!$A$4:$A$12,[1]Fx!$B$4:$B$12)</f>
        <v/>
      </c>
      <c r="U129" s="220">
        <f>_xlfn.XLOOKUP(G129,[1]Fx!$A$4:$A$12,[1]Fx!$C$4:$C$12)</f>
        <v/>
      </c>
      <c r="V129" s="220">
        <f>_xlfn.XLOOKUP(G129,[1]Fx!$A$4:$A$12,[1]Fx!$D$4:$D$12)</f>
        <v/>
      </c>
      <c r="W129" s="208">
        <f>_xlfn.XLOOKUP(H129&amp;I129,'[1]Mapping DSL'!$H:$H,'[1]Mapping DSL'!$J:$J)</f>
        <v/>
      </c>
      <c r="X129" s="220">
        <f>_xlfn.XLOOKUP(G129,[1]Fx!$A$4:$A$12,[1]Fx!$E$4:$E$12)</f>
        <v/>
      </c>
      <c r="Y129" s="220">
        <f>T129*R129</f>
        <v/>
      </c>
      <c r="Z129" s="220">
        <f>U129*O129</f>
        <v/>
      </c>
      <c r="AA129" s="220">
        <f>V129*O129</f>
        <v/>
      </c>
      <c r="AB129" s="220">
        <f>W129*O129</f>
        <v/>
      </c>
      <c r="AC129" s="198">
        <f>X129*O129</f>
        <v/>
      </c>
      <c r="AD129" s="220" t="n">
        <v>0</v>
      </c>
      <c r="AE129" s="220" t="n">
        <v>0</v>
      </c>
      <c r="AF129" s="220">
        <f>SUM(Y129:AE129)</f>
        <v/>
      </c>
      <c r="AG129" s="205">
        <f>_xlfn.XLOOKUP(G129,[1]Fx!$A$16:$A$24,[1]Fx!$B$16:$B$24)</f>
        <v/>
      </c>
      <c r="AH129" s="220">
        <f>AG129*R129</f>
        <v/>
      </c>
      <c r="AI129" s="220">
        <f>$AI$6*Z129</f>
        <v/>
      </c>
      <c r="AJ129" s="220">
        <f>$AJ$6*AA129</f>
        <v/>
      </c>
      <c r="AK129" s="220">
        <f>$AK$6*AB129</f>
        <v/>
      </c>
      <c r="AL129" s="220">
        <f>$AL$6*AC129</f>
        <v/>
      </c>
      <c r="AM129" s="220">
        <f>SUM(AH129:AL129)</f>
        <v/>
      </c>
      <c r="AN129" s="220" t="n">
        <v>0</v>
      </c>
      <c r="AO129" s="220">
        <f>AN129*AH129</f>
        <v/>
      </c>
      <c r="AP129" s="220">
        <f>AD129</f>
        <v/>
      </c>
      <c r="AQ129" s="220">
        <f>AE129</f>
        <v/>
      </c>
      <c r="AR129" s="220">
        <f>AM129-AO129</f>
        <v/>
      </c>
      <c r="AS129" s="220">
        <f>AR129-AK129</f>
        <v/>
      </c>
      <c r="AT129" s="220">
        <f>AS129*1.075</f>
        <v/>
      </c>
      <c r="AU129" s="220">
        <f>ROUNDUP(AT129+AK129+AP129+AQ129,-4)</f>
        <v/>
      </c>
      <c r="AV129" s="198" t="n">
        <v>2052485</v>
      </c>
      <c r="AW129" s="227" t="n"/>
      <c r="AX129" s="220">
        <f>AV129-AR129</f>
        <v/>
      </c>
      <c r="AY129" s="35">
        <f>AX129/AR129</f>
        <v/>
      </c>
      <c r="AZ129" s="220">
        <f>AV129-AF129</f>
        <v/>
      </c>
      <c r="BA129" s="215">
        <f>AV129-SUM(Z129:AC129)</f>
        <v/>
      </c>
      <c r="BB129" s="215">
        <f>BA129-Y129</f>
        <v/>
      </c>
      <c r="BC129" s="35">
        <f>BB129/BA129</f>
        <v/>
      </c>
      <c r="BD129" s="35">
        <f>IFERROR(AZ129/AV129,)</f>
        <v/>
      </c>
      <c r="BE129" s="255">
        <f>AV129-SUM(Z129:AC129)</f>
        <v/>
      </c>
      <c r="BF129" s="255">
        <f>AV129-BE129-AC129-AB129</f>
        <v/>
      </c>
      <c r="BG129" s="255">
        <f>AV129-BE129-BF129-AB129</f>
        <v/>
      </c>
      <c r="BH129" s="255">
        <f>AB129</f>
        <v/>
      </c>
      <c r="BI129">
        <f>IF(BD129&lt;0%,"Loss",IF(BD129&lt;5%,"On Cost Plus",IF(BD129&lt;10%,"Within","Exceed")))</f>
        <v/>
      </c>
      <c r="BJ129" t="inlineStr">
        <is>
          <t>Exceed</t>
        </is>
      </c>
      <c r="BK129">
        <f>0.51*$BK$6</f>
        <v/>
      </c>
      <c r="BL129" s="190">
        <f>BK129-W129</f>
        <v/>
      </c>
      <c r="BM129" s="189">
        <f>BL129*O129</f>
        <v/>
      </c>
    </row>
    <row r="130">
      <c r="A130">
        <f>CONCATENATE(E130,F130,G130,H130,I130,J130,K130,L130)</f>
        <v/>
      </c>
      <c r="B130">
        <f>CONCATENATE(J130,"-&gt;",K130,"/",E130)</f>
        <v/>
      </c>
      <c r="C130" s="23" t="inlineStr">
        <is>
          <t>AFEEZ AJIBADE/Ebenezer</t>
        </is>
      </c>
      <c r="D130">
        <f>CONCATENATE(G130,"-",H130,"-",F130)</f>
        <v/>
      </c>
      <c r="E130" s="24" t="inlineStr">
        <is>
          <t>Lacasera-45T-NBL-DSL-JUMBO</t>
        </is>
      </c>
      <c r="F130" s="24" t="inlineStr">
        <is>
          <t>JUMBO</t>
        </is>
      </c>
      <c r="G130" s="25" t="inlineStr">
        <is>
          <t>NBL-DSL</t>
        </is>
      </c>
      <c r="H130" s="24" t="inlineStr">
        <is>
          <t>45T</t>
        </is>
      </c>
      <c r="I130" s="251" t="inlineStr">
        <is>
          <t>Lacasera</t>
        </is>
      </c>
      <c r="J130" s="251" t="inlineStr">
        <is>
          <t>Lagos</t>
        </is>
      </c>
      <c r="K130" s="23" t="inlineStr">
        <is>
          <t>Zaki Biam</t>
        </is>
      </c>
      <c r="L130" t="inlineStr">
        <is>
          <t>Benue</t>
        </is>
      </c>
      <c r="M130" s="1" t="inlineStr">
        <is>
          <t>Central</t>
        </is>
      </c>
      <c r="N130" s="261" t="n">
        <v>900</v>
      </c>
      <c r="O130" s="257" t="n">
        <v>1800</v>
      </c>
      <c r="P130" s="227">
        <f>ROUNDUP(O130/300,)</f>
        <v/>
      </c>
      <c r="Q130" s="220" t="n">
        <v>1</v>
      </c>
      <c r="R130" s="220">
        <f>Q130+P130</f>
        <v/>
      </c>
      <c r="S130" s="198">
        <f>ROUNDDOWN(O130*0.7,)</f>
        <v/>
      </c>
      <c r="T130" s="220">
        <f>_xlfn.XLOOKUP(G130,[1]Fx!$A$4:$A$12,[1]Fx!$B$4:$B$12)</f>
        <v/>
      </c>
      <c r="U130" s="220">
        <f>_xlfn.XLOOKUP(G130,[1]Fx!$A$4:$A$12,[1]Fx!$C$4:$C$12)</f>
        <v/>
      </c>
      <c r="V130" s="220">
        <f>_xlfn.XLOOKUP(G130,[1]Fx!$A$4:$A$12,[1]Fx!$D$4:$D$12)</f>
        <v/>
      </c>
      <c r="W130" s="208">
        <f>_xlfn.XLOOKUP(H130&amp;I130,'[1]Mapping DSL'!$H:$H,'[1]Mapping DSL'!$J:$J)</f>
        <v/>
      </c>
      <c r="X130" s="220">
        <f>_xlfn.XLOOKUP(G130,[1]Fx!$A$4:$A$12,[1]Fx!$E$4:$E$12)</f>
        <v/>
      </c>
      <c r="Y130" s="220">
        <f>T130*R130</f>
        <v/>
      </c>
      <c r="Z130" s="220">
        <f>U130*O130</f>
        <v/>
      </c>
      <c r="AA130" s="220">
        <f>V130*O130</f>
        <v/>
      </c>
      <c r="AB130" s="220">
        <f>W130*O130</f>
        <v/>
      </c>
      <c r="AC130" s="198">
        <f>X130*O130</f>
        <v/>
      </c>
      <c r="AD130" s="220" t="n">
        <v>0</v>
      </c>
      <c r="AE130" s="220" t="n">
        <v>0</v>
      </c>
      <c r="AF130" s="220">
        <f>SUM(Y130:AE130)</f>
        <v/>
      </c>
      <c r="AG130" s="205">
        <f>_xlfn.XLOOKUP(G130,[1]Fx!$A$16:$A$24,[1]Fx!$B$16:$B$24)</f>
        <v/>
      </c>
      <c r="AH130" s="220">
        <f>AG130*R130</f>
        <v/>
      </c>
      <c r="AI130" s="220">
        <f>$AI$6*Z130</f>
        <v/>
      </c>
      <c r="AJ130" s="220">
        <f>$AJ$6*AA130</f>
        <v/>
      </c>
      <c r="AK130" s="220">
        <f>$AK$6*AB130</f>
        <v/>
      </c>
      <c r="AL130" s="220">
        <f>$AL$6*AC130</f>
        <v/>
      </c>
      <c r="AM130" s="220">
        <f>SUM(AH130:AL130)</f>
        <v/>
      </c>
      <c r="AN130" s="220" t="n">
        <v>0</v>
      </c>
      <c r="AO130" s="220">
        <f>AN130*AH130</f>
        <v/>
      </c>
      <c r="AP130" s="220">
        <f>AD130</f>
        <v/>
      </c>
      <c r="AQ130" s="220">
        <f>AE130</f>
        <v/>
      </c>
      <c r="AR130" s="220">
        <f>AM130-AO130</f>
        <v/>
      </c>
      <c r="AS130" s="220">
        <f>AR130-AK130</f>
        <v/>
      </c>
      <c r="AT130" s="220">
        <f>AS130*1.075</f>
        <v/>
      </c>
      <c r="AU130" s="220">
        <f>ROUNDUP(AT130+AK130+AP130+AQ130,-4)</f>
        <v/>
      </c>
      <c r="AV130" s="198" t="n">
        <v>3808026</v>
      </c>
      <c r="AW130" s="227" t="n"/>
      <c r="AX130" s="220">
        <f>AV130-AR130</f>
        <v/>
      </c>
      <c r="AY130" s="35">
        <f>AX130/AR130</f>
        <v/>
      </c>
      <c r="AZ130" s="220">
        <f>AV130-AF130</f>
        <v/>
      </c>
      <c r="BA130" s="215">
        <f>AV130-SUM(Z130:AC130)</f>
        <v/>
      </c>
      <c r="BB130" s="215">
        <f>BA130-Y130</f>
        <v/>
      </c>
      <c r="BC130" s="35">
        <f>BB130/BA130</f>
        <v/>
      </c>
      <c r="BD130" s="35">
        <f>IFERROR(AZ130/AV130,)</f>
        <v/>
      </c>
      <c r="BE130" s="255">
        <f>AV130-SUM(Z130:AC130)</f>
        <v/>
      </c>
      <c r="BF130" s="255">
        <f>AV130-BE130-AC130-AB130</f>
        <v/>
      </c>
      <c r="BG130" s="255">
        <f>AV130-BE130-BF130-AB130</f>
        <v/>
      </c>
      <c r="BH130" s="255">
        <f>AB130</f>
        <v/>
      </c>
      <c r="BI130">
        <f>IF(BD130&lt;0%,"Loss",IF(BD130&lt;5%,"On Cost Plus",IF(BD130&lt;10%,"Within","Exceed")))</f>
        <v/>
      </c>
      <c r="BJ130" t="inlineStr">
        <is>
          <t>Exceed</t>
        </is>
      </c>
      <c r="BK130">
        <f>0.51*$BK$6</f>
        <v/>
      </c>
      <c r="BL130" s="190">
        <f>BK130-W130</f>
        <v/>
      </c>
      <c r="BM130" s="189">
        <f>BL130*O130</f>
        <v/>
      </c>
    </row>
    <row r="131">
      <c r="A131">
        <f>CONCATENATE(E131,F131,G131,H131,I131,J131,K131,L131)</f>
        <v/>
      </c>
      <c r="B131">
        <f>CONCATENATE(J131,"-&gt;",K131,"/",E131)</f>
        <v/>
      </c>
      <c r="C131" s="23" t="inlineStr">
        <is>
          <t>AFEEZ AJIBADE/Ebenezer</t>
        </is>
      </c>
      <c r="D131">
        <f>CONCATENATE(G131,"-",H131,"-",F131)</f>
        <v/>
      </c>
      <c r="E131" s="24" t="inlineStr">
        <is>
          <t>Lacasera-45T-NBL-DSL-JUMBO</t>
        </is>
      </c>
      <c r="F131" s="24" t="inlineStr">
        <is>
          <t>JUMBO</t>
        </is>
      </c>
      <c r="G131" s="25" t="inlineStr">
        <is>
          <t>NBL-DSL</t>
        </is>
      </c>
      <c r="H131" s="24" t="inlineStr">
        <is>
          <t>45T</t>
        </is>
      </c>
      <c r="I131" s="251" t="inlineStr">
        <is>
          <t>Lacasera</t>
        </is>
      </c>
      <c r="J131" s="251" t="inlineStr">
        <is>
          <t>Lagos</t>
        </is>
      </c>
      <c r="K131" s="23" t="inlineStr">
        <is>
          <t>Katsina-Ala</t>
        </is>
      </c>
      <c r="L131" t="inlineStr">
        <is>
          <t>Benue</t>
        </is>
      </c>
      <c r="M131" s="1" t="inlineStr">
        <is>
          <t>Central</t>
        </is>
      </c>
      <c r="N131" s="261" t="n">
        <v>849</v>
      </c>
      <c r="O131" s="257" t="n">
        <v>1698</v>
      </c>
      <c r="P131" s="227">
        <f>ROUNDUP(O131/300,)</f>
        <v/>
      </c>
      <c r="Q131" s="220" t="n">
        <v>1</v>
      </c>
      <c r="R131" s="220">
        <f>Q131+P131</f>
        <v/>
      </c>
      <c r="S131" s="198">
        <f>ROUNDDOWN(O131*0.7,)</f>
        <v/>
      </c>
      <c r="T131" s="220">
        <f>_xlfn.XLOOKUP(G131,[1]Fx!$A$4:$A$12,[1]Fx!$B$4:$B$12)</f>
        <v/>
      </c>
      <c r="U131" s="220">
        <f>_xlfn.XLOOKUP(G131,[1]Fx!$A$4:$A$12,[1]Fx!$C$4:$C$12)</f>
        <v/>
      </c>
      <c r="V131" s="220">
        <f>_xlfn.XLOOKUP(G131,[1]Fx!$A$4:$A$12,[1]Fx!$D$4:$D$12)</f>
        <v/>
      </c>
      <c r="W131" s="208">
        <f>_xlfn.XLOOKUP(H131&amp;I131,'[1]Mapping DSL'!$H:$H,'[1]Mapping DSL'!$J:$J)</f>
        <v/>
      </c>
      <c r="X131" s="220">
        <f>_xlfn.XLOOKUP(G131,[1]Fx!$A$4:$A$12,[1]Fx!$E$4:$E$12)</f>
        <v/>
      </c>
      <c r="Y131" s="220">
        <f>T131*R131</f>
        <v/>
      </c>
      <c r="Z131" s="220">
        <f>U131*O131</f>
        <v/>
      </c>
      <c r="AA131" s="220">
        <f>V131*O131</f>
        <v/>
      </c>
      <c r="AB131" s="220">
        <f>W131*O131</f>
        <v/>
      </c>
      <c r="AC131" s="198">
        <f>X131*O131</f>
        <v/>
      </c>
      <c r="AD131" s="220" t="n">
        <v>0</v>
      </c>
      <c r="AE131" s="220" t="n">
        <v>0</v>
      </c>
      <c r="AF131" s="220">
        <f>SUM(Y131:AE131)</f>
        <v/>
      </c>
      <c r="AG131" s="205">
        <f>_xlfn.XLOOKUP(G131,[1]Fx!$A$16:$A$24,[1]Fx!$B$16:$B$24)</f>
        <v/>
      </c>
      <c r="AH131" s="220">
        <f>AG131*R131</f>
        <v/>
      </c>
      <c r="AI131" s="220">
        <f>$AI$6*Z131</f>
        <v/>
      </c>
      <c r="AJ131" s="220">
        <f>$AJ$6*AA131</f>
        <v/>
      </c>
      <c r="AK131" s="220">
        <f>$AK$6*AB131</f>
        <v/>
      </c>
      <c r="AL131" s="220">
        <f>$AL$6*AC131</f>
        <v/>
      </c>
      <c r="AM131" s="220">
        <f>SUM(AH131:AL131)</f>
        <v/>
      </c>
      <c r="AN131" s="220" t="n">
        <v>0</v>
      </c>
      <c r="AO131" s="220">
        <f>AN131*AH131</f>
        <v/>
      </c>
      <c r="AP131" s="220">
        <f>AD131</f>
        <v/>
      </c>
      <c r="AQ131" s="220">
        <f>AE131</f>
        <v/>
      </c>
      <c r="AR131" s="220">
        <f>AM131-AO131</f>
        <v/>
      </c>
      <c r="AS131" s="220">
        <f>AR131-AK131</f>
        <v/>
      </c>
      <c r="AT131" s="220">
        <f>AS131*1.075</f>
        <v/>
      </c>
      <c r="AU131" s="220">
        <f>ROUNDUP(AT131+AK131+AP131+AQ131,-4)</f>
        <v/>
      </c>
      <c r="AV131" s="198" t="n">
        <v>3381857</v>
      </c>
      <c r="AW131" s="227" t="n"/>
      <c r="AX131" s="220">
        <f>AV131-AR131</f>
        <v/>
      </c>
      <c r="AY131" s="35">
        <f>AX131/AR131</f>
        <v/>
      </c>
      <c r="AZ131" s="220">
        <f>AV131-AF131</f>
        <v/>
      </c>
      <c r="BA131" s="215">
        <f>AV131-SUM(Z131:AC131)</f>
        <v/>
      </c>
      <c r="BB131" s="215">
        <f>BA131-Y131</f>
        <v/>
      </c>
      <c r="BC131" s="35">
        <f>BB131/BA131</f>
        <v/>
      </c>
      <c r="BD131" s="35">
        <f>IFERROR(AZ131/AV131,)</f>
        <v/>
      </c>
      <c r="BE131" s="255">
        <f>AV131-SUM(Z131:AC131)</f>
        <v/>
      </c>
      <c r="BF131" s="255">
        <f>AV131-BE131-AC131-AB131</f>
        <v/>
      </c>
      <c r="BG131" s="255">
        <f>AV131-BE131-BF131-AB131</f>
        <v/>
      </c>
      <c r="BH131" s="255">
        <f>AB131</f>
        <v/>
      </c>
      <c r="BI131">
        <f>IF(BD131&lt;0%,"Loss",IF(BD131&lt;5%,"On Cost Plus",IF(BD131&lt;10%,"Within","Exceed")))</f>
        <v/>
      </c>
      <c r="BJ131" t="inlineStr">
        <is>
          <t>Exceed</t>
        </is>
      </c>
      <c r="BK131">
        <f>0.51*$BK$6</f>
        <v/>
      </c>
      <c r="BL131" s="190">
        <f>BK131-W131</f>
        <v/>
      </c>
      <c r="BM131" s="189">
        <f>BL131*O131</f>
        <v/>
      </c>
    </row>
    <row r="132">
      <c r="A132">
        <f>CONCATENATE(E132,F132,G132,H132,I132,J132,K132,L132)</f>
        <v/>
      </c>
      <c r="B132">
        <f>CONCATENATE(J132,"-&gt;",K132,"/",E132)</f>
        <v/>
      </c>
      <c r="C132" s="23" t="inlineStr">
        <is>
          <t>AFEEZ AJIBADE/Ebenezer</t>
        </is>
      </c>
      <c r="D132">
        <f>CONCATENATE(G132,"-",H132,"-",F132)</f>
        <v/>
      </c>
      <c r="E132" s="24" t="inlineStr">
        <is>
          <t>Lacasera-45T-NBL-DSL-JUMBO</t>
        </is>
      </c>
      <c r="F132" s="24" t="inlineStr">
        <is>
          <t>JUMBO</t>
        </is>
      </c>
      <c r="G132" s="25" t="inlineStr">
        <is>
          <t>NBL-DSL</t>
        </is>
      </c>
      <c r="H132" s="24" t="inlineStr">
        <is>
          <t>45T</t>
        </is>
      </c>
      <c r="I132" s="251" t="inlineStr">
        <is>
          <t>Lacasera</t>
        </is>
      </c>
      <c r="J132" s="251" t="inlineStr">
        <is>
          <t>Lagos</t>
        </is>
      </c>
      <c r="K132" s="23" t="inlineStr">
        <is>
          <t>Adikpo</t>
        </is>
      </c>
      <c r="L132" t="inlineStr">
        <is>
          <t>Benue</t>
        </is>
      </c>
      <c r="M132" s="1" t="inlineStr">
        <is>
          <t>Central</t>
        </is>
      </c>
      <c r="N132" s="261" t="n">
        <v>817.5</v>
      </c>
      <c r="O132" s="257" t="n">
        <v>1635</v>
      </c>
      <c r="P132" s="227">
        <f>ROUNDUP(O132/300,)</f>
        <v/>
      </c>
      <c r="Q132" s="220" t="n">
        <v>1</v>
      </c>
      <c r="R132" s="220">
        <f>Q132+P132</f>
        <v/>
      </c>
      <c r="S132" s="198">
        <f>ROUNDDOWN(O132*0.7,)</f>
        <v/>
      </c>
      <c r="T132" s="220">
        <f>_xlfn.XLOOKUP(G132,[1]Fx!$A$4:$A$12,[1]Fx!$B$4:$B$12)</f>
        <v/>
      </c>
      <c r="U132" s="220">
        <f>_xlfn.XLOOKUP(G132,[1]Fx!$A$4:$A$12,[1]Fx!$C$4:$C$12)</f>
        <v/>
      </c>
      <c r="V132" s="220">
        <f>_xlfn.XLOOKUP(G132,[1]Fx!$A$4:$A$12,[1]Fx!$D$4:$D$12)</f>
        <v/>
      </c>
      <c r="W132" s="208">
        <f>_xlfn.XLOOKUP(H132&amp;I132,'[1]Mapping DSL'!$H:$H,'[1]Mapping DSL'!$J:$J)</f>
        <v/>
      </c>
      <c r="X132" s="220">
        <f>_xlfn.XLOOKUP(G132,[1]Fx!$A$4:$A$12,[1]Fx!$E$4:$E$12)</f>
        <v/>
      </c>
      <c r="Y132" s="220">
        <f>T132*R132</f>
        <v/>
      </c>
      <c r="Z132" s="220">
        <f>U132*O132</f>
        <v/>
      </c>
      <c r="AA132" s="220">
        <f>V132*O132</f>
        <v/>
      </c>
      <c r="AB132" s="220">
        <f>W132*O132</f>
        <v/>
      </c>
      <c r="AC132" s="198">
        <f>X132*O132</f>
        <v/>
      </c>
      <c r="AD132" s="220" t="n">
        <v>0</v>
      </c>
      <c r="AE132" s="220" t="n">
        <v>0</v>
      </c>
      <c r="AF132" s="220">
        <f>SUM(Y132:AE132)</f>
        <v/>
      </c>
      <c r="AG132" s="205">
        <f>_xlfn.XLOOKUP(G132,[1]Fx!$A$16:$A$24,[1]Fx!$B$16:$B$24)</f>
        <v/>
      </c>
      <c r="AH132" s="220">
        <f>AG132*R132</f>
        <v/>
      </c>
      <c r="AI132" s="220">
        <f>$AI$6*Z132</f>
        <v/>
      </c>
      <c r="AJ132" s="220">
        <f>$AJ$6*AA132</f>
        <v/>
      </c>
      <c r="AK132" s="220">
        <f>$AK$6*AB132</f>
        <v/>
      </c>
      <c r="AL132" s="220">
        <f>$AL$6*AC132</f>
        <v/>
      </c>
      <c r="AM132" s="220">
        <f>SUM(AH132:AL132)</f>
        <v/>
      </c>
      <c r="AN132" s="220" t="n">
        <v>0</v>
      </c>
      <c r="AO132" s="220">
        <f>AN132*AH132</f>
        <v/>
      </c>
      <c r="AP132" s="220">
        <f>AD132</f>
        <v/>
      </c>
      <c r="AQ132" s="220">
        <f>AE132</f>
        <v/>
      </c>
      <c r="AR132" s="220">
        <f>AM132-AO132</f>
        <v/>
      </c>
      <c r="AS132" s="220">
        <f>AR132-AK132</f>
        <v/>
      </c>
      <c r="AT132" s="220">
        <f>AS132*1.075</f>
        <v/>
      </c>
      <c r="AU132" s="220">
        <f>ROUNDUP(AT132+AK132+AP132+AQ132,-4)</f>
        <v/>
      </c>
      <c r="AV132" s="198" t="n">
        <v>3317245</v>
      </c>
      <c r="AW132" s="227" t="n"/>
      <c r="AX132" s="220">
        <f>AV132-AR132</f>
        <v/>
      </c>
      <c r="AY132" s="35">
        <f>AX132/AR132</f>
        <v/>
      </c>
      <c r="AZ132" s="220">
        <f>AV132-AF132</f>
        <v/>
      </c>
      <c r="BA132" s="215">
        <f>AV132-SUM(Z132:AC132)</f>
        <v/>
      </c>
      <c r="BB132" s="215">
        <f>BA132-Y132</f>
        <v/>
      </c>
      <c r="BC132" s="35">
        <f>BB132/BA132</f>
        <v/>
      </c>
      <c r="BD132" s="35">
        <f>IFERROR(AZ132/AV132,)</f>
        <v/>
      </c>
      <c r="BE132" s="255">
        <f>AV132-SUM(Z132:AC132)</f>
        <v/>
      </c>
      <c r="BF132" s="255">
        <f>AV132-BE132-AC132-AB132</f>
        <v/>
      </c>
      <c r="BG132" s="255">
        <f>AV132-BE132-BF132-AB132</f>
        <v/>
      </c>
      <c r="BH132" s="255">
        <f>AB132</f>
        <v/>
      </c>
      <c r="BI132">
        <f>IF(BD132&lt;0%,"Loss",IF(BD132&lt;5%,"On Cost Plus",IF(BD132&lt;10%,"Within","Exceed")))</f>
        <v/>
      </c>
      <c r="BJ132" t="inlineStr">
        <is>
          <t>Exceed</t>
        </is>
      </c>
      <c r="BK132">
        <f>0.51*$BK$6</f>
        <v/>
      </c>
      <c r="BL132" s="190">
        <f>BK132-W132</f>
        <v/>
      </c>
      <c r="BM132" s="189">
        <f>BL132*O132</f>
        <v/>
      </c>
    </row>
    <row r="133">
      <c r="A133">
        <f>CONCATENATE(E133,F133,G133,H133,I133,J133,K133,L133)</f>
        <v/>
      </c>
      <c r="B133">
        <f>CONCATENATE(J133,"-&gt;",K133,"/",E133)</f>
        <v/>
      </c>
      <c r="C133" s="23" t="inlineStr">
        <is>
          <t>AFEEZ AJIBADE/Ebenezer</t>
        </is>
      </c>
      <c r="D133">
        <f>CONCATENATE(G133,"-",H133,"-",F133)</f>
        <v/>
      </c>
      <c r="E133" s="24" t="inlineStr">
        <is>
          <t>Lacasera-45T-NBL-DSL-JUMBO</t>
        </is>
      </c>
      <c r="F133" s="24" t="inlineStr">
        <is>
          <t>JUMBO</t>
        </is>
      </c>
      <c r="G133" s="25" t="inlineStr">
        <is>
          <t>NBL-DSL</t>
        </is>
      </c>
      <c r="H133" s="24" t="inlineStr">
        <is>
          <t>45T</t>
        </is>
      </c>
      <c r="I133" s="251" t="inlineStr">
        <is>
          <t>Lacasera</t>
        </is>
      </c>
      <c r="J133" s="251" t="inlineStr">
        <is>
          <t>Lagos</t>
        </is>
      </c>
      <c r="K133" s="23" t="inlineStr">
        <is>
          <t>Takum</t>
        </is>
      </c>
      <c r="L133" t="inlineStr">
        <is>
          <t>Taraba</t>
        </is>
      </c>
      <c r="M133" s="1" t="inlineStr">
        <is>
          <t>Central</t>
        </is>
      </c>
      <c r="N133" s="261" t="n">
        <v>926.5</v>
      </c>
      <c r="O133" s="257" t="n">
        <v>1853</v>
      </c>
      <c r="P133" s="227">
        <f>ROUNDUP(O133/300,)</f>
        <v/>
      </c>
      <c r="Q133" s="220" t="n">
        <v>1</v>
      </c>
      <c r="R133" s="220">
        <f>Q133+P133</f>
        <v/>
      </c>
      <c r="S133" s="198">
        <f>ROUNDDOWN(O133*0.7,)</f>
        <v/>
      </c>
      <c r="T133" s="220">
        <f>_xlfn.XLOOKUP(G133,[1]Fx!$A$4:$A$12,[1]Fx!$B$4:$B$12)</f>
        <v/>
      </c>
      <c r="U133" s="220">
        <f>_xlfn.XLOOKUP(G133,[1]Fx!$A$4:$A$12,[1]Fx!$C$4:$C$12)</f>
        <v/>
      </c>
      <c r="V133" s="220">
        <f>_xlfn.XLOOKUP(G133,[1]Fx!$A$4:$A$12,[1]Fx!$D$4:$D$12)</f>
        <v/>
      </c>
      <c r="W133" s="208">
        <f>_xlfn.XLOOKUP(H133&amp;I133,'[1]Mapping DSL'!$H:$H,'[1]Mapping DSL'!$J:$J)</f>
        <v/>
      </c>
      <c r="X133" s="220">
        <f>_xlfn.XLOOKUP(G133,[1]Fx!$A$4:$A$12,[1]Fx!$E$4:$E$12)</f>
        <v/>
      </c>
      <c r="Y133" s="220">
        <f>T133*R133</f>
        <v/>
      </c>
      <c r="Z133" s="220">
        <f>U133*O133</f>
        <v/>
      </c>
      <c r="AA133" s="220">
        <f>V133*O133</f>
        <v/>
      </c>
      <c r="AB133" s="220">
        <f>W133*O133</f>
        <v/>
      </c>
      <c r="AC133" s="198">
        <f>X133*O133</f>
        <v/>
      </c>
      <c r="AD133" s="220" t="n">
        <v>0</v>
      </c>
      <c r="AE133" s="220" t="n">
        <v>0</v>
      </c>
      <c r="AF133" s="220">
        <f>SUM(Y133:AE133)</f>
        <v/>
      </c>
      <c r="AG133" s="205">
        <f>_xlfn.XLOOKUP(G133,[1]Fx!$A$16:$A$24,[1]Fx!$B$16:$B$24)</f>
        <v/>
      </c>
      <c r="AH133" s="220">
        <f>AG133*R133</f>
        <v/>
      </c>
      <c r="AI133" s="220">
        <f>$AI$6*Z133</f>
        <v/>
      </c>
      <c r="AJ133" s="220">
        <f>$AJ$6*AA133</f>
        <v/>
      </c>
      <c r="AK133" s="220">
        <f>$AK$6*AB133</f>
        <v/>
      </c>
      <c r="AL133" s="220">
        <f>$AL$6*AC133</f>
        <v/>
      </c>
      <c r="AM133" s="220">
        <f>SUM(AH133:AL133)</f>
        <v/>
      </c>
      <c r="AN133" s="220" t="n">
        <v>0</v>
      </c>
      <c r="AO133" s="220">
        <f>AN133*AH133</f>
        <v/>
      </c>
      <c r="AP133" s="220">
        <f>AD133</f>
        <v/>
      </c>
      <c r="AQ133" s="220">
        <f>AE133</f>
        <v/>
      </c>
      <c r="AR133" s="220">
        <f>AM133-AO133</f>
        <v/>
      </c>
      <c r="AS133" s="220">
        <f>AR133-AK133</f>
        <v/>
      </c>
      <c r="AT133" s="220">
        <f>AS133*1.075</f>
        <v/>
      </c>
      <c r="AU133" s="220">
        <f>ROUNDUP(AT133+AK133+AP133+AQ133,-4)</f>
        <v/>
      </c>
      <c r="AV133" s="198" t="n">
        <v>3883637</v>
      </c>
      <c r="AW133" s="227" t="n"/>
      <c r="AX133" s="220">
        <f>AV133-AR133</f>
        <v/>
      </c>
      <c r="AY133" s="35">
        <f>AX133/AR133</f>
        <v/>
      </c>
      <c r="AZ133" s="220">
        <f>AV133-AF133</f>
        <v/>
      </c>
      <c r="BA133" s="215">
        <f>AV133-SUM(Z133:AC133)</f>
        <v/>
      </c>
      <c r="BB133" s="215">
        <f>BA133-Y133</f>
        <v/>
      </c>
      <c r="BC133" s="35">
        <f>BB133/BA133</f>
        <v/>
      </c>
      <c r="BD133" s="35">
        <f>IFERROR(AZ133/AV133,)</f>
        <v/>
      </c>
      <c r="BE133" s="255">
        <f>AV133-SUM(Z133:AC133)</f>
        <v/>
      </c>
      <c r="BF133" s="255">
        <f>AV133-BE133-AC133-AB133</f>
        <v/>
      </c>
      <c r="BG133" s="255">
        <f>AV133-BE133-BF133-AB133</f>
        <v/>
      </c>
      <c r="BH133" s="255">
        <f>AB133</f>
        <v/>
      </c>
      <c r="BI133">
        <f>IF(BD133&lt;0%,"Loss",IF(BD133&lt;5%,"On Cost Plus",IF(BD133&lt;10%,"Within","Exceed")))</f>
        <v/>
      </c>
      <c r="BJ133" t="inlineStr">
        <is>
          <t>Exceed</t>
        </is>
      </c>
      <c r="BK133">
        <f>0.51*$BK$6</f>
        <v/>
      </c>
      <c r="BL133" s="190">
        <f>BK133-W133</f>
        <v/>
      </c>
      <c r="BM133" s="189">
        <f>BL133*O133</f>
        <v/>
      </c>
    </row>
    <row r="134">
      <c r="A134">
        <f>CONCATENATE(E134,F134,G134,H134,I134,J134,K134,L134)</f>
        <v/>
      </c>
      <c r="B134">
        <f>CONCATENATE(J134,"-&gt;",K134,"/",E134)</f>
        <v/>
      </c>
      <c r="C134" s="23" t="inlineStr">
        <is>
          <t>AFEEZ AJIBADE/Ebenezer</t>
        </is>
      </c>
      <c r="D134">
        <f>CONCATENATE(G134,"-",H134,"-",F134)</f>
        <v/>
      </c>
      <c r="E134" s="24" t="inlineStr">
        <is>
          <t>Lacasera-45T-NBL-DSL-JUMBO</t>
        </is>
      </c>
      <c r="F134" s="24" t="inlineStr">
        <is>
          <t>JUMBO</t>
        </is>
      </c>
      <c r="G134" s="25" t="inlineStr">
        <is>
          <t>NBL-DSL</t>
        </is>
      </c>
      <c r="H134" s="24" t="inlineStr">
        <is>
          <t>45T</t>
        </is>
      </c>
      <c r="I134" s="251" t="inlineStr">
        <is>
          <t>Lacasera</t>
        </is>
      </c>
      <c r="J134" s="251" t="inlineStr">
        <is>
          <t>Lagos</t>
        </is>
      </c>
      <c r="K134" s="23" t="inlineStr">
        <is>
          <t>Mutum Biyu</t>
        </is>
      </c>
      <c r="L134" t="inlineStr">
        <is>
          <t>Taraba</t>
        </is>
      </c>
      <c r="M134" s="1" t="inlineStr">
        <is>
          <t>Central</t>
        </is>
      </c>
      <c r="N134" s="261" t="n">
        <v>1091.5</v>
      </c>
      <c r="O134" s="257" t="n">
        <v>2183</v>
      </c>
      <c r="P134" s="227">
        <f>ROUNDUP(O134/300,)</f>
        <v/>
      </c>
      <c r="Q134" s="220" t="n">
        <v>1</v>
      </c>
      <c r="R134" s="220">
        <f>Q134+P134</f>
        <v/>
      </c>
      <c r="S134" s="198">
        <f>ROUNDDOWN(O134*0.7,)</f>
        <v/>
      </c>
      <c r="T134" s="220">
        <f>_xlfn.XLOOKUP(G134,[1]Fx!$A$4:$A$12,[1]Fx!$B$4:$B$12)</f>
        <v/>
      </c>
      <c r="U134" s="220">
        <f>_xlfn.XLOOKUP(G134,[1]Fx!$A$4:$A$12,[1]Fx!$C$4:$C$12)</f>
        <v/>
      </c>
      <c r="V134" s="220">
        <f>_xlfn.XLOOKUP(G134,[1]Fx!$A$4:$A$12,[1]Fx!$D$4:$D$12)</f>
        <v/>
      </c>
      <c r="W134" s="208">
        <f>_xlfn.XLOOKUP(H134&amp;I134,'[1]Mapping DSL'!$H:$H,'[1]Mapping DSL'!$J:$J)</f>
        <v/>
      </c>
      <c r="X134" s="220">
        <f>_xlfn.XLOOKUP(G134,[1]Fx!$A$4:$A$12,[1]Fx!$E$4:$E$12)</f>
        <v/>
      </c>
      <c r="Y134" s="220">
        <f>T134*R134</f>
        <v/>
      </c>
      <c r="Z134" s="220">
        <f>U134*O134</f>
        <v/>
      </c>
      <c r="AA134" s="220">
        <f>V134*O134</f>
        <v/>
      </c>
      <c r="AB134" s="220">
        <f>W134*O134</f>
        <v/>
      </c>
      <c r="AC134" s="198">
        <f>X134*O134</f>
        <v/>
      </c>
      <c r="AD134" s="220" t="n">
        <v>0</v>
      </c>
      <c r="AE134" s="220" t="n">
        <v>0</v>
      </c>
      <c r="AF134" s="220">
        <f>SUM(Y134:AE134)</f>
        <v/>
      </c>
      <c r="AG134" s="205">
        <f>_xlfn.XLOOKUP(G134,[1]Fx!$A$16:$A$24,[1]Fx!$B$16:$B$24)</f>
        <v/>
      </c>
      <c r="AH134" s="220">
        <f>AG134*R134</f>
        <v/>
      </c>
      <c r="AI134" s="220">
        <f>$AI$6*Z134</f>
        <v/>
      </c>
      <c r="AJ134" s="220">
        <f>$AJ$6*AA134</f>
        <v/>
      </c>
      <c r="AK134" s="220">
        <f>$AK$6*AB134</f>
        <v/>
      </c>
      <c r="AL134" s="220">
        <f>$AL$6*AC134</f>
        <v/>
      </c>
      <c r="AM134" s="220">
        <f>SUM(AH134:AL134)</f>
        <v/>
      </c>
      <c r="AN134" s="220" t="n">
        <v>0</v>
      </c>
      <c r="AO134" s="220">
        <f>AN134*AH134</f>
        <v/>
      </c>
      <c r="AP134" s="220">
        <f>AD134</f>
        <v/>
      </c>
      <c r="AQ134" s="220">
        <f>AE134</f>
        <v/>
      </c>
      <c r="AR134" s="220">
        <f>AM134-AO134</f>
        <v/>
      </c>
      <c r="AS134" s="220">
        <f>AR134-AK134</f>
        <v/>
      </c>
      <c r="AT134" s="220">
        <f>AS134*1.075</f>
        <v/>
      </c>
      <c r="AU134" s="220">
        <f>ROUNDUP(AT134+AK134+AP134+AQ134,-4)</f>
        <v/>
      </c>
      <c r="AV134" s="198" t="n">
        <v>3550950</v>
      </c>
      <c r="AW134" s="227" t="n"/>
      <c r="AX134" s="220">
        <f>AV134-AR134</f>
        <v/>
      </c>
      <c r="AY134" s="35">
        <f>AX134/AR134</f>
        <v/>
      </c>
      <c r="AZ134" s="220">
        <f>AV134-AF134</f>
        <v/>
      </c>
      <c r="BA134" s="215">
        <f>AV134-SUM(Z134:AC134)</f>
        <v/>
      </c>
      <c r="BB134" s="215">
        <f>BA134-Y134</f>
        <v/>
      </c>
      <c r="BC134" s="35">
        <f>BB134/BA134</f>
        <v/>
      </c>
      <c r="BD134" s="35">
        <f>IFERROR(AZ134/AV134,)</f>
        <v/>
      </c>
      <c r="BE134" s="255">
        <f>AV134-SUM(Z134:AC134)</f>
        <v/>
      </c>
      <c r="BF134" s="255">
        <f>AV134-BE134-AC134-AB134</f>
        <v/>
      </c>
      <c r="BG134" s="255">
        <f>AV134-BE134-BF134-AB134</f>
        <v/>
      </c>
      <c r="BH134" s="255">
        <f>AB134</f>
        <v/>
      </c>
      <c r="BI134">
        <f>IF(BD134&lt;0%,"Loss",IF(BD134&lt;5%,"On Cost Plus",IF(BD134&lt;10%,"Within","Exceed")))</f>
        <v/>
      </c>
      <c r="BJ134" t="inlineStr">
        <is>
          <t>Within</t>
        </is>
      </c>
      <c r="BK134">
        <f>0.51*$BK$6</f>
        <v/>
      </c>
      <c r="BL134" s="190">
        <f>BK134-W134</f>
        <v/>
      </c>
      <c r="BM134" s="189">
        <f>BL134*O134</f>
        <v/>
      </c>
    </row>
    <row r="135">
      <c r="A135">
        <f>CONCATENATE(E135,F135,G135,H135,I135,J135,K135,L135)</f>
        <v/>
      </c>
      <c r="B135">
        <f>CONCATENATE(J135,"-&gt;",K135,"/",E135)</f>
        <v/>
      </c>
      <c r="C135" s="23" t="inlineStr">
        <is>
          <t>AFEEZ AJIBADE/Ebenezer</t>
        </is>
      </c>
      <c r="D135">
        <f>CONCATENATE(G135,"-",H135,"-",F135)</f>
        <v/>
      </c>
      <c r="E135" s="24" t="inlineStr">
        <is>
          <t>Lacasera-45T-NBL-DSL-JUMBO</t>
        </is>
      </c>
      <c r="F135" s="24" t="inlineStr">
        <is>
          <t>JUMBO</t>
        </is>
      </c>
      <c r="G135" s="25" t="inlineStr">
        <is>
          <t>NBL-DSL</t>
        </is>
      </c>
      <c r="H135" s="24" t="inlineStr">
        <is>
          <t>45T</t>
        </is>
      </c>
      <c r="I135" s="251" t="inlineStr">
        <is>
          <t>Lacasera</t>
        </is>
      </c>
      <c r="J135" s="251" t="inlineStr">
        <is>
          <t>Lagos</t>
        </is>
      </c>
      <c r="K135" s="23" t="inlineStr">
        <is>
          <t>Chikanda</t>
        </is>
      </c>
      <c r="L135" t="inlineStr">
        <is>
          <t>Kwara</t>
        </is>
      </c>
      <c r="M135" s="1" t="inlineStr">
        <is>
          <t>West</t>
        </is>
      </c>
      <c r="N135" s="261" t="n">
        <v>458</v>
      </c>
      <c r="O135" s="257" t="n">
        <v>916</v>
      </c>
      <c r="P135" s="227">
        <f>ROUNDUP(O135/300,)</f>
        <v/>
      </c>
      <c r="Q135" s="220" t="n">
        <v>1</v>
      </c>
      <c r="R135" s="220">
        <f>Q135+P135</f>
        <v/>
      </c>
      <c r="S135" s="198">
        <f>ROUNDDOWN(O135*0.7,)</f>
        <v/>
      </c>
      <c r="T135" s="220">
        <f>_xlfn.XLOOKUP(G135,[1]Fx!$A$4:$A$12,[1]Fx!$B$4:$B$12)</f>
        <v/>
      </c>
      <c r="U135" s="220">
        <f>_xlfn.XLOOKUP(G135,[1]Fx!$A$4:$A$12,[1]Fx!$C$4:$C$12)</f>
        <v/>
      </c>
      <c r="V135" s="220">
        <f>_xlfn.XLOOKUP(G135,[1]Fx!$A$4:$A$12,[1]Fx!$D$4:$D$12)</f>
        <v/>
      </c>
      <c r="W135" s="208">
        <f>_xlfn.XLOOKUP(H135&amp;I135,'[1]Mapping DSL'!$H:$H,'[1]Mapping DSL'!$J:$J)</f>
        <v/>
      </c>
      <c r="X135" s="220">
        <f>_xlfn.XLOOKUP(G135,[1]Fx!$A$4:$A$12,[1]Fx!$E$4:$E$12)</f>
        <v/>
      </c>
      <c r="Y135" s="220">
        <f>T135*R135</f>
        <v/>
      </c>
      <c r="Z135" s="220">
        <f>U135*O135</f>
        <v/>
      </c>
      <c r="AA135" s="220">
        <f>V135*O135</f>
        <v/>
      </c>
      <c r="AB135" s="220">
        <f>W135*O135</f>
        <v/>
      </c>
      <c r="AC135" s="198">
        <f>X135*O135</f>
        <v/>
      </c>
      <c r="AD135" s="220" t="n">
        <v>0</v>
      </c>
      <c r="AE135" s="220" t="n">
        <v>0</v>
      </c>
      <c r="AF135" s="220">
        <f>SUM(Y135:AE135)</f>
        <v/>
      </c>
      <c r="AG135" s="205">
        <f>_xlfn.XLOOKUP(G135,[1]Fx!$A$16:$A$24,[1]Fx!$B$16:$B$24)</f>
        <v/>
      </c>
      <c r="AH135" s="220">
        <f>AG135*R135</f>
        <v/>
      </c>
      <c r="AI135" s="220">
        <f>$AI$6*Z135</f>
        <v/>
      </c>
      <c r="AJ135" s="220">
        <f>$AJ$6*AA135</f>
        <v/>
      </c>
      <c r="AK135" s="220">
        <f>$AK$6*AB135</f>
        <v/>
      </c>
      <c r="AL135" s="220">
        <f>$AL$6*AC135</f>
        <v/>
      </c>
      <c r="AM135" s="220">
        <f>SUM(AH135:AL135)</f>
        <v/>
      </c>
      <c r="AN135" s="220" t="n">
        <v>0</v>
      </c>
      <c r="AO135" s="220">
        <f>AN135*AH135</f>
        <v/>
      </c>
      <c r="AP135" s="220">
        <f>AD135</f>
        <v/>
      </c>
      <c r="AQ135" s="220">
        <f>AE135</f>
        <v/>
      </c>
      <c r="AR135" s="220">
        <f>AM135-AO135</f>
        <v/>
      </c>
      <c r="AS135" s="220">
        <f>AR135-AK135</f>
        <v/>
      </c>
      <c r="AT135" s="220">
        <f>AS135*1.075</f>
        <v/>
      </c>
      <c r="AU135" s="220">
        <f>ROUNDUP(AT135+AK135+AP135+AQ135,-4)</f>
        <v/>
      </c>
      <c r="AV135" s="198" t="n">
        <v>2268319</v>
      </c>
      <c r="AW135" s="227" t="n"/>
      <c r="AX135" s="220">
        <f>AV135-AR135</f>
        <v/>
      </c>
      <c r="AY135" s="35">
        <f>AX135/AR135</f>
        <v/>
      </c>
      <c r="AZ135" s="220">
        <f>AV135-AF135</f>
        <v/>
      </c>
      <c r="BA135" s="215">
        <f>AV135-SUM(Z135:AC135)</f>
        <v/>
      </c>
      <c r="BB135" s="215">
        <f>BA135-Y135</f>
        <v/>
      </c>
      <c r="BC135" s="35">
        <f>BB135/BA135</f>
        <v/>
      </c>
      <c r="BD135" s="35">
        <f>IFERROR(AZ135/AV135,)</f>
        <v/>
      </c>
      <c r="BE135" s="255">
        <f>AV135-SUM(Z135:AC135)</f>
        <v/>
      </c>
      <c r="BF135" s="255">
        <f>AV135-BE135-AC135-AB135</f>
        <v/>
      </c>
      <c r="BG135" s="255">
        <f>AV135-BE135-BF135-AB135</f>
        <v/>
      </c>
      <c r="BH135" s="255">
        <f>AB135</f>
        <v/>
      </c>
      <c r="BI135">
        <f>IF(BD135&lt;0%,"Loss",IF(BD135&lt;5%,"On Cost Plus",IF(BD135&lt;10%,"Within","Exceed")))</f>
        <v/>
      </c>
      <c r="BJ135" t="inlineStr">
        <is>
          <t>Exceed</t>
        </is>
      </c>
      <c r="BK135">
        <f>0.51*$BK$6</f>
        <v/>
      </c>
      <c r="BL135" s="190">
        <f>BK135-W135</f>
        <v/>
      </c>
      <c r="BM135" s="189">
        <f>BL135*O135</f>
        <v/>
      </c>
    </row>
    <row r="136">
      <c r="A136">
        <f>CONCATENATE(E136,F136,G136,H136,I136,J136,K136,L136)</f>
        <v/>
      </c>
      <c r="B136">
        <f>CONCATENATE(J136,"-&gt;",K136,"/",E136)</f>
        <v/>
      </c>
      <c r="C136" s="23" t="inlineStr">
        <is>
          <t>AFEEZ AJIBADE/Ebenezer</t>
        </is>
      </c>
      <c r="D136">
        <f>CONCATENATE(G136,"-",H136,"-",F136)</f>
        <v/>
      </c>
      <c r="E136" s="24" t="inlineStr">
        <is>
          <t>Lacasera-45T-NBL-DSL-JUMBO</t>
        </is>
      </c>
      <c r="F136" s="24" t="inlineStr">
        <is>
          <t>JUMBO</t>
        </is>
      </c>
      <c r="G136" s="25" t="inlineStr">
        <is>
          <t>NBL-DSL</t>
        </is>
      </c>
      <c r="H136" s="24" t="inlineStr">
        <is>
          <t>45T</t>
        </is>
      </c>
      <c r="I136" s="251" t="inlineStr">
        <is>
          <t>Lacasera</t>
        </is>
      </c>
      <c r="J136" s="251" t="inlineStr">
        <is>
          <t>Lagos</t>
        </is>
      </c>
      <c r="K136" s="23" t="inlineStr">
        <is>
          <t>Ifon</t>
        </is>
      </c>
      <c r="L136" t="inlineStr">
        <is>
          <t>Ondo</t>
        </is>
      </c>
      <c r="M136" s="1" t="inlineStr">
        <is>
          <t>West</t>
        </is>
      </c>
      <c r="N136" s="261" t="n">
        <v>372.5</v>
      </c>
      <c r="O136" s="257" t="n">
        <v>745</v>
      </c>
      <c r="P136" s="227">
        <f>ROUNDUP(O136/300,)</f>
        <v/>
      </c>
      <c r="Q136" s="220" t="n">
        <v>1</v>
      </c>
      <c r="R136" s="220">
        <f>Q136+P136</f>
        <v/>
      </c>
      <c r="S136" s="198">
        <f>ROUNDDOWN(O136*0.7,)</f>
        <v/>
      </c>
      <c r="T136" s="220">
        <f>_xlfn.XLOOKUP(G136,[1]Fx!$A$4:$A$12,[1]Fx!$B$4:$B$12)</f>
        <v/>
      </c>
      <c r="U136" s="220">
        <f>_xlfn.XLOOKUP(G136,[1]Fx!$A$4:$A$12,[1]Fx!$C$4:$C$12)</f>
        <v/>
      </c>
      <c r="V136" s="220">
        <f>_xlfn.XLOOKUP(G136,[1]Fx!$A$4:$A$12,[1]Fx!$D$4:$D$12)</f>
        <v/>
      </c>
      <c r="W136" s="208">
        <f>_xlfn.XLOOKUP(H136&amp;I136,'[1]Mapping DSL'!$H:$H,'[1]Mapping DSL'!$J:$J)</f>
        <v/>
      </c>
      <c r="X136" s="220">
        <f>_xlfn.XLOOKUP(G136,[1]Fx!$A$4:$A$12,[1]Fx!$E$4:$E$12)</f>
        <v/>
      </c>
      <c r="Y136" s="220">
        <f>T136*R136</f>
        <v/>
      </c>
      <c r="Z136" s="220">
        <f>U136*O136</f>
        <v/>
      </c>
      <c r="AA136" s="220">
        <f>V136*O136</f>
        <v/>
      </c>
      <c r="AB136" s="220">
        <f>W136*O136</f>
        <v/>
      </c>
      <c r="AC136" s="198">
        <f>X136*O136</f>
        <v/>
      </c>
      <c r="AD136" s="220" t="n">
        <v>0</v>
      </c>
      <c r="AE136" s="220" t="n">
        <v>0</v>
      </c>
      <c r="AF136" s="220">
        <f>SUM(Y136:AE136)</f>
        <v/>
      </c>
      <c r="AG136" s="205">
        <f>_xlfn.XLOOKUP(G136,[1]Fx!$A$16:$A$24,[1]Fx!$B$16:$B$24)</f>
        <v/>
      </c>
      <c r="AH136" s="220">
        <f>AG136*R136</f>
        <v/>
      </c>
      <c r="AI136" s="220">
        <f>$AI$6*Z136</f>
        <v/>
      </c>
      <c r="AJ136" s="220">
        <f>$AJ$6*AA136</f>
        <v/>
      </c>
      <c r="AK136" s="220">
        <f>$AK$6*AB136</f>
        <v/>
      </c>
      <c r="AL136" s="220">
        <f>$AL$6*AC136</f>
        <v/>
      </c>
      <c r="AM136" s="220">
        <f>SUM(AH136:AL136)</f>
        <v/>
      </c>
      <c r="AN136" s="220" t="n">
        <v>0</v>
      </c>
      <c r="AO136" s="220">
        <f>AN136*AH136</f>
        <v/>
      </c>
      <c r="AP136" s="220">
        <f>AD136</f>
        <v/>
      </c>
      <c r="AQ136" s="220">
        <f>AE136</f>
        <v/>
      </c>
      <c r="AR136" s="220">
        <f>AM136-AO136</f>
        <v/>
      </c>
      <c r="AS136" s="220">
        <f>AR136-AK136</f>
        <v/>
      </c>
      <c r="AT136" s="220">
        <f>AS136*1.075</f>
        <v/>
      </c>
      <c r="AU136" s="220">
        <f>ROUNDUP(AT136+AK136+AP136+AQ136,-4)</f>
        <v/>
      </c>
      <c r="AV136" s="198" t="n">
        <v>2052485</v>
      </c>
      <c r="AW136" s="227" t="n"/>
      <c r="AX136" s="220">
        <f>AV136-AR136</f>
        <v/>
      </c>
      <c r="AY136" s="35">
        <f>AX136/AR136</f>
        <v/>
      </c>
      <c r="AZ136" s="220">
        <f>AV136-AF136</f>
        <v/>
      </c>
      <c r="BA136" s="215">
        <f>AV136-SUM(Z136:AC136)</f>
        <v/>
      </c>
      <c r="BB136" s="215">
        <f>BA136-Y136</f>
        <v/>
      </c>
      <c r="BC136" s="35">
        <f>BB136/BA136</f>
        <v/>
      </c>
      <c r="BD136" s="35">
        <f>IFERROR(AZ136/AV136,)</f>
        <v/>
      </c>
      <c r="BE136" s="255">
        <f>AV136-SUM(Z136:AC136)</f>
        <v/>
      </c>
      <c r="BF136" s="255">
        <f>AV136-BE136-AC136-AB136</f>
        <v/>
      </c>
      <c r="BG136" s="255">
        <f>AV136-BE136-BF136-AB136</f>
        <v/>
      </c>
      <c r="BH136" s="255">
        <f>AB136</f>
        <v/>
      </c>
      <c r="BI136">
        <f>IF(BD136&lt;0%,"Loss",IF(BD136&lt;5%,"On Cost Plus",IF(BD136&lt;10%,"Within","Exceed")))</f>
        <v/>
      </c>
      <c r="BJ136" t="inlineStr">
        <is>
          <t>Exceed</t>
        </is>
      </c>
      <c r="BK136">
        <f>0.51*$BK$6</f>
        <v/>
      </c>
      <c r="BL136" s="190">
        <f>BK136-W136</f>
        <v/>
      </c>
      <c r="BM136" s="189">
        <f>BL136*O136</f>
        <v/>
      </c>
    </row>
    <row r="137">
      <c r="A137">
        <f>CONCATENATE(E137,F137,G137,H137,I137,J137,K137,L137)</f>
        <v/>
      </c>
      <c r="B137">
        <f>CONCATENATE(J137,"-&gt;",K137,"/",E137)</f>
        <v/>
      </c>
      <c r="C137" s="23" t="inlineStr">
        <is>
          <t>AFEEZ AJIBADE/Ebenezer</t>
        </is>
      </c>
      <c r="D137">
        <f>CONCATENATE(G137,"-",H137,"-",F137)</f>
        <v/>
      </c>
      <c r="E137" s="24" t="inlineStr">
        <is>
          <t>Lacasera-45T-NBL-DSL-JUMBO</t>
        </is>
      </c>
      <c r="F137" s="24" t="inlineStr">
        <is>
          <t>JUMBO</t>
        </is>
      </c>
      <c r="G137" s="25" t="inlineStr">
        <is>
          <t>NBL-DSL</t>
        </is>
      </c>
      <c r="H137" s="24" t="inlineStr">
        <is>
          <t>45T</t>
        </is>
      </c>
      <c r="I137" s="251" t="inlineStr">
        <is>
          <t>Lacasera</t>
        </is>
      </c>
      <c r="J137" s="251" t="inlineStr">
        <is>
          <t>Lagos</t>
        </is>
      </c>
      <c r="K137" s="23" t="inlineStr">
        <is>
          <t>Aba</t>
        </is>
      </c>
      <c r="L137" t="inlineStr">
        <is>
          <t>Abia</t>
        </is>
      </c>
      <c r="M137" s="1" t="inlineStr">
        <is>
          <t>East</t>
        </is>
      </c>
      <c r="N137" s="253" t="n">
        <v>608</v>
      </c>
      <c r="O137" s="257" t="n">
        <v>1216</v>
      </c>
      <c r="P137" s="227">
        <f>ROUNDUP(O137/300,)</f>
        <v/>
      </c>
      <c r="Q137" s="220" t="n">
        <v>1</v>
      </c>
      <c r="R137" s="220">
        <f>Q137+P137</f>
        <v/>
      </c>
      <c r="S137" s="198">
        <f>ROUNDDOWN(O137*0.7,)</f>
        <v/>
      </c>
      <c r="T137" s="220">
        <f>_xlfn.XLOOKUP(G137,[1]Fx!$A$4:$A$12,[1]Fx!$B$4:$B$12)</f>
        <v/>
      </c>
      <c r="U137" s="220">
        <f>_xlfn.XLOOKUP(G137,[1]Fx!$A$4:$A$12,[1]Fx!$C$4:$C$12)</f>
        <v/>
      </c>
      <c r="V137" s="220">
        <f>_xlfn.XLOOKUP(G137,[1]Fx!$A$4:$A$12,[1]Fx!$D$4:$D$12)</f>
        <v/>
      </c>
      <c r="W137" s="208">
        <f>_xlfn.XLOOKUP(H137&amp;I137,'[1]Mapping DSL'!$H:$H,'[1]Mapping DSL'!$J:$J)</f>
        <v/>
      </c>
      <c r="X137" s="220">
        <f>_xlfn.XLOOKUP(G137,[1]Fx!$A$4:$A$12,[1]Fx!$E$4:$E$12)</f>
        <v/>
      </c>
      <c r="Y137" s="220">
        <f>T137*R137</f>
        <v/>
      </c>
      <c r="Z137" s="220">
        <f>U137*O137</f>
        <v/>
      </c>
      <c r="AA137" s="220">
        <f>V137*O137</f>
        <v/>
      </c>
      <c r="AB137" s="220">
        <f>W137*O137</f>
        <v/>
      </c>
      <c r="AC137" s="198">
        <f>X137*O137</f>
        <v/>
      </c>
      <c r="AD137" s="220" t="n">
        <v>0</v>
      </c>
      <c r="AE137" s="220" t="n">
        <v>0</v>
      </c>
      <c r="AF137" s="220">
        <f>SUM(Y137:AE137)</f>
        <v/>
      </c>
      <c r="AG137" s="205">
        <f>_xlfn.XLOOKUP(G137,[1]Fx!$A$16:$A$24,[1]Fx!$B$16:$B$24)</f>
        <v/>
      </c>
      <c r="AH137" s="220">
        <f>AG137*R137</f>
        <v/>
      </c>
      <c r="AI137" s="220">
        <f>$AI$6*Z137</f>
        <v/>
      </c>
      <c r="AJ137" s="220">
        <f>$AJ$6*AA137</f>
        <v/>
      </c>
      <c r="AK137" s="220">
        <f>$AK$6*AB137</f>
        <v/>
      </c>
      <c r="AL137" s="220">
        <f>$AL$6*AC137</f>
        <v/>
      </c>
      <c r="AM137" s="220">
        <f>SUM(AH137:AL137)</f>
        <v/>
      </c>
      <c r="AN137" s="220" t="n">
        <v>0</v>
      </c>
      <c r="AO137" s="220">
        <f>AN137*AH137</f>
        <v/>
      </c>
      <c r="AP137" s="220">
        <f>AD137</f>
        <v/>
      </c>
      <c r="AQ137" s="220">
        <f>AE137</f>
        <v/>
      </c>
      <c r="AR137" s="220">
        <f>AM137-AO137</f>
        <v/>
      </c>
      <c r="AS137" s="220">
        <f>AR137-AK137</f>
        <v/>
      </c>
      <c r="AT137" s="220">
        <f>AS137*1.075</f>
        <v/>
      </c>
      <c r="AU137" s="220">
        <f>ROUNDUP(AT137+AK137+AP137+AQ137,-4)</f>
        <v/>
      </c>
      <c r="AV137" s="198" t="n">
        <v>2639315</v>
      </c>
      <c r="AW137" s="227" t="n"/>
      <c r="AX137" s="220">
        <f>AV137-AR137</f>
        <v/>
      </c>
      <c r="AY137" s="35">
        <f>AX137/AR137</f>
        <v/>
      </c>
      <c r="AZ137" s="220">
        <f>AV137-AF137</f>
        <v/>
      </c>
      <c r="BA137" s="215">
        <f>AV137-SUM(Z137:AC137)</f>
        <v/>
      </c>
      <c r="BB137" s="215">
        <f>BA137-Y137</f>
        <v/>
      </c>
      <c r="BC137" s="35">
        <f>BB137/BA137</f>
        <v/>
      </c>
      <c r="BD137" s="35">
        <f>IFERROR(AZ137/AV137,)</f>
        <v/>
      </c>
      <c r="BE137" s="255">
        <f>AV137-SUM(Z137:AC137)</f>
        <v/>
      </c>
      <c r="BF137" s="255">
        <f>AV137-BE137-AC137-AB137</f>
        <v/>
      </c>
      <c r="BG137" s="255">
        <f>AV137-BE137-BF137-AB137</f>
        <v/>
      </c>
      <c r="BH137" s="255">
        <f>AB137</f>
        <v/>
      </c>
      <c r="BI137">
        <f>IF(BD137&lt;0%,"Loss",IF(BD137&lt;5%,"On Cost Plus",IF(BD137&lt;10%,"Within","Exceed")))</f>
        <v/>
      </c>
      <c r="BJ137" t="inlineStr">
        <is>
          <t>Exceed</t>
        </is>
      </c>
      <c r="BK137">
        <f>0.51*$BK$6</f>
        <v/>
      </c>
      <c r="BL137" s="190">
        <f>BK137-W137</f>
        <v/>
      </c>
      <c r="BM137" s="189">
        <f>BL137*O137</f>
        <v/>
      </c>
    </row>
    <row r="138">
      <c r="A138">
        <f>CONCATENATE(E138,F138,G138,H138,I138,J138,K138,L138)</f>
        <v/>
      </c>
      <c r="B138">
        <f>CONCATENATE(J138,"-&gt;",K138,"/",E138)</f>
        <v/>
      </c>
      <c r="C138" s="23" t="inlineStr">
        <is>
          <t>AFEEZ AJIBADE/Ebenezer</t>
        </is>
      </c>
      <c r="D138">
        <f>CONCATENATE(G138,"-",H138,"-",F138)</f>
        <v/>
      </c>
      <c r="E138" s="24" t="inlineStr">
        <is>
          <t>Lacasera-45T-NBL-DSL-JUMBO</t>
        </is>
      </c>
      <c r="F138" s="24" t="inlineStr">
        <is>
          <t>JUMBO</t>
        </is>
      </c>
      <c r="G138" s="25" t="inlineStr">
        <is>
          <t>NBL-DSL</t>
        </is>
      </c>
      <c r="H138" s="24" t="inlineStr">
        <is>
          <t>45T</t>
        </is>
      </c>
      <c r="I138" s="251" t="inlineStr">
        <is>
          <t>Lacasera</t>
        </is>
      </c>
      <c r="J138" s="251" t="inlineStr">
        <is>
          <t>Lagos</t>
        </is>
      </c>
      <c r="K138" s="23" t="inlineStr">
        <is>
          <t>Ikot Ekpene</t>
        </is>
      </c>
      <c r="L138" t="inlineStr">
        <is>
          <t>Akwa Ibom</t>
        </is>
      </c>
      <c r="M138" s="1" t="inlineStr">
        <is>
          <t>East</t>
        </is>
      </c>
      <c r="N138" s="261" t="n">
        <v>648</v>
      </c>
      <c r="O138" s="257" t="n">
        <v>1296</v>
      </c>
      <c r="P138" s="227">
        <f>ROUNDUP(O138/300,)</f>
        <v/>
      </c>
      <c r="Q138" s="220" t="n">
        <v>1</v>
      </c>
      <c r="R138" s="220">
        <f>Q138+P138</f>
        <v/>
      </c>
      <c r="S138" s="198">
        <f>ROUNDDOWN(O138*0.7,)</f>
        <v/>
      </c>
      <c r="T138" s="220">
        <f>_xlfn.XLOOKUP(G138,[1]Fx!$A$4:$A$12,[1]Fx!$B$4:$B$12)</f>
        <v/>
      </c>
      <c r="U138" s="220">
        <f>_xlfn.XLOOKUP(G138,[1]Fx!$A$4:$A$12,[1]Fx!$C$4:$C$12)</f>
        <v/>
      </c>
      <c r="V138" s="220">
        <f>_xlfn.XLOOKUP(G138,[1]Fx!$A$4:$A$12,[1]Fx!$D$4:$D$12)</f>
        <v/>
      </c>
      <c r="W138" s="208">
        <f>_xlfn.XLOOKUP(H138&amp;I138,'[1]Mapping DSL'!$H:$H,'[1]Mapping DSL'!$J:$J)</f>
        <v/>
      </c>
      <c r="X138" s="220">
        <f>_xlfn.XLOOKUP(G138,[1]Fx!$A$4:$A$12,[1]Fx!$E$4:$E$12)</f>
        <v/>
      </c>
      <c r="Y138" s="220">
        <f>T138*R138</f>
        <v/>
      </c>
      <c r="Z138" s="220">
        <f>U138*O138</f>
        <v/>
      </c>
      <c r="AA138" s="220">
        <f>V138*O138</f>
        <v/>
      </c>
      <c r="AB138" s="220">
        <f>W138*O138</f>
        <v/>
      </c>
      <c r="AC138" s="198">
        <f>X138*O138</f>
        <v/>
      </c>
      <c r="AD138" s="220" t="n">
        <v>0</v>
      </c>
      <c r="AE138" s="220" t="n">
        <v>0</v>
      </c>
      <c r="AF138" s="220">
        <f>SUM(Y138:AE138)</f>
        <v/>
      </c>
      <c r="AG138" s="205">
        <f>_xlfn.XLOOKUP(G138,[1]Fx!$A$16:$A$24,[1]Fx!$B$16:$B$24)</f>
        <v/>
      </c>
      <c r="AH138" s="220">
        <f>AG138*R138</f>
        <v/>
      </c>
      <c r="AI138" s="220">
        <f>$AI$6*Z138</f>
        <v/>
      </c>
      <c r="AJ138" s="220">
        <f>$AJ$6*AA138</f>
        <v/>
      </c>
      <c r="AK138" s="220">
        <f>$AK$6*AB138</f>
        <v/>
      </c>
      <c r="AL138" s="220">
        <f>$AL$6*AC138</f>
        <v/>
      </c>
      <c r="AM138" s="220">
        <f>SUM(AH138:AL138)</f>
        <v/>
      </c>
      <c r="AN138" s="220" t="n">
        <v>0</v>
      </c>
      <c r="AO138" s="220">
        <f>AN138*AH138</f>
        <v/>
      </c>
      <c r="AP138" s="220">
        <f>AD138</f>
        <v/>
      </c>
      <c r="AQ138" s="220">
        <f>AE138</f>
        <v/>
      </c>
      <c r="AR138" s="220">
        <f>AM138-AO138</f>
        <v/>
      </c>
      <c r="AS138" s="220">
        <f>AR138-AK138</f>
        <v/>
      </c>
      <c r="AT138" s="220">
        <f>AS138*1.075</f>
        <v/>
      </c>
      <c r="AU138" s="220">
        <f>ROUNDUP(AT138+AK138+AP138+AQ138,-4)</f>
        <v/>
      </c>
      <c r="AV138" s="198" t="n">
        <v>2746976</v>
      </c>
      <c r="AW138" s="227" t="n"/>
      <c r="AX138" s="220">
        <f>AV138-AR138</f>
        <v/>
      </c>
      <c r="AY138" s="35">
        <f>AX138/AR138</f>
        <v/>
      </c>
      <c r="AZ138" s="220">
        <f>AV138-AF138</f>
        <v/>
      </c>
      <c r="BA138" s="215">
        <f>AV138-SUM(Z138:AC138)</f>
        <v/>
      </c>
      <c r="BB138" s="215">
        <f>BA138-Y138</f>
        <v/>
      </c>
      <c r="BC138" s="35">
        <f>BB138/BA138</f>
        <v/>
      </c>
      <c r="BD138" s="35">
        <f>IFERROR(AZ138/AV138,)</f>
        <v/>
      </c>
      <c r="BE138" s="255">
        <f>AV138-SUM(Z138:AC138)</f>
        <v/>
      </c>
      <c r="BF138" s="255">
        <f>AV138-BE138-AC138-AB138</f>
        <v/>
      </c>
      <c r="BG138" s="255">
        <f>AV138-BE138-BF138-AB138</f>
        <v/>
      </c>
      <c r="BH138" s="255">
        <f>AB138</f>
        <v/>
      </c>
      <c r="BI138">
        <f>IF(BD138&lt;0%,"Loss",IF(BD138&lt;5%,"On Cost Plus",IF(BD138&lt;10%,"Within","Exceed")))</f>
        <v/>
      </c>
      <c r="BJ138" t="inlineStr">
        <is>
          <t>Exceed</t>
        </is>
      </c>
      <c r="BK138">
        <f>0.51*$BK$6</f>
        <v/>
      </c>
      <c r="BL138" s="190">
        <f>BK138-W138</f>
        <v/>
      </c>
      <c r="BM138" s="189">
        <f>BL138*O138</f>
        <v/>
      </c>
    </row>
    <row r="139">
      <c r="A139">
        <f>CONCATENATE(E139,F139,G139,H139,I139,J139,K139,L139)</f>
        <v/>
      </c>
      <c r="B139">
        <f>CONCATENATE(J139,"-&gt;",K139,"/",E139)</f>
        <v/>
      </c>
      <c r="C139" s="23" t="inlineStr">
        <is>
          <t>AFEEZ AJIBADE/Ebenezer</t>
        </is>
      </c>
      <c r="D139">
        <f>CONCATENATE(G139,"-",H139,"-",F139)</f>
        <v/>
      </c>
      <c r="E139" s="24" t="inlineStr">
        <is>
          <t>Lacasera-45T-NBL-DSL-JUMBO</t>
        </is>
      </c>
      <c r="F139" s="24" t="inlineStr">
        <is>
          <t>JUMBO</t>
        </is>
      </c>
      <c r="G139" s="25" t="inlineStr">
        <is>
          <t>NBL-DSL</t>
        </is>
      </c>
      <c r="H139" s="24" t="inlineStr">
        <is>
          <t>45T</t>
        </is>
      </c>
      <c r="I139" s="251" t="inlineStr">
        <is>
          <t>Lacasera</t>
        </is>
      </c>
      <c r="J139" s="251" t="inlineStr">
        <is>
          <t>Lagos</t>
        </is>
      </c>
      <c r="K139" s="23" t="inlineStr">
        <is>
          <t>Oron</t>
        </is>
      </c>
      <c r="L139" t="inlineStr">
        <is>
          <t>Akwa Ibom</t>
        </is>
      </c>
      <c r="M139" s="1" t="inlineStr">
        <is>
          <t>East</t>
        </is>
      </c>
      <c r="N139" s="261" t="n">
        <v>740</v>
      </c>
      <c r="O139" s="257" t="n">
        <v>1480</v>
      </c>
      <c r="P139" s="227">
        <f>ROUNDUP(O139/300,)</f>
        <v/>
      </c>
      <c r="Q139" s="220" t="n">
        <v>1</v>
      </c>
      <c r="R139" s="220">
        <f>Q139+P139</f>
        <v/>
      </c>
      <c r="S139" s="198">
        <f>ROUNDDOWN(O139*0.7,)</f>
        <v/>
      </c>
      <c r="T139" s="220">
        <f>_xlfn.XLOOKUP(G139,[1]Fx!$A$4:$A$12,[1]Fx!$B$4:$B$12)</f>
        <v/>
      </c>
      <c r="U139" s="220">
        <f>_xlfn.XLOOKUP(G139,[1]Fx!$A$4:$A$12,[1]Fx!$C$4:$C$12)</f>
        <v/>
      </c>
      <c r="V139" s="220">
        <f>_xlfn.XLOOKUP(G139,[1]Fx!$A$4:$A$12,[1]Fx!$D$4:$D$12)</f>
        <v/>
      </c>
      <c r="W139" s="208">
        <f>_xlfn.XLOOKUP(H139&amp;I139,'[1]Mapping DSL'!$H:$H,'[1]Mapping DSL'!$J:$J)</f>
        <v/>
      </c>
      <c r="X139" s="220">
        <f>_xlfn.XLOOKUP(G139,[1]Fx!$A$4:$A$12,[1]Fx!$E$4:$E$12)</f>
        <v/>
      </c>
      <c r="Y139" s="220">
        <f>T139*R139</f>
        <v/>
      </c>
      <c r="Z139" s="220">
        <f>U139*O139</f>
        <v/>
      </c>
      <c r="AA139" s="220">
        <f>V139*O139</f>
        <v/>
      </c>
      <c r="AB139" s="220">
        <f>W139*O139</f>
        <v/>
      </c>
      <c r="AC139" s="198">
        <f>X139*O139</f>
        <v/>
      </c>
      <c r="AD139" s="220" t="n">
        <v>0</v>
      </c>
      <c r="AE139" s="220" t="n">
        <v>0</v>
      </c>
      <c r="AF139" s="220">
        <f>SUM(Y139:AE139)</f>
        <v/>
      </c>
      <c r="AG139" s="205">
        <f>_xlfn.XLOOKUP(G139,[1]Fx!$A$16:$A$24,[1]Fx!$B$16:$B$24)</f>
        <v/>
      </c>
      <c r="AH139" s="220">
        <f>AG139*R139</f>
        <v/>
      </c>
      <c r="AI139" s="220">
        <f>$AI$6*Z139</f>
        <v/>
      </c>
      <c r="AJ139" s="220">
        <f>$AJ$6*AA139</f>
        <v/>
      </c>
      <c r="AK139" s="220">
        <f>$AK$6*AB139</f>
        <v/>
      </c>
      <c r="AL139" s="220">
        <f>$AL$6*AC139</f>
        <v/>
      </c>
      <c r="AM139" s="220">
        <f>SUM(AH139:AL139)</f>
        <v/>
      </c>
      <c r="AN139" s="220" t="n">
        <v>0</v>
      </c>
      <c r="AO139" s="220">
        <f>AN139*AH139</f>
        <v/>
      </c>
      <c r="AP139" s="220">
        <f>AD139</f>
        <v/>
      </c>
      <c r="AQ139" s="220">
        <f>AE139</f>
        <v/>
      </c>
      <c r="AR139" s="220">
        <f>AM139-AO139</f>
        <v/>
      </c>
      <c r="AS139" s="220">
        <f>AR139-AK139</f>
        <v/>
      </c>
      <c r="AT139" s="220">
        <f>AS139*1.075</f>
        <v/>
      </c>
      <c r="AU139" s="220">
        <f>ROUNDUP(AT139+AK139+AP139+AQ139,-4)</f>
        <v/>
      </c>
      <c r="AV139" s="198" t="n">
        <v>3244220</v>
      </c>
      <c r="AW139" s="227" t="n"/>
      <c r="AX139" s="220">
        <f>AV139-AR139</f>
        <v/>
      </c>
      <c r="AY139" s="35">
        <f>AX139/AR139</f>
        <v/>
      </c>
      <c r="AZ139" s="220">
        <f>AV139-AF139</f>
        <v/>
      </c>
      <c r="BA139" s="215">
        <f>AV139-SUM(Z139:AC139)</f>
        <v/>
      </c>
      <c r="BB139" s="215">
        <f>BA139-Y139</f>
        <v/>
      </c>
      <c r="BC139" s="35">
        <f>BB139/BA139</f>
        <v/>
      </c>
      <c r="BD139" s="35">
        <f>IFERROR(AZ139/AV139,)</f>
        <v/>
      </c>
      <c r="BE139" s="255">
        <f>AV139-SUM(Z139:AC139)</f>
        <v/>
      </c>
      <c r="BF139" s="255">
        <f>AV139-BE139-AC139-AB139</f>
        <v/>
      </c>
      <c r="BG139" s="255">
        <f>AV139-BE139-BF139-AB139</f>
        <v/>
      </c>
      <c r="BH139" s="255">
        <f>AB139</f>
        <v/>
      </c>
      <c r="BI139">
        <f>IF(BD139&lt;0%,"Loss",IF(BD139&lt;5%,"On Cost Plus",IF(BD139&lt;10%,"Within","Exceed")))</f>
        <v/>
      </c>
      <c r="BJ139" t="inlineStr">
        <is>
          <t>Exceed</t>
        </is>
      </c>
      <c r="BK139">
        <f>0.51*$BK$6</f>
        <v/>
      </c>
      <c r="BL139" s="190">
        <f>BK139-W139</f>
        <v/>
      </c>
      <c r="BM139" s="189">
        <f>BL139*O139</f>
        <v/>
      </c>
    </row>
    <row r="140">
      <c r="A140">
        <f>CONCATENATE(E140,F140,G140,H140,I140,J140,K140,L140)</f>
        <v/>
      </c>
      <c r="B140">
        <f>CONCATENATE(J140,"-&gt;",K140,"/",E140)</f>
        <v/>
      </c>
      <c r="C140" s="23" t="inlineStr">
        <is>
          <t>AFEEZ AJIBADE/Ebenezer</t>
        </is>
      </c>
      <c r="D140">
        <f>CONCATENATE(G140,"-",H140,"-",F140)</f>
        <v/>
      </c>
      <c r="E140" s="24" t="inlineStr">
        <is>
          <t>Lacasera-45T-NBL-DSL-JUMBO</t>
        </is>
      </c>
      <c r="F140" s="24" t="inlineStr">
        <is>
          <t>JUMBO</t>
        </is>
      </c>
      <c r="G140" s="25" t="inlineStr">
        <is>
          <t>NBL-DSL</t>
        </is>
      </c>
      <c r="H140" s="24" t="inlineStr">
        <is>
          <t>45T</t>
        </is>
      </c>
      <c r="I140" s="251" t="inlineStr">
        <is>
          <t>Lacasera</t>
        </is>
      </c>
      <c r="J140" s="251" t="inlineStr">
        <is>
          <t>Lagos</t>
        </is>
      </c>
      <c r="K140" s="23" t="inlineStr">
        <is>
          <t>Onitsha</t>
        </is>
      </c>
      <c r="L140" t="inlineStr">
        <is>
          <t>Anambra</t>
        </is>
      </c>
      <c r="M140" s="1" t="inlineStr">
        <is>
          <t>East</t>
        </is>
      </c>
      <c r="N140" s="261" t="n">
        <v>459</v>
      </c>
      <c r="O140" s="257" t="n">
        <v>918</v>
      </c>
      <c r="P140" s="227">
        <f>ROUNDUP(O140/300,)</f>
        <v/>
      </c>
      <c r="Q140" s="220" t="n">
        <v>1</v>
      </c>
      <c r="R140" s="220">
        <f>Q140+P140</f>
        <v/>
      </c>
      <c r="S140" s="198">
        <f>ROUNDDOWN(O140*0.7,)</f>
        <v/>
      </c>
      <c r="T140" s="220">
        <f>_xlfn.XLOOKUP(G140,[1]Fx!$A$4:$A$12,[1]Fx!$B$4:$B$12)</f>
        <v/>
      </c>
      <c r="U140" s="220">
        <f>_xlfn.XLOOKUP(G140,[1]Fx!$A$4:$A$12,[1]Fx!$C$4:$C$12)</f>
        <v/>
      </c>
      <c r="V140" s="220">
        <f>_xlfn.XLOOKUP(G140,[1]Fx!$A$4:$A$12,[1]Fx!$D$4:$D$12)</f>
        <v/>
      </c>
      <c r="W140" s="208">
        <f>_xlfn.XLOOKUP(H140&amp;I140,'[1]Mapping DSL'!$H:$H,'[1]Mapping DSL'!$J:$J)</f>
        <v/>
      </c>
      <c r="X140" s="220">
        <f>_xlfn.XLOOKUP(G140,[1]Fx!$A$4:$A$12,[1]Fx!$E$4:$E$12)</f>
        <v/>
      </c>
      <c r="Y140" s="220">
        <f>T140*R140</f>
        <v/>
      </c>
      <c r="Z140" s="220">
        <f>U140*O140</f>
        <v/>
      </c>
      <c r="AA140" s="220">
        <f>V140*O140</f>
        <v/>
      </c>
      <c r="AB140" s="220">
        <f>W140*O140</f>
        <v/>
      </c>
      <c r="AC140" s="198">
        <f>X140*O140</f>
        <v/>
      </c>
      <c r="AD140" s="220" t="n">
        <v>0</v>
      </c>
      <c r="AE140" s="220" t="n">
        <v>0</v>
      </c>
      <c r="AF140" s="220">
        <f>SUM(Y140:AE140)</f>
        <v/>
      </c>
      <c r="AG140" s="205">
        <f>_xlfn.XLOOKUP(G140,[1]Fx!$A$16:$A$24,[1]Fx!$B$16:$B$24)</f>
        <v/>
      </c>
      <c r="AH140" s="220">
        <f>AG140*R140</f>
        <v/>
      </c>
      <c r="AI140" s="220">
        <f>$AI$6*Z140</f>
        <v/>
      </c>
      <c r="AJ140" s="220">
        <f>$AJ$6*AA140</f>
        <v/>
      </c>
      <c r="AK140" s="220">
        <f>$AK$6*AB140</f>
        <v/>
      </c>
      <c r="AL140" s="220">
        <f>$AL$6*AC140</f>
        <v/>
      </c>
      <c r="AM140" s="220">
        <f>SUM(AH140:AL140)</f>
        <v/>
      </c>
      <c r="AN140" s="220" t="n">
        <v>0</v>
      </c>
      <c r="AO140" s="220">
        <f>AN140*AH140</f>
        <v/>
      </c>
      <c r="AP140" s="220">
        <f>AD140</f>
        <v/>
      </c>
      <c r="AQ140" s="220">
        <f>AE140</f>
        <v/>
      </c>
      <c r="AR140" s="220">
        <f>AM140-AO140</f>
        <v/>
      </c>
      <c r="AS140" s="220">
        <f>AR140-AK140</f>
        <v/>
      </c>
      <c r="AT140" s="220">
        <f>AS140*1.075</f>
        <v/>
      </c>
      <c r="AU140" s="220">
        <f>ROUNDUP(AT140+AK140+AP140+AQ140,-4)</f>
        <v/>
      </c>
      <c r="AV140" s="198" t="n">
        <v>2248843</v>
      </c>
      <c r="AW140" s="227" t="n"/>
      <c r="AX140" s="220">
        <f>AV140-AR140</f>
        <v/>
      </c>
      <c r="AY140" s="35">
        <f>AX140/AR140</f>
        <v/>
      </c>
      <c r="AZ140" s="220">
        <f>AV140-AF140</f>
        <v/>
      </c>
      <c r="BA140" s="215">
        <f>AV140-SUM(Z140:AC140)</f>
        <v/>
      </c>
      <c r="BB140" s="215">
        <f>BA140-Y140</f>
        <v/>
      </c>
      <c r="BC140" s="35">
        <f>BB140/BA140</f>
        <v/>
      </c>
      <c r="BD140" s="35">
        <f>IFERROR(AZ140/AV140,)</f>
        <v/>
      </c>
      <c r="BE140" s="255">
        <f>AV140-SUM(Z140:AC140)</f>
        <v/>
      </c>
      <c r="BF140" s="255">
        <f>AV140-BE140-AC140-AB140</f>
        <v/>
      </c>
      <c r="BG140" s="255">
        <f>AV140-BE140-BF140-AB140</f>
        <v/>
      </c>
      <c r="BH140" s="255">
        <f>AB140</f>
        <v/>
      </c>
      <c r="BI140">
        <f>IF(BD140&lt;0%,"Loss",IF(BD140&lt;5%,"On Cost Plus",IF(BD140&lt;10%,"Within","Exceed")))</f>
        <v/>
      </c>
      <c r="BJ140" t="inlineStr">
        <is>
          <t>Exceed</t>
        </is>
      </c>
      <c r="BK140">
        <f>0.51*$BK$6</f>
        <v/>
      </c>
      <c r="BL140" s="190">
        <f>BK140-W140</f>
        <v/>
      </c>
      <c r="BM140" s="189">
        <f>BL140*O140</f>
        <v/>
      </c>
    </row>
    <row r="141">
      <c r="A141">
        <f>CONCATENATE(E141,F141,G141,H141,I141,J141,K141,L141)</f>
        <v/>
      </c>
      <c r="B141">
        <f>CONCATENATE(J141,"-&gt;",K141,"/",E141)</f>
        <v/>
      </c>
      <c r="C141" s="23" t="inlineStr">
        <is>
          <t>AFEEZ AJIBADE/Ebenezer</t>
        </is>
      </c>
      <c r="D141">
        <f>CONCATENATE(G141,"-",H141,"-",F141)</f>
        <v/>
      </c>
      <c r="E141" s="24" t="inlineStr">
        <is>
          <t>Lacasera-45T-NBL-DSL-JUMBO</t>
        </is>
      </c>
      <c r="F141" s="24" t="inlineStr">
        <is>
          <t>JUMBO</t>
        </is>
      </c>
      <c r="G141" s="25" t="inlineStr">
        <is>
          <t>NBL-DSL</t>
        </is>
      </c>
      <c r="H141" s="24" t="inlineStr">
        <is>
          <t>45T</t>
        </is>
      </c>
      <c r="I141" s="251" t="inlineStr">
        <is>
          <t>Lacasera</t>
        </is>
      </c>
      <c r="J141" s="251" t="inlineStr">
        <is>
          <t>Lagos</t>
        </is>
      </c>
      <c r="K141" s="23" t="inlineStr">
        <is>
          <t>Yenagoa</t>
        </is>
      </c>
      <c r="L141" t="inlineStr">
        <is>
          <t>Bayelsa</t>
        </is>
      </c>
      <c r="M141" s="1" t="inlineStr">
        <is>
          <t>East</t>
        </is>
      </c>
      <c r="N141" s="261" t="n">
        <v>546</v>
      </c>
      <c r="O141" s="257" t="n">
        <v>1092</v>
      </c>
      <c r="P141" s="227">
        <f>ROUNDUP(O141/300,)</f>
        <v/>
      </c>
      <c r="Q141" s="220" t="n">
        <v>1</v>
      </c>
      <c r="R141" s="220">
        <f>Q141+P141</f>
        <v/>
      </c>
      <c r="S141" s="198">
        <f>ROUNDDOWN(O141*0.7,)</f>
        <v/>
      </c>
      <c r="T141" s="220">
        <f>_xlfn.XLOOKUP(G141,[1]Fx!$A$4:$A$12,[1]Fx!$B$4:$B$12)</f>
        <v/>
      </c>
      <c r="U141" s="220">
        <f>_xlfn.XLOOKUP(G141,[1]Fx!$A$4:$A$12,[1]Fx!$C$4:$C$12)</f>
        <v/>
      </c>
      <c r="V141" s="220">
        <f>_xlfn.XLOOKUP(G141,[1]Fx!$A$4:$A$12,[1]Fx!$D$4:$D$12)</f>
        <v/>
      </c>
      <c r="W141" s="208">
        <f>_xlfn.XLOOKUP(H141&amp;I141,'[1]Mapping DSL'!$H:$H,'[1]Mapping DSL'!$J:$J)</f>
        <v/>
      </c>
      <c r="X141" s="220">
        <f>_xlfn.XLOOKUP(G141,[1]Fx!$A$4:$A$12,[1]Fx!$E$4:$E$12)</f>
        <v/>
      </c>
      <c r="Y141" s="220">
        <f>T141*R141</f>
        <v/>
      </c>
      <c r="Z141" s="220">
        <f>U141*O141</f>
        <v/>
      </c>
      <c r="AA141" s="220">
        <f>V141*O141</f>
        <v/>
      </c>
      <c r="AB141" s="220">
        <f>W141*O141</f>
        <v/>
      </c>
      <c r="AC141" s="198">
        <f>X141*O141</f>
        <v/>
      </c>
      <c r="AD141" s="220" t="n">
        <v>0</v>
      </c>
      <c r="AE141" s="220" t="n">
        <v>0</v>
      </c>
      <c r="AF141" s="220">
        <f>SUM(Y141:AE141)</f>
        <v/>
      </c>
      <c r="AG141" s="205">
        <f>_xlfn.XLOOKUP(G141,[1]Fx!$A$16:$A$24,[1]Fx!$B$16:$B$24)</f>
        <v/>
      </c>
      <c r="AH141" s="220">
        <f>AG141*R141</f>
        <v/>
      </c>
      <c r="AI141" s="220">
        <f>$AI$6*Z141</f>
        <v/>
      </c>
      <c r="AJ141" s="220">
        <f>$AJ$6*AA141</f>
        <v/>
      </c>
      <c r="AK141" s="220">
        <f>$AK$6*AB141</f>
        <v/>
      </c>
      <c r="AL141" s="220">
        <f>$AL$6*AC141</f>
        <v/>
      </c>
      <c r="AM141" s="220">
        <f>SUM(AH141:AL141)</f>
        <v/>
      </c>
      <c r="AN141" s="220" t="n">
        <v>0</v>
      </c>
      <c r="AO141" s="220">
        <f>AN141*AH141</f>
        <v/>
      </c>
      <c r="AP141" s="220">
        <f>AD141</f>
        <v/>
      </c>
      <c r="AQ141" s="220">
        <f>AE141</f>
        <v/>
      </c>
      <c r="AR141" s="220">
        <f>AM141-AO141</f>
        <v/>
      </c>
      <c r="AS141" s="220">
        <f>AR141-AK141</f>
        <v/>
      </c>
      <c r="AT141" s="220">
        <f>AS141*1.075</f>
        <v/>
      </c>
      <c r="AU141" s="220">
        <f>ROUNDUP(AT141+AK141+AP141+AQ141,-4)</f>
        <v/>
      </c>
      <c r="AV141" s="198" t="n">
        <v>2690008</v>
      </c>
      <c r="AW141" s="227" t="n"/>
      <c r="AX141" s="220">
        <f>AV141-AR141</f>
        <v/>
      </c>
      <c r="AY141" s="35">
        <f>AX141/AR141</f>
        <v/>
      </c>
      <c r="AZ141" s="220">
        <f>AV141-AF141</f>
        <v/>
      </c>
      <c r="BA141" s="215">
        <f>AV141-SUM(Z141:AC141)</f>
        <v/>
      </c>
      <c r="BB141" s="215">
        <f>BA141-Y141</f>
        <v/>
      </c>
      <c r="BC141" s="35">
        <f>BB141/BA141</f>
        <v/>
      </c>
      <c r="BD141" s="35">
        <f>IFERROR(AZ141/AV141,)</f>
        <v/>
      </c>
      <c r="BE141" s="255">
        <f>AV141-SUM(Z141:AC141)</f>
        <v/>
      </c>
      <c r="BF141" s="255">
        <f>AV141-BE141-AC141-AB141</f>
        <v/>
      </c>
      <c r="BG141" s="255">
        <f>AV141-BE141-BF141-AB141</f>
        <v/>
      </c>
      <c r="BH141" s="255">
        <f>AB141</f>
        <v/>
      </c>
      <c r="BI141">
        <f>IF(BD141&lt;0%,"Loss",IF(BD141&lt;5%,"On Cost Plus",IF(BD141&lt;10%,"Within","Exceed")))</f>
        <v/>
      </c>
      <c r="BJ141" t="inlineStr">
        <is>
          <t>Exceed</t>
        </is>
      </c>
      <c r="BK141">
        <f>0.51*$BK$6</f>
        <v/>
      </c>
      <c r="BL141" s="190">
        <f>BK141-W141</f>
        <v/>
      </c>
      <c r="BM141" s="189">
        <f>BL141*O141</f>
        <v/>
      </c>
    </row>
    <row r="142">
      <c r="A142">
        <f>CONCATENATE(E142,F142,G142,H142,I142,J142,K142,L142)</f>
        <v/>
      </c>
      <c r="B142">
        <f>CONCATENATE(J142,"-&gt;",K142,"/",E142)</f>
        <v/>
      </c>
      <c r="C142" s="23" t="inlineStr">
        <is>
          <t>AFEEZ AJIBADE/Ebenezer</t>
        </is>
      </c>
      <c r="D142">
        <f>CONCATENATE(G142,"-",H142,"-",F142)</f>
        <v/>
      </c>
      <c r="E142" s="24" t="inlineStr">
        <is>
          <t>Lacasera-45T-NBL-DSL-JUMBO</t>
        </is>
      </c>
      <c r="F142" s="24" t="inlineStr">
        <is>
          <t>JUMBO</t>
        </is>
      </c>
      <c r="G142" s="25" t="inlineStr">
        <is>
          <t>NBL-DSL</t>
        </is>
      </c>
      <c r="H142" s="24" t="inlineStr">
        <is>
          <t>45T</t>
        </is>
      </c>
      <c r="I142" s="251" t="inlineStr">
        <is>
          <t>Lacasera</t>
        </is>
      </c>
      <c r="J142" s="251" t="inlineStr">
        <is>
          <t>Lagos</t>
        </is>
      </c>
      <c r="K142" s="23" t="inlineStr">
        <is>
          <t>Makurdi</t>
        </is>
      </c>
      <c r="L142" t="inlineStr">
        <is>
          <t>Benue</t>
        </is>
      </c>
      <c r="M142" s="1" t="inlineStr">
        <is>
          <t>East</t>
        </is>
      </c>
      <c r="N142" s="261" t="n">
        <v>808</v>
      </c>
      <c r="O142" s="257" t="n">
        <v>1616</v>
      </c>
      <c r="P142" s="227">
        <f>ROUNDUP(O142/300,)</f>
        <v/>
      </c>
      <c r="Q142" s="220" t="n">
        <v>1</v>
      </c>
      <c r="R142" s="220">
        <f>Q142+P142</f>
        <v/>
      </c>
      <c r="S142" s="198">
        <f>ROUNDDOWN(O142*0.7,)</f>
        <v/>
      </c>
      <c r="T142" s="220">
        <f>_xlfn.XLOOKUP(G142,[1]Fx!$A$4:$A$12,[1]Fx!$B$4:$B$12)</f>
        <v/>
      </c>
      <c r="U142" s="220">
        <f>_xlfn.XLOOKUP(G142,[1]Fx!$A$4:$A$12,[1]Fx!$C$4:$C$12)</f>
        <v/>
      </c>
      <c r="V142" s="220">
        <f>_xlfn.XLOOKUP(G142,[1]Fx!$A$4:$A$12,[1]Fx!$D$4:$D$12)</f>
        <v/>
      </c>
      <c r="W142" s="208">
        <f>_xlfn.XLOOKUP(H142&amp;I142,'[1]Mapping DSL'!$H:$H,'[1]Mapping DSL'!$J:$J)</f>
        <v/>
      </c>
      <c r="X142" s="220">
        <f>_xlfn.XLOOKUP(G142,[1]Fx!$A$4:$A$12,[1]Fx!$E$4:$E$12)</f>
        <v/>
      </c>
      <c r="Y142" s="220">
        <f>T142*R142</f>
        <v/>
      </c>
      <c r="Z142" s="220">
        <f>U142*O142</f>
        <v/>
      </c>
      <c r="AA142" s="220">
        <f>V142*O142</f>
        <v/>
      </c>
      <c r="AB142" s="220">
        <f>W142*O142</f>
        <v/>
      </c>
      <c r="AC142" s="198">
        <f>X142*O142</f>
        <v/>
      </c>
      <c r="AD142" s="220" t="n">
        <v>0</v>
      </c>
      <c r="AE142" s="220" t="n">
        <v>0</v>
      </c>
      <c r="AF142" s="220">
        <f>SUM(Y142:AE142)</f>
        <v/>
      </c>
      <c r="AG142" s="205">
        <f>_xlfn.XLOOKUP(G142,[1]Fx!$A$16:$A$24,[1]Fx!$B$16:$B$24)</f>
        <v/>
      </c>
      <c r="AH142" s="220">
        <f>AG142*R142</f>
        <v/>
      </c>
      <c r="AI142" s="220">
        <f>$AI$6*Z142</f>
        <v/>
      </c>
      <c r="AJ142" s="220">
        <f>$AJ$6*AA142</f>
        <v/>
      </c>
      <c r="AK142" s="220">
        <f>$AK$6*AB142</f>
        <v/>
      </c>
      <c r="AL142" s="220">
        <f>$AL$6*AC142</f>
        <v/>
      </c>
      <c r="AM142" s="220">
        <f>SUM(AH142:AL142)</f>
        <v/>
      </c>
      <c r="AN142" s="220" t="n">
        <v>0</v>
      </c>
      <c r="AO142" s="220">
        <f>AN142*AH142</f>
        <v/>
      </c>
      <c r="AP142" s="220">
        <f>AD142</f>
        <v/>
      </c>
      <c r="AQ142" s="220">
        <f>AE142</f>
        <v/>
      </c>
      <c r="AR142" s="220">
        <f>AM142-AO142</f>
        <v/>
      </c>
      <c r="AS142" s="220">
        <f>AR142-AK142</f>
        <v/>
      </c>
      <c r="AT142" s="220">
        <f>AS142*1.075</f>
        <v/>
      </c>
      <c r="AU142" s="220">
        <f>ROUNDUP(AT142+AK142+AP142+AQ142,-4)</f>
        <v/>
      </c>
      <c r="AV142" s="198" t="n">
        <v>3808026</v>
      </c>
      <c r="AW142" s="227" t="n"/>
      <c r="AX142" s="220">
        <f>AV142-AR142</f>
        <v/>
      </c>
      <c r="AY142" s="35">
        <f>AX142/AR142</f>
        <v/>
      </c>
      <c r="AZ142" s="220">
        <f>AV142-AF142</f>
        <v/>
      </c>
      <c r="BA142" s="215">
        <f>AV142-SUM(Z142:AC142)</f>
        <v/>
      </c>
      <c r="BB142" s="215">
        <f>BA142-Y142</f>
        <v/>
      </c>
      <c r="BC142" s="35">
        <f>BB142/BA142</f>
        <v/>
      </c>
      <c r="BD142" s="35">
        <f>IFERROR(AZ142/AV142,)</f>
        <v/>
      </c>
      <c r="BE142" s="255">
        <f>AV142-SUM(Z142:AC142)</f>
        <v/>
      </c>
      <c r="BF142" s="255">
        <f>AV142-BE142-AC142-AB142</f>
        <v/>
      </c>
      <c r="BG142" s="255">
        <f>AV142-BE142-BF142-AB142</f>
        <v/>
      </c>
      <c r="BH142" s="255">
        <f>AB142</f>
        <v/>
      </c>
      <c r="BI142">
        <f>IF(BD142&lt;0%,"Loss",IF(BD142&lt;5%,"On Cost Plus",IF(BD142&lt;10%,"Within","Exceed")))</f>
        <v/>
      </c>
      <c r="BJ142" t="inlineStr">
        <is>
          <t>Exceed</t>
        </is>
      </c>
      <c r="BK142">
        <f>0.51*$BK$6</f>
        <v/>
      </c>
      <c r="BL142" s="190">
        <f>BK142-W142</f>
        <v/>
      </c>
      <c r="BM142" s="189">
        <f>BL142*O142</f>
        <v/>
      </c>
    </row>
    <row r="143">
      <c r="A143">
        <f>CONCATENATE(E143,F143,G143,H143,I143,J143,K143,L143)</f>
        <v/>
      </c>
      <c r="B143">
        <f>CONCATENATE(J143,"-&gt;",K143,"/",E143)</f>
        <v/>
      </c>
      <c r="C143" s="23" t="inlineStr">
        <is>
          <t>AFEEZ AJIBADE/Ebenezer</t>
        </is>
      </c>
      <c r="D143">
        <f>CONCATENATE(G143,"-",H143,"-",F143)</f>
        <v/>
      </c>
      <c r="E143" s="24" t="inlineStr">
        <is>
          <t>Lacasera-45T-NBL-DSL-JUMBO</t>
        </is>
      </c>
      <c r="F143" s="24" t="inlineStr">
        <is>
          <t>JUMBO</t>
        </is>
      </c>
      <c r="G143" s="25" t="inlineStr">
        <is>
          <t>NBL-DSL</t>
        </is>
      </c>
      <c r="H143" s="24" t="inlineStr">
        <is>
          <t>45T</t>
        </is>
      </c>
      <c r="I143" s="251" t="inlineStr">
        <is>
          <t>Lacasera</t>
        </is>
      </c>
      <c r="J143" s="251" t="inlineStr">
        <is>
          <t>Lagos</t>
        </is>
      </c>
      <c r="K143" s="23" t="inlineStr">
        <is>
          <t>Calabar</t>
        </is>
      </c>
      <c r="L143" t="inlineStr">
        <is>
          <t>Cross River</t>
        </is>
      </c>
      <c r="M143" s="1" t="inlineStr">
        <is>
          <t>East</t>
        </is>
      </c>
      <c r="N143" s="261" t="n">
        <v>754</v>
      </c>
      <c r="O143" s="257" t="n">
        <v>1508</v>
      </c>
      <c r="P143" s="227">
        <f>ROUNDUP(O143/300,)</f>
        <v/>
      </c>
      <c r="Q143" s="220" t="n">
        <v>1</v>
      </c>
      <c r="R143" s="220">
        <f>Q143+P143</f>
        <v/>
      </c>
      <c r="S143" s="198">
        <f>ROUNDDOWN(O143*0.7,)</f>
        <v/>
      </c>
      <c r="T143" s="220">
        <f>_xlfn.XLOOKUP(G143,[1]Fx!$A$4:$A$12,[1]Fx!$B$4:$B$12)</f>
        <v/>
      </c>
      <c r="U143" s="220">
        <f>_xlfn.XLOOKUP(G143,[1]Fx!$A$4:$A$12,[1]Fx!$C$4:$C$12)</f>
        <v/>
      </c>
      <c r="V143" s="220">
        <f>_xlfn.XLOOKUP(G143,[1]Fx!$A$4:$A$12,[1]Fx!$D$4:$D$12)</f>
        <v/>
      </c>
      <c r="W143" s="208">
        <f>_xlfn.XLOOKUP(H143&amp;I143,'[1]Mapping DSL'!$H:$H,'[1]Mapping DSL'!$J:$J)</f>
        <v/>
      </c>
      <c r="X143" s="220">
        <f>_xlfn.XLOOKUP(G143,[1]Fx!$A$4:$A$12,[1]Fx!$E$4:$E$12)</f>
        <v/>
      </c>
      <c r="Y143" s="220">
        <f>T143*R143</f>
        <v/>
      </c>
      <c r="Z143" s="220">
        <f>U143*O143</f>
        <v/>
      </c>
      <c r="AA143" s="220">
        <f>V143*O143</f>
        <v/>
      </c>
      <c r="AB143" s="220">
        <f>W143*O143</f>
        <v/>
      </c>
      <c r="AC143" s="198">
        <f>X143*O143</f>
        <v/>
      </c>
      <c r="AD143" s="220" t="n">
        <v>0</v>
      </c>
      <c r="AE143" s="220" t="n">
        <v>0</v>
      </c>
      <c r="AF143" s="220">
        <f>SUM(Y143:AE143)</f>
        <v/>
      </c>
      <c r="AG143" s="205">
        <f>_xlfn.XLOOKUP(G143,[1]Fx!$A$16:$A$24,[1]Fx!$B$16:$B$24)</f>
        <v/>
      </c>
      <c r="AH143" s="220">
        <f>AG143*R143</f>
        <v/>
      </c>
      <c r="AI143" s="220">
        <f>$AI$6*Z143</f>
        <v/>
      </c>
      <c r="AJ143" s="220">
        <f>$AJ$6*AA143</f>
        <v/>
      </c>
      <c r="AK143" s="220">
        <f>$AK$6*AB143</f>
        <v/>
      </c>
      <c r="AL143" s="220">
        <f>$AL$6*AC143</f>
        <v/>
      </c>
      <c r="AM143" s="220">
        <f>SUM(AH143:AL143)</f>
        <v/>
      </c>
      <c r="AN143" s="220" t="n">
        <v>0</v>
      </c>
      <c r="AO143" s="220">
        <f>AN143*AH143</f>
        <v/>
      </c>
      <c r="AP143" s="220">
        <f>AD143</f>
        <v/>
      </c>
      <c r="AQ143" s="220">
        <f>AE143</f>
        <v/>
      </c>
      <c r="AR143" s="220">
        <f>AM143-AO143</f>
        <v/>
      </c>
      <c r="AS143" s="220">
        <f>AR143-AK143</f>
        <v/>
      </c>
      <c r="AT143" s="220">
        <f>AS143*1.075</f>
        <v/>
      </c>
      <c r="AU143" s="220">
        <f>ROUNDUP(AT143+AK143+AP143+AQ143,-4)</f>
        <v/>
      </c>
      <c r="AV143" s="198" t="n">
        <v>3164081</v>
      </c>
      <c r="AW143" s="227" t="n"/>
      <c r="AX143" s="220">
        <f>AV143-AR143</f>
        <v/>
      </c>
      <c r="AY143" s="35">
        <f>AX143/AR143</f>
        <v/>
      </c>
      <c r="AZ143" s="220">
        <f>AV143-AF143</f>
        <v/>
      </c>
      <c r="BA143" s="215">
        <f>AV143-SUM(Z143:AC143)</f>
        <v/>
      </c>
      <c r="BB143" s="215">
        <f>BA143-Y143</f>
        <v/>
      </c>
      <c r="BC143" s="35">
        <f>BB143/BA143</f>
        <v/>
      </c>
      <c r="BD143" s="35">
        <f>IFERROR(AZ143/AV143,)</f>
        <v/>
      </c>
      <c r="BE143" s="255">
        <f>AV143-SUM(Z143:AC143)</f>
        <v/>
      </c>
      <c r="BF143" s="255">
        <f>AV143-BE143-AC143-AB143</f>
        <v/>
      </c>
      <c r="BG143" s="255">
        <f>AV143-BE143-BF143-AB143</f>
        <v/>
      </c>
      <c r="BH143" s="255">
        <f>AB143</f>
        <v/>
      </c>
      <c r="BI143">
        <f>IF(BD143&lt;0%,"Loss",IF(BD143&lt;5%,"On Cost Plus",IF(BD143&lt;10%,"Within","Exceed")))</f>
        <v/>
      </c>
      <c r="BJ143" t="inlineStr">
        <is>
          <t>Exceed</t>
        </is>
      </c>
      <c r="BK143">
        <f>0.51*$BK$6</f>
        <v/>
      </c>
      <c r="BL143" s="190">
        <f>BK143-W143</f>
        <v/>
      </c>
      <c r="BM143" s="189">
        <f>BL143*O143</f>
        <v/>
      </c>
    </row>
    <row r="144">
      <c r="A144">
        <f>CONCATENATE(E144,F144,G144,H144,I144,J144,K144,L144)</f>
        <v/>
      </c>
      <c r="B144">
        <f>CONCATENATE(J144,"-&gt;",K144,"/",E144)</f>
        <v/>
      </c>
      <c r="C144" s="23" t="inlineStr">
        <is>
          <t>AFEEZ AJIBADE/Ebenezer</t>
        </is>
      </c>
      <c r="D144">
        <f>CONCATENATE(G144,"-",H144,"-",F144)</f>
        <v/>
      </c>
      <c r="E144" s="24" t="inlineStr">
        <is>
          <t>Lacasera-45T-NBL-DSL-JUMBO</t>
        </is>
      </c>
      <c r="F144" s="24" t="inlineStr">
        <is>
          <t>JUMBO</t>
        </is>
      </c>
      <c r="G144" s="25" t="inlineStr">
        <is>
          <t>NBL-DSL</t>
        </is>
      </c>
      <c r="H144" s="24" t="inlineStr">
        <is>
          <t>45T</t>
        </is>
      </c>
      <c r="I144" s="251" t="inlineStr">
        <is>
          <t>Lacasera</t>
        </is>
      </c>
      <c r="J144" s="251" t="inlineStr">
        <is>
          <t>Lagos</t>
        </is>
      </c>
      <c r="K144" s="23" t="inlineStr">
        <is>
          <t>Abakaliki</t>
        </is>
      </c>
      <c r="L144" t="inlineStr">
        <is>
          <t>Ebonyi</t>
        </is>
      </c>
      <c r="M144" s="1" t="inlineStr">
        <is>
          <t>East</t>
        </is>
      </c>
      <c r="N144" s="261" t="n">
        <v>633</v>
      </c>
      <c r="O144" s="257" t="n">
        <v>1266</v>
      </c>
      <c r="P144" s="227">
        <f>ROUNDUP(O144/300,)</f>
        <v/>
      </c>
      <c r="Q144" s="220" t="n">
        <v>1</v>
      </c>
      <c r="R144" s="220">
        <f>Q144+P144</f>
        <v/>
      </c>
      <c r="S144" s="198">
        <f>ROUNDDOWN(O144*0.7,)</f>
        <v/>
      </c>
      <c r="T144" s="220">
        <f>_xlfn.XLOOKUP(G144,[1]Fx!$A$4:$A$12,[1]Fx!$B$4:$B$12)</f>
        <v/>
      </c>
      <c r="U144" s="220">
        <f>_xlfn.XLOOKUP(G144,[1]Fx!$A$4:$A$12,[1]Fx!$C$4:$C$12)</f>
        <v/>
      </c>
      <c r="V144" s="220">
        <f>_xlfn.XLOOKUP(G144,[1]Fx!$A$4:$A$12,[1]Fx!$D$4:$D$12)</f>
        <v/>
      </c>
      <c r="W144" s="208">
        <f>_xlfn.XLOOKUP(H144&amp;I144,'[1]Mapping DSL'!$H:$H,'[1]Mapping DSL'!$J:$J)</f>
        <v/>
      </c>
      <c r="X144" s="220">
        <f>_xlfn.XLOOKUP(G144,[1]Fx!$A$4:$A$12,[1]Fx!$E$4:$E$12)</f>
        <v/>
      </c>
      <c r="Y144" s="220">
        <f>T144*R144</f>
        <v/>
      </c>
      <c r="Z144" s="220">
        <f>U144*O144</f>
        <v/>
      </c>
      <c r="AA144" s="220">
        <f>V144*O144</f>
        <v/>
      </c>
      <c r="AB144" s="220">
        <f>W144*O144</f>
        <v/>
      </c>
      <c r="AC144" s="198">
        <f>X144*O144</f>
        <v/>
      </c>
      <c r="AD144" s="220" t="n">
        <v>0</v>
      </c>
      <c r="AE144" s="220" t="n">
        <v>0</v>
      </c>
      <c r="AF144" s="220">
        <f>SUM(Y144:AE144)</f>
        <v/>
      </c>
      <c r="AG144" s="205">
        <f>_xlfn.XLOOKUP(G144,[1]Fx!$A$16:$A$24,[1]Fx!$B$16:$B$24)</f>
        <v/>
      </c>
      <c r="AH144" s="220">
        <f>AG144*R144</f>
        <v/>
      </c>
      <c r="AI144" s="220">
        <f>$AI$6*Z144</f>
        <v/>
      </c>
      <c r="AJ144" s="220">
        <f>$AJ$6*AA144</f>
        <v/>
      </c>
      <c r="AK144" s="220">
        <f>$AK$6*AB144</f>
        <v/>
      </c>
      <c r="AL144" s="220">
        <f>$AL$6*AC144</f>
        <v/>
      </c>
      <c r="AM144" s="220">
        <f>SUM(AH144:AL144)</f>
        <v/>
      </c>
      <c r="AN144" s="220" t="n">
        <v>0</v>
      </c>
      <c r="AO144" s="220">
        <f>AN144*AH144</f>
        <v/>
      </c>
      <c r="AP144" s="220">
        <f>AD144</f>
        <v/>
      </c>
      <c r="AQ144" s="220">
        <f>AE144</f>
        <v/>
      </c>
      <c r="AR144" s="220">
        <f>AM144-AO144</f>
        <v/>
      </c>
      <c r="AS144" s="220">
        <f>AR144-AK144</f>
        <v/>
      </c>
      <c r="AT144" s="220">
        <f>AS144*1.075</f>
        <v/>
      </c>
      <c r="AU144" s="220">
        <f>ROUNDUP(AT144+AK144+AP144+AQ144,-4)</f>
        <v/>
      </c>
      <c r="AV144" s="198" t="n">
        <v>2685524</v>
      </c>
      <c r="AW144" s="227" t="n"/>
      <c r="AX144" s="220">
        <f>AV144-AR144</f>
        <v/>
      </c>
      <c r="AY144" s="35">
        <f>AX144/AR144</f>
        <v/>
      </c>
      <c r="AZ144" s="220">
        <f>AV144-AF144</f>
        <v/>
      </c>
      <c r="BA144" s="215">
        <f>AV144-SUM(Z144:AC144)</f>
        <v/>
      </c>
      <c r="BB144" s="215">
        <f>BA144-Y144</f>
        <v/>
      </c>
      <c r="BC144" s="35">
        <f>BB144/BA144</f>
        <v/>
      </c>
      <c r="BD144" s="35">
        <f>IFERROR(AZ144/AV144,)</f>
        <v/>
      </c>
      <c r="BE144" s="255">
        <f>AV144-SUM(Z144:AC144)</f>
        <v/>
      </c>
      <c r="BF144" s="255">
        <f>AV144-BE144-AC144-AB144</f>
        <v/>
      </c>
      <c r="BG144" s="255">
        <f>AV144-BE144-BF144-AB144</f>
        <v/>
      </c>
      <c r="BH144" s="255">
        <f>AB144</f>
        <v/>
      </c>
      <c r="BI144">
        <f>IF(BD144&lt;0%,"Loss",IF(BD144&lt;5%,"On Cost Plus",IF(BD144&lt;10%,"Within","Exceed")))</f>
        <v/>
      </c>
      <c r="BJ144" t="inlineStr">
        <is>
          <t>Exceed</t>
        </is>
      </c>
      <c r="BK144">
        <f>0.51*$BK$6</f>
        <v/>
      </c>
      <c r="BL144" s="190">
        <f>BK144-W144</f>
        <v/>
      </c>
      <c r="BM144" s="189">
        <f>BL144*O144</f>
        <v/>
      </c>
    </row>
    <row r="145">
      <c r="A145">
        <f>CONCATENATE(E145,F145,G145,H145,I145,J145,K145,L145)</f>
        <v/>
      </c>
      <c r="B145">
        <f>CONCATENATE(J145,"-&gt;",K145,"/",E145)</f>
        <v/>
      </c>
      <c r="C145" s="23" t="inlineStr">
        <is>
          <t>AFEEZ AJIBADE/Ebenezer</t>
        </is>
      </c>
      <c r="D145">
        <f>CONCATENATE(G145,"-",H145,"-",F145)</f>
        <v/>
      </c>
      <c r="E145" s="24" t="inlineStr">
        <is>
          <t>Lacasera-45T-NBL-DSL-JUMBO</t>
        </is>
      </c>
      <c r="F145" s="24" t="inlineStr">
        <is>
          <t>JUMBO</t>
        </is>
      </c>
      <c r="G145" s="25" t="inlineStr">
        <is>
          <t>NBL-DSL</t>
        </is>
      </c>
      <c r="H145" s="24" t="inlineStr">
        <is>
          <t>45T</t>
        </is>
      </c>
      <c r="I145" s="251" t="inlineStr">
        <is>
          <t>Lacasera</t>
        </is>
      </c>
      <c r="J145" s="251" t="inlineStr">
        <is>
          <t>Lagos</t>
        </is>
      </c>
      <c r="K145" s="23" t="inlineStr">
        <is>
          <t>Enugu</t>
        </is>
      </c>
      <c r="L145" t="inlineStr">
        <is>
          <t>Enugu</t>
        </is>
      </c>
      <c r="M145" s="1" t="inlineStr">
        <is>
          <t>East</t>
        </is>
      </c>
      <c r="N145" s="261" t="n">
        <v>560.5</v>
      </c>
      <c r="O145" s="257" t="n">
        <v>1121</v>
      </c>
      <c r="P145" s="227">
        <f>ROUNDUP(O145/300,)</f>
        <v/>
      </c>
      <c r="Q145" s="220" t="n">
        <v>1</v>
      </c>
      <c r="R145" s="220">
        <f>Q145+P145</f>
        <v/>
      </c>
      <c r="S145" s="198">
        <f>ROUNDDOWN(O145*0.7,)</f>
        <v/>
      </c>
      <c r="T145" s="220">
        <f>_xlfn.XLOOKUP(G145,[1]Fx!$A$4:$A$12,[1]Fx!$B$4:$B$12)</f>
        <v/>
      </c>
      <c r="U145" s="220">
        <f>_xlfn.XLOOKUP(G145,[1]Fx!$A$4:$A$12,[1]Fx!$C$4:$C$12)</f>
        <v/>
      </c>
      <c r="V145" s="220">
        <f>_xlfn.XLOOKUP(G145,[1]Fx!$A$4:$A$12,[1]Fx!$D$4:$D$12)</f>
        <v/>
      </c>
      <c r="W145" s="208">
        <f>_xlfn.XLOOKUP(H145&amp;I145,'[1]Mapping DSL'!$H:$H,'[1]Mapping DSL'!$J:$J)</f>
        <v/>
      </c>
      <c r="X145" s="220">
        <f>_xlfn.XLOOKUP(G145,[1]Fx!$A$4:$A$12,[1]Fx!$E$4:$E$12)</f>
        <v/>
      </c>
      <c r="Y145" s="220">
        <f>T145*R145</f>
        <v/>
      </c>
      <c r="Z145" s="220">
        <f>U145*O145</f>
        <v/>
      </c>
      <c r="AA145" s="220">
        <f>V145*O145</f>
        <v/>
      </c>
      <c r="AB145" s="220">
        <f>W145*O145</f>
        <v/>
      </c>
      <c r="AC145" s="198">
        <f>X145*O145</f>
        <v/>
      </c>
      <c r="AD145" s="220" t="n">
        <v>0</v>
      </c>
      <c r="AE145" s="220" t="n">
        <v>0</v>
      </c>
      <c r="AF145" s="220">
        <f>SUM(Y145:AE145)</f>
        <v/>
      </c>
      <c r="AG145" s="205">
        <f>_xlfn.XLOOKUP(G145,[1]Fx!$A$16:$A$24,[1]Fx!$B$16:$B$24)</f>
        <v/>
      </c>
      <c r="AH145" s="220">
        <f>AG145*R145</f>
        <v/>
      </c>
      <c r="AI145" s="220">
        <f>$AI$6*Z145</f>
        <v/>
      </c>
      <c r="AJ145" s="220">
        <f>$AJ$6*AA145</f>
        <v/>
      </c>
      <c r="AK145" s="220">
        <f>$AK$6*AB145</f>
        <v/>
      </c>
      <c r="AL145" s="220">
        <f>$AL$6*AC145</f>
        <v/>
      </c>
      <c r="AM145" s="220">
        <f>SUM(AH145:AL145)</f>
        <v/>
      </c>
      <c r="AN145" s="220" t="n">
        <v>0</v>
      </c>
      <c r="AO145" s="220">
        <f>AN145*AH145</f>
        <v/>
      </c>
      <c r="AP145" s="220">
        <f>AD145</f>
        <v/>
      </c>
      <c r="AQ145" s="220">
        <f>AE145</f>
        <v/>
      </c>
      <c r="AR145" s="220">
        <f>AM145-AO145</f>
        <v/>
      </c>
      <c r="AS145" s="220">
        <f>AR145-AK145</f>
        <v/>
      </c>
      <c r="AT145" s="220">
        <f>AS145*1.075</f>
        <v/>
      </c>
      <c r="AU145" s="220">
        <f>ROUNDUP(AT145+AK145+AP145+AQ145,-4)</f>
        <v/>
      </c>
      <c r="AV145" s="198" t="n">
        <v>2527817</v>
      </c>
      <c r="AW145" s="227" t="n"/>
      <c r="AX145" s="220">
        <f>AV145-AR145</f>
        <v/>
      </c>
      <c r="AY145" s="35">
        <f>AX145/AR145</f>
        <v/>
      </c>
      <c r="AZ145" s="220">
        <f>AV145-AF145</f>
        <v/>
      </c>
      <c r="BA145" s="215">
        <f>AV145-SUM(Z145:AC145)</f>
        <v/>
      </c>
      <c r="BB145" s="215">
        <f>BA145-Y145</f>
        <v/>
      </c>
      <c r="BC145" s="35">
        <f>BB145/BA145</f>
        <v/>
      </c>
      <c r="BD145" s="35">
        <f>IFERROR(AZ145/AV145,)</f>
        <v/>
      </c>
      <c r="BE145" s="255">
        <f>AV145-SUM(Z145:AC145)</f>
        <v/>
      </c>
      <c r="BF145" s="255">
        <f>AV145-BE145-AC145-AB145</f>
        <v/>
      </c>
      <c r="BG145" s="255">
        <f>AV145-BE145-BF145-AB145</f>
        <v/>
      </c>
      <c r="BH145" s="255">
        <f>AB145</f>
        <v/>
      </c>
      <c r="BI145">
        <f>IF(BD145&lt;0%,"Loss",IF(BD145&lt;5%,"On Cost Plus",IF(BD145&lt;10%,"Within","Exceed")))</f>
        <v/>
      </c>
      <c r="BJ145" t="inlineStr">
        <is>
          <t>Exceed</t>
        </is>
      </c>
      <c r="BK145">
        <f>0.51*$BK$6</f>
        <v/>
      </c>
      <c r="BL145" s="190">
        <f>BK145-W145</f>
        <v/>
      </c>
      <c r="BM145" s="189">
        <f>BL145*O145</f>
        <v/>
      </c>
    </row>
    <row r="146">
      <c r="A146">
        <f>CONCATENATE(E146,F146,G146,H146,I146,J146,K146,L146)</f>
        <v/>
      </c>
      <c r="B146">
        <f>CONCATENATE(J146,"-&gt;",K146,"/",E146)</f>
        <v/>
      </c>
      <c r="C146" s="23" t="inlineStr">
        <is>
          <t>AFEEZ AJIBADE/Ebenezer</t>
        </is>
      </c>
      <c r="D146">
        <f>CONCATENATE(G146,"-",H146,"-",F146)</f>
        <v/>
      </c>
      <c r="E146" s="24" t="inlineStr">
        <is>
          <t>Lacasera-45T-NBL-DSL-JUMBO</t>
        </is>
      </c>
      <c r="F146" s="24" t="inlineStr">
        <is>
          <t>JUMBO</t>
        </is>
      </c>
      <c r="G146" s="25" t="inlineStr">
        <is>
          <t>NBL-DSL</t>
        </is>
      </c>
      <c r="H146" s="24" t="inlineStr">
        <is>
          <t>45T</t>
        </is>
      </c>
      <c r="I146" s="251" t="inlineStr">
        <is>
          <t>Lacasera</t>
        </is>
      </c>
      <c r="J146" s="251" t="inlineStr">
        <is>
          <t>Lagos</t>
        </is>
      </c>
      <c r="K146" s="23" t="inlineStr">
        <is>
          <t>Nsukka</t>
        </is>
      </c>
      <c r="L146" t="inlineStr">
        <is>
          <t>Enugu</t>
        </is>
      </c>
      <c r="M146" s="1" t="inlineStr">
        <is>
          <t>East</t>
        </is>
      </c>
      <c r="N146" s="261" t="n">
        <v>563</v>
      </c>
      <c r="O146" s="257" t="n">
        <v>1126</v>
      </c>
      <c r="P146" s="227">
        <f>ROUNDUP(O146/300,)</f>
        <v/>
      </c>
      <c r="Q146" s="220" t="n">
        <v>1</v>
      </c>
      <c r="R146" s="220">
        <f>Q146+P146</f>
        <v/>
      </c>
      <c r="S146" s="198">
        <f>ROUNDDOWN(O146*0.7,)</f>
        <v/>
      </c>
      <c r="T146" s="220">
        <f>_xlfn.XLOOKUP(G146,[1]Fx!$A$4:$A$12,[1]Fx!$B$4:$B$12)</f>
        <v/>
      </c>
      <c r="U146" s="220">
        <f>_xlfn.XLOOKUP(G146,[1]Fx!$A$4:$A$12,[1]Fx!$C$4:$C$12)</f>
        <v/>
      </c>
      <c r="V146" s="220">
        <f>_xlfn.XLOOKUP(G146,[1]Fx!$A$4:$A$12,[1]Fx!$D$4:$D$12)</f>
        <v/>
      </c>
      <c r="W146" s="208">
        <f>_xlfn.XLOOKUP(H146&amp;I146,'[1]Mapping DSL'!$H:$H,'[1]Mapping DSL'!$J:$J)</f>
        <v/>
      </c>
      <c r="X146" s="220">
        <f>_xlfn.XLOOKUP(G146,[1]Fx!$A$4:$A$12,[1]Fx!$E$4:$E$12)</f>
        <v/>
      </c>
      <c r="Y146" s="220">
        <f>T146*R146</f>
        <v/>
      </c>
      <c r="Z146" s="220">
        <f>U146*O146</f>
        <v/>
      </c>
      <c r="AA146" s="220">
        <f>V146*O146</f>
        <v/>
      </c>
      <c r="AB146" s="220">
        <f>W146*O146</f>
        <v/>
      </c>
      <c r="AC146" s="198">
        <f>X146*O146</f>
        <v/>
      </c>
      <c r="AD146" s="220" t="n">
        <v>0</v>
      </c>
      <c r="AE146" s="220" t="n">
        <v>0</v>
      </c>
      <c r="AF146" s="220">
        <f>SUM(Y146:AE146)</f>
        <v/>
      </c>
      <c r="AG146" s="205">
        <f>_xlfn.XLOOKUP(G146,[1]Fx!$A$16:$A$24,[1]Fx!$B$16:$B$24)</f>
        <v/>
      </c>
      <c r="AH146" s="220">
        <f>AG146*R146</f>
        <v/>
      </c>
      <c r="AI146" s="220">
        <f>$AI$6*Z146</f>
        <v/>
      </c>
      <c r="AJ146" s="220">
        <f>$AJ$6*AA146</f>
        <v/>
      </c>
      <c r="AK146" s="220">
        <f>$AK$6*AB146</f>
        <v/>
      </c>
      <c r="AL146" s="220">
        <f>$AL$6*AC146</f>
        <v/>
      </c>
      <c r="AM146" s="220">
        <f>SUM(AH146:AL146)</f>
        <v/>
      </c>
      <c r="AN146" s="220" t="n">
        <v>0</v>
      </c>
      <c r="AO146" s="220">
        <f>AN146*AH146</f>
        <v/>
      </c>
      <c r="AP146" s="220">
        <f>AD146</f>
        <v/>
      </c>
      <c r="AQ146" s="220">
        <f>AE146</f>
        <v/>
      </c>
      <c r="AR146" s="220">
        <f>AM146-AO146</f>
        <v/>
      </c>
      <c r="AS146" s="220">
        <f>AR146-AK146</f>
        <v/>
      </c>
      <c r="AT146" s="220">
        <f>AS146*1.075</f>
        <v/>
      </c>
      <c r="AU146" s="220">
        <f>ROUNDUP(AT146+AK146+AP146+AQ146,-4)</f>
        <v/>
      </c>
      <c r="AV146" s="198" t="n">
        <v>2565819</v>
      </c>
      <c r="AW146" s="227" t="n"/>
      <c r="AX146" s="220">
        <f>AV146-AR146</f>
        <v/>
      </c>
      <c r="AY146" s="35">
        <f>AX146/AR146</f>
        <v/>
      </c>
      <c r="AZ146" s="220">
        <f>AV146-AF146</f>
        <v/>
      </c>
      <c r="BA146" s="215">
        <f>AV146-SUM(Z146:AC146)</f>
        <v/>
      </c>
      <c r="BB146" s="215">
        <f>BA146-Y146</f>
        <v/>
      </c>
      <c r="BC146" s="35">
        <f>BB146/BA146</f>
        <v/>
      </c>
      <c r="BD146" s="35">
        <f>IFERROR(AZ146/AV146,)</f>
        <v/>
      </c>
      <c r="BE146" s="255">
        <f>AV146-SUM(Z146:AC146)</f>
        <v/>
      </c>
      <c r="BF146" s="255">
        <f>AV146-BE146-AC146-AB146</f>
        <v/>
      </c>
      <c r="BG146" s="255">
        <f>AV146-BE146-BF146-AB146</f>
        <v/>
      </c>
      <c r="BH146" s="255">
        <f>AB146</f>
        <v/>
      </c>
      <c r="BI146">
        <f>IF(BD146&lt;0%,"Loss",IF(BD146&lt;5%,"On Cost Plus",IF(BD146&lt;10%,"Within","Exceed")))</f>
        <v/>
      </c>
      <c r="BJ146" t="inlineStr">
        <is>
          <t>Exceed</t>
        </is>
      </c>
      <c r="BK146">
        <f>0.51*$BK$6</f>
        <v/>
      </c>
      <c r="BL146" s="190">
        <f>BK146-W146</f>
        <v/>
      </c>
      <c r="BM146" s="189">
        <f>BL146*O146</f>
        <v/>
      </c>
    </row>
    <row r="147">
      <c r="A147">
        <f>CONCATENATE(E147,F147,G147,H147,I147,J147,K147,L147)</f>
        <v/>
      </c>
      <c r="B147">
        <f>CONCATENATE(J147,"-&gt;",K147,"/",E147)</f>
        <v/>
      </c>
      <c r="C147" s="23" t="inlineStr">
        <is>
          <t>AFEEZ AJIBADE/Ebenezer</t>
        </is>
      </c>
      <c r="D147">
        <f>CONCATENATE(G147,"-",H147,"-",F147)</f>
        <v/>
      </c>
      <c r="E147" s="24" t="inlineStr">
        <is>
          <t>Lacasera-45T-NBL-DSL-JUMBO</t>
        </is>
      </c>
      <c r="F147" s="24" t="inlineStr">
        <is>
          <t>JUMBO</t>
        </is>
      </c>
      <c r="G147" s="25" t="inlineStr">
        <is>
          <t>NBL-DSL</t>
        </is>
      </c>
      <c r="H147" s="24" t="inlineStr">
        <is>
          <t>45T</t>
        </is>
      </c>
      <c r="I147" s="251" t="inlineStr">
        <is>
          <t>Lacasera</t>
        </is>
      </c>
      <c r="J147" s="251" t="inlineStr">
        <is>
          <t>Lagos</t>
        </is>
      </c>
      <c r="K147" s="23" t="inlineStr">
        <is>
          <t>Owerri</t>
        </is>
      </c>
      <c r="L147" t="inlineStr">
        <is>
          <t>Imo</t>
        </is>
      </c>
      <c r="M147" s="1" t="inlineStr">
        <is>
          <t>East</t>
        </is>
      </c>
      <c r="N147" s="261" t="n">
        <v>567</v>
      </c>
      <c r="O147" s="257" t="n">
        <v>1134</v>
      </c>
      <c r="P147" s="227">
        <f>ROUNDUP(O147/300,)</f>
        <v/>
      </c>
      <c r="Q147" s="220" t="n">
        <v>1</v>
      </c>
      <c r="R147" s="220">
        <f>Q147+P147</f>
        <v/>
      </c>
      <c r="S147" s="198">
        <f>ROUNDDOWN(O147*0.7,)</f>
        <v/>
      </c>
      <c r="T147" s="220">
        <f>_xlfn.XLOOKUP(G147,[1]Fx!$A$4:$A$12,[1]Fx!$B$4:$B$12)</f>
        <v/>
      </c>
      <c r="U147" s="220">
        <f>_xlfn.XLOOKUP(G147,[1]Fx!$A$4:$A$12,[1]Fx!$C$4:$C$12)</f>
        <v/>
      </c>
      <c r="V147" s="220">
        <f>_xlfn.XLOOKUP(G147,[1]Fx!$A$4:$A$12,[1]Fx!$D$4:$D$12)</f>
        <v/>
      </c>
      <c r="W147" s="208">
        <f>_xlfn.XLOOKUP(H147&amp;I147,'[1]Mapping DSL'!$H:$H,'[1]Mapping DSL'!$J:$J)</f>
        <v/>
      </c>
      <c r="X147" s="220">
        <f>_xlfn.XLOOKUP(G147,[1]Fx!$A$4:$A$12,[1]Fx!$E$4:$E$12)</f>
        <v/>
      </c>
      <c r="Y147" s="220">
        <f>T147*R147</f>
        <v/>
      </c>
      <c r="Z147" s="220">
        <f>U147*O147</f>
        <v/>
      </c>
      <c r="AA147" s="220">
        <f>V147*O147</f>
        <v/>
      </c>
      <c r="AB147" s="220">
        <f>W147*O147</f>
        <v/>
      </c>
      <c r="AC147" s="198">
        <f>X147*O147</f>
        <v/>
      </c>
      <c r="AD147" s="220" t="n">
        <v>0</v>
      </c>
      <c r="AE147" s="220" t="n">
        <v>0</v>
      </c>
      <c r="AF147" s="220">
        <f>SUM(Y147:AE147)</f>
        <v/>
      </c>
      <c r="AG147" s="205">
        <f>_xlfn.XLOOKUP(G147,[1]Fx!$A$16:$A$24,[1]Fx!$B$16:$B$24)</f>
        <v/>
      </c>
      <c r="AH147" s="220">
        <f>AG147*R147</f>
        <v/>
      </c>
      <c r="AI147" s="220">
        <f>$AI$6*Z147</f>
        <v/>
      </c>
      <c r="AJ147" s="220">
        <f>$AJ$6*AA147</f>
        <v/>
      </c>
      <c r="AK147" s="220">
        <f>$AK$6*AB147</f>
        <v/>
      </c>
      <c r="AL147" s="220">
        <f>$AL$6*AC147</f>
        <v/>
      </c>
      <c r="AM147" s="220">
        <f>SUM(AH147:AL147)</f>
        <v/>
      </c>
      <c r="AN147" s="220" t="n">
        <v>0</v>
      </c>
      <c r="AO147" s="220">
        <f>AN147*AH147</f>
        <v/>
      </c>
      <c r="AP147" s="220">
        <f>AD147</f>
        <v/>
      </c>
      <c r="AQ147" s="220">
        <f>AE147</f>
        <v/>
      </c>
      <c r="AR147" s="220">
        <f>AM147-AO147</f>
        <v/>
      </c>
      <c r="AS147" s="220">
        <f>AR147-AK147</f>
        <v/>
      </c>
      <c r="AT147" s="220">
        <f>AS147*1.075</f>
        <v/>
      </c>
      <c r="AU147" s="220">
        <f>ROUNDUP(AT147+AK147+AP147+AQ147,-4)</f>
        <v/>
      </c>
      <c r="AV147" s="198" t="n">
        <v>2264195</v>
      </c>
      <c r="AW147" s="227" t="n"/>
      <c r="AX147" s="220">
        <f>AV147-AR147</f>
        <v/>
      </c>
      <c r="AY147" s="35">
        <f>AX147/AR147</f>
        <v/>
      </c>
      <c r="AZ147" s="220">
        <f>AV147-AF147</f>
        <v/>
      </c>
      <c r="BA147" s="215">
        <f>AV147-SUM(Z147:AC147)</f>
        <v/>
      </c>
      <c r="BB147" s="215">
        <f>BA147-Y147</f>
        <v/>
      </c>
      <c r="BC147" s="35">
        <f>BB147/BA147</f>
        <v/>
      </c>
      <c r="BD147" s="35">
        <f>IFERROR(AZ147/AV147,)</f>
        <v/>
      </c>
      <c r="BE147" s="255">
        <f>AV147-SUM(Z147:AC147)</f>
        <v/>
      </c>
      <c r="BF147" s="255">
        <f>AV147-BE147-AC147-AB147</f>
        <v/>
      </c>
      <c r="BG147" s="255">
        <f>AV147-BE147-BF147-AB147</f>
        <v/>
      </c>
      <c r="BH147" s="255">
        <f>AB147</f>
        <v/>
      </c>
      <c r="BI147">
        <f>IF(BD147&lt;0%,"Loss",IF(BD147&lt;5%,"On Cost Plus",IF(BD147&lt;10%,"Within","Exceed")))</f>
        <v/>
      </c>
      <c r="BJ147" t="inlineStr">
        <is>
          <t>Exceed</t>
        </is>
      </c>
      <c r="BK147">
        <f>0.51*$BK$6</f>
        <v/>
      </c>
      <c r="BL147" s="190">
        <f>BK147-W147</f>
        <v/>
      </c>
      <c r="BM147" s="189">
        <f>BL147*O147</f>
        <v/>
      </c>
    </row>
    <row r="148">
      <c r="A148">
        <f>CONCATENATE(E148,F148,G148,H148,I148,J148,K148,L148)</f>
        <v/>
      </c>
      <c r="B148">
        <f>CONCATENATE(J148,"-&gt;",K148,"/",E148)</f>
        <v/>
      </c>
      <c r="C148" s="23" t="inlineStr">
        <is>
          <t>AFEEZ AJIBADE/Ebenezer</t>
        </is>
      </c>
      <c r="D148">
        <f>CONCATENATE(G148,"-",H148,"-",F148)</f>
        <v/>
      </c>
      <c r="E148" s="24" t="inlineStr">
        <is>
          <t>Lacasera-45T-NBL-DSL-JUMBO</t>
        </is>
      </c>
      <c r="F148" s="24" t="inlineStr">
        <is>
          <t>JUMBO</t>
        </is>
      </c>
      <c r="G148" s="25" t="inlineStr">
        <is>
          <t>NBL-DSL</t>
        </is>
      </c>
      <c r="H148" s="24" t="inlineStr">
        <is>
          <t>45T</t>
        </is>
      </c>
      <c r="I148" s="251" t="inlineStr">
        <is>
          <t>Lacasera</t>
        </is>
      </c>
      <c r="J148" s="251" t="inlineStr">
        <is>
          <t>Lagos</t>
        </is>
      </c>
      <c r="K148" s="23" t="inlineStr">
        <is>
          <t>Port Harcourt</t>
        </is>
      </c>
      <c r="L148" t="inlineStr">
        <is>
          <t>Rivers</t>
        </is>
      </c>
      <c r="M148" s="1" t="inlineStr">
        <is>
          <t>East</t>
        </is>
      </c>
      <c r="N148" s="261" t="n">
        <v>601</v>
      </c>
      <c r="O148" s="257" t="n">
        <v>1202</v>
      </c>
      <c r="P148" s="227">
        <f>ROUNDUP(O148/300,)</f>
        <v/>
      </c>
      <c r="Q148" s="220" t="n">
        <v>1</v>
      </c>
      <c r="R148" s="220">
        <f>Q148+P148</f>
        <v/>
      </c>
      <c r="S148" s="198">
        <f>ROUNDDOWN(O148*0.7,)</f>
        <v/>
      </c>
      <c r="T148" s="220">
        <f>_xlfn.XLOOKUP(G148,[1]Fx!$A$4:$A$12,[1]Fx!$B$4:$B$12)</f>
        <v/>
      </c>
      <c r="U148" s="220">
        <f>_xlfn.XLOOKUP(G148,[1]Fx!$A$4:$A$12,[1]Fx!$C$4:$C$12)</f>
        <v/>
      </c>
      <c r="V148" s="220">
        <f>_xlfn.XLOOKUP(G148,[1]Fx!$A$4:$A$12,[1]Fx!$D$4:$D$12)</f>
        <v/>
      </c>
      <c r="W148" s="208">
        <f>_xlfn.XLOOKUP(H148&amp;I148,'[1]Mapping DSL'!$H:$H,'[1]Mapping DSL'!$J:$J)</f>
        <v/>
      </c>
      <c r="X148" s="220">
        <f>_xlfn.XLOOKUP(G148,[1]Fx!$A$4:$A$12,[1]Fx!$E$4:$E$12)</f>
        <v/>
      </c>
      <c r="Y148" s="220">
        <f>T148*R148</f>
        <v/>
      </c>
      <c r="Z148" s="220">
        <f>U148*O148</f>
        <v/>
      </c>
      <c r="AA148" s="220">
        <f>V148*O148</f>
        <v/>
      </c>
      <c r="AB148" s="220">
        <f>W148*O148</f>
        <v/>
      </c>
      <c r="AC148" s="198">
        <f>X148*O148</f>
        <v/>
      </c>
      <c r="AD148" s="220" t="n">
        <v>0</v>
      </c>
      <c r="AE148" s="220" t="n">
        <v>0</v>
      </c>
      <c r="AF148" s="220">
        <f>SUM(Y148:AE148)</f>
        <v/>
      </c>
      <c r="AG148" s="205">
        <f>_xlfn.XLOOKUP(G148,[1]Fx!$A$16:$A$24,[1]Fx!$B$16:$B$24)</f>
        <v/>
      </c>
      <c r="AH148" s="220">
        <f>AG148*R148</f>
        <v/>
      </c>
      <c r="AI148" s="220">
        <f>$AI$6*Z148</f>
        <v/>
      </c>
      <c r="AJ148" s="220">
        <f>$AJ$6*AA148</f>
        <v/>
      </c>
      <c r="AK148" s="220">
        <f>$AK$6*AB148</f>
        <v/>
      </c>
      <c r="AL148" s="220">
        <f>$AL$6*AC148</f>
        <v/>
      </c>
      <c r="AM148" s="220">
        <f>SUM(AH148:AL148)</f>
        <v/>
      </c>
      <c r="AN148" s="220" t="n">
        <v>0</v>
      </c>
      <c r="AO148" s="220">
        <f>AN148*AH148</f>
        <v/>
      </c>
      <c r="AP148" s="220">
        <f>AD148</f>
        <v/>
      </c>
      <c r="AQ148" s="220">
        <f>AE148</f>
        <v/>
      </c>
      <c r="AR148" s="220">
        <f>AM148-AO148</f>
        <v/>
      </c>
      <c r="AS148" s="220">
        <f>AR148-AK148</f>
        <v/>
      </c>
      <c r="AT148" s="220">
        <f>AS148*1.075</f>
        <v/>
      </c>
      <c r="AU148" s="220">
        <f>ROUNDUP(AT148+AK148+AP148+AQ148,-4)</f>
        <v/>
      </c>
      <c r="AV148" s="198" t="n">
        <v>2741678</v>
      </c>
      <c r="AW148" s="227" t="n"/>
      <c r="AX148" s="220">
        <f>AV148-AR148</f>
        <v/>
      </c>
      <c r="AY148" s="35">
        <f>AX148/AR148</f>
        <v/>
      </c>
      <c r="AZ148" s="220">
        <f>AV148-AF148</f>
        <v/>
      </c>
      <c r="BA148" s="215">
        <f>AV148-SUM(Z148:AC148)</f>
        <v/>
      </c>
      <c r="BB148" s="215">
        <f>BA148-Y148</f>
        <v/>
      </c>
      <c r="BC148" s="35">
        <f>BB148/BA148</f>
        <v/>
      </c>
      <c r="BD148" s="35">
        <f>IFERROR(AZ148/AV148,)</f>
        <v/>
      </c>
      <c r="BE148" s="255">
        <f>AV148-SUM(Z148:AC148)</f>
        <v/>
      </c>
      <c r="BF148" s="255">
        <f>AV148-BE148-AC148-AB148</f>
        <v/>
      </c>
      <c r="BG148" s="255">
        <f>AV148-BE148-BF148-AB148</f>
        <v/>
      </c>
      <c r="BH148" s="255">
        <f>AB148</f>
        <v/>
      </c>
      <c r="BI148">
        <f>IF(BD148&lt;0%,"Loss",IF(BD148&lt;5%,"On Cost Plus",IF(BD148&lt;10%,"Within","Exceed")))</f>
        <v/>
      </c>
      <c r="BJ148" t="inlineStr">
        <is>
          <t>Exceed</t>
        </is>
      </c>
      <c r="BK148">
        <f>0.51*$BK$6</f>
        <v/>
      </c>
      <c r="BL148" s="190">
        <f>BK148-W148</f>
        <v/>
      </c>
      <c r="BM148" s="189">
        <f>BL148*O148</f>
        <v/>
      </c>
    </row>
    <row r="149">
      <c r="A149">
        <f>CONCATENATE(E149,F149,G149,H149,I149,J149,K149,L149)</f>
        <v/>
      </c>
      <c r="B149">
        <f>CONCATENATE(J149,"-&gt;",K149,"/",E149)</f>
        <v/>
      </c>
      <c r="C149" s="23" t="inlineStr">
        <is>
          <t>AFEEZ AJIBADE/Ebenezer</t>
        </is>
      </c>
      <c r="D149">
        <f>CONCATENATE(G149,"-",H149,"-",F149)</f>
        <v/>
      </c>
      <c r="E149" s="24" t="inlineStr">
        <is>
          <t>Lacasera-45T-NBL-DSL-JUMBO</t>
        </is>
      </c>
      <c r="F149" s="24" t="inlineStr">
        <is>
          <t>JUMBO</t>
        </is>
      </c>
      <c r="G149" s="25" t="inlineStr">
        <is>
          <t>NBL-DSL</t>
        </is>
      </c>
      <c r="H149" s="24" t="inlineStr">
        <is>
          <t>45T</t>
        </is>
      </c>
      <c r="I149" s="251" t="inlineStr">
        <is>
          <t>Lacasera</t>
        </is>
      </c>
      <c r="J149" s="251" t="inlineStr">
        <is>
          <t>Lagos</t>
        </is>
      </c>
      <c r="K149" s="23" t="inlineStr">
        <is>
          <t>Uyo</t>
        </is>
      </c>
      <c r="L149" t="inlineStr">
        <is>
          <t>Akwa Ibom</t>
        </is>
      </c>
      <c r="M149" s="1" t="inlineStr">
        <is>
          <t>East</t>
        </is>
      </c>
      <c r="N149" s="261" t="n">
        <v>678</v>
      </c>
      <c r="O149" s="257" t="n">
        <v>1356</v>
      </c>
      <c r="P149" s="227">
        <f>ROUNDUP(O149/300,)</f>
        <v/>
      </c>
      <c r="Q149" s="220" t="n">
        <v>1</v>
      </c>
      <c r="R149" s="220">
        <f>Q149+P149</f>
        <v/>
      </c>
      <c r="S149" s="198">
        <f>ROUNDDOWN(O149*0.7,)</f>
        <v/>
      </c>
      <c r="T149" s="220">
        <f>_xlfn.XLOOKUP(G149,[1]Fx!$A$4:$A$12,[1]Fx!$B$4:$B$12)</f>
        <v/>
      </c>
      <c r="U149" s="220">
        <f>_xlfn.XLOOKUP(G149,[1]Fx!$A$4:$A$12,[1]Fx!$C$4:$C$12)</f>
        <v/>
      </c>
      <c r="V149" s="220">
        <f>_xlfn.XLOOKUP(G149,[1]Fx!$A$4:$A$12,[1]Fx!$D$4:$D$12)</f>
        <v/>
      </c>
      <c r="W149" s="208">
        <f>_xlfn.XLOOKUP(H149&amp;I149,'[1]Mapping DSL'!$H:$H,'[1]Mapping DSL'!$J:$J)</f>
        <v/>
      </c>
      <c r="X149" s="220">
        <f>_xlfn.XLOOKUP(G149,[1]Fx!$A$4:$A$12,[1]Fx!$E$4:$E$12)</f>
        <v/>
      </c>
      <c r="Y149" s="220">
        <f>T149*R149</f>
        <v/>
      </c>
      <c r="Z149" s="220">
        <f>U149*O149</f>
        <v/>
      </c>
      <c r="AA149" s="220">
        <f>V149*O149</f>
        <v/>
      </c>
      <c r="AB149" s="220">
        <f>W149*O149</f>
        <v/>
      </c>
      <c r="AC149" s="198">
        <f>X149*O149</f>
        <v/>
      </c>
      <c r="AD149" s="220" t="n">
        <v>0</v>
      </c>
      <c r="AE149" s="220" t="n">
        <v>0</v>
      </c>
      <c r="AF149" s="220">
        <f>SUM(Y149:AE149)</f>
        <v/>
      </c>
      <c r="AG149" s="205">
        <f>_xlfn.XLOOKUP(G149,[1]Fx!$A$16:$A$24,[1]Fx!$B$16:$B$24)</f>
        <v/>
      </c>
      <c r="AH149" s="220">
        <f>AG149*R149</f>
        <v/>
      </c>
      <c r="AI149" s="220">
        <f>$AI$6*Z149</f>
        <v/>
      </c>
      <c r="AJ149" s="220">
        <f>$AJ$6*AA149</f>
        <v/>
      </c>
      <c r="AK149" s="220">
        <f>$AK$6*AB149</f>
        <v/>
      </c>
      <c r="AL149" s="220">
        <f>$AL$6*AC149</f>
        <v/>
      </c>
      <c r="AM149" s="220">
        <f>SUM(AH149:AL149)</f>
        <v/>
      </c>
      <c r="AN149" s="220" t="n">
        <v>0</v>
      </c>
      <c r="AO149" s="220">
        <f>AN149*AH149</f>
        <v/>
      </c>
      <c r="AP149" s="220">
        <f>AD149</f>
        <v/>
      </c>
      <c r="AQ149" s="220">
        <f>AE149</f>
        <v/>
      </c>
      <c r="AR149" s="220">
        <f>AM149-AO149</f>
        <v/>
      </c>
      <c r="AS149" s="220">
        <f>AR149-AK149</f>
        <v/>
      </c>
      <c r="AT149" s="220">
        <f>AS149*1.075</f>
        <v/>
      </c>
      <c r="AU149" s="220">
        <f>ROUNDUP(AT149+AK149+AP149+AQ149,-4)</f>
        <v/>
      </c>
      <c r="AV149" s="198" t="n">
        <v>2774125</v>
      </c>
      <c r="AW149" s="227" t="n"/>
      <c r="AX149" s="220">
        <f>AV149-AR149</f>
        <v/>
      </c>
      <c r="AY149" s="35">
        <f>AX149/AR149</f>
        <v/>
      </c>
      <c r="AZ149" s="220">
        <f>AV149-AF149</f>
        <v/>
      </c>
      <c r="BA149" s="215">
        <f>AV149-SUM(Z149:AC149)</f>
        <v/>
      </c>
      <c r="BB149" s="215">
        <f>BA149-Y149</f>
        <v/>
      </c>
      <c r="BC149" s="35">
        <f>BB149/BA149</f>
        <v/>
      </c>
      <c r="BD149" s="35">
        <f>IFERROR(AZ149/AV149,)</f>
        <v/>
      </c>
      <c r="BE149" s="255">
        <f>AV149-SUM(Z149:AC149)</f>
        <v/>
      </c>
      <c r="BF149" s="255">
        <f>AV149-BE149-AC149-AB149</f>
        <v/>
      </c>
      <c r="BG149" s="255">
        <f>AV149-BE149-BF149-AB149</f>
        <v/>
      </c>
      <c r="BH149" s="255">
        <f>AB149</f>
        <v/>
      </c>
      <c r="BI149">
        <f>IF(BD149&lt;0%,"Loss",IF(BD149&lt;5%,"On Cost Plus",IF(BD149&lt;10%,"Within","Exceed")))</f>
        <v/>
      </c>
      <c r="BJ149" t="inlineStr">
        <is>
          <t>Exceed</t>
        </is>
      </c>
      <c r="BK149">
        <f>0.51*$BK$6</f>
        <v/>
      </c>
      <c r="BL149" s="190">
        <f>BK149-W149</f>
        <v/>
      </c>
      <c r="BM149" s="189">
        <f>BL149*O149</f>
        <v/>
      </c>
    </row>
    <row r="150">
      <c r="A150">
        <f>CONCATENATE(E150,F150,G150,H150,I150,J150,K150,L150)</f>
        <v/>
      </c>
      <c r="B150">
        <f>CONCATENATE(J150,"-&gt;",K150,"/",E150)</f>
        <v/>
      </c>
      <c r="C150" s="23" t="inlineStr">
        <is>
          <t>AFEEZ AJIBADE/Ebenezer</t>
        </is>
      </c>
      <c r="D150">
        <f>CONCATENATE(G150,"-",H150,"-",F150)</f>
        <v/>
      </c>
      <c r="E150" s="24" t="inlineStr">
        <is>
          <t>Lacasera-45T-NBL-DSL-JUMBO</t>
        </is>
      </c>
      <c r="F150" s="24" t="inlineStr">
        <is>
          <t>JUMBO</t>
        </is>
      </c>
      <c r="G150" s="25" t="inlineStr">
        <is>
          <t>NBL-DSL</t>
        </is>
      </c>
      <c r="H150" s="24" t="inlineStr">
        <is>
          <t>45T</t>
        </is>
      </c>
      <c r="I150" s="251" t="inlineStr">
        <is>
          <t>Lacasera</t>
        </is>
      </c>
      <c r="J150" s="251" t="inlineStr">
        <is>
          <t>Lagos</t>
        </is>
      </c>
      <c r="K150" s="23" t="inlineStr">
        <is>
          <t>Umunze</t>
        </is>
      </c>
      <c r="L150" t="inlineStr">
        <is>
          <t>Anambra</t>
        </is>
      </c>
      <c r="M150" s="1" t="inlineStr">
        <is>
          <t>East</t>
        </is>
      </c>
      <c r="N150" s="261" t="n">
        <v>529</v>
      </c>
      <c r="O150" s="257" t="n">
        <v>1058</v>
      </c>
      <c r="P150" s="227">
        <f>ROUNDUP(O150/300,)</f>
        <v/>
      </c>
      <c r="Q150" s="220" t="n">
        <v>1</v>
      </c>
      <c r="R150" s="220">
        <f>Q150+P150</f>
        <v/>
      </c>
      <c r="S150" s="198">
        <f>ROUNDDOWN(O150*0.7,)</f>
        <v/>
      </c>
      <c r="T150" s="220">
        <f>_xlfn.XLOOKUP(G150,[1]Fx!$A$4:$A$12,[1]Fx!$B$4:$B$12)</f>
        <v/>
      </c>
      <c r="U150" s="220">
        <f>_xlfn.XLOOKUP(G150,[1]Fx!$A$4:$A$12,[1]Fx!$C$4:$C$12)</f>
        <v/>
      </c>
      <c r="V150" s="220">
        <f>_xlfn.XLOOKUP(G150,[1]Fx!$A$4:$A$12,[1]Fx!$D$4:$D$12)</f>
        <v/>
      </c>
      <c r="W150" s="208">
        <f>_xlfn.XLOOKUP(H150&amp;I150,'[1]Mapping DSL'!$H:$H,'[1]Mapping DSL'!$J:$J)</f>
        <v/>
      </c>
      <c r="X150" s="220">
        <f>_xlfn.XLOOKUP(G150,[1]Fx!$A$4:$A$12,[1]Fx!$E$4:$E$12)</f>
        <v/>
      </c>
      <c r="Y150" s="220">
        <f>T150*R150</f>
        <v/>
      </c>
      <c r="Z150" s="220">
        <f>U150*O150</f>
        <v/>
      </c>
      <c r="AA150" s="220">
        <f>V150*O150</f>
        <v/>
      </c>
      <c r="AB150" s="220">
        <f>W150*O150</f>
        <v/>
      </c>
      <c r="AC150" s="198">
        <f>X150*O150</f>
        <v/>
      </c>
      <c r="AD150" s="220" t="n">
        <v>0</v>
      </c>
      <c r="AE150" s="220" t="n">
        <v>0</v>
      </c>
      <c r="AF150" s="220">
        <f>SUM(Y150:AE150)</f>
        <v/>
      </c>
      <c r="AG150" s="205">
        <f>_xlfn.XLOOKUP(G150,[1]Fx!$A$16:$A$24,[1]Fx!$B$16:$B$24)</f>
        <v/>
      </c>
      <c r="AH150" s="220">
        <f>AG150*R150</f>
        <v/>
      </c>
      <c r="AI150" s="220">
        <f>$AI$6*Z150</f>
        <v/>
      </c>
      <c r="AJ150" s="220">
        <f>$AJ$6*AA150</f>
        <v/>
      </c>
      <c r="AK150" s="220">
        <f>$AK$6*AB150</f>
        <v/>
      </c>
      <c r="AL150" s="220">
        <f>$AL$6*AC150</f>
        <v/>
      </c>
      <c r="AM150" s="220">
        <f>SUM(AH150:AL150)</f>
        <v/>
      </c>
      <c r="AN150" s="220" t="n">
        <v>0</v>
      </c>
      <c r="AO150" s="220">
        <f>AN150*AH150</f>
        <v/>
      </c>
      <c r="AP150" s="220">
        <f>AD150</f>
        <v/>
      </c>
      <c r="AQ150" s="220">
        <f>AE150</f>
        <v/>
      </c>
      <c r="AR150" s="220">
        <f>AM150-AO150</f>
        <v/>
      </c>
      <c r="AS150" s="220">
        <f>AR150-AK150</f>
        <v/>
      </c>
      <c r="AT150" s="220">
        <f>AS150*1.075</f>
        <v/>
      </c>
      <c r="AU150" s="220">
        <f>ROUNDUP(AT150+AK150+AP150+AQ150,-4)</f>
        <v/>
      </c>
      <c r="AV150" s="198" t="n">
        <v>2311067</v>
      </c>
      <c r="AW150" s="227" t="n"/>
      <c r="AX150" s="220">
        <f>AV150-AR150</f>
        <v/>
      </c>
      <c r="AY150" s="35">
        <f>AX150/AR150</f>
        <v/>
      </c>
      <c r="AZ150" s="220">
        <f>AV150-AF150</f>
        <v/>
      </c>
      <c r="BA150" s="215">
        <f>AV150-SUM(Z150:AC150)</f>
        <v/>
      </c>
      <c r="BB150" s="215">
        <f>BA150-Y150</f>
        <v/>
      </c>
      <c r="BC150" s="35">
        <f>BB150/BA150</f>
        <v/>
      </c>
      <c r="BD150" s="35">
        <f>IFERROR(AZ150/AV150,)</f>
        <v/>
      </c>
      <c r="BE150" s="255">
        <f>AV150-SUM(Z150:AC150)</f>
        <v/>
      </c>
      <c r="BF150" s="255">
        <f>AV150-BE150-AC150-AB150</f>
        <v/>
      </c>
      <c r="BG150" s="255">
        <f>AV150-BE150-BF150-AB150</f>
        <v/>
      </c>
      <c r="BH150" s="255">
        <f>AB150</f>
        <v/>
      </c>
      <c r="BI150">
        <f>IF(BD150&lt;0%,"Loss",IF(BD150&lt;5%,"On Cost Plus",IF(BD150&lt;10%,"Within","Exceed")))</f>
        <v/>
      </c>
      <c r="BJ150" t="inlineStr">
        <is>
          <t>Exceed</t>
        </is>
      </c>
      <c r="BK150">
        <f>0.51*$BK$6</f>
        <v/>
      </c>
      <c r="BL150" s="190">
        <f>BK150-W150</f>
        <v/>
      </c>
      <c r="BM150" s="189">
        <f>BL150*O150</f>
        <v/>
      </c>
    </row>
    <row r="151">
      <c r="A151">
        <f>CONCATENATE(E151,F151,G151,H151,I151,J151,K151,L151)</f>
        <v/>
      </c>
      <c r="B151">
        <f>CONCATENATE(J151,"-&gt;",K151,"/",E151)</f>
        <v/>
      </c>
      <c r="C151" s="23" t="inlineStr">
        <is>
          <t>AFEEZ AJIBADE/Ebenezer</t>
        </is>
      </c>
      <c r="D151">
        <f>CONCATENATE(G151,"-",H151,"-",F151)</f>
        <v/>
      </c>
      <c r="E151" s="24" t="inlineStr">
        <is>
          <t>Lacasera-45T-NBL-DSL-JUMBO</t>
        </is>
      </c>
      <c r="F151" s="24" t="inlineStr">
        <is>
          <t>JUMBO</t>
        </is>
      </c>
      <c r="G151" s="25" t="inlineStr">
        <is>
          <t>NBL-DSL</t>
        </is>
      </c>
      <c r="H151" s="24" t="inlineStr">
        <is>
          <t>45T</t>
        </is>
      </c>
      <c r="I151" s="251" t="inlineStr">
        <is>
          <t>Lacasera</t>
        </is>
      </c>
      <c r="J151" s="251" t="inlineStr">
        <is>
          <t>Lagos</t>
        </is>
      </c>
      <c r="K151" s="23" t="inlineStr">
        <is>
          <t>Abak</t>
        </is>
      </c>
      <c r="L151" t="inlineStr">
        <is>
          <t>Akwa Ibom</t>
        </is>
      </c>
      <c r="M151" s="1" t="inlineStr">
        <is>
          <t>East</t>
        </is>
      </c>
      <c r="N151" s="261" t="n">
        <v>668.5</v>
      </c>
      <c r="O151" s="257" t="n">
        <v>1337</v>
      </c>
      <c r="P151" s="227">
        <f>ROUNDUP(O151/300,)</f>
        <v/>
      </c>
      <c r="Q151" s="220" t="n">
        <v>1</v>
      </c>
      <c r="R151" s="220">
        <f>Q151+P151</f>
        <v/>
      </c>
      <c r="S151" s="198">
        <f>ROUNDDOWN(O151*0.7,)</f>
        <v/>
      </c>
      <c r="T151" s="220">
        <f>_xlfn.XLOOKUP(G151,[1]Fx!$A$4:$A$12,[1]Fx!$B$4:$B$12)</f>
        <v/>
      </c>
      <c r="U151" s="220">
        <f>_xlfn.XLOOKUP(G151,[1]Fx!$A$4:$A$12,[1]Fx!$C$4:$C$12)</f>
        <v/>
      </c>
      <c r="V151" s="220">
        <f>_xlfn.XLOOKUP(G151,[1]Fx!$A$4:$A$12,[1]Fx!$D$4:$D$12)</f>
        <v/>
      </c>
      <c r="W151" s="208">
        <f>_xlfn.XLOOKUP(H151&amp;I151,'[1]Mapping DSL'!$H:$H,'[1]Mapping DSL'!$J:$J)</f>
        <v/>
      </c>
      <c r="X151" s="220">
        <f>_xlfn.XLOOKUP(G151,[1]Fx!$A$4:$A$12,[1]Fx!$E$4:$E$12)</f>
        <v/>
      </c>
      <c r="Y151" s="220">
        <f>T151*R151</f>
        <v/>
      </c>
      <c r="Z151" s="220">
        <f>U151*O151</f>
        <v/>
      </c>
      <c r="AA151" s="220">
        <f>V151*O151</f>
        <v/>
      </c>
      <c r="AB151" s="220">
        <f>W151*O151</f>
        <v/>
      </c>
      <c r="AC151" s="198">
        <f>X151*O151</f>
        <v/>
      </c>
      <c r="AD151" s="220" t="n">
        <v>0</v>
      </c>
      <c r="AE151" s="220" t="n">
        <v>0</v>
      </c>
      <c r="AF151" s="220">
        <f>SUM(Y151:AE151)</f>
        <v/>
      </c>
      <c r="AG151" s="205">
        <f>_xlfn.XLOOKUP(G151,[1]Fx!$A$16:$A$24,[1]Fx!$B$16:$B$24)</f>
        <v/>
      </c>
      <c r="AH151" s="220">
        <f>AG151*R151</f>
        <v/>
      </c>
      <c r="AI151" s="220">
        <f>$AI$6*Z151</f>
        <v/>
      </c>
      <c r="AJ151" s="220">
        <f>$AJ$6*AA151</f>
        <v/>
      </c>
      <c r="AK151" s="220">
        <f>$AK$6*AB151</f>
        <v/>
      </c>
      <c r="AL151" s="220">
        <f>$AL$6*AC151</f>
        <v/>
      </c>
      <c r="AM151" s="220">
        <f>SUM(AH151:AL151)</f>
        <v/>
      </c>
      <c r="AN151" s="220" t="n">
        <v>0</v>
      </c>
      <c r="AO151" s="220">
        <f>AN151*AH151</f>
        <v/>
      </c>
      <c r="AP151" s="220">
        <f>AD151</f>
        <v/>
      </c>
      <c r="AQ151" s="220">
        <f>AE151</f>
        <v/>
      </c>
      <c r="AR151" s="220">
        <f>AM151-AO151</f>
        <v/>
      </c>
      <c r="AS151" s="220">
        <f>AR151-AK151</f>
        <v/>
      </c>
      <c r="AT151" s="220">
        <f>AS151*1.075</f>
        <v/>
      </c>
      <c r="AU151" s="220">
        <f>ROUNDUP(AT151+AK151+AP151+AQ151,-4)</f>
        <v/>
      </c>
      <c r="AV151" s="198" t="n">
        <v>2854350</v>
      </c>
      <c r="AW151" s="227" t="n"/>
      <c r="AX151" s="220">
        <f>AV151-AR151</f>
        <v/>
      </c>
      <c r="AY151" s="35">
        <f>AX151/AR151</f>
        <v/>
      </c>
      <c r="AZ151" s="220">
        <f>AV151-AF151</f>
        <v/>
      </c>
      <c r="BA151" s="215">
        <f>AV151-SUM(Z151:AC151)</f>
        <v/>
      </c>
      <c r="BB151" s="215">
        <f>BA151-Y151</f>
        <v/>
      </c>
      <c r="BC151" s="35">
        <f>BB151/BA151</f>
        <v/>
      </c>
      <c r="BD151" s="35">
        <f>IFERROR(AZ151/AV151,)</f>
        <v/>
      </c>
      <c r="BE151" s="255">
        <f>AV151-SUM(Z151:AC151)</f>
        <v/>
      </c>
      <c r="BF151" s="255">
        <f>AV151-BE151-AC151-AB151</f>
        <v/>
      </c>
      <c r="BG151" s="255">
        <f>AV151-BE151-BF151-AB151</f>
        <v/>
      </c>
      <c r="BH151" s="255">
        <f>AB151</f>
        <v/>
      </c>
      <c r="BI151">
        <f>IF(BD151&lt;0%,"Loss",IF(BD151&lt;5%,"On Cost Plus",IF(BD151&lt;10%,"Within","Exceed")))</f>
        <v/>
      </c>
      <c r="BJ151" t="inlineStr">
        <is>
          <t>Exceed</t>
        </is>
      </c>
      <c r="BK151">
        <f>0.51*$BK$6</f>
        <v/>
      </c>
      <c r="BL151" s="190">
        <f>BK151-W151</f>
        <v/>
      </c>
      <c r="BM151" s="189">
        <f>BL151*O151</f>
        <v/>
      </c>
    </row>
    <row r="152">
      <c r="A152">
        <f>CONCATENATE(E152,F152,G152,H152,I152,J152,K152,L152)</f>
        <v/>
      </c>
      <c r="B152">
        <f>CONCATENATE(J152,"-&gt;",K152,"/",E152)</f>
        <v/>
      </c>
      <c r="C152" s="23" t="inlineStr">
        <is>
          <t>AFEEZ AJIBADE/Ebenezer</t>
        </is>
      </c>
      <c r="D152">
        <f>CONCATENATE(G152,"-",H152,"-",F152)</f>
        <v/>
      </c>
      <c r="E152" s="24" t="inlineStr">
        <is>
          <t>Lacasera-45T-NBL-DSL-JUMBO</t>
        </is>
      </c>
      <c r="F152" s="24" t="inlineStr">
        <is>
          <t>JUMBO</t>
        </is>
      </c>
      <c r="G152" s="25" t="inlineStr">
        <is>
          <t>NBL-DSL</t>
        </is>
      </c>
      <c r="H152" s="24" t="inlineStr">
        <is>
          <t>45T</t>
        </is>
      </c>
      <c r="I152" s="251" t="inlineStr">
        <is>
          <t>Lacasera</t>
        </is>
      </c>
      <c r="J152" s="251" t="inlineStr">
        <is>
          <t>Lagos</t>
        </is>
      </c>
      <c r="K152" s="23" t="inlineStr">
        <is>
          <t>Awka</t>
        </is>
      </c>
      <c r="L152" t="inlineStr">
        <is>
          <t>Anambra</t>
        </is>
      </c>
      <c r="M152" s="1" t="inlineStr">
        <is>
          <t>East</t>
        </is>
      </c>
      <c r="N152" s="261" t="n">
        <v>498</v>
      </c>
      <c r="O152" s="257" t="n">
        <v>996</v>
      </c>
      <c r="P152" s="227">
        <f>ROUNDUP(O152/300,)</f>
        <v/>
      </c>
      <c r="Q152" s="220" t="n">
        <v>1</v>
      </c>
      <c r="R152" s="220">
        <f>Q152+P152</f>
        <v/>
      </c>
      <c r="S152" s="198">
        <f>ROUNDDOWN(O152*0.7,)</f>
        <v/>
      </c>
      <c r="T152" s="220">
        <f>_xlfn.XLOOKUP(G152,[1]Fx!$A$4:$A$12,[1]Fx!$B$4:$B$12)</f>
        <v/>
      </c>
      <c r="U152" s="220">
        <f>_xlfn.XLOOKUP(G152,[1]Fx!$A$4:$A$12,[1]Fx!$C$4:$C$12)</f>
        <v/>
      </c>
      <c r="V152" s="220">
        <f>_xlfn.XLOOKUP(G152,[1]Fx!$A$4:$A$12,[1]Fx!$D$4:$D$12)</f>
        <v/>
      </c>
      <c r="W152" s="208">
        <f>_xlfn.XLOOKUP(H152&amp;I152,'[1]Mapping DSL'!$H:$H,'[1]Mapping DSL'!$J:$J)</f>
        <v/>
      </c>
      <c r="X152" s="220">
        <f>_xlfn.XLOOKUP(G152,[1]Fx!$A$4:$A$12,[1]Fx!$E$4:$E$12)</f>
        <v/>
      </c>
      <c r="Y152" s="220">
        <f>T152*R152</f>
        <v/>
      </c>
      <c r="Z152" s="220">
        <f>U152*O152</f>
        <v/>
      </c>
      <c r="AA152" s="220">
        <f>V152*O152</f>
        <v/>
      </c>
      <c r="AB152" s="220">
        <f>W152*O152</f>
        <v/>
      </c>
      <c r="AC152" s="198">
        <f>X152*O152</f>
        <v/>
      </c>
      <c r="AD152" s="220" t="n">
        <v>0</v>
      </c>
      <c r="AE152" s="220" t="n">
        <v>0</v>
      </c>
      <c r="AF152" s="220">
        <f>SUM(Y152:AE152)</f>
        <v/>
      </c>
      <c r="AG152" s="205">
        <f>_xlfn.XLOOKUP(G152,[1]Fx!$A$16:$A$24,[1]Fx!$B$16:$B$24)</f>
        <v/>
      </c>
      <c r="AH152" s="220">
        <f>AG152*R152</f>
        <v/>
      </c>
      <c r="AI152" s="220">
        <f>$AI$6*Z152</f>
        <v/>
      </c>
      <c r="AJ152" s="220">
        <f>$AJ$6*AA152</f>
        <v/>
      </c>
      <c r="AK152" s="220">
        <f>$AK$6*AB152</f>
        <v/>
      </c>
      <c r="AL152" s="220">
        <f>$AL$6*AC152</f>
        <v/>
      </c>
      <c r="AM152" s="220">
        <f>SUM(AH152:AL152)</f>
        <v/>
      </c>
      <c r="AN152" s="220" t="n">
        <v>0</v>
      </c>
      <c r="AO152" s="220">
        <f>AN152*AH152</f>
        <v/>
      </c>
      <c r="AP152" s="220">
        <f>AD152</f>
        <v/>
      </c>
      <c r="AQ152" s="220">
        <f>AE152</f>
        <v/>
      </c>
      <c r="AR152" s="220">
        <f>AM152-AO152</f>
        <v/>
      </c>
      <c r="AS152" s="220">
        <f>AR152-AK152</f>
        <v/>
      </c>
      <c r="AT152" s="220">
        <f>AS152*1.075</f>
        <v/>
      </c>
      <c r="AU152" s="220">
        <f>ROUNDUP(AT152+AK152+AP152+AQ152,-4)</f>
        <v/>
      </c>
      <c r="AV152" s="198" t="n">
        <v>2347137</v>
      </c>
      <c r="AW152" s="227" t="n"/>
      <c r="AX152" s="220">
        <f>AV152-AR152</f>
        <v/>
      </c>
      <c r="AY152" s="35">
        <f>AX152/AR152</f>
        <v/>
      </c>
      <c r="AZ152" s="220">
        <f>AV152-AF152</f>
        <v/>
      </c>
      <c r="BA152" s="215">
        <f>AV152-SUM(Z152:AC152)</f>
        <v/>
      </c>
      <c r="BB152" s="215">
        <f>BA152-Y152</f>
        <v/>
      </c>
      <c r="BC152" s="35">
        <f>BB152/BA152</f>
        <v/>
      </c>
      <c r="BD152" s="35">
        <f>IFERROR(AZ152/AV152,)</f>
        <v/>
      </c>
      <c r="BE152" s="255">
        <f>AV152-SUM(Z152:AC152)</f>
        <v/>
      </c>
      <c r="BF152" s="255">
        <f>AV152-BE152-AC152-AB152</f>
        <v/>
      </c>
      <c r="BG152" s="255">
        <f>AV152-BE152-BF152-AB152</f>
        <v/>
      </c>
      <c r="BH152" s="255">
        <f>AB152</f>
        <v/>
      </c>
      <c r="BI152">
        <f>IF(BD152&lt;0%,"Loss",IF(BD152&lt;5%,"On Cost Plus",IF(BD152&lt;10%,"Within","Exceed")))</f>
        <v/>
      </c>
      <c r="BJ152" t="inlineStr">
        <is>
          <t>Exceed</t>
        </is>
      </c>
      <c r="BK152">
        <f>0.51*$BK$6</f>
        <v/>
      </c>
      <c r="BL152" s="190">
        <f>BK152-W152</f>
        <v/>
      </c>
      <c r="BM152" s="189">
        <f>BL152*O152</f>
        <v/>
      </c>
    </row>
    <row r="153">
      <c r="A153">
        <f>CONCATENATE(E153,F153,G153,H153,I153,J153,K153,L153)</f>
        <v/>
      </c>
      <c r="B153">
        <f>CONCATENATE(J153,"-&gt;",K153,"/",E153)</f>
        <v/>
      </c>
      <c r="C153" s="23" t="inlineStr">
        <is>
          <t>AFEEZ AJIBADE/Ebenezer</t>
        </is>
      </c>
      <c r="D153">
        <f>CONCATENATE(G153,"-",H153,"-",F153)</f>
        <v/>
      </c>
      <c r="E153" s="24" t="inlineStr">
        <is>
          <t>Lacasera-45T-NBL-DSL-JUMBO</t>
        </is>
      </c>
      <c r="F153" s="24" t="inlineStr">
        <is>
          <t>JUMBO</t>
        </is>
      </c>
      <c r="G153" s="25" t="inlineStr">
        <is>
          <t>NBL-DSL</t>
        </is>
      </c>
      <c r="H153" s="24" t="inlineStr">
        <is>
          <t>45T</t>
        </is>
      </c>
      <c r="I153" s="251" t="inlineStr">
        <is>
          <t>Lacasera</t>
        </is>
      </c>
      <c r="J153" s="251" t="inlineStr">
        <is>
          <t>Lagos</t>
        </is>
      </c>
      <c r="K153" s="23" t="inlineStr">
        <is>
          <t>Ikom</t>
        </is>
      </c>
      <c r="L153" t="inlineStr">
        <is>
          <t>Cross River</t>
        </is>
      </c>
      <c r="M153" s="1" t="inlineStr">
        <is>
          <t>East</t>
        </is>
      </c>
      <c r="N153" s="261" t="n">
        <v>776</v>
      </c>
      <c r="O153" s="257" t="n">
        <v>1552</v>
      </c>
      <c r="P153" s="227">
        <f>ROUNDUP(O153/300,)</f>
        <v/>
      </c>
      <c r="Q153" s="220" t="n">
        <v>1</v>
      </c>
      <c r="R153" s="220">
        <f>Q153+P153</f>
        <v/>
      </c>
      <c r="S153" s="198">
        <f>ROUNDDOWN(O153*0.7,)</f>
        <v/>
      </c>
      <c r="T153" s="220">
        <f>_xlfn.XLOOKUP(G153,[1]Fx!$A$4:$A$12,[1]Fx!$B$4:$B$12)</f>
        <v/>
      </c>
      <c r="U153" s="220">
        <f>_xlfn.XLOOKUP(G153,[1]Fx!$A$4:$A$12,[1]Fx!$C$4:$C$12)</f>
        <v/>
      </c>
      <c r="V153" s="220">
        <f>_xlfn.XLOOKUP(G153,[1]Fx!$A$4:$A$12,[1]Fx!$D$4:$D$12)</f>
        <v/>
      </c>
      <c r="W153" s="208">
        <f>_xlfn.XLOOKUP(H153&amp;I153,'[1]Mapping DSL'!$H:$H,'[1]Mapping DSL'!$J:$J)</f>
        <v/>
      </c>
      <c r="X153" s="220">
        <f>_xlfn.XLOOKUP(G153,[1]Fx!$A$4:$A$12,[1]Fx!$E$4:$E$12)</f>
        <v/>
      </c>
      <c r="Y153" s="220">
        <f>T153*R153</f>
        <v/>
      </c>
      <c r="Z153" s="220">
        <f>U153*O153</f>
        <v/>
      </c>
      <c r="AA153" s="220">
        <f>V153*O153</f>
        <v/>
      </c>
      <c r="AB153" s="220">
        <f>W153*O153</f>
        <v/>
      </c>
      <c r="AC153" s="198">
        <f>X153*O153</f>
        <v/>
      </c>
      <c r="AD153" s="220" t="n">
        <v>0</v>
      </c>
      <c r="AE153" s="220" t="n">
        <v>0</v>
      </c>
      <c r="AF153" s="220">
        <f>SUM(Y153:AE153)</f>
        <v/>
      </c>
      <c r="AG153" s="205">
        <f>_xlfn.XLOOKUP(G153,[1]Fx!$A$16:$A$24,[1]Fx!$B$16:$B$24)</f>
        <v/>
      </c>
      <c r="AH153" s="220">
        <f>AG153*R153</f>
        <v/>
      </c>
      <c r="AI153" s="220">
        <f>$AI$6*Z153</f>
        <v/>
      </c>
      <c r="AJ153" s="220">
        <f>$AJ$6*AA153</f>
        <v/>
      </c>
      <c r="AK153" s="220">
        <f>$AK$6*AB153</f>
        <v/>
      </c>
      <c r="AL153" s="220">
        <f>$AL$6*AC153</f>
        <v/>
      </c>
      <c r="AM153" s="220">
        <f>SUM(AH153:AL153)</f>
        <v/>
      </c>
      <c r="AN153" s="220" t="n">
        <v>0</v>
      </c>
      <c r="AO153" s="220">
        <f>AN153*AH153</f>
        <v/>
      </c>
      <c r="AP153" s="220">
        <f>AD153</f>
        <v/>
      </c>
      <c r="AQ153" s="220">
        <f>AE153</f>
        <v/>
      </c>
      <c r="AR153" s="220">
        <f>AM153-AO153</f>
        <v/>
      </c>
      <c r="AS153" s="220">
        <f>AR153-AK153</f>
        <v/>
      </c>
      <c r="AT153" s="220">
        <f>AS153*1.075</f>
        <v/>
      </c>
      <c r="AU153" s="220">
        <f>ROUNDUP(AT153+AK153+AP153+AQ153,-4)</f>
        <v/>
      </c>
      <c r="AV153" s="198" t="n">
        <v>3185106</v>
      </c>
      <c r="AW153" s="227" t="n"/>
      <c r="AX153" s="220">
        <f>AV153-AR153</f>
        <v/>
      </c>
      <c r="AY153" s="35">
        <f>AX153/AR153</f>
        <v/>
      </c>
      <c r="AZ153" s="220">
        <f>AV153-AF153</f>
        <v/>
      </c>
      <c r="BA153" s="215">
        <f>AV153-SUM(Z153:AC153)</f>
        <v/>
      </c>
      <c r="BB153" s="215">
        <f>BA153-Y153</f>
        <v/>
      </c>
      <c r="BC153" s="35">
        <f>BB153/BA153</f>
        <v/>
      </c>
      <c r="BD153" s="35">
        <f>IFERROR(AZ153/AV153,)</f>
        <v/>
      </c>
      <c r="BE153" s="255">
        <f>AV153-SUM(Z153:AC153)</f>
        <v/>
      </c>
      <c r="BF153" s="255">
        <f>AV153-BE153-AC153-AB153</f>
        <v/>
      </c>
      <c r="BG153" s="255">
        <f>AV153-BE153-BF153-AB153</f>
        <v/>
      </c>
      <c r="BH153" s="255">
        <f>AB153</f>
        <v/>
      </c>
      <c r="BI153">
        <f>IF(BD153&lt;0%,"Loss",IF(BD153&lt;5%,"On Cost Plus",IF(BD153&lt;10%,"Within","Exceed")))</f>
        <v/>
      </c>
      <c r="BJ153" t="inlineStr">
        <is>
          <t>Exceed</t>
        </is>
      </c>
      <c r="BK153">
        <f>0.51*$BK$6</f>
        <v/>
      </c>
      <c r="BL153" s="190">
        <f>BK153-W153</f>
        <v/>
      </c>
      <c r="BM153" s="189">
        <f>BL153*O153</f>
        <v/>
      </c>
    </row>
    <row r="154">
      <c r="A154">
        <f>CONCATENATE(E154,F154,G154,H154,I154,J154,K154,L154)</f>
        <v/>
      </c>
      <c r="B154">
        <f>CONCATENATE(J154,"-&gt;",K154,"/",E154)</f>
        <v/>
      </c>
      <c r="C154" s="23" t="inlineStr">
        <is>
          <t>AFEEZ AJIBADE/Ebenezer</t>
        </is>
      </c>
      <c r="D154">
        <f>CONCATENATE(G154,"-",H154,"-",F154)</f>
        <v/>
      </c>
      <c r="E154" s="24" t="inlineStr">
        <is>
          <t>Lacasera-45T-NBL-DSL-JUMBO</t>
        </is>
      </c>
      <c r="F154" s="24" t="inlineStr">
        <is>
          <t>JUMBO</t>
        </is>
      </c>
      <c r="G154" s="25" t="inlineStr">
        <is>
          <t>NBL-DSL</t>
        </is>
      </c>
      <c r="H154" s="24" t="inlineStr">
        <is>
          <t>45T</t>
        </is>
      </c>
      <c r="I154" s="251" t="inlineStr">
        <is>
          <t>Lacasera</t>
        </is>
      </c>
      <c r="J154" s="251" t="inlineStr">
        <is>
          <t>Lagos</t>
        </is>
      </c>
      <c r="K154" s="23" t="inlineStr">
        <is>
          <t>Obubra</t>
        </is>
      </c>
      <c r="L154" t="inlineStr">
        <is>
          <t>Cross River</t>
        </is>
      </c>
      <c r="M154" s="1" t="inlineStr">
        <is>
          <t>East</t>
        </is>
      </c>
      <c r="N154" s="261" t="n">
        <v>717</v>
      </c>
      <c r="O154" s="257" t="n">
        <v>1434</v>
      </c>
      <c r="P154" s="227">
        <f>ROUNDUP(O154/300,)</f>
        <v/>
      </c>
      <c r="Q154" s="220" t="n">
        <v>1</v>
      </c>
      <c r="R154" s="220">
        <f>Q154+P154</f>
        <v/>
      </c>
      <c r="S154" s="198">
        <f>ROUNDDOWN(O154*0.7,)</f>
        <v/>
      </c>
      <c r="T154" s="220">
        <f>_xlfn.XLOOKUP(G154,[1]Fx!$A$4:$A$12,[1]Fx!$B$4:$B$12)</f>
        <v/>
      </c>
      <c r="U154" s="220">
        <f>_xlfn.XLOOKUP(G154,[1]Fx!$A$4:$A$12,[1]Fx!$C$4:$C$12)</f>
        <v/>
      </c>
      <c r="V154" s="220">
        <f>_xlfn.XLOOKUP(G154,[1]Fx!$A$4:$A$12,[1]Fx!$D$4:$D$12)</f>
        <v/>
      </c>
      <c r="W154" s="208">
        <f>_xlfn.XLOOKUP(H154&amp;I154,'[1]Mapping DSL'!$H:$H,'[1]Mapping DSL'!$J:$J)</f>
        <v/>
      </c>
      <c r="X154" s="220">
        <f>_xlfn.XLOOKUP(G154,[1]Fx!$A$4:$A$12,[1]Fx!$E$4:$E$12)</f>
        <v/>
      </c>
      <c r="Y154" s="220">
        <f>T154*R154</f>
        <v/>
      </c>
      <c r="Z154" s="220">
        <f>U154*O154</f>
        <v/>
      </c>
      <c r="AA154" s="220">
        <f>V154*O154</f>
        <v/>
      </c>
      <c r="AB154" s="220">
        <f>W154*O154</f>
        <v/>
      </c>
      <c r="AC154" s="198">
        <f>X154*O154</f>
        <v/>
      </c>
      <c r="AD154" s="220" t="n">
        <v>0</v>
      </c>
      <c r="AE154" s="220" t="n">
        <v>0</v>
      </c>
      <c r="AF154" s="220">
        <f>SUM(Y154:AE154)</f>
        <v/>
      </c>
      <c r="AG154" s="205">
        <f>_xlfn.XLOOKUP(G154,[1]Fx!$A$16:$A$24,[1]Fx!$B$16:$B$24)</f>
        <v/>
      </c>
      <c r="AH154" s="220">
        <f>AG154*R154</f>
        <v/>
      </c>
      <c r="AI154" s="220">
        <f>$AI$6*Z154</f>
        <v/>
      </c>
      <c r="AJ154" s="220">
        <f>$AJ$6*AA154</f>
        <v/>
      </c>
      <c r="AK154" s="220">
        <f>$AK$6*AB154</f>
        <v/>
      </c>
      <c r="AL154" s="220">
        <f>$AL$6*AC154</f>
        <v/>
      </c>
      <c r="AM154" s="220">
        <f>SUM(AH154:AL154)</f>
        <v/>
      </c>
      <c r="AN154" s="220" t="n">
        <v>0</v>
      </c>
      <c r="AO154" s="220">
        <f>AN154*AH154</f>
        <v/>
      </c>
      <c r="AP154" s="220">
        <f>AD154</f>
        <v/>
      </c>
      <c r="AQ154" s="220">
        <f>AE154</f>
        <v/>
      </c>
      <c r="AR154" s="220">
        <f>AM154-AO154</f>
        <v/>
      </c>
      <c r="AS154" s="220">
        <f>AR154-AK154</f>
        <v/>
      </c>
      <c r="AT154" s="220">
        <f>AS154*1.075</f>
        <v/>
      </c>
      <c r="AU154" s="220">
        <f>ROUNDUP(AT154+AK154+AP154+AQ154,-4)</f>
        <v/>
      </c>
      <c r="AV154" s="198" t="n">
        <v>2952873</v>
      </c>
      <c r="AW154" s="227" t="n"/>
      <c r="AX154" s="220">
        <f>AV154-AR154</f>
        <v/>
      </c>
      <c r="AY154" s="35">
        <f>AX154/AR154</f>
        <v/>
      </c>
      <c r="AZ154" s="220">
        <f>AV154-AF154</f>
        <v/>
      </c>
      <c r="BA154" s="215">
        <f>AV154-SUM(Z154:AC154)</f>
        <v/>
      </c>
      <c r="BB154" s="215">
        <f>BA154-Y154</f>
        <v/>
      </c>
      <c r="BC154" s="35">
        <f>BB154/BA154</f>
        <v/>
      </c>
      <c r="BD154" s="35">
        <f>IFERROR(AZ154/AV154,)</f>
        <v/>
      </c>
      <c r="BE154" s="255">
        <f>AV154-SUM(Z154:AC154)</f>
        <v/>
      </c>
      <c r="BF154" s="255">
        <f>AV154-BE154-AC154-AB154</f>
        <v/>
      </c>
      <c r="BG154" s="255">
        <f>AV154-BE154-BF154-AB154</f>
        <v/>
      </c>
      <c r="BH154" s="255">
        <f>AB154</f>
        <v/>
      </c>
      <c r="BI154">
        <f>IF(BD154&lt;0%,"Loss",IF(BD154&lt;5%,"On Cost Plus",IF(BD154&lt;10%,"Within","Exceed")))</f>
        <v/>
      </c>
      <c r="BJ154" t="inlineStr">
        <is>
          <t>Exceed</t>
        </is>
      </c>
      <c r="BK154">
        <f>0.51*$BK$6</f>
        <v/>
      </c>
      <c r="BL154" s="190">
        <f>BK154-W154</f>
        <v/>
      </c>
      <c r="BM154" s="189">
        <f>BL154*O154</f>
        <v/>
      </c>
    </row>
    <row r="155">
      <c r="A155">
        <f>CONCATENATE(E155,F155,G155,H155,I155,J155,K155,L155)</f>
        <v/>
      </c>
      <c r="B155">
        <f>CONCATENATE(J155,"-&gt;",K155,"/",E155)</f>
        <v/>
      </c>
      <c r="C155" s="23" t="inlineStr">
        <is>
          <t>AFEEZ AJIBADE/Ebenezer</t>
        </is>
      </c>
      <c r="D155">
        <f>CONCATENATE(G155,"-",H155,"-",F155)</f>
        <v/>
      </c>
      <c r="E155" s="24" t="inlineStr">
        <is>
          <t>Lacasera-45T-NBL-DSL-JUMBO</t>
        </is>
      </c>
      <c r="F155" s="24" t="inlineStr">
        <is>
          <t>JUMBO</t>
        </is>
      </c>
      <c r="G155" s="25" t="inlineStr">
        <is>
          <t>NBL-DSL</t>
        </is>
      </c>
      <c r="H155" s="24" t="inlineStr">
        <is>
          <t>45T</t>
        </is>
      </c>
      <c r="I155" s="251" t="inlineStr">
        <is>
          <t>Lacasera</t>
        </is>
      </c>
      <c r="J155" s="251" t="inlineStr">
        <is>
          <t>Lagos</t>
        </is>
      </c>
      <c r="K155" s="23" t="inlineStr">
        <is>
          <t>Bori</t>
        </is>
      </c>
      <c r="L155" t="inlineStr">
        <is>
          <t>Rivers</t>
        </is>
      </c>
      <c r="M155" s="1" t="inlineStr">
        <is>
          <t>East</t>
        </is>
      </c>
      <c r="N155" s="261" t="n">
        <v>654</v>
      </c>
      <c r="O155" s="257" t="n">
        <v>1308</v>
      </c>
      <c r="P155" s="227">
        <f>ROUNDUP(O155/300,)</f>
        <v/>
      </c>
      <c r="Q155" s="220" t="n">
        <v>1</v>
      </c>
      <c r="R155" s="220">
        <f>Q155+P155</f>
        <v/>
      </c>
      <c r="S155" s="198">
        <f>ROUNDDOWN(O155*0.7,)</f>
        <v/>
      </c>
      <c r="T155" s="220">
        <f>_xlfn.XLOOKUP(G155,[1]Fx!$A$4:$A$12,[1]Fx!$B$4:$B$12)</f>
        <v/>
      </c>
      <c r="U155" s="220">
        <f>_xlfn.XLOOKUP(G155,[1]Fx!$A$4:$A$12,[1]Fx!$C$4:$C$12)</f>
        <v/>
      </c>
      <c r="V155" s="220">
        <f>_xlfn.XLOOKUP(G155,[1]Fx!$A$4:$A$12,[1]Fx!$D$4:$D$12)</f>
        <v/>
      </c>
      <c r="W155" s="208">
        <f>_xlfn.XLOOKUP(H155&amp;I155,'[1]Mapping DSL'!$H:$H,'[1]Mapping DSL'!$J:$J)</f>
        <v/>
      </c>
      <c r="X155" s="220">
        <f>_xlfn.XLOOKUP(G155,[1]Fx!$A$4:$A$12,[1]Fx!$E$4:$E$12)</f>
        <v/>
      </c>
      <c r="Y155" s="220">
        <f>T155*R155</f>
        <v/>
      </c>
      <c r="Z155" s="220">
        <f>U155*O155</f>
        <v/>
      </c>
      <c r="AA155" s="220">
        <f>V155*O155</f>
        <v/>
      </c>
      <c r="AB155" s="220">
        <f>W155*O155</f>
        <v/>
      </c>
      <c r="AC155" s="198">
        <f>X155*O155</f>
        <v/>
      </c>
      <c r="AD155" s="220" t="n">
        <v>0</v>
      </c>
      <c r="AE155" s="220" t="n">
        <v>0</v>
      </c>
      <c r="AF155" s="220">
        <f>SUM(Y155:AE155)</f>
        <v/>
      </c>
      <c r="AG155" s="205">
        <f>_xlfn.XLOOKUP(G155,[1]Fx!$A$16:$A$24,[1]Fx!$B$16:$B$24)</f>
        <v/>
      </c>
      <c r="AH155" s="220">
        <f>AG155*R155</f>
        <v/>
      </c>
      <c r="AI155" s="220">
        <f>$AI$6*Z155</f>
        <v/>
      </c>
      <c r="AJ155" s="220">
        <f>$AJ$6*AA155</f>
        <v/>
      </c>
      <c r="AK155" s="220">
        <f>$AK$6*AB155</f>
        <v/>
      </c>
      <c r="AL155" s="220">
        <f>$AL$6*AC155</f>
        <v/>
      </c>
      <c r="AM155" s="220">
        <f>SUM(AH155:AL155)</f>
        <v/>
      </c>
      <c r="AN155" s="220" t="n">
        <v>0</v>
      </c>
      <c r="AO155" s="220">
        <f>AN155*AH155</f>
        <v/>
      </c>
      <c r="AP155" s="220">
        <f>AD155</f>
        <v/>
      </c>
      <c r="AQ155" s="220">
        <f>AE155</f>
        <v/>
      </c>
      <c r="AR155" s="220">
        <f>AM155-AO155</f>
        <v/>
      </c>
      <c r="AS155" s="220">
        <f>AR155-AK155</f>
        <v/>
      </c>
      <c r="AT155" s="220">
        <f>AS155*1.075</f>
        <v/>
      </c>
      <c r="AU155" s="220">
        <f>ROUNDUP(AT155+AK155+AP155+AQ155,-4)</f>
        <v/>
      </c>
      <c r="AV155" s="198" t="n">
        <v>2859457</v>
      </c>
      <c r="AW155" s="227" t="n"/>
      <c r="AX155" s="220">
        <f>AV155-AR155</f>
        <v/>
      </c>
      <c r="AY155" s="35">
        <f>AX155/AR155</f>
        <v/>
      </c>
      <c r="AZ155" s="220">
        <f>AV155-AF155</f>
        <v/>
      </c>
      <c r="BA155" s="215">
        <f>AV155-SUM(Z155:AC155)</f>
        <v/>
      </c>
      <c r="BB155" s="215">
        <f>BA155-Y155</f>
        <v/>
      </c>
      <c r="BC155" s="35">
        <f>BB155/BA155</f>
        <v/>
      </c>
      <c r="BD155" s="35">
        <f>IFERROR(AZ155/AV155,)</f>
        <v/>
      </c>
      <c r="BE155" s="255">
        <f>AV155-SUM(Z155:AC155)</f>
        <v/>
      </c>
      <c r="BF155" s="255">
        <f>AV155-BE155-AC155-AB155</f>
        <v/>
      </c>
      <c r="BG155" s="255">
        <f>AV155-BE155-BF155-AB155</f>
        <v/>
      </c>
      <c r="BH155" s="255">
        <f>AB155</f>
        <v/>
      </c>
      <c r="BI155">
        <f>IF(BD155&lt;0%,"Loss",IF(BD155&lt;5%,"On Cost Plus",IF(BD155&lt;10%,"Within","Exceed")))</f>
        <v/>
      </c>
      <c r="BJ155" t="inlineStr">
        <is>
          <t>Exceed</t>
        </is>
      </c>
      <c r="BK155">
        <f>0.51*$BK$6</f>
        <v/>
      </c>
      <c r="BL155" s="190">
        <f>BK155-W155</f>
        <v/>
      </c>
      <c r="BM155" s="189">
        <f>BL155*O155</f>
        <v/>
      </c>
    </row>
    <row r="156">
      <c r="A156">
        <f>CONCATENATE(E156,F156,G156,H156,I156,J156,K156,L156)</f>
        <v/>
      </c>
      <c r="B156">
        <f>CONCATENATE(J156,"-&gt;",K156,"/",E156)</f>
        <v/>
      </c>
      <c r="C156" s="23" t="inlineStr">
        <is>
          <t>AFEEZ AJIBADE/Ebenezer</t>
        </is>
      </c>
      <c r="D156">
        <f>CONCATENATE(G156,"-",H156,"-",F156)</f>
        <v/>
      </c>
      <c r="E156" s="24" t="inlineStr">
        <is>
          <t>Lacasera-45T-NBL-DSL-JUMBO</t>
        </is>
      </c>
      <c r="F156" s="24" t="inlineStr">
        <is>
          <t>JUMBO</t>
        </is>
      </c>
      <c r="G156" s="25" t="inlineStr">
        <is>
          <t>NBL-DSL</t>
        </is>
      </c>
      <c r="H156" s="24" t="inlineStr">
        <is>
          <t>45T</t>
        </is>
      </c>
      <c r="I156" s="251" t="inlineStr">
        <is>
          <t>Lacasera</t>
        </is>
      </c>
      <c r="J156" s="251" t="inlineStr">
        <is>
          <t>Lagos</t>
        </is>
      </c>
      <c r="K156" s="23" t="inlineStr">
        <is>
          <t>Eket</t>
        </is>
      </c>
      <c r="L156" t="inlineStr">
        <is>
          <t>Akwa Ibom</t>
        </is>
      </c>
      <c r="M156" s="1" t="inlineStr">
        <is>
          <t>East</t>
        </is>
      </c>
      <c r="N156" s="261" t="n">
        <v>710.5</v>
      </c>
      <c r="O156" s="257" t="n">
        <v>1421</v>
      </c>
      <c r="P156" s="227">
        <f>ROUNDUP(O156/300,)</f>
        <v/>
      </c>
      <c r="Q156" s="220" t="n">
        <v>1</v>
      </c>
      <c r="R156" s="220">
        <f>Q156+P156</f>
        <v/>
      </c>
      <c r="S156" s="198">
        <f>ROUNDDOWN(O156*0.7,)</f>
        <v/>
      </c>
      <c r="T156" s="220">
        <f>_xlfn.XLOOKUP(G156,[1]Fx!$A$4:$A$12,[1]Fx!$B$4:$B$12)</f>
        <v/>
      </c>
      <c r="U156" s="220">
        <f>_xlfn.XLOOKUP(G156,[1]Fx!$A$4:$A$12,[1]Fx!$C$4:$C$12)</f>
        <v/>
      </c>
      <c r="V156" s="220">
        <f>_xlfn.XLOOKUP(G156,[1]Fx!$A$4:$A$12,[1]Fx!$D$4:$D$12)</f>
        <v/>
      </c>
      <c r="W156" s="208">
        <f>_xlfn.XLOOKUP(H156&amp;I156,'[1]Mapping DSL'!$H:$H,'[1]Mapping DSL'!$J:$J)</f>
        <v/>
      </c>
      <c r="X156" s="220">
        <f>_xlfn.XLOOKUP(G156,[1]Fx!$A$4:$A$12,[1]Fx!$E$4:$E$12)</f>
        <v/>
      </c>
      <c r="Y156" s="220">
        <f>T156*R156</f>
        <v/>
      </c>
      <c r="Z156" s="220">
        <f>U156*O156</f>
        <v/>
      </c>
      <c r="AA156" s="220">
        <f>V156*O156</f>
        <v/>
      </c>
      <c r="AB156" s="220">
        <f>W156*O156</f>
        <v/>
      </c>
      <c r="AC156" s="198">
        <f>X156*O156</f>
        <v/>
      </c>
      <c r="AD156" s="220" t="n">
        <v>0</v>
      </c>
      <c r="AE156" s="220" t="n">
        <v>0</v>
      </c>
      <c r="AF156" s="220">
        <f>SUM(Y156:AE156)</f>
        <v/>
      </c>
      <c r="AG156" s="205">
        <f>_xlfn.XLOOKUP(G156,[1]Fx!$A$16:$A$24,[1]Fx!$B$16:$B$24)</f>
        <v/>
      </c>
      <c r="AH156" s="220">
        <f>AG156*R156</f>
        <v/>
      </c>
      <c r="AI156" s="220">
        <f>$AI$6*Z156</f>
        <v/>
      </c>
      <c r="AJ156" s="220">
        <f>$AJ$6*AA156</f>
        <v/>
      </c>
      <c r="AK156" s="220">
        <f>$AK$6*AB156</f>
        <v/>
      </c>
      <c r="AL156" s="220">
        <f>$AL$6*AC156</f>
        <v/>
      </c>
      <c r="AM156" s="220">
        <f>SUM(AH156:AL156)</f>
        <v/>
      </c>
      <c r="AN156" s="220" t="n">
        <v>0</v>
      </c>
      <c r="AO156" s="220">
        <f>AN156*AH156</f>
        <v/>
      </c>
      <c r="AP156" s="220">
        <f>AD156</f>
        <v/>
      </c>
      <c r="AQ156" s="220">
        <f>AE156</f>
        <v/>
      </c>
      <c r="AR156" s="220">
        <f>AM156-AO156</f>
        <v/>
      </c>
      <c r="AS156" s="220">
        <f>AR156-AK156</f>
        <v/>
      </c>
      <c r="AT156" s="220">
        <f>AS156*1.075</f>
        <v/>
      </c>
      <c r="AU156" s="220">
        <f>ROUNDUP(AT156+AK156+AP156+AQ156,-4)</f>
        <v/>
      </c>
      <c r="AV156" s="198" t="n">
        <v>2921909</v>
      </c>
      <c r="AW156" s="227" t="n"/>
      <c r="AX156" s="220">
        <f>AV156-AR156</f>
        <v/>
      </c>
      <c r="AY156" s="35">
        <f>AX156/AR156</f>
        <v/>
      </c>
      <c r="AZ156" s="220">
        <f>AV156-AF156</f>
        <v/>
      </c>
      <c r="BA156" s="215">
        <f>AV156-SUM(Z156:AC156)</f>
        <v/>
      </c>
      <c r="BB156" s="215">
        <f>BA156-Y156</f>
        <v/>
      </c>
      <c r="BC156" s="35">
        <f>BB156/BA156</f>
        <v/>
      </c>
      <c r="BD156" s="35">
        <f>IFERROR(AZ156/AV156,)</f>
        <v/>
      </c>
      <c r="BE156" s="255">
        <f>AV156-SUM(Z156:AC156)</f>
        <v/>
      </c>
      <c r="BF156" s="255">
        <f>AV156-BE156-AC156-AB156</f>
        <v/>
      </c>
      <c r="BG156" s="255">
        <f>AV156-BE156-BF156-AB156</f>
        <v/>
      </c>
      <c r="BH156" s="255">
        <f>AB156</f>
        <v/>
      </c>
      <c r="BI156">
        <f>IF(BD156&lt;0%,"Loss",IF(BD156&lt;5%,"On Cost Plus",IF(BD156&lt;10%,"Within","Exceed")))</f>
        <v/>
      </c>
      <c r="BJ156" t="inlineStr">
        <is>
          <t>Exceed</t>
        </is>
      </c>
      <c r="BK156">
        <f>0.51*$BK$6</f>
        <v/>
      </c>
      <c r="BL156" s="190">
        <f>BK156-W156</f>
        <v/>
      </c>
      <c r="BM156" s="189">
        <f>BL156*O156</f>
        <v/>
      </c>
    </row>
    <row r="157">
      <c r="A157">
        <f>CONCATENATE(E157,F157,G157,H157,I157,J157,K157,L157)</f>
        <v/>
      </c>
      <c r="B157">
        <f>CONCATENATE(J157,"-&gt;",K157,"/",E157)</f>
        <v/>
      </c>
      <c r="C157" s="23" t="inlineStr">
        <is>
          <t>AFEEZ AJIBADE/Ebenezer</t>
        </is>
      </c>
      <c r="D157">
        <f>CONCATENATE(G157,"-",H157,"-",F157)</f>
        <v/>
      </c>
      <c r="E157" s="24" t="inlineStr">
        <is>
          <t>Lacasera-45T-NBL-DSL-JUMBO</t>
        </is>
      </c>
      <c r="F157" s="24" t="inlineStr">
        <is>
          <t>JUMBO</t>
        </is>
      </c>
      <c r="G157" s="25" t="inlineStr">
        <is>
          <t>NBL-DSL</t>
        </is>
      </c>
      <c r="H157" s="24" t="inlineStr">
        <is>
          <t>45T</t>
        </is>
      </c>
      <c r="I157" s="251" t="inlineStr">
        <is>
          <t>Lacasera</t>
        </is>
      </c>
      <c r="J157" s="251" t="inlineStr">
        <is>
          <t>Lagos</t>
        </is>
      </c>
      <c r="K157" s="23" t="inlineStr">
        <is>
          <t>Bauchi</t>
        </is>
      </c>
      <c r="L157" t="inlineStr">
        <is>
          <t>Bauchi</t>
        </is>
      </c>
      <c r="M157" s="1" t="inlineStr">
        <is>
          <t>North</t>
        </is>
      </c>
      <c r="N157" s="261" t="n">
        <v>1185</v>
      </c>
      <c r="O157" s="257" t="n">
        <v>2370</v>
      </c>
      <c r="P157" s="227">
        <f>ROUNDUP(O157/300,)</f>
        <v/>
      </c>
      <c r="Q157" s="220" t="n">
        <v>1</v>
      </c>
      <c r="R157" s="220">
        <f>Q157+P157</f>
        <v/>
      </c>
      <c r="S157" s="198">
        <f>ROUNDDOWN(O157*0.7,)</f>
        <v/>
      </c>
      <c r="T157" s="220">
        <f>_xlfn.XLOOKUP(G157,[1]Fx!$A$4:$A$12,[1]Fx!$B$4:$B$12)</f>
        <v/>
      </c>
      <c r="U157" s="220">
        <f>_xlfn.XLOOKUP(G157,[1]Fx!$A$4:$A$12,[1]Fx!$C$4:$C$12)</f>
        <v/>
      </c>
      <c r="V157" s="220">
        <f>_xlfn.XLOOKUP(G157,[1]Fx!$A$4:$A$12,[1]Fx!$D$4:$D$12)</f>
        <v/>
      </c>
      <c r="W157" s="208">
        <f>_xlfn.XLOOKUP(H157&amp;I157,'[1]Mapping DSL'!$H:$H,'[1]Mapping DSL'!$J:$J)</f>
        <v/>
      </c>
      <c r="X157" s="220">
        <f>_xlfn.XLOOKUP(G157,[1]Fx!$A$4:$A$12,[1]Fx!$E$4:$E$12)</f>
        <v/>
      </c>
      <c r="Y157" s="220">
        <f>T157*R157</f>
        <v/>
      </c>
      <c r="Z157" s="220">
        <f>U157*O157</f>
        <v/>
      </c>
      <c r="AA157" s="220">
        <f>V157*O157</f>
        <v/>
      </c>
      <c r="AB157" s="220">
        <f>W157*O157</f>
        <v/>
      </c>
      <c r="AC157" s="198">
        <f>X157*O157</f>
        <v/>
      </c>
      <c r="AD157" s="220" t="n">
        <v>0</v>
      </c>
      <c r="AE157" s="220" t="n">
        <v>0</v>
      </c>
      <c r="AF157" s="220">
        <f>SUM(Y157:AE157)</f>
        <v/>
      </c>
      <c r="AG157" s="205">
        <f>_xlfn.XLOOKUP(G157,[1]Fx!$A$16:$A$24,[1]Fx!$B$16:$B$24)</f>
        <v/>
      </c>
      <c r="AH157" s="220">
        <f>AG157*R157</f>
        <v/>
      </c>
      <c r="AI157" s="220">
        <f>$AI$6*Z157</f>
        <v/>
      </c>
      <c r="AJ157" s="220">
        <f>$AJ$6*AA157</f>
        <v/>
      </c>
      <c r="AK157" s="220">
        <f>$AK$6*AB157</f>
        <v/>
      </c>
      <c r="AL157" s="220">
        <f>$AL$6*AC157</f>
        <v/>
      </c>
      <c r="AM157" s="220">
        <f>SUM(AH157:AL157)</f>
        <v/>
      </c>
      <c r="AN157" s="220" t="n">
        <v>0</v>
      </c>
      <c r="AO157" s="220">
        <f>AN157*AH157</f>
        <v/>
      </c>
      <c r="AP157" s="220">
        <f>AD157</f>
        <v/>
      </c>
      <c r="AQ157" s="220">
        <f>AE157</f>
        <v/>
      </c>
      <c r="AR157" s="220">
        <f>AM157-AO157</f>
        <v/>
      </c>
      <c r="AS157" s="220">
        <f>AR157-AK157</f>
        <v/>
      </c>
      <c r="AT157" s="220">
        <f>AS157*1.075</f>
        <v/>
      </c>
      <c r="AU157" s="220">
        <f>ROUNDUP(AT157+AK157+AP157+AQ157,-4)</f>
        <v/>
      </c>
      <c r="AV157" s="198" t="n">
        <v>3671425</v>
      </c>
      <c r="AW157" s="227" t="n"/>
      <c r="AX157" s="220">
        <f>AV157-AR157</f>
        <v/>
      </c>
      <c r="AY157" s="35">
        <f>AX157/AR157</f>
        <v/>
      </c>
      <c r="AZ157" s="220">
        <f>AV157-AF157</f>
        <v/>
      </c>
      <c r="BA157" s="215">
        <f>AV157-SUM(Z157:AC157)</f>
        <v/>
      </c>
      <c r="BB157" s="215">
        <f>BA157-Y157</f>
        <v/>
      </c>
      <c r="BC157" s="35">
        <f>BB157/BA157</f>
        <v/>
      </c>
      <c r="BD157" s="35">
        <f>IFERROR(AZ157/AV157,)</f>
        <v/>
      </c>
      <c r="BE157" s="255">
        <f>AV157-SUM(Z157:AC157)</f>
        <v/>
      </c>
      <c r="BF157" s="255">
        <f>AV157-BE157-AC157-AB157</f>
        <v/>
      </c>
      <c r="BG157" s="255">
        <f>AV157-BE157-BF157-AB157</f>
        <v/>
      </c>
      <c r="BH157" s="255">
        <f>AB157</f>
        <v/>
      </c>
      <c r="BI157">
        <f>IF(BD157&lt;0%,"Loss",IF(BD157&lt;5%,"On Cost Plus",IF(BD157&lt;10%,"Within","Exceed")))</f>
        <v/>
      </c>
      <c r="BJ157" t="inlineStr">
        <is>
          <t>Within</t>
        </is>
      </c>
      <c r="BK157">
        <f>0.51*$BK$6</f>
        <v/>
      </c>
      <c r="BL157" s="190">
        <f>BK157-W157</f>
        <v/>
      </c>
      <c r="BM157" s="189">
        <f>BL157*O157</f>
        <v/>
      </c>
    </row>
    <row r="158">
      <c r="A158">
        <f>CONCATENATE(E158,F158,G158,H158,I158,J158,K158,L158)</f>
        <v/>
      </c>
      <c r="B158">
        <f>CONCATENATE(J158,"-&gt;",K158,"/",E158)</f>
        <v/>
      </c>
      <c r="C158" s="23" t="inlineStr">
        <is>
          <t>AFEEZ AJIBADE/Ebenezer</t>
        </is>
      </c>
      <c r="D158">
        <f>CONCATENATE(G158,"-",H158,"-",F158)</f>
        <v/>
      </c>
      <c r="E158" s="24" t="inlineStr">
        <is>
          <t>Lacasera-45T-NBL-DSL-JUMBO</t>
        </is>
      </c>
      <c r="F158" s="24" t="inlineStr">
        <is>
          <t>JUMBO</t>
        </is>
      </c>
      <c r="G158" s="25" t="inlineStr">
        <is>
          <t>NBL-DSL</t>
        </is>
      </c>
      <c r="H158" s="24" t="inlineStr">
        <is>
          <t>45T</t>
        </is>
      </c>
      <c r="I158" s="251" t="inlineStr">
        <is>
          <t>Lacasera</t>
        </is>
      </c>
      <c r="J158" s="251" t="inlineStr">
        <is>
          <t>Lagos</t>
        </is>
      </c>
      <c r="K158" s="23" t="inlineStr">
        <is>
          <t>Maiduguri</t>
        </is>
      </c>
      <c r="L158" t="inlineStr">
        <is>
          <t>Borno</t>
        </is>
      </c>
      <c r="M158" s="1" t="inlineStr">
        <is>
          <t>North</t>
        </is>
      </c>
      <c r="N158" s="261" t="n">
        <v>1560</v>
      </c>
      <c r="O158" s="257" t="n">
        <v>3120</v>
      </c>
      <c r="P158" s="227">
        <f>ROUNDUP(O158/300,)</f>
        <v/>
      </c>
      <c r="Q158" s="220" t="n">
        <v>1</v>
      </c>
      <c r="R158" s="220">
        <f>Q158+P158</f>
        <v/>
      </c>
      <c r="S158" s="198">
        <f>ROUNDDOWN(O158*0.7,)</f>
        <v/>
      </c>
      <c r="T158" s="220">
        <f>_xlfn.XLOOKUP(G158,[1]Fx!$A$4:$A$12,[1]Fx!$B$4:$B$12)</f>
        <v/>
      </c>
      <c r="U158" s="220">
        <f>_xlfn.XLOOKUP(G158,[1]Fx!$A$4:$A$12,[1]Fx!$C$4:$C$12)</f>
        <v/>
      </c>
      <c r="V158" s="220">
        <f>_xlfn.XLOOKUP(G158,[1]Fx!$A$4:$A$12,[1]Fx!$D$4:$D$12)</f>
        <v/>
      </c>
      <c r="W158" s="208">
        <f>_xlfn.XLOOKUP(H158&amp;I158,'[1]Mapping DSL'!$H:$H,'[1]Mapping DSL'!$J:$J)</f>
        <v/>
      </c>
      <c r="X158" s="220">
        <f>_xlfn.XLOOKUP(G158,[1]Fx!$A$4:$A$12,[1]Fx!$E$4:$E$12)</f>
        <v/>
      </c>
      <c r="Y158" s="220">
        <f>T158*R158</f>
        <v/>
      </c>
      <c r="Z158" s="220">
        <f>U158*O158</f>
        <v/>
      </c>
      <c r="AA158" s="220">
        <f>V158*O158</f>
        <v/>
      </c>
      <c r="AB158" s="220">
        <f>W158*O158</f>
        <v/>
      </c>
      <c r="AC158" s="198">
        <f>X158*O158</f>
        <v/>
      </c>
      <c r="AD158" s="220" t="n">
        <v>0</v>
      </c>
      <c r="AE158" s="220" t="n">
        <v>0</v>
      </c>
      <c r="AF158" s="220">
        <f>SUM(Y158:AE158)</f>
        <v/>
      </c>
      <c r="AG158" s="205">
        <f>_xlfn.XLOOKUP(G158,[1]Fx!$A$16:$A$24,[1]Fx!$B$16:$B$24)</f>
        <v/>
      </c>
      <c r="AH158" s="220">
        <f>AG158*R158</f>
        <v/>
      </c>
      <c r="AI158" s="220">
        <f>$AI$6*Z158</f>
        <v/>
      </c>
      <c r="AJ158" s="220">
        <f>$AJ$6*AA158</f>
        <v/>
      </c>
      <c r="AK158" s="220">
        <f>$AK$6*AB158</f>
        <v/>
      </c>
      <c r="AL158" s="220">
        <f>$AL$6*AC158</f>
        <v/>
      </c>
      <c r="AM158" s="220">
        <f>SUM(AH158:AL158)</f>
        <v/>
      </c>
      <c r="AN158" s="220" t="n">
        <v>0</v>
      </c>
      <c r="AO158" s="220">
        <f>AN158*AH158</f>
        <v/>
      </c>
      <c r="AP158" s="220">
        <f>AD158</f>
        <v/>
      </c>
      <c r="AQ158" s="220">
        <f>AE158</f>
        <v/>
      </c>
      <c r="AR158" s="220">
        <f>AM158-AO158</f>
        <v/>
      </c>
      <c r="AS158" s="220">
        <f>AR158-AK158</f>
        <v/>
      </c>
      <c r="AT158" s="220">
        <f>AS158*1.075</f>
        <v/>
      </c>
      <c r="AU158" s="220">
        <f>ROUNDUP(AT158+AK158+AP158+AQ158,-4)</f>
        <v/>
      </c>
      <c r="AV158" s="198" t="n">
        <v>4959375</v>
      </c>
      <c r="AW158" s="227" t="n"/>
      <c r="AX158" s="220">
        <f>AV158-AR158</f>
        <v/>
      </c>
      <c r="AY158" s="35">
        <f>AX158/AR158</f>
        <v/>
      </c>
      <c r="AZ158" s="220">
        <f>AV158-AF158</f>
        <v/>
      </c>
      <c r="BA158" s="215">
        <f>AV158-SUM(Z158:AC158)</f>
        <v/>
      </c>
      <c r="BB158" s="215">
        <f>BA158-Y158</f>
        <v/>
      </c>
      <c r="BC158" s="35">
        <f>BB158/BA158</f>
        <v/>
      </c>
      <c r="BD158" s="35">
        <f>IFERROR(AZ158/AV158,)</f>
        <v/>
      </c>
      <c r="BE158" s="255">
        <f>AV158-SUM(Z158:AC158)</f>
        <v/>
      </c>
      <c r="BF158" s="255">
        <f>AV158-BE158-AC158-AB158</f>
        <v/>
      </c>
      <c r="BG158" s="255">
        <f>AV158-BE158-BF158-AB158</f>
        <v/>
      </c>
      <c r="BH158" s="255">
        <f>AB158</f>
        <v/>
      </c>
      <c r="BI158">
        <f>IF(BD158&lt;0%,"Loss",IF(BD158&lt;5%,"On Cost Plus",IF(BD158&lt;10%,"Within","Exceed")))</f>
        <v/>
      </c>
      <c r="BJ158" t="inlineStr">
        <is>
          <t>Exceed</t>
        </is>
      </c>
      <c r="BK158">
        <f>0.51*$BK$6</f>
        <v/>
      </c>
      <c r="BL158" s="190">
        <f>BK158-W158</f>
        <v/>
      </c>
      <c r="BM158" s="189">
        <f>BL158*O158</f>
        <v/>
      </c>
    </row>
    <row r="159">
      <c r="A159">
        <f>CONCATENATE(E159,F159,G159,H159,I159,J159,K159,L159)</f>
        <v/>
      </c>
      <c r="B159">
        <f>CONCATENATE(J159,"-&gt;",K159,"/",E159)</f>
        <v/>
      </c>
      <c r="C159" s="23" t="inlineStr">
        <is>
          <t>AFEEZ AJIBADE/Ebenezer</t>
        </is>
      </c>
      <c r="D159">
        <f>CONCATENATE(G159,"-",H159,"-",F159)</f>
        <v/>
      </c>
      <c r="E159" s="24" t="inlineStr">
        <is>
          <t>Lacasera-45T-NBL-DSL-JUMBO</t>
        </is>
      </c>
      <c r="F159" s="24" t="inlineStr">
        <is>
          <t>JUMBO</t>
        </is>
      </c>
      <c r="G159" s="25" t="inlineStr">
        <is>
          <t>NBL-DSL</t>
        </is>
      </c>
      <c r="H159" s="24" t="inlineStr">
        <is>
          <t>45T</t>
        </is>
      </c>
      <c r="I159" s="251" t="inlineStr">
        <is>
          <t>Lacasera</t>
        </is>
      </c>
      <c r="J159" s="251" t="inlineStr">
        <is>
          <t>Lagos</t>
        </is>
      </c>
      <c r="K159" s="23" t="inlineStr">
        <is>
          <t>Abuja</t>
        </is>
      </c>
      <c r="L159" t="inlineStr">
        <is>
          <t>FCT</t>
        </is>
      </c>
      <c r="M159" s="1" t="inlineStr">
        <is>
          <t>North</t>
        </is>
      </c>
      <c r="N159" s="261" t="n">
        <v>786.5</v>
      </c>
      <c r="O159" s="257" t="n">
        <v>1573</v>
      </c>
      <c r="P159" s="227">
        <f>ROUNDUP(O159/300,)</f>
        <v/>
      </c>
      <c r="Q159" s="220" t="n">
        <v>1</v>
      </c>
      <c r="R159" s="220">
        <f>Q159+P159</f>
        <v/>
      </c>
      <c r="S159" s="198">
        <f>ROUNDDOWN(O159*0.7,)</f>
        <v/>
      </c>
      <c r="T159" s="220">
        <f>_xlfn.XLOOKUP(G159,[1]Fx!$A$4:$A$12,[1]Fx!$B$4:$B$12)</f>
        <v/>
      </c>
      <c r="U159" s="220">
        <f>_xlfn.XLOOKUP(G159,[1]Fx!$A$4:$A$12,[1]Fx!$C$4:$C$12)</f>
        <v/>
      </c>
      <c r="V159" s="220">
        <f>_xlfn.XLOOKUP(G159,[1]Fx!$A$4:$A$12,[1]Fx!$D$4:$D$12)</f>
        <v/>
      </c>
      <c r="W159" s="208">
        <f>_xlfn.XLOOKUP(H159&amp;I159,'[1]Mapping DSL'!$H:$H,'[1]Mapping DSL'!$J:$J)</f>
        <v/>
      </c>
      <c r="X159" s="220">
        <f>_xlfn.XLOOKUP(G159,[1]Fx!$A$4:$A$12,[1]Fx!$E$4:$E$12)</f>
        <v/>
      </c>
      <c r="Y159" s="220">
        <f>T159*R159</f>
        <v/>
      </c>
      <c r="Z159" s="220">
        <f>U159*O159</f>
        <v/>
      </c>
      <c r="AA159" s="220">
        <f>V159*O159</f>
        <v/>
      </c>
      <c r="AB159" s="220">
        <f>W159*O159</f>
        <v/>
      </c>
      <c r="AC159" s="198">
        <f>X159*O159</f>
        <v/>
      </c>
      <c r="AD159" s="220" t="n">
        <v>0</v>
      </c>
      <c r="AE159" s="220" t="n">
        <v>0</v>
      </c>
      <c r="AF159" s="220">
        <f>SUM(Y159:AE159)</f>
        <v/>
      </c>
      <c r="AG159" s="205">
        <f>_xlfn.XLOOKUP(G159,[1]Fx!$A$16:$A$24,[1]Fx!$B$16:$B$24)</f>
        <v/>
      </c>
      <c r="AH159" s="220">
        <f>AG159*R159</f>
        <v/>
      </c>
      <c r="AI159" s="220">
        <f>$AI$6*Z159</f>
        <v/>
      </c>
      <c r="AJ159" s="220">
        <f>$AJ$6*AA159</f>
        <v/>
      </c>
      <c r="AK159" s="220">
        <f>$AK$6*AB159</f>
        <v/>
      </c>
      <c r="AL159" s="220">
        <f>$AL$6*AC159</f>
        <v/>
      </c>
      <c r="AM159" s="220">
        <f>SUM(AH159:AL159)</f>
        <v/>
      </c>
      <c r="AN159" s="220" t="n">
        <v>0</v>
      </c>
      <c r="AO159" s="220">
        <f>AN159*AH159</f>
        <v/>
      </c>
      <c r="AP159" s="220">
        <f>AD159</f>
        <v/>
      </c>
      <c r="AQ159" s="220">
        <f>AE159</f>
        <v/>
      </c>
      <c r="AR159" s="220">
        <f>AM159-AO159</f>
        <v/>
      </c>
      <c r="AS159" s="220">
        <f>AR159-AK159</f>
        <v/>
      </c>
      <c r="AT159" s="220">
        <f>AS159*1.075</f>
        <v/>
      </c>
      <c r="AU159" s="220">
        <f>ROUNDUP(AT159+AK159+AP159+AQ159,-4)</f>
        <v/>
      </c>
      <c r="AV159" s="198" t="n">
        <v>3282163</v>
      </c>
      <c r="AW159" s="227" t="n"/>
      <c r="AX159" s="220">
        <f>AV159-AR159</f>
        <v/>
      </c>
      <c r="AY159" s="35">
        <f>AX159/AR159</f>
        <v/>
      </c>
      <c r="AZ159" s="220">
        <f>AV159-AF159</f>
        <v/>
      </c>
      <c r="BA159" s="215">
        <f>AV159-SUM(Z159:AC159)</f>
        <v/>
      </c>
      <c r="BB159" s="215">
        <f>BA159-Y159</f>
        <v/>
      </c>
      <c r="BC159" s="35">
        <f>BB159/BA159</f>
        <v/>
      </c>
      <c r="BD159" s="35">
        <f>IFERROR(AZ159/AV159,)</f>
        <v/>
      </c>
      <c r="BE159" s="255">
        <f>AV159-SUM(Z159:AC159)</f>
        <v/>
      </c>
      <c r="BF159" s="255">
        <f>AV159-BE159-AC159-AB159</f>
        <v/>
      </c>
      <c r="BG159" s="255">
        <f>AV159-BE159-BF159-AB159</f>
        <v/>
      </c>
      <c r="BH159" s="255">
        <f>AB159</f>
        <v/>
      </c>
      <c r="BI159">
        <f>IF(BD159&lt;0%,"Loss",IF(BD159&lt;5%,"On Cost Plus",IF(BD159&lt;10%,"Within","Exceed")))</f>
        <v/>
      </c>
      <c r="BJ159" t="inlineStr">
        <is>
          <t>Exceed</t>
        </is>
      </c>
      <c r="BK159">
        <f>0.51*$BK$6</f>
        <v/>
      </c>
      <c r="BL159" s="190">
        <f>BK159-W159</f>
        <v/>
      </c>
      <c r="BM159" s="189">
        <f>BL159*O159</f>
        <v/>
      </c>
    </row>
    <row r="160">
      <c r="A160">
        <f>CONCATENATE(E160,F160,G160,H160,I160,J160,K160,L160)</f>
        <v/>
      </c>
      <c r="B160">
        <f>CONCATENATE(J160,"-&gt;",K160,"/",E160)</f>
        <v/>
      </c>
      <c r="C160" s="23" t="inlineStr">
        <is>
          <t>AFEEZ AJIBADE/Ebenezer</t>
        </is>
      </c>
      <c r="D160">
        <f>CONCATENATE(G160,"-",H160,"-",F160)</f>
        <v/>
      </c>
      <c r="E160" s="24" t="inlineStr">
        <is>
          <t>Lacasera-45T-NBL-DSL-JUMBO</t>
        </is>
      </c>
      <c r="F160" s="24" t="inlineStr">
        <is>
          <t>JUMBO</t>
        </is>
      </c>
      <c r="G160" s="25" t="inlineStr">
        <is>
          <t>NBL-DSL</t>
        </is>
      </c>
      <c r="H160" s="24" t="inlineStr">
        <is>
          <t>45T</t>
        </is>
      </c>
      <c r="I160" s="251" t="inlineStr">
        <is>
          <t>Lacasera</t>
        </is>
      </c>
      <c r="J160" s="251" t="inlineStr">
        <is>
          <t>Lagos</t>
        </is>
      </c>
      <c r="K160" s="23" t="inlineStr">
        <is>
          <t>Gombe</t>
        </is>
      </c>
      <c r="L160" t="inlineStr">
        <is>
          <t>Gombe</t>
        </is>
      </c>
      <c r="M160" s="1" t="inlineStr">
        <is>
          <t>North</t>
        </is>
      </c>
      <c r="N160" s="261" t="n">
        <v>1349</v>
      </c>
      <c r="O160" s="257" t="n">
        <v>2698</v>
      </c>
      <c r="P160" s="227">
        <f>ROUNDUP(O160/300,)</f>
        <v/>
      </c>
      <c r="Q160" s="220" t="n">
        <v>1</v>
      </c>
      <c r="R160" s="220">
        <f>Q160+P160</f>
        <v/>
      </c>
      <c r="S160" s="198">
        <f>ROUNDDOWN(O160*0.7,)</f>
        <v/>
      </c>
      <c r="T160" s="220">
        <f>_xlfn.XLOOKUP(G160,[1]Fx!$A$4:$A$12,[1]Fx!$B$4:$B$12)</f>
        <v/>
      </c>
      <c r="U160" s="220">
        <f>_xlfn.XLOOKUP(G160,[1]Fx!$A$4:$A$12,[1]Fx!$C$4:$C$12)</f>
        <v/>
      </c>
      <c r="V160" s="220">
        <f>_xlfn.XLOOKUP(G160,[1]Fx!$A$4:$A$12,[1]Fx!$D$4:$D$12)</f>
        <v/>
      </c>
      <c r="W160" s="208">
        <f>_xlfn.XLOOKUP(H160&amp;I160,'[1]Mapping DSL'!$H:$H,'[1]Mapping DSL'!$J:$J)</f>
        <v/>
      </c>
      <c r="X160" s="220">
        <f>_xlfn.XLOOKUP(G160,[1]Fx!$A$4:$A$12,[1]Fx!$E$4:$E$12)</f>
        <v/>
      </c>
      <c r="Y160" s="220">
        <f>T160*R160</f>
        <v/>
      </c>
      <c r="Z160" s="220">
        <f>U160*O160</f>
        <v/>
      </c>
      <c r="AA160" s="220">
        <f>V160*O160</f>
        <v/>
      </c>
      <c r="AB160" s="220">
        <f>W160*O160</f>
        <v/>
      </c>
      <c r="AC160" s="198">
        <f>X160*O160</f>
        <v/>
      </c>
      <c r="AD160" s="220" t="n">
        <v>0</v>
      </c>
      <c r="AE160" s="220" t="n">
        <v>0</v>
      </c>
      <c r="AF160" s="220">
        <f>SUM(Y160:AE160)</f>
        <v/>
      </c>
      <c r="AG160" s="205">
        <f>_xlfn.XLOOKUP(G160,[1]Fx!$A$16:$A$24,[1]Fx!$B$16:$B$24)</f>
        <v/>
      </c>
      <c r="AH160" s="220">
        <f>AG160*R160</f>
        <v/>
      </c>
      <c r="AI160" s="220">
        <f>$AI$6*Z160</f>
        <v/>
      </c>
      <c r="AJ160" s="220">
        <f>$AJ$6*AA160</f>
        <v/>
      </c>
      <c r="AK160" s="220">
        <f>$AK$6*AB160</f>
        <v/>
      </c>
      <c r="AL160" s="220">
        <f>$AL$6*AC160</f>
        <v/>
      </c>
      <c r="AM160" s="220">
        <f>SUM(AH160:AL160)</f>
        <v/>
      </c>
      <c r="AN160" s="220" t="n">
        <v>0</v>
      </c>
      <c r="AO160" s="220">
        <f>AN160*AH160</f>
        <v/>
      </c>
      <c r="AP160" s="220">
        <f>AD160</f>
        <v/>
      </c>
      <c r="AQ160" s="220">
        <f>AE160</f>
        <v/>
      </c>
      <c r="AR160" s="220">
        <f>AM160-AO160</f>
        <v/>
      </c>
      <c r="AS160" s="220">
        <f>AR160-AK160</f>
        <v/>
      </c>
      <c r="AT160" s="220">
        <f>AS160*1.075</f>
        <v/>
      </c>
      <c r="AU160" s="220">
        <f>ROUNDUP(AT160+AK160+AP160+AQ160,-4)</f>
        <v/>
      </c>
      <c r="AV160" s="198" t="n">
        <v>4412705</v>
      </c>
      <c r="AW160" s="227" t="n"/>
      <c r="AX160" s="220">
        <f>AV160-AR160</f>
        <v/>
      </c>
      <c r="AY160" s="35">
        <f>AX160/AR160</f>
        <v/>
      </c>
      <c r="AZ160" s="220">
        <f>AV160-AF160</f>
        <v/>
      </c>
      <c r="BA160" s="215">
        <f>AV160-SUM(Z160:AC160)</f>
        <v/>
      </c>
      <c r="BB160" s="215">
        <f>BA160-Y160</f>
        <v/>
      </c>
      <c r="BC160" s="35">
        <f>BB160/BA160</f>
        <v/>
      </c>
      <c r="BD160" s="35">
        <f>IFERROR(AZ160/AV160,)</f>
        <v/>
      </c>
      <c r="BE160" s="255">
        <f>AV160-SUM(Z160:AC160)</f>
        <v/>
      </c>
      <c r="BF160" s="255">
        <f>AV160-BE160-AC160-AB160</f>
        <v/>
      </c>
      <c r="BG160" s="255">
        <f>AV160-BE160-BF160-AB160</f>
        <v/>
      </c>
      <c r="BH160" s="255">
        <f>AB160</f>
        <v/>
      </c>
      <c r="BI160">
        <f>IF(BD160&lt;0%,"Loss",IF(BD160&lt;5%,"On Cost Plus",IF(BD160&lt;10%,"Within","Exceed")))</f>
        <v/>
      </c>
      <c r="BJ160" t="inlineStr">
        <is>
          <t>Exceed</t>
        </is>
      </c>
      <c r="BK160">
        <f>0.51*$BK$6</f>
        <v/>
      </c>
      <c r="BL160" s="190">
        <f>BK160-W160</f>
        <v/>
      </c>
      <c r="BM160" s="189">
        <f>BL160*O160</f>
        <v/>
      </c>
    </row>
    <row r="161">
      <c r="A161">
        <f>CONCATENATE(E161,F161,G161,H161,I161,J161,K161,L161)</f>
        <v/>
      </c>
      <c r="B161">
        <f>CONCATENATE(J161,"-&gt;",K161,"/",E161)</f>
        <v/>
      </c>
      <c r="C161" s="23" t="inlineStr">
        <is>
          <t>AFEEZ AJIBADE/Ebenezer</t>
        </is>
      </c>
      <c r="D161">
        <f>CONCATENATE(G161,"-",H161,"-",F161)</f>
        <v/>
      </c>
      <c r="E161" s="24" t="inlineStr">
        <is>
          <t>Lacasera-45T-NBL-DSL-JUMBO</t>
        </is>
      </c>
      <c r="F161" s="24" t="inlineStr">
        <is>
          <t>JUMBO</t>
        </is>
      </c>
      <c r="G161" s="25" t="inlineStr">
        <is>
          <t>NBL-DSL</t>
        </is>
      </c>
      <c r="H161" s="24" t="inlineStr">
        <is>
          <t>45T</t>
        </is>
      </c>
      <c r="I161" s="251" t="inlineStr">
        <is>
          <t>Lacasera</t>
        </is>
      </c>
      <c r="J161" s="251" t="inlineStr">
        <is>
          <t>Lagos</t>
        </is>
      </c>
      <c r="K161" s="23" t="inlineStr">
        <is>
          <t>Kaduna</t>
        </is>
      </c>
      <c r="L161" t="inlineStr">
        <is>
          <t>Kaduna</t>
        </is>
      </c>
      <c r="M161" s="1" t="inlineStr">
        <is>
          <t>North</t>
        </is>
      </c>
      <c r="N161" s="261" t="n">
        <v>794.5</v>
      </c>
      <c r="O161" s="257" t="n">
        <v>1589</v>
      </c>
      <c r="P161" s="227">
        <f>ROUNDUP(O161/300,)</f>
        <v/>
      </c>
      <c r="Q161" s="220" t="n">
        <v>1</v>
      </c>
      <c r="R161" s="220">
        <f>Q161+P161</f>
        <v/>
      </c>
      <c r="S161" s="198">
        <f>ROUNDDOWN(O161*0.7,)</f>
        <v/>
      </c>
      <c r="T161" s="220">
        <f>_xlfn.XLOOKUP(G161,[1]Fx!$A$4:$A$12,[1]Fx!$B$4:$B$12)</f>
        <v/>
      </c>
      <c r="U161" s="220">
        <f>_xlfn.XLOOKUP(G161,[1]Fx!$A$4:$A$12,[1]Fx!$C$4:$C$12)</f>
        <v/>
      </c>
      <c r="V161" s="220">
        <f>_xlfn.XLOOKUP(G161,[1]Fx!$A$4:$A$12,[1]Fx!$D$4:$D$12)</f>
        <v/>
      </c>
      <c r="W161" s="208">
        <f>_xlfn.XLOOKUP(H161&amp;I161,'[1]Mapping DSL'!$H:$H,'[1]Mapping DSL'!$J:$J)</f>
        <v/>
      </c>
      <c r="X161" s="220">
        <f>_xlfn.XLOOKUP(G161,[1]Fx!$A$4:$A$12,[1]Fx!$E$4:$E$12)</f>
        <v/>
      </c>
      <c r="Y161" s="220">
        <f>T161*R161</f>
        <v/>
      </c>
      <c r="Z161" s="220">
        <f>U161*O161</f>
        <v/>
      </c>
      <c r="AA161" s="220">
        <f>V161*O161</f>
        <v/>
      </c>
      <c r="AB161" s="220">
        <f>W161*O161</f>
        <v/>
      </c>
      <c r="AC161" s="198">
        <f>X161*O161</f>
        <v/>
      </c>
      <c r="AD161" s="220" t="n">
        <v>0</v>
      </c>
      <c r="AE161" s="220" t="n">
        <v>0</v>
      </c>
      <c r="AF161" s="220">
        <f>SUM(Y161:AE161)</f>
        <v/>
      </c>
      <c r="AG161" s="205">
        <f>_xlfn.XLOOKUP(G161,[1]Fx!$A$16:$A$24,[1]Fx!$B$16:$B$24)</f>
        <v/>
      </c>
      <c r="AH161" s="220">
        <f>AG161*R161</f>
        <v/>
      </c>
      <c r="AI161" s="220">
        <f>$AI$6*Z161</f>
        <v/>
      </c>
      <c r="AJ161" s="220">
        <f>$AJ$6*AA161</f>
        <v/>
      </c>
      <c r="AK161" s="220">
        <f>$AK$6*AB161</f>
        <v/>
      </c>
      <c r="AL161" s="220">
        <f>$AL$6*AC161</f>
        <v/>
      </c>
      <c r="AM161" s="220">
        <f>SUM(AH161:AL161)</f>
        <v/>
      </c>
      <c r="AN161" s="220" t="n">
        <v>0</v>
      </c>
      <c r="AO161" s="220">
        <f>AN161*AH161</f>
        <v/>
      </c>
      <c r="AP161" s="220">
        <f>AD161</f>
        <v/>
      </c>
      <c r="AQ161" s="220">
        <f>AE161</f>
        <v/>
      </c>
      <c r="AR161" s="220">
        <f>AM161-AO161</f>
        <v/>
      </c>
      <c r="AS161" s="220">
        <f>AR161-AK161</f>
        <v/>
      </c>
      <c r="AT161" s="220">
        <f>AS161*1.075</f>
        <v/>
      </c>
      <c r="AU161" s="220">
        <f>ROUNDUP(AT161+AK161+AP161+AQ161,-4)</f>
        <v/>
      </c>
      <c r="AV161" s="198" t="n">
        <v>3403545</v>
      </c>
      <c r="AW161" s="227" t="n"/>
      <c r="AX161" s="220">
        <f>AV161-AR161</f>
        <v/>
      </c>
      <c r="AY161" s="35">
        <f>AX161/AR161</f>
        <v/>
      </c>
      <c r="AZ161" s="220">
        <f>AV161-AF161</f>
        <v/>
      </c>
      <c r="BA161" s="215">
        <f>AV161-SUM(Z161:AC161)</f>
        <v/>
      </c>
      <c r="BB161" s="215">
        <f>BA161-Y161</f>
        <v/>
      </c>
      <c r="BC161" s="35">
        <f>BB161/BA161</f>
        <v/>
      </c>
      <c r="BD161" s="35">
        <f>IFERROR(AZ161/AV161,)</f>
        <v/>
      </c>
      <c r="BE161" s="255">
        <f>AV161-SUM(Z161:AC161)</f>
        <v/>
      </c>
      <c r="BF161" s="255">
        <f>AV161-BE161-AC161-AB161</f>
        <v/>
      </c>
      <c r="BG161" s="255">
        <f>AV161-BE161-BF161-AB161</f>
        <v/>
      </c>
      <c r="BH161" s="255">
        <f>AB161</f>
        <v/>
      </c>
      <c r="BI161">
        <f>IF(BD161&lt;0%,"Loss",IF(BD161&lt;5%,"On Cost Plus",IF(BD161&lt;10%,"Within","Exceed")))</f>
        <v/>
      </c>
      <c r="BJ161" t="inlineStr">
        <is>
          <t>Exceed</t>
        </is>
      </c>
      <c r="BK161">
        <f>0.51*$BK$6</f>
        <v/>
      </c>
      <c r="BL161" s="190">
        <f>BK161-W161</f>
        <v/>
      </c>
      <c r="BM161" s="189">
        <f>BL161*O161</f>
        <v/>
      </c>
    </row>
    <row r="162">
      <c r="A162">
        <f>CONCATENATE(E162,F162,G162,H162,I162,J162,K162,L162)</f>
        <v/>
      </c>
      <c r="B162">
        <f>CONCATENATE(J162,"-&gt;",K162,"/",E162)</f>
        <v/>
      </c>
      <c r="C162" s="23" t="inlineStr">
        <is>
          <t>AFEEZ AJIBADE/Ebenezer</t>
        </is>
      </c>
      <c r="D162">
        <f>CONCATENATE(G162,"-",H162,"-",F162)</f>
        <v/>
      </c>
      <c r="E162" s="24" t="inlineStr">
        <is>
          <t>Lacasera-45T-NBL-DSL-JUMBO</t>
        </is>
      </c>
      <c r="F162" s="24" t="inlineStr">
        <is>
          <t>JUMBO</t>
        </is>
      </c>
      <c r="G162" s="25" t="inlineStr">
        <is>
          <t>NBL-DSL</t>
        </is>
      </c>
      <c r="H162" s="24" t="inlineStr">
        <is>
          <t>45T</t>
        </is>
      </c>
      <c r="I162" s="251" t="inlineStr">
        <is>
          <t>Lacasera</t>
        </is>
      </c>
      <c r="J162" s="251" t="inlineStr">
        <is>
          <t>Lagos</t>
        </is>
      </c>
      <c r="K162" s="23" t="inlineStr">
        <is>
          <t>Zaria</t>
        </is>
      </c>
      <c r="L162" t="inlineStr">
        <is>
          <t>Kaduna</t>
        </is>
      </c>
      <c r="M162" s="1" t="inlineStr">
        <is>
          <t>North</t>
        </is>
      </c>
      <c r="N162" s="261" t="n">
        <v>878.5</v>
      </c>
      <c r="O162" s="257" t="n">
        <v>1757</v>
      </c>
      <c r="P162" s="227">
        <f>ROUNDUP(O162/300,)</f>
        <v/>
      </c>
      <c r="Q162" s="220" t="n">
        <v>1</v>
      </c>
      <c r="R162" s="220">
        <f>Q162+P162</f>
        <v/>
      </c>
      <c r="S162" s="198">
        <f>ROUNDDOWN(O162*0.7,)</f>
        <v/>
      </c>
      <c r="T162" s="220">
        <f>_xlfn.XLOOKUP(G162,[1]Fx!$A$4:$A$12,[1]Fx!$B$4:$B$12)</f>
        <v/>
      </c>
      <c r="U162" s="220">
        <f>_xlfn.XLOOKUP(G162,[1]Fx!$A$4:$A$12,[1]Fx!$C$4:$C$12)</f>
        <v/>
      </c>
      <c r="V162" s="220">
        <f>_xlfn.XLOOKUP(G162,[1]Fx!$A$4:$A$12,[1]Fx!$D$4:$D$12)</f>
        <v/>
      </c>
      <c r="W162" s="208">
        <f>_xlfn.XLOOKUP(H162&amp;I162,'[1]Mapping DSL'!$H:$H,'[1]Mapping DSL'!$J:$J)</f>
        <v/>
      </c>
      <c r="X162" s="220">
        <f>_xlfn.XLOOKUP(G162,[1]Fx!$A$4:$A$12,[1]Fx!$E$4:$E$12)</f>
        <v/>
      </c>
      <c r="Y162" s="220">
        <f>T162*R162</f>
        <v/>
      </c>
      <c r="Z162" s="220">
        <f>U162*O162</f>
        <v/>
      </c>
      <c r="AA162" s="220">
        <f>V162*O162</f>
        <v/>
      </c>
      <c r="AB162" s="220">
        <f>W162*O162</f>
        <v/>
      </c>
      <c r="AC162" s="198">
        <f>X162*O162</f>
        <v/>
      </c>
      <c r="AD162" s="220" t="n">
        <v>0</v>
      </c>
      <c r="AE162" s="220" t="n">
        <v>0</v>
      </c>
      <c r="AF162" s="220">
        <f>SUM(Y162:AE162)</f>
        <v/>
      </c>
      <c r="AG162" s="205">
        <f>_xlfn.XLOOKUP(G162,[1]Fx!$A$16:$A$24,[1]Fx!$B$16:$B$24)</f>
        <v/>
      </c>
      <c r="AH162" s="220">
        <f>AG162*R162</f>
        <v/>
      </c>
      <c r="AI162" s="220">
        <f>$AI$6*Z162</f>
        <v/>
      </c>
      <c r="AJ162" s="220">
        <f>$AJ$6*AA162</f>
        <v/>
      </c>
      <c r="AK162" s="220">
        <f>$AK$6*AB162</f>
        <v/>
      </c>
      <c r="AL162" s="220">
        <f>$AL$6*AC162</f>
        <v/>
      </c>
      <c r="AM162" s="220">
        <f>SUM(AH162:AL162)</f>
        <v/>
      </c>
      <c r="AN162" s="220" t="n">
        <v>0</v>
      </c>
      <c r="AO162" s="220">
        <f>AN162*AH162</f>
        <v/>
      </c>
      <c r="AP162" s="220">
        <f>AD162</f>
        <v/>
      </c>
      <c r="AQ162" s="220">
        <f>AE162</f>
        <v/>
      </c>
      <c r="AR162" s="220">
        <f>AM162-AO162</f>
        <v/>
      </c>
      <c r="AS162" s="220">
        <f>AR162-AK162</f>
        <v/>
      </c>
      <c r="AT162" s="220">
        <f>AS162*1.075</f>
        <v/>
      </c>
      <c r="AU162" s="220">
        <f>ROUNDUP(AT162+AK162+AP162+AQ162,-4)</f>
        <v/>
      </c>
      <c r="AV162" s="198" t="n">
        <v>3512458</v>
      </c>
      <c r="AW162" s="227" t="n"/>
      <c r="AX162" s="220">
        <f>AV162-AR162</f>
        <v/>
      </c>
      <c r="AY162" s="35">
        <f>AX162/AR162</f>
        <v/>
      </c>
      <c r="AZ162" s="220">
        <f>AV162-AF162</f>
        <v/>
      </c>
      <c r="BA162" s="215">
        <f>AV162-SUM(Z162:AC162)</f>
        <v/>
      </c>
      <c r="BB162" s="215">
        <f>BA162-Y162</f>
        <v/>
      </c>
      <c r="BC162" s="35">
        <f>BB162/BA162</f>
        <v/>
      </c>
      <c r="BD162" s="35">
        <f>IFERROR(AZ162/AV162,)</f>
        <v/>
      </c>
      <c r="BE162" s="255">
        <f>AV162-SUM(Z162:AC162)</f>
        <v/>
      </c>
      <c r="BF162" s="255">
        <f>AV162-BE162-AC162-AB162</f>
        <v/>
      </c>
      <c r="BG162" s="255">
        <f>AV162-BE162-BF162-AB162</f>
        <v/>
      </c>
      <c r="BH162" s="255">
        <f>AB162</f>
        <v/>
      </c>
      <c r="BI162">
        <f>IF(BD162&lt;0%,"Loss",IF(BD162&lt;5%,"On Cost Plus",IF(BD162&lt;10%,"Within","Exceed")))</f>
        <v/>
      </c>
      <c r="BJ162" t="inlineStr">
        <is>
          <t>Exceed</t>
        </is>
      </c>
      <c r="BK162">
        <f>0.51*$BK$6</f>
        <v/>
      </c>
      <c r="BL162" s="190">
        <f>BK162-W162</f>
        <v/>
      </c>
      <c r="BM162" s="189">
        <f>BL162*O162</f>
        <v/>
      </c>
    </row>
    <row r="163">
      <c r="A163">
        <f>CONCATENATE(E163,F163,G163,H163,I163,J163,K163,L163)</f>
        <v/>
      </c>
      <c r="B163">
        <f>CONCATENATE(J163,"-&gt;",K163,"/",E163)</f>
        <v/>
      </c>
      <c r="C163" s="23" t="inlineStr">
        <is>
          <t>AFEEZ AJIBADE/Ebenezer</t>
        </is>
      </c>
      <c r="D163">
        <f>CONCATENATE(G163,"-",H163,"-",F163)</f>
        <v/>
      </c>
      <c r="E163" s="24" t="inlineStr">
        <is>
          <t>Lacasera-45T-NBL-DSL-JUMBO</t>
        </is>
      </c>
      <c r="F163" s="24" t="inlineStr">
        <is>
          <t>JUMBO</t>
        </is>
      </c>
      <c r="G163" s="25" t="inlineStr">
        <is>
          <t>NBL-DSL</t>
        </is>
      </c>
      <c r="H163" s="24" t="inlineStr">
        <is>
          <t>45T</t>
        </is>
      </c>
      <c r="I163" s="251" t="inlineStr">
        <is>
          <t>Lacasera</t>
        </is>
      </c>
      <c r="J163" s="251" t="inlineStr">
        <is>
          <t>Lagos</t>
        </is>
      </c>
      <c r="K163" s="23" t="inlineStr">
        <is>
          <t>Kano</t>
        </is>
      </c>
      <c r="L163" t="inlineStr">
        <is>
          <t>Kano</t>
        </is>
      </c>
      <c r="M163" s="1" t="inlineStr">
        <is>
          <t>North</t>
        </is>
      </c>
      <c r="N163" s="261" t="n">
        <v>1013.5</v>
      </c>
      <c r="O163" s="257" t="n">
        <v>2027</v>
      </c>
      <c r="P163" s="227">
        <f>ROUNDUP(O163/300,)</f>
        <v/>
      </c>
      <c r="Q163" s="220" t="n">
        <v>1</v>
      </c>
      <c r="R163" s="220">
        <f>Q163+P163</f>
        <v/>
      </c>
      <c r="S163" s="198">
        <f>ROUNDDOWN(O163*0.7,)</f>
        <v/>
      </c>
      <c r="T163" s="220">
        <f>_xlfn.XLOOKUP(G163,[1]Fx!$A$4:$A$12,[1]Fx!$B$4:$B$12)</f>
        <v/>
      </c>
      <c r="U163" s="220">
        <f>_xlfn.XLOOKUP(G163,[1]Fx!$A$4:$A$12,[1]Fx!$C$4:$C$12)</f>
        <v/>
      </c>
      <c r="V163" s="220">
        <f>_xlfn.XLOOKUP(G163,[1]Fx!$A$4:$A$12,[1]Fx!$D$4:$D$12)</f>
        <v/>
      </c>
      <c r="W163" s="208">
        <f>_xlfn.XLOOKUP(H163&amp;I163,'[1]Mapping DSL'!$H:$H,'[1]Mapping DSL'!$J:$J)</f>
        <v/>
      </c>
      <c r="X163" s="220">
        <f>_xlfn.XLOOKUP(G163,[1]Fx!$A$4:$A$12,[1]Fx!$E$4:$E$12)</f>
        <v/>
      </c>
      <c r="Y163" s="220">
        <f>T163*R163</f>
        <v/>
      </c>
      <c r="Z163" s="220">
        <f>U163*O163</f>
        <v/>
      </c>
      <c r="AA163" s="220">
        <f>V163*O163</f>
        <v/>
      </c>
      <c r="AB163" s="220">
        <f>W163*O163</f>
        <v/>
      </c>
      <c r="AC163" s="198">
        <f>X163*O163</f>
        <v/>
      </c>
      <c r="AD163" s="220" t="n">
        <v>0</v>
      </c>
      <c r="AE163" s="220" t="n">
        <v>0</v>
      </c>
      <c r="AF163" s="220">
        <f>SUM(Y163:AE163)</f>
        <v/>
      </c>
      <c r="AG163" s="205">
        <f>_xlfn.XLOOKUP(G163,[1]Fx!$A$16:$A$24,[1]Fx!$B$16:$B$24)</f>
        <v/>
      </c>
      <c r="AH163" s="220">
        <f>AG163*R163</f>
        <v/>
      </c>
      <c r="AI163" s="220">
        <f>$AI$6*Z163</f>
        <v/>
      </c>
      <c r="AJ163" s="220">
        <f>$AJ$6*AA163</f>
        <v/>
      </c>
      <c r="AK163" s="220">
        <f>$AK$6*AB163</f>
        <v/>
      </c>
      <c r="AL163" s="220">
        <f>$AL$6*AC163</f>
        <v/>
      </c>
      <c r="AM163" s="220">
        <f>SUM(AH163:AL163)</f>
        <v/>
      </c>
      <c r="AN163" s="220" t="n">
        <v>0</v>
      </c>
      <c r="AO163" s="220">
        <f>AN163*AH163</f>
        <v/>
      </c>
      <c r="AP163" s="220">
        <f>AD163</f>
        <v/>
      </c>
      <c r="AQ163" s="220">
        <f>AE163</f>
        <v/>
      </c>
      <c r="AR163" s="220">
        <f>AM163-AO163</f>
        <v/>
      </c>
      <c r="AS163" s="220">
        <f>AR163-AK163</f>
        <v/>
      </c>
      <c r="AT163" s="220">
        <f>AS163*1.075</f>
        <v/>
      </c>
      <c r="AU163" s="220">
        <f>ROUNDUP(AT163+AK163+AP163+AQ163,-4)</f>
        <v/>
      </c>
      <c r="AV163" s="198" t="n">
        <v>3710764</v>
      </c>
      <c r="AW163" s="227" t="n"/>
      <c r="AX163" s="220">
        <f>AV163-AR163</f>
        <v/>
      </c>
      <c r="AY163" s="35">
        <f>AX163/AR163</f>
        <v/>
      </c>
      <c r="AZ163" s="220">
        <f>AV163-AF163</f>
        <v/>
      </c>
      <c r="BA163" s="215">
        <f>AV163-SUM(Z163:AC163)</f>
        <v/>
      </c>
      <c r="BB163" s="215">
        <f>BA163-Y163</f>
        <v/>
      </c>
      <c r="BC163" s="35">
        <f>BB163/BA163</f>
        <v/>
      </c>
      <c r="BD163" s="35">
        <f>IFERROR(AZ163/AV163,)</f>
        <v/>
      </c>
      <c r="BE163" s="255">
        <f>AV163-SUM(Z163:AC163)</f>
        <v/>
      </c>
      <c r="BF163" s="255">
        <f>AV163-BE163-AC163-AB163</f>
        <v/>
      </c>
      <c r="BG163" s="255">
        <f>AV163-BE163-BF163-AB163</f>
        <v/>
      </c>
      <c r="BH163" s="255">
        <f>AB163</f>
        <v/>
      </c>
      <c r="BI163">
        <f>IF(BD163&lt;0%,"Loss",IF(BD163&lt;5%,"On Cost Plus",IF(BD163&lt;10%,"Within","Exceed")))</f>
        <v/>
      </c>
      <c r="BJ163" t="inlineStr">
        <is>
          <t>Exceed</t>
        </is>
      </c>
      <c r="BK163">
        <f>0.51*$BK$6</f>
        <v/>
      </c>
      <c r="BL163" s="190">
        <f>BK163-W163</f>
        <v/>
      </c>
      <c r="BM163" s="189">
        <f>BL163*O163</f>
        <v/>
      </c>
    </row>
    <row r="164">
      <c r="A164">
        <f>CONCATENATE(E164,F164,G164,H164,I164,J164,K164,L164)</f>
        <v/>
      </c>
      <c r="B164">
        <f>CONCATENATE(J164,"-&gt;",K164,"/",E164)</f>
        <v/>
      </c>
      <c r="C164" s="23" t="inlineStr">
        <is>
          <t>AFEEZ AJIBADE/Ebenezer</t>
        </is>
      </c>
      <c r="D164">
        <f>CONCATENATE(G164,"-",H164,"-",F164)</f>
        <v/>
      </c>
      <c r="E164" s="24" t="inlineStr">
        <is>
          <t>Lacasera-45T-NBL-DSL-JUMBO</t>
        </is>
      </c>
      <c r="F164" s="24" t="inlineStr">
        <is>
          <t>JUMBO</t>
        </is>
      </c>
      <c r="G164" s="25" t="inlineStr">
        <is>
          <t>NBL-DSL</t>
        </is>
      </c>
      <c r="H164" s="24" t="inlineStr">
        <is>
          <t>45T</t>
        </is>
      </c>
      <c r="I164" s="251" t="inlineStr">
        <is>
          <t>Lacasera</t>
        </is>
      </c>
      <c r="J164" s="251" t="inlineStr">
        <is>
          <t>Lagos</t>
        </is>
      </c>
      <c r="K164" s="23" t="inlineStr">
        <is>
          <t>Ajaokuta</t>
        </is>
      </c>
      <c r="L164" t="inlineStr">
        <is>
          <t>Kogi</t>
        </is>
      </c>
      <c r="M164" s="1" t="inlineStr">
        <is>
          <t>North</t>
        </is>
      </c>
      <c r="N164" s="261" t="n">
        <v>539.5</v>
      </c>
      <c r="O164" s="257" t="n">
        <v>1079</v>
      </c>
      <c r="P164" s="227">
        <f>ROUNDUP(O164/300,)</f>
        <v/>
      </c>
      <c r="Q164" s="220" t="n">
        <v>1</v>
      </c>
      <c r="R164" s="220">
        <f>Q164+P164</f>
        <v/>
      </c>
      <c r="S164" s="198">
        <f>ROUNDDOWN(O164*0.7,)</f>
        <v/>
      </c>
      <c r="T164" s="220">
        <f>_xlfn.XLOOKUP(G164,[1]Fx!$A$4:$A$12,[1]Fx!$B$4:$B$12)</f>
        <v/>
      </c>
      <c r="U164" s="220">
        <f>_xlfn.XLOOKUP(G164,[1]Fx!$A$4:$A$12,[1]Fx!$C$4:$C$12)</f>
        <v/>
      </c>
      <c r="V164" s="220">
        <f>_xlfn.XLOOKUP(G164,[1]Fx!$A$4:$A$12,[1]Fx!$D$4:$D$12)</f>
        <v/>
      </c>
      <c r="W164" s="208">
        <f>_xlfn.XLOOKUP(H164&amp;I164,'[1]Mapping DSL'!$H:$H,'[1]Mapping DSL'!$J:$J)</f>
        <v/>
      </c>
      <c r="X164" s="220">
        <f>_xlfn.XLOOKUP(G164,[1]Fx!$A$4:$A$12,[1]Fx!$E$4:$E$12)</f>
        <v/>
      </c>
      <c r="Y164" s="220">
        <f>T164*R164</f>
        <v/>
      </c>
      <c r="Z164" s="220">
        <f>U164*O164</f>
        <v/>
      </c>
      <c r="AA164" s="220">
        <f>V164*O164</f>
        <v/>
      </c>
      <c r="AB164" s="220">
        <f>W164*O164</f>
        <v/>
      </c>
      <c r="AC164" s="198">
        <f>X164*O164</f>
        <v/>
      </c>
      <c r="AD164" s="220" t="n">
        <v>0</v>
      </c>
      <c r="AE164" s="220" t="n">
        <v>0</v>
      </c>
      <c r="AF164" s="220">
        <f>SUM(Y164:AE164)</f>
        <v/>
      </c>
      <c r="AG164" s="205">
        <f>_xlfn.XLOOKUP(G164,[1]Fx!$A$16:$A$24,[1]Fx!$B$16:$B$24)</f>
        <v/>
      </c>
      <c r="AH164" s="220">
        <f>AG164*R164</f>
        <v/>
      </c>
      <c r="AI164" s="220">
        <f>$AI$6*Z164</f>
        <v/>
      </c>
      <c r="AJ164" s="220">
        <f>$AJ$6*AA164</f>
        <v/>
      </c>
      <c r="AK164" s="220">
        <f>$AK$6*AB164</f>
        <v/>
      </c>
      <c r="AL164" s="220">
        <f>$AL$6*AC164</f>
        <v/>
      </c>
      <c r="AM164" s="220">
        <f>SUM(AH164:AL164)</f>
        <v/>
      </c>
      <c r="AN164" s="220" t="n">
        <v>0</v>
      </c>
      <c r="AO164" s="220">
        <f>AN164*AH164</f>
        <v/>
      </c>
      <c r="AP164" s="220">
        <f>AD164</f>
        <v/>
      </c>
      <c r="AQ164" s="220">
        <f>AE164</f>
        <v/>
      </c>
      <c r="AR164" s="220">
        <f>AM164-AO164</f>
        <v/>
      </c>
      <c r="AS164" s="220">
        <f>AR164-AK164</f>
        <v/>
      </c>
      <c r="AT164" s="220">
        <f>AS164*1.075</f>
        <v/>
      </c>
      <c r="AU164" s="220">
        <f>ROUNDUP(AT164+AK164+AP164+AQ164,-4)</f>
        <v/>
      </c>
      <c r="AV164" s="198" t="n">
        <v>2643863</v>
      </c>
      <c r="AW164" s="227" t="n"/>
      <c r="AX164" s="220">
        <f>AV164-AR164</f>
        <v/>
      </c>
      <c r="AY164" s="35">
        <f>AX164/AR164</f>
        <v/>
      </c>
      <c r="AZ164" s="220">
        <f>AV164-AF164</f>
        <v/>
      </c>
      <c r="BA164" s="215">
        <f>AV164-SUM(Z164:AC164)</f>
        <v/>
      </c>
      <c r="BB164" s="215">
        <f>BA164-Y164</f>
        <v/>
      </c>
      <c r="BC164" s="35">
        <f>BB164/BA164</f>
        <v/>
      </c>
      <c r="BD164" s="35">
        <f>IFERROR(AZ164/AV164,)</f>
        <v/>
      </c>
      <c r="BE164" s="255">
        <f>AV164-SUM(Z164:AC164)</f>
        <v/>
      </c>
      <c r="BF164" s="255">
        <f>AV164-BE164-AC164-AB164</f>
        <v/>
      </c>
      <c r="BG164" s="255">
        <f>AV164-BE164-BF164-AB164</f>
        <v/>
      </c>
      <c r="BH164" s="255">
        <f>AB164</f>
        <v/>
      </c>
      <c r="BI164">
        <f>IF(BD164&lt;0%,"Loss",IF(BD164&lt;5%,"On Cost Plus",IF(BD164&lt;10%,"Within","Exceed")))</f>
        <v/>
      </c>
      <c r="BJ164" t="inlineStr">
        <is>
          <t>Exceed</t>
        </is>
      </c>
      <c r="BK164">
        <f>0.51*$BK$6</f>
        <v/>
      </c>
      <c r="BL164" s="190">
        <f>BK164-W164</f>
        <v/>
      </c>
      <c r="BM164" s="189">
        <f>BL164*O164</f>
        <v/>
      </c>
    </row>
    <row r="165">
      <c r="A165">
        <f>CONCATENATE(E165,F165,G165,H165,I165,J165,K165,L165)</f>
        <v/>
      </c>
      <c r="B165">
        <f>CONCATENATE(J165,"-&gt;",K165,"/",E165)</f>
        <v/>
      </c>
      <c r="C165" s="23" t="inlineStr">
        <is>
          <t>AFEEZ AJIBADE/Ebenezer</t>
        </is>
      </c>
      <c r="D165">
        <f>CONCATENATE(G165,"-",H165,"-",F165)</f>
        <v/>
      </c>
      <c r="E165" s="24" t="inlineStr">
        <is>
          <t>Lacasera-45T-NBL-DSL-JUMBO</t>
        </is>
      </c>
      <c r="F165" s="24" t="inlineStr">
        <is>
          <t>JUMBO</t>
        </is>
      </c>
      <c r="G165" s="25" t="inlineStr">
        <is>
          <t>NBL-DSL</t>
        </is>
      </c>
      <c r="H165" s="24" t="inlineStr">
        <is>
          <t>45T</t>
        </is>
      </c>
      <c r="I165" s="251" t="inlineStr">
        <is>
          <t>Lacasera</t>
        </is>
      </c>
      <c r="J165" s="251" t="inlineStr">
        <is>
          <t>Lagos</t>
        </is>
      </c>
      <c r="K165" s="23" t="inlineStr">
        <is>
          <t>Lokoja</t>
        </is>
      </c>
      <c r="L165" t="inlineStr">
        <is>
          <t>Kogi</t>
        </is>
      </c>
      <c r="M165" s="1" t="inlineStr">
        <is>
          <t>Central</t>
        </is>
      </c>
      <c r="N165" s="261" t="n">
        <v>548.5</v>
      </c>
      <c r="O165" s="257" t="n">
        <v>1097</v>
      </c>
      <c r="P165" s="227">
        <f>ROUNDUP(O165/300,)</f>
        <v/>
      </c>
      <c r="Q165" s="220" t="n">
        <v>1</v>
      </c>
      <c r="R165" s="220">
        <f>Q165+P165</f>
        <v/>
      </c>
      <c r="S165" s="198">
        <f>ROUNDDOWN(O165*0.7,)</f>
        <v/>
      </c>
      <c r="T165" s="220">
        <f>_xlfn.XLOOKUP(G165,[1]Fx!$A$4:$A$12,[1]Fx!$B$4:$B$12)</f>
        <v/>
      </c>
      <c r="U165" s="220">
        <f>_xlfn.XLOOKUP(G165,[1]Fx!$A$4:$A$12,[1]Fx!$C$4:$C$12)</f>
        <v/>
      </c>
      <c r="V165" s="220">
        <f>_xlfn.XLOOKUP(G165,[1]Fx!$A$4:$A$12,[1]Fx!$D$4:$D$12)</f>
        <v/>
      </c>
      <c r="W165" s="208">
        <f>_xlfn.XLOOKUP(H165&amp;I165,'[1]Mapping DSL'!$H:$H,'[1]Mapping DSL'!$J:$J)</f>
        <v/>
      </c>
      <c r="X165" s="220">
        <f>_xlfn.XLOOKUP(G165,[1]Fx!$A$4:$A$12,[1]Fx!$E$4:$E$12)</f>
        <v/>
      </c>
      <c r="Y165" s="220">
        <f>T165*R165</f>
        <v/>
      </c>
      <c r="Z165" s="220">
        <f>U165*O165</f>
        <v/>
      </c>
      <c r="AA165" s="220">
        <f>V165*O165</f>
        <v/>
      </c>
      <c r="AB165" s="220">
        <f>W165*O165</f>
        <v/>
      </c>
      <c r="AC165" s="198">
        <f>X165*O165</f>
        <v/>
      </c>
      <c r="AD165" s="220" t="n">
        <v>0</v>
      </c>
      <c r="AE165" s="220" t="n">
        <v>0</v>
      </c>
      <c r="AF165" s="220">
        <f>SUM(Y165:AE165)</f>
        <v/>
      </c>
      <c r="AG165" s="205">
        <f>_xlfn.XLOOKUP(G165,[1]Fx!$A$16:$A$24,[1]Fx!$B$16:$B$24)</f>
        <v/>
      </c>
      <c r="AH165" s="220">
        <f>AG165*R165</f>
        <v/>
      </c>
      <c r="AI165" s="220">
        <f>$AI$6*Z165</f>
        <v/>
      </c>
      <c r="AJ165" s="220">
        <f>$AJ$6*AA165</f>
        <v/>
      </c>
      <c r="AK165" s="220">
        <f>$AK$6*AB165</f>
        <v/>
      </c>
      <c r="AL165" s="220">
        <f>$AL$6*AC165</f>
        <v/>
      </c>
      <c r="AM165" s="220">
        <f>SUM(AH165:AL165)</f>
        <v/>
      </c>
      <c r="AN165" s="220" t="n">
        <v>0</v>
      </c>
      <c r="AO165" s="220">
        <f>AN165*AH165</f>
        <v/>
      </c>
      <c r="AP165" s="220">
        <f>AD165</f>
        <v/>
      </c>
      <c r="AQ165" s="220">
        <f>AE165</f>
        <v/>
      </c>
      <c r="AR165" s="220">
        <f>AM165-AO165</f>
        <v/>
      </c>
      <c r="AS165" s="220">
        <f>AR165-AK165</f>
        <v/>
      </c>
      <c r="AT165" s="220">
        <f>AS165*1.075</f>
        <v/>
      </c>
      <c r="AU165" s="220">
        <f>ROUNDUP(AT165+AK165+AP165+AQ165,-4)</f>
        <v/>
      </c>
      <c r="AV165" s="198" t="n">
        <v>2599205</v>
      </c>
      <c r="AW165" s="227" t="n"/>
      <c r="AX165" s="220">
        <f>AV165-AR165</f>
        <v/>
      </c>
      <c r="AY165" s="35">
        <f>AX165/AR165</f>
        <v/>
      </c>
      <c r="AZ165" s="220">
        <f>AV165-AF165</f>
        <v/>
      </c>
      <c r="BA165" s="215">
        <f>AV165-SUM(Z165:AC165)</f>
        <v/>
      </c>
      <c r="BB165" s="215">
        <f>BA165-Y165</f>
        <v/>
      </c>
      <c r="BC165" s="35">
        <f>BB165/BA165</f>
        <v/>
      </c>
      <c r="BD165" s="35">
        <f>IFERROR(AZ165/AV165,)</f>
        <v/>
      </c>
      <c r="BE165" s="255">
        <f>AV165-SUM(Z165:AC165)</f>
        <v/>
      </c>
      <c r="BF165" s="255">
        <f>AV165-BE165-AC165-AB165</f>
        <v/>
      </c>
      <c r="BG165" s="255">
        <f>AV165-BE165-BF165-AB165</f>
        <v/>
      </c>
      <c r="BH165" s="255">
        <f>AB165</f>
        <v/>
      </c>
      <c r="BI165">
        <f>IF(BD165&lt;0%,"Loss",IF(BD165&lt;5%,"On Cost Plus",IF(BD165&lt;10%,"Within","Exceed")))</f>
        <v/>
      </c>
      <c r="BJ165" t="inlineStr">
        <is>
          <t>Exceed</t>
        </is>
      </c>
      <c r="BK165">
        <f>0.51*$BK$6</f>
        <v/>
      </c>
      <c r="BL165" s="190">
        <f>BK165-W165</f>
        <v/>
      </c>
      <c r="BM165" s="189">
        <f>BL165*O165</f>
        <v/>
      </c>
    </row>
    <row r="166">
      <c r="A166">
        <f>CONCATENATE(E166,F166,G166,H166,I166,J166,K166,L166)</f>
        <v/>
      </c>
      <c r="B166">
        <f>CONCATENATE(J166,"-&gt;",K166,"/",E166)</f>
        <v/>
      </c>
      <c r="C166" s="23" t="inlineStr">
        <is>
          <t>AFEEZ AJIBADE/Ebenezer</t>
        </is>
      </c>
      <c r="D166">
        <f>CONCATENATE(G166,"-",H166,"-",F166)</f>
        <v/>
      </c>
      <c r="E166" s="24" t="inlineStr">
        <is>
          <t>Lacasera-45T-NBL-DSL-JUMBO</t>
        </is>
      </c>
      <c r="F166" s="24" t="inlineStr">
        <is>
          <t>JUMBO</t>
        </is>
      </c>
      <c r="G166" s="25" t="inlineStr">
        <is>
          <t>NBL-DSL</t>
        </is>
      </c>
      <c r="H166" s="24" t="inlineStr">
        <is>
          <t>45T</t>
        </is>
      </c>
      <c r="I166" s="251" t="inlineStr">
        <is>
          <t>Lacasera</t>
        </is>
      </c>
      <c r="J166" s="251" t="inlineStr">
        <is>
          <t>Lagos</t>
        </is>
      </c>
      <c r="K166" s="23" t="inlineStr">
        <is>
          <t>Ayangba</t>
        </is>
      </c>
      <c r="L166" t="inlineStr">
        <is>
          <t>Kogi</t>
        </is>
      </c>
      <c r="M166" s="1" t="inlineStr">
        <is>
          <t>Central</t>
        </is>
      </c>
      <c r="N166" s="261" t="n">
        <v>587</v>
      </c>
      <c r="O166" s="257" t="n">
        <v>1174</v>
      </c>
      <c r="P166" s="227">
        <f>ROUNDUP(O166/300,)</f>
        <v/>
      </c>
      <c r="Q166" s="220" t="n">
        <v>1</v>
      </c>
      <c r="R166" s="220">
        <f>Q166+P166</f>
        <v/>
      </c>
      <c r="S166" s="198">
        <f>ROUNDDOWN(O166*0.7,)</f>
        <v/>
      </c>
      <c r="T166" s="220">
        <f>_xlfn.XLOOKUP(G166,[1]Fx!$A$4:$A$12,[1]Fx!$B$4:$B$12)</f>
        <v/>
      </c>
      <c r="U166" s="220">
        <f>_xlfn.XLOOKUP(G166,[1]Fx!$A$4:$A$12,[1]Fx!$C$4:$C$12)</f>
        <v/>
      </c>
      <c r="V166" s="220">
        <f>_xlfn.XLOOKUP(G166,[1]Fx!$A$4:$A$12,[1]Fx!$D$4:$D$12)</f>
        <v/>
      </c>
      <c r="W166" s="208">
        <f>_xlfn.XLOOKUP(H166&amp;I166,'[1]Mapping DSL'!$H:$H,'[1]Mapping DSL'!$J:$J)</f>
        <v/>
      </c>
      <c r="X166" s="220">
        <f>_xlfn.XLOOKUP(G166,[1]Fx!$A$4:$A$12,[1]Fx!$E$4:$E$12)</f>
        <v/>
      </c>
      <c r="Y166" s="220">
        <f>T166*R166</f>
        <v/>
      </c>
      <c r="Z166" s="220">
        <f>U166*O166</f>
        <v/>
      </c>
      <c r="AA166" s="220">
        <f>V166*O166</f>
        <v/>
      </c>
      <c r="AB166" s="220">
        <f>W166*O166</f>
        <v/>
      </c>
      <c r="AC166" s="198">
        <f>X166*O166</f>
        <v/>
      </c>
      <c r="AD166" s="220" t="n">
        <v>0</v>
      </c>
      <c r="AE166" s="220" t="n">
        <v>0</v>
      </c>
      <c r="AF166" s="220">
        <f>SUM(Y166:AE166)</f>
        <v/>
      </c>
      <c r="AG166" s="205">
        <f>_xlfn.XLOOKUP(G166,[1]Fx!$A$16:$A$24,[1]Fx!$B$16:$B$24)</f>
        <v/>
      </c>
      <c r="AH166" s="220">
        <f>AG166*R166</f>
        <v/>
      </c>
      <c r="AI166" s="220">
        <f>$AI$6*Z166</f>
        <v/>
      </c>
      <c r="AJ166" s="220">
        <f>$AJ$6*AA166</f>
        <v/>
      </c>
      <c r="AK166" s="220">
        <f>$AK$6*AB166</f>
        <v/>
      </c>
      <c r="AL166" s="220">
        <f>$AL$6*AC166</f>
        <v/>
      </c>
      <c r="AM166" s="220">
        <f>SUM(AH166:AL166)</f>
        <v/>
      </c>
      <c r="AN166" s="220" t="n">
        <v>0</v>
      </c>
      <c r="AO166" s="220">
        <f>AN166*AH166</f>
        <v/>
      </c>
      <c r="AP166" s="220">
        <f>AD166</f>
        <v/>
      </c>
      <c r="AQ166" s="220">
        <f>AE166</f>
        <v/>
      </c>
      <c r="AR166" s="220">
        <f>AM166-AO166</f>
        <v/>
      </c>
      <c r="AS166" s="220">
        <f>AR166-AK166</f>
        <v/>
      </c>
      <c r="AT166" s="220">
        <f>AS166*1.075</f>
        <v/>
      </c>
      <c r="AU166" s="220">
        <f>ROUNDUP(AT166+AK166+AP166+AQ166,-4)</f>
        <v/>
      </c>
      <c r="AV166" s="198" t="n">
        <v>2611351</v>
      </c>
      <c r="AW166" s="227" t="n"/>
      <c r="AX166" s="220">
        <f>AV166-AR166</f>
        <v/>
      </c>
      <c r="AY166" s="35">
        <f>AX166/AR166</f>
        <v/>
      </c>
      <c r="AZ166" s="220">
        <f>AV166-AF166</f>
        <v/>
      </c>
      <c r="BA166" s="215">
        <f>AV166-SUM(Z166:AC166)</f>
        <v/>
      </c>
      <c r="BB166" s="215">
        <f>BA166-Y166</f>
        <v/>
      </c>
      <c r="BC166" s="35">
        <f>BB166/BA166</f>
        <v/>
      </c>
      <c r="BD166" s="35">
        <f>IFERROR(AZ166/AV166,)</f>
        <v/>
      </c>
      <c r="BE166" s="255">
        <f>AV166-SUM(Z166:AC166)</f>
        <v/>
      </c>
      <c r="BF166" s="255">
        <f>AV166-BE166-AC166-AB166</f>
        <v/>
      </c>
      <c r="BG166" s="255">
        <f>AV166-BE166-BF166-AB166</f>
        <v/>
      </c>
      <c r="BH166" s="255">
        <f>AB166</f>
        <v/>
      </c>
      <c r="BI166">
        <f>IF(BD166&lt;0%,"Loss",IF(BD166&lt;5%,"On Cost Plus",IF(BD166&lt;10%,"Within","Exceed")))</f>
        <v/>
      </c>
      <c r="BJ166" t="inlineStr">
        <is>
          <t>Exceed</t>
        </is>
      </c>
      <c r="BK166">
        <f>0.51*$BK$6</f>
        <v/>
      </c>
      <c r="BL166" s="190">
        <f>BK166-W166</f>
        <v/>
      </c>
      <c r="BM166" s="189">
        <f>BL166*O166</f>
        <v/>
      </c>
    </row>
    <row r="167">
      <c r="A167">
        <f>CONCATENATE(E167,F167,G167,H167,I167,J167,K167,L167)</f>
        <v/>
      </c>
      <c r="B167">
        <f>CONCATENATE(J167,"-&gt;",K167,"/",E167)</f>
        <v/>
      </c>
      <c r="C167" s="23" t="inlineStr">
        <is>
          <t>AFEEZ AJIBADE/Ebenezer</t>
        </is>
      </c>
      <c r="D167">
        <f>CONCATENATE(G167,"-",H167,"-",F167)</f>
        <v/>
      </c>
      <c r="E167" s="24" t="inlineStr">
        <is>
          <t>Lacasera-45T-NBL-DSL-JUMBO</t>
        </is>
      </c>
      <c r="F167" s="24" t="inlineStr">
        <is>
          <t>JUMBO</t>
        </is>
      </c>
      <c r="G167" s="25" t="inlineStr">
        <is>
          <t>NBL-DSL</t>
        </is>
      </c>
      <c r="H167" s="24" t="inlineStr">
        <is>
          <t>45T</t>
        </is>
      </c>
      <c r="I167" s="251" t="inlineStr">
        <is>
          <t>Lacasera</t>
        </is>
      </c>
      <c r="J167" s="251" t="inlineStr">
        <is>
          <t>Lagos</t>
        </is>
      </c>
      <c r="K167" s="23" t="inlineStr">
        <is>
          <t>Okene</t>
        </is>
      </c>
      <c r="L167" t="inlineStr">
        <is>
          <t>Kogi</t>
        </is>
      </c>
      <c r="M167" s="1" t="inlineStr">
        <is>
          <t>North</t>
        </is>
      </c>
      <c r="N167" s="261" t="n">
        <v>475.5</v>
      </c>
      <c r="O167" s="257" t="n">
        <v>951</v>
      </c>
      <c r="P167" s="227">
        <f>ROUNDUP(O167/300,)</f>
        <v/>
      </c>
      <c r="Q167" s="220" t="n">
        <v>1</v>
      </c>
      <c r="R167" s="220">
        <f>Q167+P167</f>
        <v/>
      </c>
      <c r="S167" s="198">
        <f>ROUNDDOWN(O167*0.7,)</f>
        <v/>
      </c>
      <c r="T167" s="220">
        <f>_xlfn.XLOOKUP(G167,[1]Fx!$A$4:$A$12,[1]Fx!$B$4:$B$12)</f>
        <v/>
      </c>
      <c r="U167" s="220">
        <f>_xlfn.XLOOKUP(G167,[1]Fx!$A$4:$A$12,[1]Fx!$C$4:$C$12)</f>
        <v/>
      </c>
      <c r="V167" s="220">
        <f>_xlfn.XLOOKUP(G167,[1]Fx!$A$4:$A$12,[1]Fx!$D$4:$D$12)</f>
        <v/>
      </c>
      <c r="W167" s="208">
        <f>_xlfn.XLOOKUP(H167&amp;I167,'[1]Mapping DSL'!$H:$H,'[1]Mapping DSL'!$J:$J)</f>
        <v/>
      </c>
      <c r="X167" s="220">
        <f>_xlfn.XLOOKUP(G167,[1]Fx!$A$4:$A$12,[1]Fx!$E$4:$E$12)</f>
        <v/>
      </c>
      <c r="Y167" s="220">
        <f>T167*R167</f>
        <v/>
      </c>
      <c r="Z167" s="220">
        <f>U167*O167</f>
        <v/>
      </c>
      <c r="AA167" s="220">
        <f>V167*O167</f>
        <v/>
      </c>
      <c r="AB167" s="220">
        <f>W167*O167</f>
        <v/>
      </c>
      <c r="AC167" s="198">
        <f>X167*O167</f>
        <v/>
      </c>
      <c r="AD167" s="220" t="n">
        <v>0</v>
      </c>
      <c r="AE167" s="220" t="n">
        <v>0</v>
      </c>
      <c r="AF167" s="220">
        <f>SUM(Y167:AE167)</f>
        <v/>
      </c>
      <c r="AG167" s="205">
        <f>_xlfn.XLOOKUP(G167,[1]Fx!$A$16:$A$24,[1]Fx!$B$16:$B$24)</f>
        <v/>
      </c>
      <c r="AH167" s="220">
        <f>AG167*R167</f>
        <v/>
      </c>
      <c r="AI167" s="220">
        <f>$AI$6*Z167</f>
        <v/>
      </c>
      <c r="AJ167" s="220">
        <f>$AJ$6*AA167</f>
        <v/>
      </c>
      <c r="AK167" s="220">
        <f>$AK$6*AB167</f>
        <v/>
      </c>
      <c r="AL167" s="220">
        <f>$AL$6*AC167</f>
        <v/>
      </c>
      <c r="AM167" s="220">
        <f>SUM(AH167:AL167)</f>
        <v/>
      </c>
      <c r="AN167" s="220" t="n">
        <v>0</v>
      </c>
      <c r="AO167" s="220">
        <f>AN167*AH167</f>
        <v/>
      </c>
      <c r="AP167" s="220">
        <f>AD167</f>
        <v/>
      </c>
      <c r="AQ167" s="220">
        <f>AE167</f>
        <v/>
      </c>
      <c r="AR167" s="220">
        <f>AM167-AO167</f>
        <v/>
      </c>
      <c r="AS167" s="220">
        <f>AR167-AK167</f>
        <v/>
      </c>
      <c r="AT167" s="220">
        <f>AS167*1.075</f>
        <v/>
      </c>
      <c r="AU167" s="220">
        <f>ROUNDUP(AT167+AK167+AP167+AQ167,-4)</f>
        <v/>
      </c>
      <c r="AV167" s="198" t="n">
        <v>2453579</v>
      </c>
      <c r="AW167" s="227" t="n"/>
      <c r="AX167" s="220">
        <f>AV167-AR167</f>
        <v/>
      </c>
      <c r="AY167" s="35">
        <f>AX167/AR167</f>
        <v/>
      </c>
      <c r="AZ167" s="220">
        <f>AV167-AF167</f>
        <v/>
      </c>
      <c r="BA167" s="215">
        <f>AV167-SUM(Z167:AC167)</f>
        <v/>
      </c>
      <c r="BB167" s="215">
        <f>BA167-Y167</f>
        <v/>
      </c>
      <c r="BC167" s="35">
        <f>BB167/BA167</f>
        <v/>
      </c>
      <c r="BD167" s="35">
        <f>IFERROR(AZ167/AV167,)</f>
        <v/>
      </c>
      <c r="BE167" s="255">
        <f>AV167-SUM(Z167:AC167)</f>
        <v/>
      </c>
      <c r="BF167" s="255">
        <f>AV167-BE167-AC167-AB167</f>
        <v/>
      </c>
      <c r="BG167" s="255">
        <f>AV167-BE167-BF167-AB167</f>
        <v/>
      </c>
      <c r="BH167" s="255">
        <f>AB167</f>
        <v/>
      </c>
      <c r="BI167">
        <f>IF(BD167&lt;0%,"Loss",IF(BD167&lt;5%,"On Cost Plus",IF(BD167&lt;10%,"Within","Exceed")))</f>
        <v/>
      </c>
      <c r="BJ167" t="inlineStr">
        <is>
          <t>Exceed</t>
        </is>
      </c>
      <c r="BK167">
        <f>0.51*$BK$6</f>
        <v/>
      </c>
      <c r="BL167" s="190">
        <f>BK167-W167</f>
        <v/>
      </c>
      <c r="BM167" s="189">
        <f>BL167*O167</f>
        <v/>
      </c>
    </row>
    <row r="168">
      <c r="A168">
        <f>CONCATENATE(E168,F168,G168,H168,I168,J168,K168,L168)</f>
        <v/>
      </c>
      <c r="B168">
        <f>CONCATENATE(J168,"-&gt;",K168,"/",E168)</f>
        <v/>
      </c>
      <c r="C168" s="23" t="inlineStr">
        <is>
          <t>AFEEZ AJIBADE/Ebenezer</t>
        </is>
      </c>
      <c r="D168">
        <f>CONCATENATE(G168,"-",H168,"-",F168)</f>
        <v/>
      </c>
      <c r="E168" s="24" t="inlineStr">
        <is>
          <t>Lacasera-45T-NBL-DSL-JUMBO</t>
        </is>
      </c>
      <c r="F168" s="24" t="inlineStr">
        <is>
          <t>JUMBO</t>
        </is>
      </c>
      <c r="G168" s="25" t="inlineStr">
        <is>
          <t>NBL-DSL</t>
        </is>
      </c>
      <c r="H168" s="24" t="inlineStr">
        <is>
          <t>45T</t>
        </is>
      </c>
      <c r="I168" s="251" t="inlineStr">
        <is>
          <t>Lacasera</t>
        </is>
      </c>
      <c r="J168" s="251" t="inlineStr">
        <is>
          <t>Lagos</t>
        </is>
      </c>
      <c r="K168" s="23" t="inlineStr">
        <is>
          <t>Akwanga</t>
        </is>
      </c>
      <c r="L168" t="inlineStr">
        <is>
          <t>Nasarawa</t>
        </is>
      </c>
      <c r="M168" s="1" t="inlineStr">
        <is>
          <t>North</t>
        </is>
      </c>
      <c r="N168" s="261" t="n">
        <v>904</v>
      </c>
      <c r="O168" s="257" t="n">
        <v>1808</v>
      </c>
      <c r="P168" s="227">
        <f>ROUNDUP(O168/300,)</f>
        <v/>
      </c>
      <c r="Q168" s="220" t="n">
        <v>1</v>
      </c>
      <c r="R168" s="220">
        <f>Q168+P168</f>
        <v/>
      </c>
      <c r="S168" s="198">
        <f>ROUNDDOWN(O168*0.7,)</f>
        <v/>
      </c>
      <c r="T168" s="220">
        <f>_xlfn.XLOOKUP(G168,[1]Fx!$A$4:$A$12,[1]Fx!$B$4:$B$12)</f>
        <v/>
      </c>
      <c r="U168" s="220">
        <f>_xlfn.XLOOKUP(G168,[1]Fx!$A$4:$A$12,[1]Fx!$C$4:$C$12)</f>
        <v/>
      </c>
      <c r="V168" s="220">
        <f>_xlfn.XLOOKUP(G168,[1]Fx!$A$4:$A$12,[1]Fx!$D$4:$D$12)</f>
        <v/>
      </c>
      <c r="W168" s="208">
        <f>_xlfn.XLOOKUP(H168&amp;I168,'[1]Mapping DSL'!$H:$H,'[1]Mapping DSL'!$J:$J)</f>
        <v/>
      </c>
      <c r="X168" s="220">
        <f>_xlfn.XLOOKUP(G168,[1]Fx!$A$4:$A$12,[1]Fx!$E$4:$E$12)</f>
        <v/>
      </c>
      <c r="Y168" s="220">
        <f>T168*R168</f>
        <v/>
      </c>
      <c r="Z168" s="220">
        <f>U168*O168</f>
        <v/>
      </c>
      <c r="AA168" s="220">
        <f>V168*O168</f>
        <v/>
      </c>
      <c r="AB168" s="220">
        <f>W168*O168</f>
        <v/>
      </c>
      <c r="AC168" s="198">
        <f>X168*O168</f>
        <v/>
      </c>
      <c r="AD168" s="220" t="n">
        <v>0</v>
      </c>
      <c r="AE168" s="220" t="n">
        <v>0</v>
      </c>
      <c r="AF168" s="220">
        <f>SUM(Y168:AE168)</f>
        <v/>
      </c>
      <c r="AG168" s="205">
        <f>_xlfn.XLOOKUP(G168,[1]Fx!$A$16:$A$24,[1]Fx!$B$16:$B$24)</f>
        <v/>
      </c>
      <c r="AH168" s="220">
        <f>AG168*R168</f>
        <v/>
      </c>
      <c r="AI168" s="220">
        <f>$AI$6*Z168</f>
        <v/>
      </c>
      <c r="AJ168" s="220">
        <f>$AJ$6*AA168</f>
        <v/>
      </c>
      <c r="AK168" s="220">
        <f>$AK$6*AB168</f>
        <v/>
      </c>
      <c r="AL168" s="220">
        <f>$AL$6*AC168</f>
        <v/>
      </c>
      <c r="AM168" s="220">
        <f>SUM(AH168:AL168)</f>
        <v/>
      </c>
      <c r="AN168" s="220" t="n">
        <v>0</v>
      </c>
      <c r="AO168" s="220">
        <f>AN168*AH168</f>
        <v/>
      </c>
      <c r="AP168" s="220">
        <f>AD168</f>
        <v/>
      </c>
      <c r="AQ168" s="220">
        <f>AE168</f>
        <v/>
      </c>
      <c r="AR168" s="220">
        <f>AM168-AO168</f>
        <v/>
      </c>
      <c r="AS168" s="220">
        <f>AR168-AK168</f>
        <v/>
      </c>
      <c r="AT168" s="220">
        <f>AS168*1.075</f>
        <v/>
      </c>
      <c r="AU168" s="220">
        <f>ROUNDUP(AT168+AK168+AP168+AQ168,-4)</f>
        <v/>
      </c>
      <c r="AV168" s="198" t="n">
        <v>3592478</v>
      </c>
      <c r="AW168" s="227" t="n"/>
      <c r="AX168" s="220">
        <f>AV168-AR168</f>
        <v/>
      </c>
      <c r="AY168" s="35">
        <f>AX168/AR168</f>
        <v/>
      </c>
      <c r="AZ168" s="220">
        <f>AV168-AF168</f>
        <v/>
      </c>
      <c r="BA168" s="215">
        <f>AV168-SUM(Z168:AC168)</f>
        <v/>
      </c>
      <c r="BB168" s="215">
        <f>BA168-Y168</f>
        <v/>
      </c>
      <c r="BC168" s="35">
        <f>BB168/BA168</f>
        <v/>
      </c>
      <c r="BD168" s="35">
        <f>IFERROR(AZ168/AV168,)</f>
        <v/>
      </c>
      <c r="BE168" s="255">
        <f>AV168-SUM(Z168:AC168)</f>
        <v/>
      </c>
      <c r="BF168" s="255">
        <f>AV168-BE168-AC168-AB168</f>
        <v/>
      </c>
      <c r="BG168" s="255">
        <f>AV168-BE168-BF168-AB168</f>
        <v/>
      </c>
      <c r="BH168" s="255">
        <f>AB168</f>
        <v/>
      </c>
      <c r="BI168">
        <f>IF(BD168&lt;0%,"Loss",IF(BD168&lt;5%,"On Cost Plus",IF(BD168&lt;10%,"Within","Exceed")))</f>
        <v/>
      </c>
      <c r="BJ168" t="inlineStr">
        <is>
          <t>Exceed</t>
        </is>
      </c>
      <c r="BK168">
        <f>0.51*$BK$6</f>
        <v/>
      </c>
      <c r="BL168" s="190">
        <f>BK168-W168</f>
        <v/>
      </c>
      <c r="BM168" s="189">
        <f>BL168*O168</f>
        <v/>
      </c>
    </row>
    <row r="169">
      <c r="A169">
        <f>CONCATENATE(E169,F169,G169,H169,I169,J169,K169,L169)</f>
        <v/>
      </c>
      <c r="B169">
        <f>CONCATENATE(J169,"-&gt;",K169,"/",E169)</f>
        <v/>
      </c>
      <c r="C169" s="23" t="inlineStr">
        <is>
          <t>AFEEZ AJIBADE/Ebenezer</t>
        </is>
      </c>
      <c r="D169">
        <f>CONCATENATE(G169,"-",H169,"-",F169)</f>
        <v/>
      </c>
      <c r="E169" s="24" t="inlineStr">
        <is>
          <t>Lacasera-45T-NBL-DSL-JUMBO</t>
        </is>
      </c>
      <c r="F169" s="24" t="inlineStr">
        <is>
          <t>JUMBO</t>
        </is>
      </c>
      <c r="G169" s="25" t="inlineStr">
        <is>
          <t>NBL-DSL</t>
        </is>
      </c>
      <c r="H169" s="24" t="inlineStr">
        <is>
          <t>45T</t>
        </is>
      </c>
      <c r="I169" s="251" t="inlineStr">
        <is>
          <t>Lacasera</t>
        </is>
      </c>
      <c r="J169" s="251" t="inlineStr">
        <is>
          <t>Lagos</t>
        </is>
      </c>
      <c r="K169" s="23" t="inlineStr">
        <is>
          <t>Keffi</t>
        </is>
      </c>
      <c r="L169" t="inlineStr">
        <is>
          <t>Nasarawa</t>
        </is>
      </c>
      <c r="M169" s="1" t="inlineStr">
        <is>
          <t>North</t>
        </is>
      </c>
      <c r="N169" s="261" t="n">
        <v>840</v>
      </c>
      <c r="O169" s="257" t="n">
        <v>1680</v>
      </c>
      <c r="P169" s="227">
        <f>ROUNDUP(O169/300,)</f>
        <v/>
      </c>
      <c r="Q169" s="220" t="n">
        <v>1</v>
      </c>
      <c r="R169" s="220">
        <f>Q169+P169</f>
        <v/>
      </c>
      <c r="S169" s="198">
        <f>ROUNDDOWN(O169*0.7,)</f>
        <v/>
      </c>
      <c r="T169" s="220">
        <f>_xlfn.XLOOKUP(G169,[1]Fx!$A$4:$A$12,[1]Fx!$B$4:$B$12)</f>
        <v/>
      </c>
      <c r="U169" s="220">
        <f>_xlfn.XLOOKUP(G169,[1]Fx!$A$4:$A$12,[1]Fx!$C$4:$C$12)</f>
        <v/>
      </c>
      <c r="V169" s="220">
        <f>_xlfn.XLOOKUP(G169,[1]Fx!$A$4:$A$12,[1]Fx!$D$4:$D$12)</f>
        <v/>
      </c>
      <c r="W169" s="208">
        <f>_xlfn.XLOOKUP(H169&amp;I169,'[1]Mapping DSL'!$H:$H,'[1]Mapping DSL'!$J:$J)</f>
        <v/>
      </c>
      <c r="X169" s="220">
        <f>_xlfn.XLOOKUP(G169,[1]Fx!$A$4:$A$12,[1]Fx!$E$4:$E$12)</f>
        <v/>
      </c>
      <c r="Y169" s="220">
        <f>T169*R169</f>
        <v/>
      </c>
      <c r="Z169" s="220">
        <f>U169*O169</f>
        <v/>
      </c>
      <c r="AA169" s="220">
        <f>V169*O169</f>
        <v/>
      </c>
      <c r="AB169" s="220">
        <f>W169*O169</f>
        <v/>
      </c>
      <c r="AC169" s="198">
        <f>X169*O169</f>
        <v/>
      </c>
      <c r="AD169" s="220" t="n">
        <v>0</v>
      </c>
      <c r="AE169" s="220" t="n">
        <v>0</v>
      </c>
      <c r="AF169" s="220">
        <f>SUM(Y169:AE169)</f>
        <v/>
      </c>
      <c r="AG169" s="205">
        <f>_xlfn.XLOOKUP(G169,[1]Fx!$A$16:$A$24,[1]Fx!$B$16:$B$24)</f>
        <v/>
      </c>
      <c r="AH169" s="220">
        <f>AG169*R169</f>
        <v/>
      </c>
      <c r="AI169" s="220">
        <f>$AI$6*Z169</f>
        <v/>
      </c>
      <c r="AJ169" s="220">
        <f>$AJ$6*AA169</f>
        <v/>
      </c>
      <c r="AK169" s="220">
        <f>$AK$6*AB169</f>
        <v/>
      </c>
      <c r="AL169" s="220">
        <f>$AL$6*AC169</f>
        <v/>
      </c>
      <c r="AM169" s="220">
        <f>SUM(AH169:AL169)</f>
        <v/>
      </c>
      <c r="AN169" s="220" t="n">
        <v>0</v>
      </c>
      <c r="AO169" s="220">
        <f>AN169*AH169</f>
        <v/>
      </c>
      <c r="AP169" s="220">
        <f>AD169</f>
        <v/>
      </c>
      <c r="AQ169" s="220">
        <f>AE169</f>
        <v/>
      </c>
      <c r="AR169" s="220">
        <f>AM169-AO169</f>
        <v/>
      </c>
      <c r="AS169" s="220">
        <f>AR169-AK169</f>
        <v/>
      </c>
      <c r="AT169" s="220">
        <f>AS169*1.075</f>
        <v/>
      </c>
      <c r="AU169" s="220">
        <f>ROUNDUP(AT169+AK169+AP169+AQ169,-4)</f>
        <v/>
      </c>
      <c r="AV169" s="198" t="n">
        <v>3333587</v>
      </c>
      <c r="AW169" s="227" t="n"/>
      <c r="AX169" s="220">
        <f>AV169-AR169</f>
        <v/>
      </c>
      <c r="AY169" s="35">
        <f>AX169/AR169</f>
        <v/>
      </c>
      <c r="AZ169" s="220">
        <f>AV169-AF169</f>
        <v/>
      </c>
      <c r="BA169" s="215">
        <f>AV169-SUM(Z169:AC169)</f>
        <v/>
      </c>
      <c r="BB169" s="215">
        <f>BA169-Y169</f>
        <v/>
      </c>
      <c r="BC169" s="35">
        <f>BB169/BA169</f>
        <v/>
      </c>
      <c r="BD169" s="35">
        <f>IFERROR(AZ169/AV169,)</f>
        <v/>
      </c>
      <c r="BE169" s="255">
        <f>AV169-SUM(Z169:AC169)</f>
        <v/>
      </c>
      <c r="BF169" s="255">
        <f>AV169-BE169-AC169-AB169</f>
        <v/>
      </c>
      <c r="BG169" s="255">
        <f>AV169-BE169-BF169-AB169</f>
        <v/>
      </c>
      <c r="BH169" s="255">
        <f>AB169</f>
        <v/>
      </c>
      <c r="BI169">
        <f>IF(BD169&lt;0%,"Loss",IF(BD169&lt;5%,"On Cost Plus",IF(BD169&lt;10%,"Within","Exceed")))</f>
        <v/>
      </c>
      <c r="BJ169" t="inlineStr">
        <is>
          <t>Exceed</t>
        </is>
      </c>
      <c r="BK169">
        <f>0.51*$BK$6</f>
        <v/>
      </c>
      <c r="BL169" s="190">
        <f>BK169-W169</f>
        <v/>
      </c>
      <c r="BM169" s="189">
        <f>BL169*O169</f>
        <v/>
      </c>
    </row>
    <row r="170">
      <c r="A170">
        <f>CONCATENATE(E170,F170,G170,H170,I170,J170,K170,L170)</f>
        <v/>
      </c>
      <c r="B170">
        <f>CONCATENATE(J170,"-&gt;",K170,"/",E170)</f>
        <v/>
      </c>
      <c r="C170" s="23" t="inlineStr">
        <is>
          <t>AFEEZ AJIBADE/Ebenezer</t>
        </is>
      </c>
      <c r="D170">
        <f>CONCATENATE(G170,"-",H170,"-",F170)</f>
        <v/>
      </c>
      <c r="E170" s="24" t="inlineStr">
        <is>
          <t>Lacasera-45T-NBL-DSL-JUMBO</t>
        </is>
      </c>
      <c r="F170" s="24" t="inlineStr">
        <is>
          <t>JUMBO</t>
        </is>
      </c>
      <c r="G170" s="25" t="inlineStr">
        <is>
          <t>NBL-DSL</t>
        </is>
      </c>
      <c r="H170" s="24" t="inlineStr">
        <is>
          <t>45T</t>
        </is>
      </c>
      <c r="I170" s="251" t="inlineStr">
        <is>
          <t>Lacasera</t>
        </is>
      </c>
      <c r="J170" s="251" t="inlineStr">
        <is>
          <t>Lagos</t>
        </is>
      </c>
      <c r="K170" s="23" t="inlineStr">
        <is>
          <t>Lafia</t>
        </is>
      </c>
      <c r="L170" t="inlineStr">
        <is>
          <t>Nasarawa</t>
        </is>
      </c>
      <c r="M170" s="1" t="inlineStr">
        <is>
          <t>North</t>
        </is>
      </c>
      <c r="N170" s="261" t="n">
        <v>907.5</v>
      </c>
      <c r="O170" s="257" t="n">
        <v>1815</v>
      </c>
      <c r="P170" s="227">
        <f>ROUNDUP(O170/300,)</f>
        <v/>
      </c>
      <c r="Q170" s="220" t="n">
        <v>1</v>
      </c>
      <c r="R170" s="220">
        <f>Q170+P170</f>
        <v/>
      </c>
      <c r="S170" s="198">
        <f>ROUNDDOWN(O170*0.7,)</f>
        <v/>
      </c>
      <c r="T170" s="220">
        <f>_xlfn.XLOOKUP(G170,[1]Fx!$A$4:$A$12,[1]Fx!$B$4:$B$12)</f>
        <v/>
      </c>
      <c r="U170" s="220">
        <f>_xlfn.XLOOKUP(G170,[1]Fx!$A$4:$A$12,[1]Fx!$C$4:$C$12)</f>
        <v/>
      </c>
      <c r="V170" s="220">
        <f>_xlfn.XLOOKUP(G170,[1]Fx!$A$4:$A$12,[1]Fx!$D$4:$D$12)</f>
        <v/>
      </c>
      <c r="W170" s="208">
        <f>_xlfn.XLOOKUP(H170&amp;I170,'[1]Mapping DSL'!$H:$H,'[1]Mapping DSL'!$J:$J)</f>
        <v/>
      </c>
      <c r="X170" s="220">
        <f>_xlfn.XLOOKUP(G170,[1]Fx!$A$4:$A$12,[1]Fx!$E$4:$E$12)</f>
        <v/>
      </c>
      <c r="Y170" s="220">
        <f>T170*R170</f>
        <v/>
      </c>
      <c r="Z170" s="220">
        <f>U170*O170</f>
        <v/>
      </c>
      <c r="AA170" s="220">
        <f>V170*O170</f>
        <v/>
      </c>
      <c r="AB170" s="220">
        <f>W170*O170</f>
        <v/>
      </c>
      <c r="AC170" s="198">
        <f>X170*O170</f>
        <v/>
      </c>
      <c r="AD170" s="220" t="n">
        <v>0</v>
      </c>
      <c r="AE170" s="220" t="n">
        <v>0</v>
      </c>
      <c r="AF170" s="220">
        <f>SUM(Y170:AE170)</f>
        <v/>
      </c>
      <c r="AG170" s="205">
        <f>_xlfn.XLOOKUP(G170,[1]Fx!$A$16:$A$24,[1]Fx!$B$16:$B$24)</f>
        <v/>
      </c>
      <c r="AH170" s="220">
        <f>AG170*R170</f>
        <v/>
      </c>
      <c r="AI170" s="220">
        <f>$AI$6*Z170</f>
        <v/>
      </c>
      <c r="AJ170" s="220">
        <f>$AJ$6*AA170</f>
        <v/>
      </c>
      <c r="AK170" s="220">
        <f>$AK$6*AB170</f>
        <v/>
      </c>
      <c r="AL170" s="220">
        <f>$AL$6*AC170</f>
        <v/>
      </c>
      <c r="AM170" s="220">
        <f>SUM(AH170:AL170)</f>
        <v/>
      </c>
      <c r="AN170" s="220" t="n">
        <v>0</v>
      </c>
      <c r="AO170" s="220">
        <f>AN170*AH170</f>
        <v/>
      </c>
      <c r="AP170" s="220">
        <f>AD170</f>
        <v/>
      </c>
      <c r="AQ170" s="220">
        <f>AE170</f>
        <v/>
      </c>
      <c r="AR170" s="220">
        <f>AM170-AO170</f>
        <v/>
      </c>
      <c r="AS170" s="220">
        <f>AR170-AK170</f>
        <v/>
      </c>
      <c r="AT170" s="220">
        <f>AS170*1.075</f>
        <v/>
      </c>
      <c r="AU170" s="220">
        <f>ROUNDUP(AT170+AK170+AP170+AQ170,-4)</f>
        <v/>
      </c>
      <c r="AV170" s="198" t="n">
        <v>3684781</v>
      </c>
      <c r="AW170" s="227" t="n"/>
      <c r="AX170" s="220">
        <f>AV170-AR170</f>
        <v/>
      </c>
      <c r="AY170" s="35">
        <f>AX170/AR170</f>
        <v/>
      </c>
      <c r="AZ170" s="220">
        <f>AV170-AF170</f>
        <v/>
      </c>
      <c r="BA170" s="215">
        <f>AV170-SUM(Z170:AC170)</f>
        <v/>
      </c>
      <c r="BB170" s="215">
        <f>BA170-Y170</f>
        <v/>
      </c>
      <c r="BC170" s="35">
        <f>BB170/BA170</f>
        <v/>
      </c>
      <c r="BD170" s="35">
        <f>IFERROR(AZ170/AV170,)</f>
        <v/>
      </c>
      <c r="BE170" s="255">
        <f>AV170-SUM(Z170:AC170)</f>
        <v/>
      </c>
      <c r="BF170" s="255">
        <f>AV170-BE170-AC170-AB170</f>
        <v/>
      </c>
      <c r="BG170" s="255">
        <f>AV170-BE170-BF170-AB170</f>
        <v/>
      </c>
      <c r="BH170" s="255">
        <f>AB170</f>
        <v/>
      </c>
      <c r="BI170">
        <f>IF(BD170&lt;0%,"Loss",IF(BD170&lt;5%,"On Cost Plus",IF(BD170&lt;10%,"Within","Exceed")))</f>
        <v/>
      </c>
      <c r="BJ170" t="inlineStr">
        <is>
          <t>Exceed</t>
        </is>
      </c>
      <c r="BK170">
        <f>0.51*$BK$6</f>
        <v/>
      </c>
      <c r="BL170" s="190">
        <f>BK170-W170</f>
        <v/>
      </c>
      <c r="BM170" s="189">
        <f>BL170*O170</f>
        <v/>
      </c>
    </row>
    <row r="171">
      <c r="A171">
        <f>CONCATENATE(E171,F171,G171,H171,I171,J171,K171,L171)</f>
        <v/>
      </c>
      <c r="B171">
        <f>CONCATENATE(J171,"-&gt;",K171,"/",E171)</f>
        <v/>
      </c>
      <c r="C171" s="23" t="inlineStr">
        <is>
          <t>AFEEZ AJIBADE/Ebenezer</t>
        </is>
      </c>
      <c r="D171">
        <f>CONCATENATE(G171,"-",H171,"-",F171)</f>
        <v/>
      </c>
      <c r="E171" s="24" t="inlineStr">
        <is>
          <t>Lacasera-45T-NBL-DSL-JUMBO</t>
        </is>
      </c>
      <c r="F171" s="24" t="inlineStr">
        <is>
          <t>JUMBO</t>
        </is>
      </c>
      <c r="G171" s="25" t="inlineStr">
        <is>
          <t>NBL-DSL</t>
        </is>
      </c>
      <c r="H171" s="24" t="inlineStr">
        <is>
          <t>45T</t>
        </is>
      </c>
      <c r="I171" s="251" t="inlineStr">
        <is>
          <t>Lacasera</t>
        </is>
      </c>
      <c r="J171" s="251" t="inlineStr">
        <is>
          <t>Lagos</t>
        </is>
      </c>
      <c r="K171" s="23" t="inlineStr">
        <is>
          <t>Kontagora</t>
        </is>
      </c>
      <c r="L171" t="inlineStr">
        <is>
          <t>Niger</t>
        </is>
      </c>
      <c r="M171" s="1" t="inlineStr">
        <is>
          <t>North</t>
        </is>
      </c>
      <c r="N171" s="261" t="n">
        <v>584.5</v>
      </c>
      <c r="O171" s="257" t="n">
        <v>1169</v>
      </c>
      <c r="P171" s="227">
        <f>ROUNDUP(O171/300,)</f>
        <v/>
      </c>
      <c r="Q171" s="220" t="n">
        <v>1</v>
      </c>
      <c r="R171" s="220">
        <f>Q171+P171</f>
        <v/>
      </c>
      <c r="S171" s="198">
        <f>ROUNDDOWN(O171*0.7,)</f>
        <v/>
      </c>
      <c r="T171" s="220">
        <f>_xlfn.XLOOKUP(G171,[1]Fx!$A$4:$A$12,[1]Fx!$B$4:$B$12)</f>
        <v/>
      </c>
      <c r="U171" s="220">
        <f>_xlfn.XLOOKUP(G171,[1]Fx!$A$4:$A$12,[1]Fx!$C$4:$C$12)</f>
        <v/>
      </c>
      <c r="V171" s="220">
        <f>_xlfn.XLOOKUP(G171,[1]Fx!$A$4:$A$12,[1]Fx!$D$4:$D$12)</f>
        <v/>
      </c>
      <c r="W171" s="208">
        <f>_xlfn.XLOOKUP(H171&amp;I171,'[1]Mapping DSL'!$H:$H,'[1]Mapping DSL'!$J:$J)</f>
        <v/>
      </c>
      <c r="X171" s="220">
        <f>_xlfn.XLOOKUP(G171,[1]Fx!$A$4:$A$12,[1]Fx!$E$4:$E$12)</f>
        <v/>
      </c>
      <c r="Y171" s="220">
        <f>T171*R171</f>
        <v/>
      </c>
      <c r="Z171" s="220">
        <f>U171*O171</f>
        <v/>
      </c>
      <c r="AA171" s="220">
        <f>V171*O171</f>
        <v/>
      </c>
      <c r="AB171" s="220">
        <f>W171*O171</f>
        <v/>
      </c>
      <c r="AC171" s="198">
        <f>X171*O171</f>
        <v/>
      </c>
      <c r="AD171" s="220" t="n">
        <v>0</v>
      </c>
      <c r="AE171" s="220" t="n">
        <v>0</v>
      </c>
      <c r="AF171" s="220">
        <f>SUM(Y171:AE171)</f>
        <v/>
      </c>
      <c r="AG171" s="205">
        <f>_xlfn.XLOOKUP(G171,[1]Fx!$A$16:$A$24,[1]Fx!$B$16:$B$24)</f>
        <v/>
      </c>
      <c r="AH171" s="220">
        <f>AG171*R171</f>
        <v/>
      </c>
      <c r="AI171" s="220">
        <f>$AI$6*Z171</f>
        <v/>
      </c>
      <c r="AJ171" s="220">
        <f>$AJ$6*AA171</f>
        <v/>
      </c>
      <c r="AK171" s="220">
        <f>$AK$6*AB171</f>
        <v/>
      </c>
      <c r="AL171" s="220">
        <f>$AL$6*AC171</f>
        <v/>
      </c>
      <c r="AM171" s="220">
        <f>SUM(AH171:AL171)</f>
        <v/>
      </c>
      <c r="AN171" s="220" t="n">
        <v>0</v>
      </c>
      <c r="AO171" s="220">
        <f>AN171*AH171</f>
        <v/>
      </c>
      <c r="AP171" s="220">
        <f>AD171</f>
        <v/>
      </c>
      <c r="AQ171" s="220">
        <f>AE171</f>
        <v/>
      </c>
      <c r="AR171" s="220">
        <f>AM171-AO171</f>
        <v/>
      </c>
      <c r="AS171" s="220">
        <f>AR171-AK171</f>
        <v/>
      </c>
      <c r="AT171" s="220">
        <f>AS171*1.075</f>
        <v/>
      </c>
      <c r="AU171" s="220">
        <f>ROUNDUP(AT171+AK171+AP171+AQ171,-4)</f>
        <v/>
      </c>
      <c r="AV171" s="198" t="n">
        <v>3128754</v>
      </c>
      <c r="AW171" s="227" t="n"/>
      <c r="AX171" s="220">
        <f>AV171-AR171</f>
        <v/>
      </c>
      <c r="AY171" s="35">
        <f>AX171/AR171</f>
        <v/>
      </c>
      <c r="AZ171" s="220">
        <f>AV171-AF171</f>
        <v/>
      </c>
      <c r="BA171" s="215">
        <f>AV171-SUM(Z171:AC171)</f>
        <v/>
      </c>
      <c r="BB171" s="215">
        <f>BA171-Y171</f>
        <v/>
      </c>
      <c r="BC171" s="35">
        <f>BB171/BA171</f>
        <v/>
      </c>
      <c r="BD171" s="35">
        <f>IFERROR(AZ171/AV171,)</f>
        <v/>
      </c>
      <c r="BE171" s="255">
        <f>AV171-SUM(Z171:AC171)</f>
        <v/>
      </c>
      <c r="BF171" s="255">
        <f>AV171-BE171-AC171-AB171</f>
        <v/>
      </c>
      <c r="BG171" s="255">
        <f>AV171-BE171-BF171-AB171</f>
        <v/>
      </c>
      <c r="BH171" s="255">
        <f>AB171</f>
        <v/>
      </c>
      <c r="BI171">
        <f>IF(BD171&lt;0%,"Loss",IF(BD171&lt;5%,"On Cost Plus",IF(BD171&lt;10%,"Within","Exceed")))</f>
        <v/>
      </c>
      <c r="BJ171" t="inlineStr">
        <is>
          <t>Exceed</t>
        </is>
      </c>
      <c r="BK171">
        <f>0.51*$BK$6</f>
        <v/>
      </c>
      <c r="BL171" s="190">
        <f>BK171-W171</f>
        <v/>
      </c>
      <c r="BM171" s="189">
        <f>BL171*O171</f>
        <v/>
      </c>
    </row>
    <row r="172">
      <c r="A172">
        <f>CONCATENATE(E172,F172,G172,H172,I172,J172,K172,L172)</f>
        <v/>
      </c>
      <c r="B172">
        <f>CONCATENATE(J172,"-&gt;",K172,"/",E172)</f>
        <v/>
      </c>
      <c r="C172" s="23" t="inlineStr">
        <is>
          <t>AFEEZ AJIBADE/Ebenezer</t>
        </is>
      </c>
      <c r="D172">
        <f>CONCATENATE(G172,"-",H172,"-",F172)</f>
        <v/>
      </c>
      <c r="E172" s="24" t="inlineStr">
        <is>
          <t>Lacasera-45T-NBL-DSL-JUMBO</t>
        </is>
      </c>
      <c r="F172" s="24" t="inlineStr">
        <is>
          <t>JUMBO</t>
        </is>
      </c>
      <c r="G172" s="25" t="inlineStr">
        <is>
          <t>NBL-DSL</t>
        </is>
      </c>
      <c r="H172" s="24" t="inlineStr">
        <is>
          <t>45T</t>
        </is>
      </c>
      <c r="I172" s="251" t="inlineStr">
        <is>
          <t>Lacasera</t>
        </is>
      </c>
      <c r="J172" s="251" t="inlineStr">
        <is>
          <t>Lagos</t>
        </is>
      </c>
      <c r="K172" s="23" t="inlineStr">
        <is>
          <t>Minna</t>
        </is>
      </c>
      <c r="L172" t="inlineStr">
        <is>
          <t>Niger</t>
        </is>
      </c>
      <c r="M172" s="1" t="inlineStr">
        <is>
          <t>North</t>
        </is>
      </c>
      <c r="N172" s="261" t="n">
        <v>626.5</v>
      </c>
      <c r="O172" s="257" t="n">
        <v>1253</v>
      </c>
      <c r="P172" s="227">
        <f>ROUNDUP(O172/300,)</f>
        <v/>
      </c>
      <c r="Q172" s="220" t="n">
        <v>1</v>
      </c>
      <c r="R172" s="220">
        <f>Q172+P172</f>
        <v/>
      </c>
      <c r="S172" s="198">
        <f>ROUNDDOWN(O172*0.7,)</f>
        <v/>
      </c>
      <c r="T172" s="220">
        <f>_xlfn.XLOOKUP(G172,[1]Fx!$A$4:$A$12,[1]Fx!$B$4:$B$12)</f>
        <v/>
      </c>
      <c r="U172" s="220">
        <f>_xlfn.XLOOKUP(G172,[1]Fx!$A$4:$A$12,[1]Fx!$C$4:$C$12)</f>
        <v/>
      </c>
      <c r="V172" s="220">
        <f>_xlfn.XLOOKUP(G172,[1]Fx!$A$4:$A$12,[1]Fx!$D$4:$D$12)</f>
        <v/>
      </c>
      <c r="W172" s="208">
        <f>_xlfn.XLOOKUP(H172&amp;I172,'[1]Mapping DSL'!$H:$H,'[1]Mapping DSL'!$J:$J)</f>
        <v/>
      </c>
      <c r="X172" s="220">
        <f>_xlfn.XLOOKUP(G172,[1]Fx!$A$4:$A$12,[1]Fx!$E$4:$E$12)</f>
        <v/>
      </c>
      <c r="Y172" s="220">
        <f>T172*R172</f>
        <v/>
      </c>
      <c r="Z172" s="220">
        <f>U172*O172</f>
        <v/>
      </c>
      <c r="AA172" s="220">
        <f>V172*O172</f>
        <v/>
      </c>
      <c r="AB172" s="220">
        <f>W172*O172</f>
        <v/>
      </c>
      <c r="AC172" s="198">
        <f>X172*O172</f>
        <v/>
      </c>
      <c r="AD172" s="220" t="n">
        <v>0</v>
      </c>
      <c r="AE172" s="220" t="n">
        <v>0</v>
      </c>
      <c r="AF172" s="220">
        <f>SUM(Y172:AE172)</f>
        <v/>
      </c>
      <c r="AG172" s="205">
        <f>_xlfn.XLOOKUP(G172,[1]Fx!$A$16:$A$24,[1]Fx!$B$16:$B$24)</f>
        <v/>
      </c>
      <c r="AH172" s="220">
        <f>AG172*R172</f>
        <v/>
      </c>
      <c r="AI172" s="220">
        <f>$AI$6*Z172</f>
        <v/>
      </c>
      <c r="AJ172" s="220">
        <f>$AJ$6*AA172</f>
        <v/>
      </c>
      <c r="AK172" s="220">
        <f>$AK$6*AB172</f>
        <v/>
      </c>
      <c r="AL172" s="220">
        <f>$AL$6*AC172</f>
        <v/>
      </c>
      <c r="AM172" s="220">
        <f>SUM(AH172:AL172)</f>
        <v/>
      </c>
      <c r="AN172" s="220" t="n">
        <v>0</v>
      </c>
      <c r="AO172" s="220">
        <f>AN172*AH172</f>
        <v/>
      </c>
      <c r="AP172" s="220">
        <f>AD172</f>
        <v/>
      </c>
      <c r="AQ172" s="220">
        <f>AE172</f>
        <v/>
      </c>
      <c r="AR172" s="220">
        <f>AM172-AO172</f>
        <v/>
      </c>
      <c r="AS172" s="220">
        <f>AR172-AK172</f>
        <v/>
      </c>
      <c r="AT172" s="220">
        <f>AS172*1.075</f>
        <v/>
      </c>
      <c r="AU172" s="220">
        <f>ROUNDUP(AT172+AK172+AP172+AQ172,-4)</f>
        <v/>
      </c>
      <c r="AV172" s="198" t="n">
        <v>3091244</v>
      </c>
      <c r="AW172" s="227" t="n"/>
      <c r="AX172" s="220">
        <f>AV172-AR172</f>
        <v/>
      </c>
      <c r="AY172" s="35">
        <f>AX172/AR172</f>
        <v/>
      </c>
      <c r="AZ172" s="220">
        <f>AV172-AF172</f>
        <v/>
      </c>
      <c r="BA172" s="215">
        <f>AV172-SUM(Z172:AC172)</f>
        <v/>
      </c>
      <c r="BB172" s="215">
        <f>BA172-Y172</f>
        <v/>
      </c>
      <c r="BC172" s="35">
        <f>BB172/BA172</f>
        <v/>
      </c>
      <c r="BD172" s="35">
        <f>IFERROR(AZ172/AV172,)</f>
        <v/>
      </c>
      <c r="BE172" s="255">
        <f>AV172-SUM(Z172:AC172)</f>
        <v/>
      </c>
      <c r="BF172" s="255">
        <f>AV172-BE172-AC172-AB172</f>
        <v/>
      </c>
      <c r="BG172" s="255">
        <f>AV172-BE172-BF172-AB172</f>
        <v/>
      </c>
      <c r="BH172" s="255">
        <f>AB172</f>
        <v/>
      </c>
      <c r="BI172">
        <f>IF(BD172&lt;0%,"Loss",IF(BD172&lt;5%,"On Cost Plus",IF(BD172&lt;10%,"Within","Exceed")))</f>
        <v/>
      </c>
      <c r="BJ172" t="inlineStr">
        <is>
          <t>Exceed</t>
        </is>
      </c>
      <c r="BK172">
        <f>0.51*$BK$6</f>
        <v/>
      </c>
      <c r="BL172" s="190">
        <f>BK172-W172</f>
        <v/>
      </c>
      <c r="BM172" s="189">
        <f>BL172*O172</f>
        <v/>
      </c>
    </row>
    <row r="173">
      <c r="A173">
        <f>CONCATENATE(E173,F173,G173,H173,I173,J173,K173,L173)</f>
        <v/>
      </c>
      <c r="B173">
        <f>CONCATENATE(J173,"-&gt;",K173,"/",E173)</f>
        <v/>
      </c>
      <c r="C173" s="23" t="inlineStr">
        <is>
          <t>AFEEZ AJIBADE/Ebenezer</t>
        </is>
      </c>
      <c r="D173">
        <f>CONCATENATE(G173,"-",H173,"-",F173)</f>
        <v/>
      </c>
      <c r="E173" s="24" t="inlineStr">
        <is>
          <t>Lacasera-45T-NBL-DSL-JUMBO</t>
        </is>
      </c>
      <c r="F173" s="24" t="inlineStr">
        <is>
          <t>JUMBO</t>
        </is>
      </c>
      <c r="G173" s="25" t="inlineStr">
        <is>
          <t>NBL-DSL</t>
        </is>
      </c>
      <c r="H173" s="24" t="inlineStr">
        <is>
          <t>45T</t>
        </is>
      </c>
      <c r="I173" s="251" t="inlineStr">
        <is>
          <t>Lacasera</t>
        </is>
      </c>
      <c r="J173" s="251" t="inlineStr">
        <is>
          <t>Lagos</t>
        </is>
      </c>
      <c r="K173" s="23" t="inlineStr">
        <is>
          <t>Jos</t>
        </is>
      </c>
      <c r="L173" t="inlineStr">
        <is>
          <t>Plateau</t>
        </is>
      </c>
      <c r="M173" s="1" t="inlineStr">
        <is>
          <t>North</t>
        </is>
      </c>
      <c r="N173" s="261" t="n">
        <v>1025</v>
      </c>
      <c r="O173" s="257" t="n">
        <v>2050</v>
      </c>
      <c r="P173" s="227">
        <f>ROUNDUP(O173/300,)</f>
        <v/>
      </c>
      <c r="Q173" s="220" t="n">
        <v>1</v>
      </c>
      <c r="R173" s="220">
        <f>Q173+P173</f>
        <v/>
      </c>
      <c r="S173" s="198">
        <f>ROUNDDOWN(O173*0.7,)</f>
        <v/>
      </c>
      <c r="T173" s="220">
        <f>_xlfn.XLOOKUP(G173,[1]Fx!$A$4:$A$12,[1]Fx!$B$4:$B$12)</f>
        <v/>
      </c>
      <c r="U173" s="220">
        <f>_xlfn.XLOOKUP(G173,[1]Fx!$A$4:$A$12,[1]Fx!$C$4:$C$12)</f>
        <v/>
      </c>
      <c r="V173" s="220">
        <f>_xlfn.XLOOKUP(G173,[1]Fx!$A$4:$A$12,[1]Fx!$D$4:$D$12)</f>
        <v/>
      </c>
      <c r="W173" s="208">
        <f>_xlfn.XLOOKUP(H173&amp;I173,'[1]Mapping DSL'!$H:$H,'[1]Mapping DSL'!$J:$J)</f>
        <v/>
      </c>
      <c r="X173" s="220">
        <f>_xlfn.XLOOKUP(G173,[1]Fx!$A$4:$A$12,[1]Fx!$E$4:$E$12)</f>
        <v/>
      </c>
      <c r="Y173" s="220">
        <f>T173*R173</f>
        <v/>
      </c>
      <c r="Z173" s="220">
        <f>U173*O173</f>
        <v/>
      </c>
      <c r="AA173" s="220">
        <f>V173*O173</f>
        <v/>
      </c>
      <c r="AB173" s="220">
        <f>W173*O173</f>
        <v/>
      </c>
      <c r="AC173" s="198">
        <f>X173*O173</f>
        <v/>
      </c>
      <c r="AD173" s="220" t="n">
        <v>0</v>
      </c>
      <c r="AE173" s="220" t="n">
        <v>0</v>
      </c>
      <c r="AF173" s="220">
        <f>SUM(Y173:AE173)</f>
        <v/>
      </c>
      <c r="AG173" s="205">
        <f>_xlfn.XLOOKUP(G173,[1]Fx!$A$16:$A$24,[1]Fx!$B$16:$B$24)</f>
        <v/>
      </c>
      <c r="AH173" s="220">
        <f>AG173*R173</f>
        <v/>
      </c>
      <c r="AI173" s="220">
        <f>$AI$6*Z173</f>
        <v/>
      </c>
      <c r="AJ173" s="220">
        <f>$AJ$6*AA173</f>
        <v/>
      </c>
      <c r="AK173" s="220">
        <f>$AK$6*AB173</f>
        <v/>
      </c>
      <c r="AL173" s="220">
        <f>$AL$6*AC173</f>
        <v/>
      </c>
      <c r="AM173" s="220">
        <f>SUM(AH173:AL173)</f>
        <v/>
      </c>
      <c r="AN173" s="220" t="n">
        <v>0</v>
      </c>
      <c r="AO173" s="220">
        <f>AN173*AH173</f>
        <v/>
      </c>
      <c r="AP173" s="220">
        <f>AD173</f>
        <v/>
      </c>
      <c r="AQ173" s="220">
        <f>AE173</f>
        <v/>
      </c>
      <c r="AR173" s="220">
        <f>AM173-AO173</f>
        <v/>
      </c>
      <c r="AS173" s="220">
        <f>AR173-AK173</f>
        <v/>
      </c>
      <c r="AT173" s="220">
        <f>AS173*1.075</f>
        <v/>
      </c>
      <c r="AU173" s="220">
        <f>ROUNDUP(AT173+AK173+AP173+AQ173,-4)</f>
        <v/>
      </c>
      <c r="AV173" s="198" t="n">
        <v>3498710</v>
      </c>
      <c r="AW173" s="227" t="n"/>
      <c r="AX173" s="220">
        <f>AV173-AR173</f>
        <v/>
      </c>
      <c r="AY173" s="35">
        <f>AX173/AR173</f>
        <v/>
      </c>
      <c r="AZ173" s="220">
        <f>AV173-AF173</f>
        <v/>
      </c>
      <c r="BA173" s="215">
        <f>AV173-SUM(Z173:AC173)</f>
        <v/>
      </c>
      <c r="BB173" s="215">
        <f>BA173-Y173</f>
        <v/>
      </c>
      <c r="BC173" s="35">
        <f>BB173/BA173</f>
        <v/>
      </c>
      <c r="BD173" s="35">
        <f>IFERROR(AZ173/AV173,)</f>
        <v/>
      </c>
      <c r="BE173" s="255">
        <f>AV173-SUM(Z173:AC173)</f>
        <v/>
      </c>
      <c r="BF173" s="255">
        <f>AV173-BE173-AC173-AB173</f>
        <v/>
      </c>
      <c r="BG173" s="255">
        <f>AV173-BE173-BF173-AB173</f>
        <v/>
      </c>
      <c r="BH173" s="255">
        <f>AB173</f>
        <v/>
      </c>
      <c r="BI173">
        <f>IF(BD173&lt;0%,"Loss",IF(BD173&lt;5%,"On Cost Plus",IF(BD173&lt;10%,"Within","Exceed")))</f>
        <v/>
      </c>
      <c r="BJ173" t="inlineStr">
        <is>
          <t>Exceed</t>
        </is>
      </c>
      <c r="BK173">
        <f>0.51*$BK$6</f>
        <v/>
      </c>
      <c r="BL173" s="190">
        <f>BK173-W173</f>
        <v/>
      </c>
      <c r="BM173" s="189">
        <f>BL173*O173</f>
        <v/>
      </c>
    </row>
    <row r="174">
      <c r="A174">
        <f>CONCATENATE(E174,F174,G174,H174,I174,J174,K174,L174)</f>
        <v/>
      </c>
      <c r="B174">
        <f>CONCATENATE(J174,"-&gt;",K174,"/",E174)</f>
        <v/>
      </c>
      <c r="C174" s="23" t="inlineStr">
        <is>
          <t>AFEEZ AJIBADE/Ebenezer</t>
        </is>
      </c>
      <c r="D174">
        <f>CONCATENATE(G174,"-",H174,"-",F174)</f>
        <v/>
      </c>
      <c r="E174" s="24" t="inlineStr">
        <is>
          <t>Lacasera-45T-NBL-DSL-JUMBO</t>
        </is>
      </c>
      <c r="F174" s="24" t="inlineStr">
        <is>
          <t>JUMBO</t>
        </is>
      </c>
      <c r="G174" s="25" t="inlineStr">
        <is>
          <t>NBL-DSL</t>
        </is>
      </c>
      <c r="H174" s="24" t="inlineStr">
        <is>
          <t>45T</t>
        </is>
      </c>
      <c r="I174" s="251" t="inlineStr">
        <is>
          <t>Lacasera</t>
        </is>
      </c>
      <c r="J174" s="251" t="inlineStr">
        <is>
          <t>Lagos</t>
        </is>
      </c>
      <c r="K174" s="23" t="inlineStr">
        <is>
          <t>Shendam</t>
        </is>
      </c>
      <c r="L174" t="inlineStr">
        <is>
          <t>Plateau</t>
        </is>
      </c>
      <c r="M174" s="1" t="inlineStr">
        <is>
          <t>North</t>
        </is>
      </c>
      <c r="N174" s="261" t="n">
        <v>1033</v>
      </c>
      <c r="O174" s="257" t="n">
        <v>2066</v>
      </c>
      <c r="P174" s="227">
        <f>ROUNDUP(O174/300,)</f>
        <v/>
      </c>
      <c r="Q174" s="220" t="n">
        <v>1</v>
      </c>
      <c r="R174" s="220">
        <f>Q174+P174</f>
        <v/>
      </c>
      <c r="S174" s="198">
        <f>ROUNDDOWN(O174*0.7,)</f>
        <v/>
      </c>
      <c r="T174" s="220">
        <f>_xlfn.XLOOKUP(G174,[1]Fx!$A$4:$A$12,[1]Fx!$B$4:$B$12)</f>
        <v/>
      </c>
      <c r="U174" s="220">
        <f>_xlfn.XLOOKUP(G174,[1]Fx!$A$4:$A$12,[1]Fx!$C$4:$C$12)</f>
        <v/>
      </c>
      <c r="V174" s="220">
        <f>_xlfn.XLOOKUP(G174,[1]Fx!$A$4:$A$12,[1]Fx!$D$4:$D$12)</f>
        <v/>
      </c>
      <c r="W174" s="208">
        <f>_xlfn.XLOOKUP(H174&amp;I174,'[1]Mapping DSL'!$H:$H,'[1]Mapping DSL'!$J:$J)</f>
        <v/>
      </c>
      <c r="X174" s="220">
        <f>_xlfn.XLOOKUP(G174,[1]Fx!$A$4:$A$12,[1]Fx!$E$4:$E$12)</f>
        <v/>
      </c>
      <c r="Y174" s="220">
        <f>T174*R174</f>
        <v/>
      </c>
      <c r="Z174" s="220">
        <f>U174*O174</f>
        <v/>
      </c>
      <c r="AA174" s="220">
        <f>V174*O174</f>
        <v/>
      </c>
      <c r="AB174" s="220">
        <f>W174*O174</f>
        <v/>
      </c>
      <c r="AC174" s="198">
        <f>X174*O174</f>
        <v/>
      </c>
      <c r="AD174" s="220" t="n">
        <v>0</v>
      </c>
      <c r="AE174" s="220" t="n">
        <v>0</v>
      </c>
      <c r="AF174" s="220">
        <f>SUM(Y174:AE174)</f>
        <v/>
      </c>
      <c r="AG174" s="205">
        <f>_xlfn.XLOOKUP(G174,[1]Fx!$A$16:$A$24,[1]Fx!$B$16:$B$24)</f>
        <v/>
      </c>
      <c r="AH174" s="220">
        <f>AG174*R174</f>
        <v/>
      </c>
      <c r="AI174" s="220">
        <f>$AI$6*Z174</f>
        <v/>
      </c>
      <c r="AJ174" s="220">
        <f>$AJ$6*AA174</f>
        <v/>
      </c>
      <c r="AK174" s="220">
        <f>$AK$6*AB174</f>
        <v/>
      </c>
      <c r="AL174" s="220">
        <f>$AL$6*AC174</f>
        <v/>
      </c>
      <c r="AM174" s="220">
        <f>SUM(AH174:AL174)</f>
        <v/>
      </c>
      <c r="AN174" s="220" t="n">
        <v>0</v>
      </c>
      <c r="AO174" s="220">
        <f>AN174*AH174</f>
        <v/>
      </c>
      <c r="AP174" s="220">
        <f>AD174</f>
        <v/>
      </c>
      <c r="AQ174" s="220">
        <f>AE174</f>
        <v/>
      </c>
      <c r="AR174" s="220">
        <f>AM174-AO174</f>
        <v/>
      </c>
      <c r="AS174" s="220">
        <f>AR174-AK174</f>
        <v/>
      </c>
      <c r="AT174" s="220">
        <f>AS174*1.075</f>
        <v/>
      </c>
      <c r="AU174" s="220">
        <f>ROUNDUP(AT174+AK174+AP174+AQ174,-4)</f>
        <v/>
      </c>
      <c r="AV174" s="198" t="n">
        <v>4052524</v>
      </c>
      <c r="AW174" s="227" t="n"/>
      <c r="AX174" s="220">
        <f>AV174-AR174</f>
        <v/>
      </c>
      <c r="AY174" s="35">
        <f>AX174/AR174</f>
        <v/>
      </c>
      <c r="AZ174" s="220">
        <f>AV174-AF174</f>
        <v/>
      </c>
      <c r="BA174" s="215">
        <f>AV174-SUM(Z174:AC174)</f>
        <v/>
      </c>
      <c r="BB174" s="215">
        <f>BA174-Y174</f>
        <v/>
      </c>
      <c r="BC174" s="35">
        <f>BB174/BA174</f>
        <v/>
      </c>
      <c r="BD174" s="35">
        <f>IFERROR(AZ174/AV174,)</f>
        <v/>
      </c>
      <c r="BE174" s="255">
        <f>AV174-SUM(Z174:AC174)</f>
        <v/>
      </c>
      <c r="BF174" s="255">
        <f>AV174-BE174-AC174-AB174</f>
        <v/>
      </c>
      <c r="BG174" s="255">
        <f>AV174-BE174-BF174-AB174</f>
        <v/>
      </c>
      <c r="BH174" s="255">
        <f>AB174</f>
        <v/>
      </c>
      <c r="BI174">
        <f>IF(BD174&lt;0%,"Loss",IF(BD174&lt;5%,"On Cost Plus",IF(BD174&lt;10%,"Within","Exceed")))</f>
        <v/>
      </c>
      <c r="BJ174" t="inlineStr">
        <is>
          <t>Exceed</t>
        </is>
      </c>
      <c r="BK174">
        <f>0.51*$BK$6</f>
        <v/>
      </c>
      <c r="BL174" s="190">
        <f>BK174-W174</f>
        <v/>
      </c>
      <c r="BM174" s="189">
        <f>BL174*O174</f>
        <v/>
      </c>
    </row>
    <row r="175">
      <c r="A175">
        <f>CONCATENATE(E175,F175,G175,H175,I175,J175,K175,L175)</f>
        <v/>
      </c>
      <c r="B175">
        <f>CONCATENATE(J175,"-&gt;",K175,"/",E175)</f>
        <v/>
      </c>
      <c r="C175" s="23" t="inlineStr">
        <is>
          <t>AFEEZ AJIBADE/Ebenezer</t>
        </is>
      </c>
      <c r="D175">
        <f>CONCATENATE(G175,"-",H175,"-",F175)</f>
        <v/>
      </c>
      <c r="E175" s="24" t="inlineStr">
        <is>
          <t>Lacasera-45T-NBL-DSL-JUMBO</t>
        </is>
      </c>
      <c r="F175" s="24" t="inlineStr">
        <is>
          <t>JUMBO</t>
        </is>
      </c>
      <c r="G175" s="25" t="inlineStr">
        <is>
          <t>NBL-DSL</t>
        </is>
      </c>
      <c r="H175" s="24" t="inlineStr">
        <is>
          <t>45T</t>
        </is>
      </c>
      <c r="I175" s="251" t="inlineStr">
        <is>
          <t>Lacasera</t>
        </is>
      </c>
      <c r="J175" s="251" t="inlineStr">
        <is>
          <t>Lagos</t>
        </is>
      </c>
      <c r="K175" s="23" t="inlineStr">
        <is>
          <t>Sokoto</t>
        </is>
      </c>
      <c r="L175" t="inlineStr">
        <is>
          <t>Sokoto</t>
        </is>
      </c>
      <c r="M175" s="1" t="inlineStr">
        <is>
          <t>North</t>
        </is>
      </c>
      <c r="N175" s="261" t="n">
        <v>991.5</v>
      </c>
      <c r="O175" s="257" t="n">
        <v>1983</v>
      </c>
      <c r="P175" s="227">
        <f>ROUNDUP(O175/300,)</f>
        <v/>
      </c>
      <c r="Q175" s="220" t="n">
        <v>1</v>
      </c>
      <c r="R175" s="220">
        <f>Q175+P175</f>
        <v/>
      </c>
      <c r="S175" s="198">
        <f>ROUNDDOWN(O175*0.7,)</f>
        <v/>
      </c>
      <c r="T175" s="220">
        <f>_xlfn.XLOOKUP(G175,[1]Fx!$A$4:$A$12,[1]Fx!$B$4:$B$12)</f>
        <v/>
      </c>
      <c r="U175" s="220">
        <f>_xlfn.XLOOKUP(G175,[1]Fx!$A$4:$A$12,[1]Fx!$C$4:$C$12)</f>
        <v/>
      </c>
      <c r="V175" s="220">
        <f>_xlfn.XLOOKUP(G175,[1]Fx!$A$4:$A$12,[1]Fx!$D$4:$D$12)</f>
        <v/>
      </c>
      <c r="W175" s="208">
        <f>_xlfn.XLOOKUP(H175&amp;I175,'[1]Mapping DSL'!$H:$H,'[1]Mapping DSL'!$J:$J)</f>
        <v/>
      </c>
      <c r="X175" s="220">
        <f>_xlfn.XLOOKUP(G175,[1]Fx!$A$4:$A$12,[1]Fx!$E$4:$E$12)</f>
        <v/>
      </c>
      <c r="Y175" s="220">
        <f>T175*R175</f>
        <v/>
      </c>
      <c r="Z175" s="220">
        <f>U175*O175</f>
        <v/>
      </c>
      <c r="AA175" s="220">
        <f>V175*O175</f>
        <v/>
      </c>
      <c r="AB175" s="220">
        <f>W175*O175</f>
        <v/>
      </c>
      <c r="AC175" s="198">
        <f>X175*O175</f>
        <v/>
      </c>
      <c r="AD175" s="220" t="n">
        <v>0</v>
      </c>
      <c r="AE175" s="220" t="n">
        <v>0</v>
      </c>
      <c r="AF175" s="220">
        <f>SUM(Y175:AE175)</f>
        <v/>
      </c>
      <c r="AG175" s="205">
        <f>_xlfn.XLOOKUP(G175,[1]Fx!$A$16:$A$24,[1]Fx!$B$16:$B$24)</f>
        <v/>
      </c>
      <c r="AH175" s="220">
        <f>AG175*R175</f>
        <v/>
      </c>
      <c r="AI175" s="220">
        <f>$AI$6*Z175</f>
        <v/>
      </c>
      <c r="AJ175" s="220">
        <f>$AJ$6*AA175</f>
        <v/>
      </c>
      <c r="AK175" s="220">
        <f>$AK$6*AB175</f>
        <v/>
      </c>
      <c r="AL175" s="220">
        <f>$AL$6*AC175</f>
        <v/>
      </c>
      <c r="AM175" s="220">
        <f>SUM(AH175:AL175)</f>
        <v/>
      </c>
      <c r="AN175" s="220" t="n">
        <v>0</v>
      </c>
      <c r="AO175" s="220">
        <f>AN175*AH175</f>
        <v/>
      </c>
      <c r="AP175" s="220">
        <f>AD175</f>
        <v/>
      </c>
      <c r="AQ175" s="220">
        <f>AE175</f>
        <v/>
      </c>
      <c r="AR175" s="220">
        <f>AM175-AO175</f>
        <v/>
      </c>
      <c r="AS175" s="220">
        <f>AR175-AK175</f>
        <v/>
      </c>
      <c r="AT175" s="220">
        <f>AS175*1.075</f>
        <v/>
      </c>
      <c r="AU175" s="220">
        <f>ROUNDUP(AT175+AK175+AP175+AQ175,-4)</f>
        <v/>
      </c>
      <c r="AV175" s="198" t="n">
        <v>4204707</v>
      </c>
      <c r="AW175" s="227" t="n"/>
      <c r="AX175" s="220">
        <f>AV175-AR175</f>
        <v/>
      </c>
      <c r="AY175" s="35">
        <f>AX175/AR175</f>
        <v/>
      </c>
      <c r="AZ175" s="220">
        <f>AV175-AF175</f>
        <v/>
      </c>
      <c r="BA175" s="215">
        <f>AV175-SUM(Z175:AC175)</f>
        <v/>
      </c>
      <c r="BB175" s="215">
        <f>BA175-Y175</f>
        <v/>
      </c>
      <c r="BC175" s="35">
        <f>BB175/BA175</f>
        <v/>
      </c>
      <c r="BD175" s="35">
        <f>IFERROR(AZ175/AV175,)</f>
        <v/>
      </c>
      <c r="BE175" s="255">
        <f>AV175-SUM(Z175:AC175)</f>
        <v/>
      </c>
      <c r="BF175" s="255">
        <f>AV175-BE175-AC175-AB175</f>
        <v/>
      </c>
      <c r="BG175" s="255">
        <f>AV175-BE175-BF175-AB175</f>
        <v/>
      </c>
      <c r="BH175" s="255">
        <f>AB175</f>
        <v/>
      </c>
      <c r="BI175">
        <f>IF(BD175&lt;0%,"Loss",IF(BD175&lt;5%,"On Cost Plus",IF(BD175&lt;10%,"Within","Exceed")))</f>
        <v/>
      </c>
      <c r="BJ175" t="inlineStr">
        <is>
          <t>Exceed</t>
        </is>
      </c>
      <c r="BK175">
        <f>0.51*$BK$6</f>
        <v/>
      </c>
      <c r="BL175" s="190">
        <f>BK175-W175</f>
        <v/>
      </c>
      <c r="BM175" s="189">
        <f>BL175*O175</f>
        <v/>
      </c>
    </row>
    <row r="176">
      <c r="A176">
        <f>CONCATENATE(E176,F176,G176,H176,I176,J176,K176,L176)</f>
        <v/>
      </c>
      <c r="B176">
        <f>CONCATENATE(J176,"-&gt;",K176,"/",E176)</f>
        <v/>
      </c>
      <c r="C176" s="23" t="inlineStr">
        <is>
          <t>AFEEZ AJIBADE/Ebenezer</t>
        </is>
      </c>
      <c r="D176">
        <f>CONCATENATE(G176,"-",H176,"-",F176)</f>
        <v/>
      </c>
      <c r="E176" s="24" t="inlineStr">
        <is>
          <t>Lacasera-45T-NBL-DSL-JUMBO</t>
        </is>
      </c>
      <c r="F176" s="24" t="inlineStr">
        <is>
          <t>JUMBO</t>
        </is>
      </c>
      <c r="G176" s="25" t="inlineStr">
        <is>
          <t>NBL-DSL</t>
        </is>
      </c>
      <c r="H176" s="24" t="inlineStr">
        <is>
          <t>45T</t>
        </is>
      </c>
      <c r="I176" s="251" t="inlineStr">
        <is>
          <t>Lacasera</t>
        </is>
      </c>
      <c r="J176" s="251" t="inlineStr">
        <is>
          <t>Lagos</t>
        </is>
      </c>
      <c r="K176" s="23" t="inlineStr">
        <is>
          <t>Birnin Kebbi</t>
        </is>
      </c>
      <c r="L176" t="inlineStr">
        <is>
          <t>Kebbi</t>
        </is>
      </c>
      <c r="M176" s="1" t="inlineStr">
        <is>
          <t>North</t>
        </is>
      </c>
      <c r="N176" s="261" t="n">
        <v>885</v>
      </c>
      <c r="O176" s="257" t="n">
        <v>1770</v>
      </c>
      <c r="P176" s="227">
        <f>ROUNDUP(O176/300,)</f>
        <v/>
      </c>
      <c r="Q176" s="220" t="n">
        <v>1</v>
      </c>
      <c r="R176" s="220">
        <f>Q176+P176</f>
        <v/>
      </c>
      <c r="S176" s="198">
        <f>ROUNDDOWN(O176*0.7,)</f>
        <v/>
      </c>
      <c r="T176" s="220">
        <f>_xlfn.XLOOKUP(G176,[1]Fx!$A$4:$A$12,[1]Fx!$B$4:$B$12)</f>
        <v/>
      </c>
      <c r="U176" s="220">
        <f>_xlfn.XLOOKUP(G176,[1]Fx!$A$4:$A$12,[1]Fx!$C$4:$C$12)</f>
        <v/>
      </c>
      <c r="V176" s="220">
        <f>_xlfn.XLOOKUP(G176,[1]Fx!$A$4:$A$12,[1]Fx!$D$4:$D$12)</f>
        <v/>
      </c>
      <c r="W176" s="208">
        <f>_xlfn.XLOOKUP(H176&amp;I176,'[1]Mapping DSL'!$H:$H,'[1]Mapping DSL'!$J:$J)</f>
        <v/>
      </c>
      <c r="X176" s="220">
        <f>_xlfn.XLOOKUP(G176,[1]Fx!$A$4:$A$12,[1]Fx!$E$4:$E$12)</f>
        <v/>
      </c>
      <c r="Y176" s="220">
        <f>T176*R176</f>
        <v/>
      </c>
      <c r="Z176" s="220">
        <f>U176*O176</f>
        <v/>
      </c>
      <c r="AA176" s="220">
        <f>V176*O176</f>
        <v/>
      </c>
      <c r="AB176" s="220">
        <f>W176*O176</f>
        <v/>
      </c>
      <c r="AC176" s="198">
        <f>X176*O176</f>
        <v/>
      </c>
      <c r="AD176" s="220" t="n">
        <v>0</v>
      </c>
      <c r="AE176" s="220" t="n">
        <v>0</v>
      </c>
      <c r="AF176" s="220">
        <f>SUM(Y176:AE176)</f>
        <v/>
      </c>
      <c r="AG176" s="205">
        <f>_xlfn.XLOOKUP(G176,[1]Fx!$A$16:$A$24,[1]Fx!$B$16:$B$24)</f>
        <v/>
      </c>
      <c r="AH176" s="220">
        <f>AG176*R176</f>
        <v/>
      </c>
      <c r="AI176" s="220">
        <f>$AI$6*Z176</f>
        <v/>
      </c>
      <c r="AJ176" s="220">
        <f>$AJ$6*AA176</f>
        <v/>
      </c>
      <c r="AK176" s="220">
        <f>$AK$6*AB176</f>
        <v/>
      </c>
      <c r="AL176" s="220">
        <f>$AL$6*AC176</f>
        <v/>
      </c>
      <c r="AM176" s="220">
        <f>SUM(AH176:AL176)</f>
        <v/>
      </c>
      <c r="AN176" s="220" t="n">
        <v>0</v>
      </c>
      <c r="AO176" s="220">
        <f>AN176*AH176</f>
        <v/>
      </c>
      <c r="AP176" s="220">
        <f>AD176</f>
        <v/>
      </c>
      <c r="AQ176" s="220">
        <f>AE176</f>
        <v/>
      </c>
      <c r="AR176" s="220">
        <f>AM176-AO176</f>
        <v/>
      </c>
      <c r="AS176" s="220">
        <f>AR176-AK176</f>
        <v/>
      </c>
      <c r="AT176" s="220">
        <f>AS176*1.075</f>
        <v/>
      </c>
      <c r="AU176" s="220">
        <f>ROUNDUP(AT176+AK176+AP176+AQ176,-4)</f>
        <v/>
      </c>
      <c r="AV176" s="198" t="n">
        <v>3863703</v>
      </c>
      <c r="AW176" s="227" t="n"/>
      <c r="AX176" s="220">
        <f>AV176-AR176</f>
        <v/>
      </c>
      <c r="AY176" s="35">
        <f>AX176/AR176</f>
        <v/>
      </c>
      <c r="AZ176" s="220">
        <f>AV176-AF176</f>
        <v/>
      </c>
      <c r="BA176" s="215">
        <f>AV176-SUM(Z176:AC176)</f>
        <v/>
      </c>
      <c r="BB176" s="215">
        <f>BA176-Y176</f>
        <v/>
      </c>
      <c r="BC176" s="35">
        <f>BB176/BA176</f>
        <v/>
      </c>
      <c r="BD176" s="35">
        <f>IFERROR(AZ176/AV176,)</f>
        <v/>
      </c>
      <c r="BE176" s="255">
        <f>AV176-SUM(Z176:AC176)</f>
        <v/>
      </c>
      <c r="BF176" s="255">
        <f>AV176-BE176-AC176-AB176</f>
        <v/>
      </c>
      <c r="BG176" s="255">
        <f>AV176-BE176-BF176-AB176</f>
        <v/>
      </c>
      <c r="BH176" s="255">
        <f>AB176</f>
        <v/>
      </c>
      <c r="BI176">
        <f>IF(BD176&lt;0%,"Loss",IF(BD176&lt;5%,"On Cost Plus",IF(BD176&lt;10%,"Within","Exceed")))</f>
        <v/>
      </c>
      <c r="BJ176" t="inlineStr">
        <is>
          <t>Exceed</t>
        </is>
      </c>
      <c r="BK176">
        <f>0.51*$BK$6</f>
        <v/>
      </c>
      <c r="BL176" s="190">
        <f>BK176-W176</f>
        <v/>
      </c>
      <c r="BM176" s="189">
        <f>BL176*O176</f>
        <v/>
      </c>
    </row>
    <row r="177">
      <c r="A177">
        <f>CONCATENATE(E177,F177,G177,H177,I177,J177,K177,L177)</f>
        <v/>
      </c>
      <c r="B177">
        <f>CONCATENATE(J177,"-&gt;",K177,"/",E177)</f>
        <v/>
      </c>
      <c r="C177" s="23" t="inlineStr">
        <is>
          <t>AFEEZ AJIBADE/Ebenezer</t>
        </is>
      </c>
      <c r="D177">
        <f>CONCATENATE(G177,"-",H177,"-",F177)</f>
        <v/>
      </c>
      <c r="E177" s="24" t="inlineStr">
        <is>
          <t>Lacasera-45T-NBL-DSL-JUMBO</t>
        </is>
      </c>
      <c r="F177" s="24" t="inlineStr">
        <is>
          <t>JUMBO</t>
        </is>
      </c>
      <c r="G177" s="25" t="inlineStr">
        <is>
          <t>NBL-DSL</t>
        </is>
      </c>
      <c r="H177" s="24" t="inlineStr">
        <is>
          <t>45T</t>
        </is>
      </c>
      <c r="I177" s="251" t="inlineStr">
        <is>
          <t>Lacasera</t>
        </is>
      </c>
      <c r="J177" s="251" t="inlineStr">
        <is>
          <t>Lagos</t>
        </is>
      </c>
      <c r="K177" s="23" t="inlineStr">
        <is>
          <t>Illela</t>
        </is>
      </c>
      <c r="L177" t="inlineStr">
        <is>
          <t>Sokoto</t>
        </is>
      </c>
      <c r="M177" s="1" t="inlineStr">
        <is>
          <t>North</t>
        </is>
      </c>
      <c r="N177" s="261" t="n">
        <v>995</v>
      </c>
      <c r="O177" s="257" t="n">
        <v>1990</v>
      </c>
      <c r="P177" s="227">
        <f>ROUNDUP(O177/300,)</f>
        <v/>
      </c>
      <c r="Q177" s="220" t="n">
        <v>1</v>
      </c>
      <c r="R177" s="220">
        <f>Q177+P177</f>
        <v/>
      </c>
      <c r="S177" s="198">
        <f>ROUNDDOWN(O177*0.7,)</f>
        <v/>
      </c>
      <c r="T177" s="220">
        <f>_xlfn.XLOOKUP(G177,[1]Fx!$A$4:$A$12,[1]Fx!$B$4:$B$12)</f>
        <v/>
      </c>
      <c r="U177" s="220">
        <f>_xlfn.XLOOKUP(G177,[1]Fx!$A$4:$A$12,[1]Fx!$C$4:$C$12)</f>
        <v/>
      </c>
      <c r="V177" s="220">
        <f>_xlfn.XLOOKUP(G177,[1]Fx!$A$4:$A$12,[1]Fx!$D$4:$D$12)</f>
        <v/>
      </c>
      <c r="W177" s="208">
        <f>_xlfn.XLOOKUP(H177&amp;I177,'[1]Mapping DSL'!$H:$H,'[1]Mapping DSL'!$J:$J)</f>
        <v/>
      </c>
      <c r="X177" s="220">
        <f>_xlfn.XLOOKUP(G177,[1]Fx!$A$4:$A$12,[1]Fx!$E$4:$E$12)</f>
        <v/>
      </c>
      <c r="Y177" s="220">
        <f>T177*R177</f>
        <v/>
      </c>
      <c r="Z177" s="220">
        <f>U177*O177</f>
        <v/>
      </c>
      <c r="AA177" s="220">
        <f>V177*O177</f>
        <v/>
      </c>
      <c r="AB177" s="220">
        <f>W177*O177</f>
        <v/>
      </c>
      <c r="AC177" s="198">
        <f>X177*O177</f>
        <v/>
      </c>
      <c r="AD177" s="220" t="n">
        <v>0</v>
      </c>
      <c r="AE177" s="220" t="n">
        <v>0</v>
      </c>
      <c r="AF177" s="220">
        <f>SUM(Y177:AE177)</f>
        <v/>
      </c>
      <c r="AG177" s="205">
        <f>_xlfn.XLOOKUP(G177,[1]Fx!$A$16:$A$24,[1]Fx!$B$16:$B$24)</f>
        <v/>
      </c>
      <c r="AH177" s="220">
        <f>AG177*R177</f>
        <v/>
      </c>
      <c r="AI177" s="220">
        <f>$AI$6*Z177</f>
        <v/>
      </c>
      <c r="AJ177" s="220">
        <f>$AJ$6*AA177</f>
        <v/>
      </c>
      <c r="AK177" s="220">
        <f>$AK$6*AB177</f>
        <v/>
      </c>
      <c r="AL177" s="220">
        <f>$AL$6*AC177</f>
        <v/>
      </c>
      <c r="AM177" s="220">
        <f>SUM(AH177:AL177)</f>
        <v/>
      </c>
      <c r="AN177" s="220" t="n">
        <v>0</v>
      </c>
      <c r="AO177" s="220">
        <f>AN177*AH177</f>
        <v/>
      </c>
      <c r="AP177" s="220">
        <f>AD177</f>
        <v/>
      </c>
      <c r="AQ177" s="220">
        <f>AE177</f>
        <v/>
      </c>
      <c r="AR177" s="220">
        <f>AM177-AO177</f>
        <v/>
      </c>
      <c r="AS177" s="220">
        <f>AR177-AK177</f>
        <v/>
      </c>
      <c r="AT177" s="220">
        <f>AS177*1.075</f>
        <v/>
      </c>
      <c r="AU177" s="220">
        <f>ROUNDUP(AT177+AK177+AP177+AQ177,-4)</f>
        <v/>
      </c>
      <c r="AV177" s="198" t="n">
        <v>4257120</v>
      </c>
      <c r="AW177" s="227" t="n"/>
      <c r="AX177" s="220">
        <f>AV177-AR177</f>
        <v/>
      </c>
      <c r="AY177" s="35">
        <f>AX177/AR177</f>
        <v/>
      </c>
      <c r="AZ177" s="220">
        <f>AV177-AF177</f>
        <v/>
      </c>
      <c r="BA177" s="215">
        <f>AV177-SUM(Z177:AC177)</f>
        <v/>
      </c>
      <c r="BB177" s="215">
        <f>BA177-Y177</f>
        <v/>
      </c>
      <c r="BC177" s="35">
        <f>BB177/BA177</f>
        <v/>
      </c>
      <c r="BD177" s="35">
        <f>IFERROR(AZ177/AV177,)</f>
        <v/>
      </c>
      <c r="BE177" s="255">
        <f>AV177-SUM(Z177:AC177)</f>
        <v/>
      </c>
      <c r="BF177" s="255">
        <f>AV177-BE177-AC177-AB177</f>
        <v/>
      </c>
      <c r="BG177" s="255">
        <f>AV177-BE177-BF177-AB177</f>
        <v/>
      </c>
      <c r="BH177" s="255">
        <f>AB177</f>
        <v/>
      </c>
      <c r="BI177">
        <f>IF(BD177&lt;0%,"Loss",IF(BD177&lt;5%,"On Cost Plus",IF(BD177&lt;10%,"Within","Exceed")))</f>
        <v/>
      </c>
      <c r="BJ177" t="inlineStr">
        <is>
          <t>Exceed</t>
        </is>
      </c>
      <c r="BK177">
        <f>0.51*$BK$6</f>
        <v/>
      </c>
      <c r="BL177" s="190">
        <f>BK177-W177</f>
        <v/>
      </c>
      <c r="BM177" s="189">
        <f>BL177*O177</f>
        <v/>
      </c>
    </row>
    <row r="178">
      <c r="A178">
        <f>CONCATENATE(E178,F178,G178,H178,I178,J178,K178,L178)</f>
        <v/>
      </c>
      <c r="B178">
        <f>CONCATENATE(J178,"-&gt;",K178,"/",E178)</f>
        <v/>
      </c>
      <c r="C178" s="23" t="inlineStr">
        <is>
          <t>AFEEZ AJIBADE/Ebenezer</t>
        </is>
      </c>
      <c r="D178">
        <f>CONCATENATE(G178,"-",H178,"-",F178)</f>
        <v/>
      </c>
      <c r="E178" s="24" t="inlineStr">
        <is>
          <t>Lacasera-45T-NBL-DSL-JUMBO</t>
        </is>
      </c>
      <c r="F178" s="24" t="inlineStr">
        <is>
          <t>JUMBO</t>
        </is>
      </c>
      <c r="G178" s="25" t="inlineStr">
        <is>
          <t>NBL-DSL</t>
        </is>
      </c>
      <c r="H178" s="24" t="inlineStr">
        <is>
          <t>45T</t>
        </is>
      </c>
      <c r="I178" s="251" t="inlineStr">
        <is>
          <t>Lacasera</t>
        </is>
      </c>
      <c r="J178" s="251" t="inlineStr">
        <is>
          <t>Lagos</t>
        </is>
      </c>
      <c r="K178" s="23" t="inlineStr">
        <is>
          <t>Jalingo</t>
        </is>
      </c>
      <c r="L178" t="inlineStr">
        <is>
          <t>Taraba</t>
        </is>
      </c>
      <c r="M178" s="1" t="inlineStr">
        <is>
          <t>North</t>
        </is>
      </c>
      <c r="N178" s="261" t="n">
        <v>1169</v>
      </c>
      <c r="O178" s="257" t="n">
        <v>2338</v>
      </c>
      <c r="P178" s="227">
        <f>ROUNDUP(O178/300,)</f>
        <v/>
      </c>
      <c r="Q178" s="220" t="n">
        <v>1</v>
      </c>
      <c r="R178" s="220">
        <f>Q178+P178</f>
        <v/>
      </c>
      <c r="S178" s="198">
        <f>ROUNDDOWN(O178*0.7,)</f>
        <v/>
      </c>
      <c r="T178" s="220">
        <f>_xlfn.XLOOKUP(G178,[1]Fx!$A$4:$A$12,[1]Fx!$B$4:$B$12)</f>
        <v/>
      </c>
      <c r="U178" s="220">
        <f>_xlfn.XLOOKUP(G178,[1]Fx!$A$4:$A$12,[1]Fx!$C$4:$C$12)</f>
        <v/>
      </c>
      <c r="V178" s="220">
        <f>_xlfn.XLOOKUP(G178,[1]Fx!$A$4:$A$12,[1]Fx!$D$4:$D$12)</f>
        <v/>
      </c>
      <c r="W178" s="208">
        <f>_xlfn.XLOOKUP(H178&amp;I178,'[1]Mapping DSL'!$H:$H,'[1]Mapping DSL'!$J:$J)</f>
        <v/>
      </c>
      <c r="X178" s="220">
        <f>_xlfn.XLOOKUP(G178,[1]Fx!$A$4:$A$12,[1]Fx!$E$4:$E$12)</f>
        <v/>
      </c>
      <c r="Y178" s="220">
        <f>T178*R178</f>
        <v/>
      </c>
      <c r="Z178" s="220">
        <f>U178*O178</f>
        <v/>
      </c>
      <c r="AA178" s="220">
        <f>V178*O178</f>
        <v/>
      </c>
      <c r="AB178" s="220">
        <f>W178*O178</f>
        <v/>
      </c>
      <c r="AC178" s="198">
        <f>X178*O178</f>
        <v/>
      </c>
      <c r="AD178" s="220" t="n">
        <v>0</v>
      </c>
      <c r="AE178" s="220" t="n">
        <v>0</v>
      </c>
      <c r="AF178" s="220">
        <f>SUM(Y178:AE178)</f>
        <v/>
      </c>
      <c r="AG178" s="205">
        <f>_xlfn.XLOOKUP(G178,[1]Fx!$A$16:$A$24,[1]Fx!$B$16:$B$24)</f>
        <v/>
      </c>
      <c r="AH178" s="220">
        <f>AG178*R178</f>
        <v/>
      </c>
      <c r="AI178" s="220">
        <f>$AI$6*Z178</f>
        <v/>
      </c>
      <c r="AJ178" s="220">
        <f>$AJ$6*AA178</f>
        <v/>
      </c>
      <c r="AK178" s="220">
        <f>$AK$6*AB178</f>
        <v/>
      </c>
      <c r="AL178" s="220">
        <f>$AL$6*AC178</f>
        <v/>
      </c>
      <c r="AM178" s="220">
        <f>SUM(AH178:AL178)</f>
        <v/>
      </c>
      <c r="AN178" s="220" t="n">
        <v>0</v>
      </c>
      <c r="AO178" s="220">
        <f>AN178*AH178</f>
        <v/>
      </c>
      <c r="AP178" s="220">
        <f>AD178</f>
        <v/>
      </c>
      <c r="AQ178" s="220">
        <f>AE178</f>
        <v/>
      </c>
      <c r="AR178" s="220">
        <f>AM178-AO178</f>
        <v/>
      </c>
      <c r="AS178" s="220">
        <f>AR178-AK178</f>
        <v/>
      </c>
      <c r="AT178" s="220">
        <f>AS178*1.075</f>
        <v/>
      </c>
      <c r="AU178" s="220">
        <f>ROUNDUP(AT178+AK178+AP178+AQ178,-4)</f>
        <v/>
      </c>
      <c r="AV178" s="198" t="n">
        <v>4691569</v>
      </c>
      <c r="AW178" s="227" t="n"/>
      <c r="AX178" s="220">
        <f>AV178-AR178</f>
        <v/>
      </c>
      <c r="AY178" s="35">
        <f>AX178/AR178</f>
        <v/>
      </c>
      <c r="AZ178" s="220">
        <f>AV178-AF178</f>
        <v/>
      </c>
      <c r="BA178" s="215">
        <f>AV178-SUM(Z178:AC178)</f>
        <v/>
      </c>
      <c r="BB178" s="215">
        <f>BA178-Y178</f>
        <v/>
      </c>
      <c r="BC178" s="35">
        <f>BB178/BA178</f>
        <v/>
      </c>
      <c r="BD178" s="35">
        <f>IFERROR(AZ178/AV178,)</f>
        <v/>
      </c>
      <c r="BE178" s="255">
        <f>AV178-SUM(Z178:AC178)</f>
        <v/>
      </c>
      <c r="BF178" s="255">
        <f>AV178-BE178-AC178-AB178</f>
        <v/>
      </c>
      <c r="BG178" s="255">
        <f>AV178-BE178-BF178-AB178</f>
        <v/>
      </c>
      <c r="BH178" s="255">
        <f>AB178</f>
        <v/>
      </c>
      <c r="BI178">
        <f>IF(BD178&lt;0%,"Loss",IF(BD178&lt;5%,"On Cost Plus",IF(BD178&lt;10%,"Within","Exceed")))</f>
        <v/>
      </c>
      <c r="BJ178" t="inlineStr">
        <is>
          <t>Exceed</t>
        </is>
      </c>
      <c r="BK178">
        <f>0.51*$BK$6</f>
        <v/>
      </c>
      <c r="BL178" s="190">
        <f>BK178-W178</f>
        <v/>
      </c>
      <c r="BM178" s="189">
        <f>BL178*O178</f>
        <v/>
      </c>
    </row>
    <row r="179">
      <c r="A179">
        <f>CONCATENATE(E179,F179,G179,H179,I179,J179,K179,L179)</f>
        <v/>
      </c>
      <c r="B179">
        <f>CONCATENATE(J179,"-&gt;",K179,"/",E179)</f>
        <v/>
      </c>
      <c r="C179" s="23" t="inlineStr">
        <is>
          <t>AFEEZ AJIBADE/Ebenezer</t>
        </is>
      </c>
      <c r="D179">
        <f>CONCATENATE(G179,"-",H179,"-",F179)</f>
        <v/>
      </c>
      <c r="E179" s="24" t="inlineStr">
        <is>
          <t>Lacasera-45T-NBL-DSL-JUMBO</t>
        </is>
      </c>
      <c r="F179" s="24" t="inlineStr">
        <is>
          <t>JUMBO</t>
        </is>
      </c>
      <c r="G179" s="25" t="inlineStr">
        <is>
          <t>NBL-DSL</t>
        </is>
      </c>
      <c r="H179" s="24" t="inlineStr">
        <is>
          <t>45T</t>
        </is>
      </c>
      <c r="I179" s="251" t="inlineStr">
        <is>
          <t>Lacasera</t>
        </is>
      </c>
      <c r="J179" s="251" t="inlineStr">
        <is>
          <t>Lagos</t>
        </is>
      </c>
      <c r="K179" s="23" t="inlineStr">
        <is>
          <t>Wukari</t>
        </is>
      </c>
      <c r="L179" t="inlineStr">
        <is>
          <t>Taraba</t>
        </is>
      </c>
      <c r="M179" s="1" t="inlineStr">
        <is>
          <t>North</t>
        </is>
      </c>
      <c r="N179" s="261" t="n">
        <v>948.5</v>
      </c>
      <c r="O179" s="257" t="n">
        <v>1897</v>
      </c>
      <c r="P179" s="227">
        <f>ROUNDUP(O179/300,)</f>
        <v/>
      </c>
      <c r="Q179" s="220" t="n">
        <v>1</v>
      </c>
      <c r="R179" s="220">
        <f>Q179+P179</f>
        <v/>
      </c>
      <c r="S179" s="198">
        <f>ROUNDDOWN(O179*0.7,)</f>
        <v/>
      </c>
      <c r="T179" s="220">
        <f>_xlfn.XLOOKUP(G179,[1]Fx!$A$4:$A$12,[1]Fx!$B$4:$B$12)</f>
        <v/>
      </c>
      <c r="U179" s="220">
        <f>_xlfn.XLOOKUP(G179,[1]Fx!$A$4:$A$12,[1]Fx!$C$4:$C$12)</f>
        <v/>
      </c>
      <c r="V179" s="220">
        <f>_xlfn.XLOOKUP(G179,[1]Fx!$A$4:$A$12,[1]Fx!$D$4:$D$12)</f>
        <v/>
      </c>
      <c r="W179" s="208">
        <f>_xlfn.XLOOKUP(H179&amp;I179,'[1]Mapping DSL'!$H:$H,'[1]Mapping DSL'!$J:$J)</f>
        <v/>
      </c>
      <c r="X179" s="220">
        <f>_xlfn.XLOOKUP(G179,[1]Fx!$A$4:$A$12,[1]Fx!$E$4:$E$12)</f>
        <v/>
      </c>
      <c r="Y179" s="220">
        <f>T179*R179</f>
        <v/>
      </c>
      <c r="Z179" s="220">
        <f>U179*O179</f>
        <v/>
      </c>
      <c r="AA179" s="220">
        <f>V179*O179</f>
        <v/>
      </c>
      <c r="AB179" s="220">
        <f>W179*O179</f>
        <v/>
      </c>
      <c r="AC179" s="198">
        <f>X179*O179</f>
        <v/>
      </c>
      <c r="AD179" s="220" t="n">
        <v>0</v>
      </c>
      <c r="AE179" s="220" t="n">
        <v>0</v>
      </c>
      <c r="AF179" s="220">
        <f>SUM(Y179:AE179)</f>
        <v/>
      </c>
      <c r="AG179" s="205">
        <f>_xlfn.XLOOKUP(G179,[1]Fx!$A$16:$A$24,[1]Fx!$B$16:$B$24)</f>
        <v/>
      </c>
      <c r="AH179" s="220">
        <f>AG179*R179</f>
        <v/>
      </c>
      <c r="AI179" s="220">
        <f>$AI$6*Z179</f>
        <v/>
      </c>
      <c r="AJ179" s="220">
        <f>$AJ$6*AA179</f>
        <v/>
      </c>
      <c r="AK179" s="220">
        <f>$AK$6*AB179</f>
        <v/>
      </c>
      <c r="AL179" s="220">
        <f>$AL$6*AC179</f>
        <v/>
      </c>
      <c r="AM179" s="220">
        <f>SUM(AH179:AL179)</f>
        <v/>
      </c>
      <c r="AN179" s="220" t="n">
        <v>0</v>
      </c>
      <c r="AO179" s="220">
        <f>AN179*AH179</f>
        <v/>
      </c>
      <c r="AP179" s="220">
        <f>AD179</f>
        <v/>
      </c>
      <c r="AQ179" s="220">
        <f>AE179</f>
        <v/>
      </c>
      <c r="AR179" s="220">
        <f>AM179-AO179</f>
        <v/>
      </c>
      <c r="AS179" s="220">
        <f>AR179-AK179</f>
        <v/>
      </c>
      <c r="AT179" s="220">
        <f>AS179*1.075</f>
        <v/>
      </c>
      <c r="AU179" s="220">
        <f>ROUNDUP(AT179+AK179+AP179+AQ179,-4)</f>
        <v/>
      </c>
      <c r="AV179" s="198" t="n">
        <v>4132533</v>
      </c>
      <c r="AW179" s="227" t="n"/>
      <c r="AX179" s="220">
        <f>AV179-AR179</f>
        <v/>
      </c>
      <c r="AY179" s="35">
        <f>AX179/AR179</f>
        <v/>
      </c>
      <c r="AZ179" s="220">
        <f>AV179-AF179</f>
        <v/>
      </c>
      <c r="BA179" s="215">
        <f>AV179-SUM(Z179:AC179)</f>
        <v/>
      </c>
      <c r="BB179" s="215">
        <f>BA179-Y179</f>
        <v/>
      </c>
      <c r="BC179" s="35">
        <f>BB179/BA179</f>
        <v/>
      </c>
      <c r="BD179" s="35">
        <f>IFERROR(AZ179/AV179,)</f>
        <v/>
      </c>
      <c r="BE179" s="255">
        <f>AV179-SUM(Z179:AC179)</f>
        <v/>
      </c>
      <c r="BF179" s="255">
        <f>AV179-BE179-AC179-AB179</f>
        <v/>
      </c>
      <c r="BG179" s="255">
        <f>AV179-BE179-BF179-AB179</f>
        <v/>
      </c>
      <c r="BH179" s="255">
        <f>AB179</f>
        <v/>
      </c>
      <c r="BI179">
        <f>IF(BD179&lt;0%,"Loss",IF(BD179&lt;5%,"On Cost Plus",IF(BD179&lt;10%,"Within","Exceed")))</f>
        <v/>
      </c>
      <c r="BJ179" t="inlineStr">
        <is>
          <t>Exceed</t>
        </is>
      </c>
      <c r="BK179">
        <f>0.51*$BK$6</f>
        <v/>
      </c>
      <c r="BL179" s="190">
        <f>BK179-W179</f>
        <v/>
      </c>
      <c r="BM179" s="189">
        <f>BL179*O179</f>
        <v/>
      </c>
    </row>
    <row r="180">
      <c r="A180">
        <f>CONCATENATE(E180,F180,G180,H180,I180,J180,K180,L180)</f>
        <v/>
      </c>
      <c r="B180">
        <f>CONCATENATE(J180,"-&gt;",K180,"/",E180)</f>
        <v/>
      </c>
      <c r="C180" s="23" t="inlineStr">
        <is>
          <t>AFEEZ AJIBADE/Ebenezer</t>
        </is>
      </c>
      <c r="D180">
        <f>CONCATENATE(G180,"-",H180,"-",F180)</f>
        <v/>
      </c>
      <c r="E180" s="24" t="inlineStr">
        <is>
          <t>Lacasera-45T-NBL-DSL-JUMBO</t>
        </is>
      </c>
      <c r="F180" s="24" t="inlineStr">
        <is>
          <t>JUMBO</t>
        </is>
      </c>
      <c r="G180" s="25" t="inlineStr">
        <is>
          <t>NBL-DSL</t>
        </is>
      </c>
      <c r="H180" s="24" t="inlineStr">
        <is>
          <t>45T</t>
        </is>
      </c>
      <c r="I180" s="251" t="inlineStr">
        <is>
          <t>Lacasera</t>
        </is>
      </c>
      <c r="J180" s="251" t="inlineStr">
        <is>
          <t>Lagos</t>
        </is>
      </c>
      <c r="K180" s="23" t="inlineStr">
        <is>
          <t>Gusau</t>
        </is>
      </c>
      <c r="L180" t="inlineStr">
        <is>
          <t>Zamfara</t>
        </is>
      </c>
      <c r="M180" s="1" t="inlineStr">
        <is>
          <t>North</t>
        </is>
      </c>
      <c r="N180" s="261" t="n">
        <v>880.5</v>
      </c>
      <c r="O180" s="257" t="n">
        <v>1761</v>
      </c>
      <c r="P180" s="227">
        <f>ROUNDUP(O180/300,)</f>
        <v/>
      </c>
      <c r="Q180" s="220" t="n">
        <v>1</v>
      </c>
      <c r="R180" s="220">
        <f>Q180+P180</f>
        <v/>
      </c>
      <c r="S180" s="198">
        <f>ROUNDDOWN(O180*0.7,)</f>
        <v/>
      </c>
      <c r="T180" s="220">
        <f>_xlfn.XLOOKUP(G180,[1]Fx!$A$4:$A$12,[1]Fx!$B$4:$B$12)</f>
        <v/>
      </c>
      <c r="U180" s="220">
        <f>_xlfn.XLOOKUP(G180,[1]Fx!$A$4:$A$12,[1]Fx!$C$4:$C$12)</f>
        <v/>
      </c>
      <c r="V180" s="220">
        <f>_xlfn.XLOOKUP(G180,[1]Fx!$A$4:$A$12,[1]Fx!$D$4:$D$12)</f>
        <v/>
      </c>
      <c r="W180" s="208">
        <f>_xlfn.XLOOKUP(H180&amp;I180,'[1]Mapping DSL'!$H:$H,'[1]Mapping DSL'!$J:$J)</f>
        <v/>
      </c>
      <c r="X180" s="220">
        <f>_xlfn.XLOOKUP(G180,[1]Fx!$A$4:$A$12,[1]Fx!$E$4:$E$12)</f>
        <v/>
      </c>
      <c r="Y180" s="220">
        <f>T180*R180</f>
        <v/>
      </c>
      <c r="Z180" s="220">
        <f>U180*O180</f>
        <v/>
      </c>
      <c r="AA180" s="220">
        <f>V180*O180</f>
        <v/>
      </c>
      <c r="AB180" s="220">
        <f>W180*O180</f>
        <v/>
      </c>
      <c r="AC180" s="198">
        <f>X180*O180</f>
        <v/>
      </c>
      <c r="AD180" s="220" t="n">
        <v>0</v>
      </c>
      <c r="AE180" s="220" t="n">
        <v>0</v>
      </c>
      <c r="AF180" s="220">
        <f>SUM(Y180:AE180)</f>
        <v/>
      </c>
      <c r="AG180" s="205">
        <f>_xlfn.XLOOKUP(G180,[1]Fx!$A$16:$A$24,[1]Fx!$B$16:$B$24)</f>
        <v/>
      </c>
      <c r="AH180" s="220">
        <f>AG180*R180</f>
        <v/>
      </c>
      <c r="AI180" s="220">
        <f>$AI$6*Z180</f>
        <v/>
      </c>
      <c r="AJ180" s="220">
        <f>$AJ$6*AA180</f>
        <v/>
      </c>
      <c r="AK180" s="220">
        <f>$AK$6*AB180</f>
        <v/>
      </c>
      <c r="AL180" s="220">
        <f>$AL$6*AC180</f>
        <v/>
      </c>
      <c r="AM180" s="220">
        <f>SUM(AH180:AL180)</f>
        <v/>
      </c>
      <c r="AN180" s="220" t="n">
        <v>0</v>
      </c>
      <c r="AO180" s="220">
        <f>AN180*AH180</f>
        <v/>
      </c>
      <c r="AP180" s="220">
        <f>AD180</f>
        <v/>
      </c>
      <c r="AQ180" s="220">
        <f>AE180</f>
        <v/>
      </c>
      <c r="AR180" s="220">
        <f>AM180-AO180</f>
        <v/>
      </c>
      <c r="AS180" s="220">
        <f>AR180-AK180</f>
        <v/>
      </c>
      <c r="AT180" s="220">
        <f>AS180*1.075</f>
        <v/>
      </c>
      <c r="AU180" s="220">
        <f>ROUNDUP(AT180+AK180+AP180+AQ180,-4)</f>
        <v/>
      </c>
      <c r="AV180" s="198" t="n">
        <v>4109146</v>
      </c>
      <c r="AW180" s="227" t="n"/>
      <c r="AX180" s="220">
        <f>AV180-AR180</f>
        <v/>
      </c>
      <c r="AY180" s="35">
        <f>AX180/AR180</f>
        <v/>
      </c>
      <c r="AZ180" s="220">
        <f>AV180-AF180</f>
        <v/>
      </c>
      <c r="BA180" s="215">
        <f>AV180-SUM(Z180:AC180)</f>
        <v/>
      </c>
      <c r="BB180" s="215">
        <f>BA180-Y180</f>
        <v/>
      </c>
      <c r="BC180" s="35">
        <f>BB180/BA180</f>
        <v/>
      </c>
      <c r="BD180" s="35">
        <f>IFERROR(AZ180/AV180,)</f>
        <v/>
      </c>
      <c r="BE180" s="255">
        <f>AV180-SUM(Z180:AC180)</f>
        <v/>
      </c>
      <c r="BF180" s="255">
        <f>AV180-BE180-AC180-AB180</f>
        <v/>
      </c>
      <c r="BG180" s="255">
        <f>AV180-BE180-BF180-AB180</f>
        <v/>
      </c>
      <c r="BH180" s="255">
        <f>AB180</f>
        <v/>
      </c>
      <c r="BI180">
        <f>IF(BD180&lt;0%,"Loss",IF(BD180&lt;5%,"On Cost Plus",IF(BD180&lt;10%,"Within","Exceed")))</f>
        <v/>
      </c>
      <c r="BJ180" t="inlineStr">
        <is>
          <t>Exceed</t>
        </is>
      </c>
      <c r="BK180">
        <f>0.51*$BK$6</f>
        <v/>
      </c>
      <c r="BL180" s="190">
        <f>BK180-W180</f>
        <v/>
      </c>
      <c r="BM180" s="189">
        <f>BL180*O180</f>
        <v/>
      </c>
    </row>
    <row r="181">
      <c r="A181">
        <f>CONCATENATE(E181,F181,G181,H181,I181,J181,K181,L181)</f>
        <v/>
      </c>
      <c r="B181">
        <f>CONCATENATE(J181,"-&gt;",K181,"/",E181)</f>
        <v/>
      </c>
      <c r="C181" s="23" t="inlineStr">
        <is>
          <t>AFEEZ AJIBADE/Ebenezer</t>
        </is>
      </c>
      <c r="D181">
        <f>CONCATENATE(G181,"-",H181,"-",F181)</f>
        <v/>
      </c>
      <c r="E181" s="24" t="inlineStr">
        <is>
          <t>Lacasera-45T-NBL-DSL-JUMBO</t>
        </is>
      </c>
      <c r="F181" s="24" t="inlineStr">
        <is>
          <t>JUMBO</t>
        </is>
      </c>
      <c r="G181" s="25" t="inlineStr">
        <is>
          <t>NBL-DSL</t>
        </is>
      </c>
      <c r="H181" s="24" t="inlineStr">
        <is>
          <t>45T</t>
        </is>
      </c>
      <c r="I181" s="251" t="inlineStr">
        <is>
          <t>Lacasera</t>
        </is>
      </c>
      <c r="J181" s="251" t="inlineStr">
        <is>
          <t>Lagos</t>
        </is>
      </c>
      <c r="K181" s="23" t="inlineStr">
        <is>
          <t>Yola</t>
        </is>
      </c>
      <c r="L181" t="inlineStr">
        <is>
          <t>Adamawa</t>
        </is>
      </c>
      <c r="M181" s="1" t="inlineStr">
        <is>
          <t>North</t>
        </is>
      </c>
      <c r="N181" s="261" t="n">
        <v>1332.5</v>
      </c>
      <c r="O181" s="257" t="n">
        <v>2665</v>
      </c>
      <c r="P181" s="227">
        <f>ROUNDUP(O181/300,)</f>
        <v/>
      </c>
      <c r="Q181" s="220" t="n">
        <v>1</v>
      </c>
      <c r="R181" s="220">
        <f>Q181+P181</f>
        <v/>
      </c>
      <c r="S181" s="198">
        <f>ROUNDDOWN(O181*0.7,)</f>
        <v/>
      </c>
      <c r="T181" s="220">
        <f>_xlfn.XLOOKUP(G181,[1]Fx!$A$4:$A$12,[1]Fx!$B$4:$B$12)</f>
        <v/>
      </c>
      <c r="U181" s="220">
        <f>_xlfn.XLOOKUP(G181,[1]Fx!$A$4:$A$12,[1]Fx!$C$4:$C$12)</f>
        <v/>
      </c>
      <c r="V181" s="220">
        <f>_xlfn.XLOOKUP(G181,[1]Fx!$A$4:$A$12,[1]Fx!$D$4:$D$12)</f>
        <v/>
      </c>
      <c r="W181" s="208">
        <f>_xlfn.XLOOKUP(H181&amp;I181,'[1]Mapping DSL'!$H:$H,'[1]Mapping DSL'!$J:$J)</f>
        <v/>
      </c>
      <c r="X181" s="220">
        <f>_xlfn.XLOOKUP(G181,[1]Fx!$A$4:$A$12,[1]Fx!$E$4:$E$12)</f>
        <v/>
      </c>
      <c r="Y181" s="220">
        <f>T181*R181</f>
        <v/>
      </c>
      <c r="Z181" s="220">
        <f>U181*O181</f>
        <v/>
      </c>
      <c r="AA181" s="220">
        <f>V181*O181</f>
        <v/>
      </c>
      <c r="AB181" s="220">
        <f>W181*O181</f>
        <v/>
      </c>
      <c r="AC181" s="198">
        <f>X181*O181</f>
        <v/>
      </c>
      <c r="AD181" s="220" t="n">
        <v>0</v>
      </c>
      <c r="AE181" s="220" t="n">
        <v>0</v>
      </c>
      <c r="AF181" s="220">
        <f>SUM(Y181:AE181)</f>
        <v/>
      </c>
      <c r="AG181" s="205">
        <f>_xlfn.XLOOKUP(G181,[1]Fx!$A$16:$A$24,[1]Fx!$B$16:$B$24)</f>
        <v/>
      </c>
      <c r="AH181" s="220">
        <f>AG181*R181</f>
        <v/>
      </c>
      <c r="AI181" s="220">
        <f>$AI$6*Z181</f>
        <v/>
      </c>
      <c r="AJ181" s="220">
        <f>$AJ$6*AA181</f>
        <v/>
      </c>
      <c r="AK181" s="220">
        <f>$AK$6*AB181</f>
        <v/>
      </c>
      <c r="AL181" s="220">
        <f>$AL$6*AC181</f>
        <v/>
      </c>
      <c r="AM181" s="220">
        <f>SUM(AH181:AL181)</f>
        <v/>
      </c>
      <c r="AN181" s="220" t="n">
        <v>0</v>
      </c>
      <c r="AO181" s="220">
        <f>AN181*AH181</f>
        <v/>
      </c>
      <c r="AP181" s="220">
        <f>AD181</f>
        <v/>
      </c>
      <c r="AQ181" s="220">
        <f>AE181</f>
        <v/>
      </c>
      <c r="AR181" s="220">
        <f>AM181-AO181</f>
        <v/>
      </c>
      <c r="AS181" s="220">
        <f>AR181-AK181</f>
        <v/>
      </c>
      <c r="AT181" s="220">
        <f>AS181*1.075</f>
        <v/>
      </c>
      <c r="AU181" s="220">
        <f>ROUNDUP(AT181+AK181+AP181+AQ181,-4)</f>
        <v/>
      </c>
      <c r="AV181" s="198" t="n">
        <v>4860188</v>
      </c>
      <c r="AW181" s="227" t="n"/>
      <c r="AX181" s="220">
        <f>AV181-AR181</f>
        <v/>
      </c>
      <c r="AY181" s="35">
        <f>AX181/AR181</f>
        <v/>
      </c>
      <c r="AZ181" s="220">
        <f>AV181-AF181</f>
        <v/>
      </c>
      <c r="BA181" s="215">
        <f>AV181-SUM(Z181:AC181)</f>
        <v/>
      </c>
      <c r="BB181" s="215">
        <f>BA181-Y181</f>
        <v/>
      </c>
      <c r="BC181" s="35">
        <f>BB181/BA181</f>
        <v/>
      </c>
      <c r="BD181" s="35">
        <f>IFERROR(AZ181/AV181,)</f>
        <v/>
      </c>
      <c r="BE181" s="255">
        <f>AV181-SUM(Z181:AC181)</f>
        <v/>
      </c>
      <c r="BF181" s="255">
        <f>AV181-BE181-AC181-AB181</f>
        <v/>
      </c>
      <c r="BG181" s="255">
        <f>AV181-BE181-BF181-AB181</f>
        <v/>
      </c>
      <c r="BH181" s="255">
        <f>AB181</f>
        <v/>
      </c>
      <c r="BI181">
        <f>IF(BD181&lt;0%,"Loss",IF(BD181&lt;5%,"On Cost Plus",IF(BD181&lt;10%,"Within","Exceed")))</f>
        <v/>
      </c>
      <c r="BJ181" t="inlineStr">
        <is>
          <t>Exceed</t>
        </is>
      </c>
      <c r="BK181">
        <f>0.51*$BK$6</f>
        <v/>
      </c>
      <c r="BL181" s="190">
        <f>BK181-W181</f>
        <v/>
      </c>
      <c r="BM181" s="189">
        <f>BL181*O181</f>
        <v/>
      </c>
    </row>
    <row r="182">
      <c r="A182">
        <f>CONCATENATE(E182,F182,G182,H182,I182,J182,K182,L182)</f>
        <v/>
      </c>
      <c r="B182">
        <f>CONCATENATE(J182,"-&gt;",K182,"/",E182)</f>
        <v/>
      </c>
      <c r="C182" s="23" t="inlineStr">
        <is>
          <t>AFEEZ AJIBADE/Ebenezer</t>
        </is>
      </c>
      <c r="D182">
        <f>CONCATENATE(G182,"-",H182,"-",F182)</f>
        <v/>
      </c>
      <c r="E182" s="24" t="inlineStr">
        <is>
          <t>Lacasera-45T-NBL-DSL-JUMBO</t>
        </is>
      </c>
      <c r="F182" s="24" t="inlineStr">
        <is>
          <t>JUMBO</t>
        </is>
      </c>
      <c r="G182" s="25" t="inlineStr">
        <is>
          <t>NBL-DSL</t>
        </is>
      </c>
      <c r="H182" s="24" t="inlineStr">
        <is>
          <t>45T</t>
        </is>
      </c>
      <c r="I182" s="251" t="inlineStr">
        <is>
          <t>Lacasera</t>
        </is>
      </c>
      <c r="J182" s="251" t="inlineStr">
        <is>
          <t>Lagos</t>
        </is>
      </c>
      <c r="K182" s="23" t="inlineStr">
        <is>
          <t>Mubi</t>
        </is>
      </c>
      <c r="L182" t="inlineStr">
        <is>
          <t>Adamawa</t>
        </is>
      </c>
      <c r="M182" s="1" t="inlineStr">
        <is>
          <t>North</t>
        </is>
      </c>
      <c r="N182" s="261" t="n">
        <v>1508</v>
      </c>
      <c r="O182" s="257" t="n">
        <v>3016</v>
      </c>
      <c r="P182" s="227">
        <f>ROUNDUP(O182/300,)</f>
        <v/>
      </c>
      <c r="Q182" s="220" t="n">
        <v>1</v>
      </c>
      <c r="R182" s="220">
        <f>Q182+P182</f>
        <v/>
      </c>
      <c r="S182" s="198">
        <f>ROUNDDOWN(O182*0.7,)</f>
        <v/>
      </c>
      <c r="T182" s="220">
        <f>_xlfn.XLOOKUP(G182,[1]Fx!$A$4:$A$12,[1]Fx!$B$4:$B$12)</f>
        <v/>
      </c>
      <c r="U182" s="220">
        <f>_xlfn.XLOOKUP(G182,[1]Fx!$A$4:$A$12,[1]Fx!$C$4:$C$12)</f>
        <v/>
      </c>
      <c r="V182" s="220">
        <f>_xlfn.XLOOKUP(G182,[1]Fx!$A$4:$A$12,[1]Fx!$D$4:$D$12)</f>
        <v/>
      </c>
      <c r="W182" s="208">
        <f>_xlfn.XLOOKUP(H182&amp;I182,'[1]Mapping DSL'!$H:$H,'[1]Mapping DSL'!$J:$J)</f>
        <v/>
      </c>
      <c r="X182" s="220">
        <f>_xlfn.XLOOKUP(G182,[1]Fx!$A$4:$A$12,[1]Fx!$E$4:$E$12)</f>
        <v/>
      </c>
      <c r="Y182" s="220">
        <f>T182*R182</f>
        <v/>
      </c>
      <c r="Z182" s="220">
        <f>U182*O182</f>
        <v/>
      </c>
      <c r="AA182" s="220">
        <f>V182*O182</f>
        <v/>
      </c>
      <c r="AB182" s="220">
        <f>W182*O182</f>
        <v/>
      </c>
      <c r="AC182" s="198">
        <f>X182*O182</f>
        <v/>
      </c>
      <c r="AD182" s="220" t="n">
        <v>0</v>
      </c>
      <c r="AE182" s="220" t="n">
        <v>0</v>
      </c>
      <c r="AF182" s="220">
        <f>SUM(Y182:AE182)</f>
        <v/>
      </c>
      <c r="AG182" s="205">
        <f>_xlfn.XLOOKUP(G182,[1]Fx!$A$16:$A$24,[1]Fx!$B$16:$B$24)</f>
        <v/>
      </c>
      <c r="AH182" s="220">
        <f>AG182*R182</f>
        <v/>
      </c>
      <c r="AI182" s="220">
        <f>$AI$6*Z182</f>
        <v/>
      </c>
      <c r="AJ182" s="220">
        <f>$AJ$6*AA182</f>
        <v/>
      </c>
      <c r="AK182" s="220">
        <f>$AK$6*AB182</f>
        <v/>
      </c>
      <c r="AL182" s="220">
        <f>$AL$6*AC182</f>
        <v/>
      </c>
      <c r="AM182" s="220">
        <f>SUM(AH182:AL182)</f>
        <v/>
      </c>
      <c r="AN182" s="220" t="n">
        <v>0</v>
      </c>
      <c r="AO182" s="220">
        <f>AN182*AH182</f>
        <v/>
      </c>
      <c r="AP182" s="220">
        <f>AD182</f>
        <v/>
      </c>
      <c r="AQ182" s="220">
        <f>AE182</f>
        <v/>
      </c>
      <c r="AR182" s="220">
        <f>AM182-AO182</f>
        <v/>
      </c>
      <c r="AS182" s="220">
        <f>AR182-AK182</f>
        <v/>
      </c>
      <c r="AT182" s="220">
        <f>AS182*1.075</f>
        <v/>
      </c>
      <c r="AU182" s="220">
        <f>ROUNDUP(AT182+AK182+AP182+AQ182,-4)</f>
        <v/>
      </c>
      <c r="AV182" s="198" t="n">
        <v>4959375</v>
      </c>
      <c r="AW182" s="227" t="n"/>
      <c r="AX182" s="220">
        <f>AV182-AR182</f>
        <v/>
      </c>
      <c r="AY182" s="35">
        <f>AX182/AR182</f>
        <v/>
      </c>
      <c r="AZ182" s="220">
        <f>AV182-AF182</f>
        <v/>
      </c>
      <c r="BA182" s="215">
        <f>AV182-SUM(Z182:AC182)</f>
        <v/>
      </c>
      <c r="BB182" s="215">
        <f>BA182-Y182</f>
        <v/>
      </c>
      <c r="BC182" s="35">
        <f>BB182/BA182</f>
        <v/>
      </c>
      <c r="BD182" s="35">
        <f>IFERROR(AZ182/AV182,)</f>
        <v/>
      </c>
      <c r="BE182" s="255">
        <f>AV182-SUM(Z182:AC182)</f>
        <v/>
      </c>
      <c r="BF182" s="255">
        <f>AV182-BE182-AC182-AB182</f>
        <v/>
      </c>
      <c r="BG182" s="255">
        <f>AV182-BE182-BF182-AB182</f>
        <v/>
      </c>
      <c r="BH182" s="255">
        <f>AB182</f>
        <v/>
      </c>
      <c r="BI182">
        <f>IF(BD182&lt;0%,"Loss",IF(BD182&lt;5%,"On Cost Plus",IF(BD182&lt;10%,"Within","Exceed")))</f>
        <v/>
      </c>
      <c r="BJ182" t="inlineStr">
        <is>
          <t>Exceed</t>
        </is>
      </c>
      <c r="BK182">
        <f>0.51*$BK$6</f>
        <v/>
      </c>
      <c r="BL182" s="190">
        <f>BK182-W182</f>
        <v/>
      </c>
      <c r="BM182" s="189">
        <f>BL182*O182</f>
        <v/>
      </c>
    </row>
    <row r="183">
      <c r="A183">
        <f>CONCATENATE(E183,F183,G183,H183,I183,J183,K183,L183)</f>
        <v/>
      </c>
      <c r="B183">
        <f>CONCATENATE(J183,"-&gt;",K183,"/",E183)</f>
        <v/>
      </c>
      <c r="C183" s="23" t="inlineStr">
        <is>
          <t>AFEEZ AJIBADE/Ebenezer</t>
        </is>
      </c>
      <c r="D183">
        <f>CONCATENATE(G183,"-",H183,"-",F183)</f>
        <v/>
      </c>
      <c r="E183" s="24" t="inlineStr">
        <is>
          <t>Lacasera-45T-NBL-DSL-JUMBO</t>
        </is>
      </c>
      <c r="F183" s="24" t="inlineStr">
        <is>
          <t>JUMBO</t>
        </is>
      </c>
      <c r="G183" s="25" t="inlineStr">
        <is>
          <t>NBL-DSL</t>
        </is>
      </c>
      <c r="H183" s="24" t="inlineStr">
        <is>
          <t>45T</t>
        </is>
      </c>
      <c r="I183" s="251" t="inlineStr">
        <is>
          <t>Lacasera</t>
        </is>
      </c>
      <c r="J183" s="251" t="inlineStr">
        <is>
          <t>Lagos</t>
        </is>
      </c>
      <c r="K183" s="23" t="inlineStr">
        <is>
          <t>Madagali</t>
        </is>
      </c>
      <c r="L183" t="inlineStr">
        <is>
          <t>Adamawa</t>
        </is>
      </c>
      <c r="M183" s="1" t="inlineStr">
        <is>
          <t>North</t>
        </is>
      </c>
      <c r="N183" s="261" t="n">
        <v>1711.5</v>
      </c>
      <c r="O183" s="257" t="n">
        <v>3423</v>
      </c>
      <c r="P183" s="227">
        <f>ROUNDUP(O183/300,)</f>
        <v/>
      </c>
      <c r="Q183" s="220" t="n">
        <v>1</v>
      </c>
      <c r="R183" s="220">
        <f>Q183+P183</f>
        <v/>
      </c>
      <c r="S183" s="198">
        <f>ROUNDDOWN(O183*0.7,)</f>
        <v/>
      </c>
      <c r="T183" s="220">
        <f>_xlfn.XLOOKUP(G183,[1]Fx!$A$4:$A$12,[1]Fx!$B$4:$B$12)</f>
        <v/>
      </c>
      <c r="U183" s="220">
        <f>_xlfn.XLOOKUP(G183,[1]Fx!$A$4:$A$12,[1]Fx!$C$4:$C$12)</f>
        <v/>
      </c>
      <c r="V183" s="220">
        <f>_xlfn.XLOOKUP(G183,[1]Fx!$A$4:$A$12,[1]Fx!$D$4:$D$12)</f>
        <v/>
      </c>
      <c r="W183" s="208">
        <f>_xlfn.XLOOKUP(H183&amp;I183,'[1]Mapping DSL'!$H:$H,'[1]Mapping DSL'!$J:$J)</f>
        <v/>
      </c>
      <c r="X183" s="220">
        <f>_xlfn.XLOOKUP(G183,[1]Fx!$A$4:$A$12,[1]Fx!$E$4:$E$12)</f>
        <v/>
      </c>
      <c r="Y183" s="220">
        <f>T183*R183</f>
        <v/>
      </c>
      <c r="Z183" s="220">
        <f>U183*O183</f>
        <v/>
      </c>
      <c r="AA183" s="220">
        <f>V183*O183</f>
        <v/>
      </c>
      <c r="AB183" s="220">
        <f>W183*O183</f>
        <v/>
      </c>
      <c r="AC183" s="198">
        <f>X183*O183</f>
        <v/>
      </c>
      <c r="AD183" s="220" t="n">
        <v>0</v>
      </c>
      <c r="AE183" s="220" t="n">
        <v>0</v>
      </c>
      <c r="AF183" s="220">
        <f>SUM(Y183:AE183)</f>
        <v/>
      </c>
      <c r="AG183" s="205">
        <f>_xlfn.XLOOKUP(G183,[1]Fx!$A$16:$A$24,[1]Fx!$B$16:$B$24)</f>
        <v/>
      </c>
      <c r="AH183" s="220">
        <f>AG183*R183</f>
        <v/>
      </c>
      <c r="AI183" s="220">
        <f>$AI$6*Z183</f>
        <v/>
      </c>
      <c r="AJ183" s="220">
        <f>$AJ$6*AA183</f>
        <v/>
      </c>
      <c r="AK183" s="220">
        <f>$AK$6*AB183</f>
        <v/>
      </c>
      <c r="AL183" s="220">
        <f>$AL$6*AC183</f>
        <v/>
      </c>
      <c r="AM183" s="220">
        <f>SUM(AH183:AL183)</f>
        <v/>
      </c>
      <c r="AN183" s="220" t="n">
        <v>0</v>
      </c>
      <c r="AO183" s="220">
        <f>AN183*AH183</f>
        <v/>
      </c>
      <c r="AP183" s="220">
        <f>AD183</f>
        <v/>
      </c>
      <c r="AQ183" s="220">
        <f>AE183</f>
        <v/>
      </c>
      <c r="AR183" s="220">
        <f>AM183-AO183</f>
        <v/>
      </c>
      <c r="AS183" s="220">
        <f>AR183-AK183</f>
        <v/>
      </c>
      <c r="AT183" s="220">
        <f>AS183*1.075</f>
        <v/>
      </c>
      <c r="AU183" s="220">
        <f>ROUNDUP(AT183+AK183+AP183+AQ183,-4)</f>
        <v/>
      </c>
      <c r="AV183" s="198" t="n">
        <v>4959375</v>
      </c>
      <c r="AW183" s="227" t="n"/>
      <c r="AX183" s="220">
        <f>AV183-AR183</f>
        <v/>
      </c>
      <c r="AY183" s="35">
        <f>AX183/AR183</f>
        <v/>
      </c>
      <c r="AZ183" s="220">
        <f>AV183-AF183</f>
        <v/>
      </c>
      <c r="BA183" s="215">
        <f>AV183-SUM(Z183:AC183)</f>
        <v/>
      </c>
      <c r="BB183" s="215">
        <f>BA183-Y183</f>
        <v/>
      </c>
      <c r="BC183" s="35">
        <f>BB183/BA183</f>
        <v/>
      </c>
      <c r="BD183" s="35">
        <f>IFERROR(AZ183/AV183,)</f>
        <v/>
      </c>
      <c r="BE183" s="255">
        <f>AV183-SUM(Z183:AC183)</f>
        <v/>
      </c>
      <c r="BF183" s="255">
        <f>AV183-BE183-AC183-AB183</f>
        <v/>
      </c>
      <c r="BG183" s="255">
        <f>AV183-BE183-BF183-AB183</f>
        <v/>
      </c>
      <c r="BH183" s="255">
        <f>AB183</f>
        <v/>
      </c>
      <c r="BI183">
        <f>IF(BD183&lt;0%,"Loss",IF(BD183&lt;5%,"On Cost Plus",IF(BD183&lt;10%,"Within","Exceed")))</f>
        <v/>
      </c>
      <c r="BJ183" t="inlineStr">
        <is>
          <t>On Cost Plus</t>
        </is>
      </c>
      <c r="BK183">
        <f>0.51*$BK$6</f>
        <v/>
      </c>
      <c r="BL183" s="190">
        <f>BK183-W183</f>
        <v/>
      </c>
      <c r="BM183" s="189">
        <f>BL183*O183</f>
        <v/>
      </c>
    </row>
    <row r="184">
      <c r="A184">
        <f>CONCATENATE(E184,F184,G184,H184,I184,J184,K184,L184)</f>
        <v/>
      </c>
      <c r="B184">
        <f>CONCATENATE(J184,"-&gt;",K184,"/",E184)</f>
        <v/>
      </c>
      <c r="C184" s="23" t="inlineStr">
        <is>
          <t>AFEEZ AJIBADE/Ebenezer</t>
        </is>
      </c>
      <c r="D184">
        <f>CONCATENATE(G184,"-",H184,"-",F184)</f>
        <v/>
      </c>
      <c r="E184" s="24" t="inlineStr">
        <is>
          <t>Lacasera-45T-NBL-DSL-JUMBO</t>
        </is>
      </c>
      <c r="F184" s="24" t="inlineStr">
        <is>
          <t>JUMBO</t>
        </is>
      </c>
      <c r="G184" s="25" t="inlineStr">
        <is>
          <t>NBL-DSL</t>
        </is>
      </c>
      <c r="H184" s="24" t="inlineStr">
        <is>
          <t>45T</t>
        </is>
      </c>
      <c r="I184" s="251" t="inlineStr">
        <is>
          <t>Lacasera</t>
        </is>
      </c>
      <c r="J184" s="251" t="inlineStr">
        <is>
          <t>Lagos</t>
        </is>
      </c>
      <c r="K184" s="23" t="inlineStr">
        <is>
          <t>Bida</t>
        </is>
      </c>
      <c r="L184" t="inlineStr">
        <is>
          <t>Niger</t>
        </is>
      </c>
      <c r="M184" s="1" t="inlineStr">
        <is>
          <t>North</t>
        </is>
      </c>
      <c r="N184" s="261" t="n">
        <v>541.5</v>
      </c>
      <c r="O184" s="257" t="n">
        <v>1083</v>
      </c>
      <c r="P184" s="227">
        <f>ROUNDUP(O184/300,)</f>
        <v/>
      </c>
      <c r="Q184" s="220" t="n">
        <v>1</v>
      </c>
      <c r="R184" s="220">
        <f>Q184+P184</f>
        <v/>
      </c>
      <c r="S184" s="198">
        <f>ROUNDDOWN(O184*0.7,)</f>
        <v/>
      </c>
      <c r="T184" s="220">
        <f>_xlfn.XLOOKUP(G184,[1]Fx!$A$4:$A$12,[1]Fx!$B$4:$B$12)</f>
        <v/>
      </c>
      <c r="U184" s="220">
        <f>_xlfn.XLOOKUP(G184,[1]Fx!$A$4:$A$12,[1]Fx!$C$4:$C$12)</f>
        <v/>
      </c>
      <c r="V184" s="220">
        <f>_xlfn.XLOOKUP(G184,[1]Fx!$A$4:$A$12,[1]Fx!$D$4:$D$12)</f>
        <v/>
      </c>
      <c r="W184" s="208">
        <f>_xlfn.XLOOKUP(H184&amp;I184,'[1]Mapping DSL'!$H:$H,'[1]Mapping DSL'!$J:$J)</f>
        <v/>
      </c>
      <c r="X184" s="220">
        <f>_xlfn.XLOOKUP(G184,[1]Fx!$A$4:$A$12,[1]Fx!$E$4:$E$12)</f>
        <v/>
      </c>
      <c r="Y184" s="220">
        <f>T184*R184</f>
        <v/>
      </c>
      <c r="Z184" s="220">
        <f>U184*O184</f>
        <v/>
      </c>
      <c r="AA184" s="220">
        <f>V184*O184</f>
        <v/>
      </c>
      <c r="AB184" s="220">
        <f>W184*O184</f>
        <v/>
      </c>
      <c r="AC184" s="198">
        <f>X184*O184</f>
        <v/>
      </c>
      <c r="AD184" s="220" t="n">
        <v>0</v>
      </c>
      <c r="AE184" s="220" t="n">
        <v>0</v>
      </c>
      <c r="AF184" s="220">
        <f>SUM(Y184:AE184)</f>
        <v/>
      </c>
      <c r="AG184" s="205">
        <f>_xlfn.XLOOKUP(G184,[1]Fx!$A$16:$A$24,[1]Fx!$B$16:$B$24)</f>
        <v/>
      </c>
      <c r="AH184" s="220">
        <f>AG184*R184</f>
        <v/>
      </c>
      <c r="AI184" s="220">
        <f>$AI$6*Z184</f>
        <v/>
      </c>
      <c r="AJ184" s="220">
        <f>$AJ$6*AA184</f>
        <v/>
      </c>
      <c r="AK184" s="220">
        <f>$AK$6*AB184</f>
        <v/>
      </c>
      <c r="AL184" s="220">
        <f>$AL$6*AC184</f>
        <v/>
      </c>
      <c r="AM184" s="220">
        <f>SUM(AH184:AL184)</f>
        <v/>
      </c>
      <c r="AN184" s="220" t="n">
        <v>0</v>
      </c>
      <c r="AO184" s="220">
        <f>AN184*AH184</f>
        <v/>
      </c>
      <c r="AP184" s="220">
        <f>AD184</f>
        <v/>
      </c>
      <c r="AQ184" s="220">
        <f>AE184</f>
        <v/>
      </c>
      <c r="AR184" s="220">
        <f>AM184-AO184</f>
        <v/>
      </c>
      <c r="AS184" s="220">
        <f>AR184-AK184</f>
        <v/>
      </c>
      <c r="AT184" s="220">
        <f>AS184*1.075</f>
        <v/>
      </c>
      <c r="AU184" s="220">
        <f>ROUNDUP(AT184+AK184+AP184+AQ184,-4)</f>
        <v/>
      </c>
      <c r="AV184" s="198" t="n">
        <v>3001708</v>
      </c>
      <c r="AW184" s="227" t="n"/>
      <c r="AX184" s="220">
        <f>AV184-AR184</f>
        <v/>
      </c>
      <c r="AY184" s="35">
        <f>AX184/AR184</f>
        <v/>
      </c>
      <c r="AZ184" s="220">
        <f>AV184-AF184</f>
        <v/>
      </c>
      <c r="BA184" s="215">
        <f>AV184-SUM(Z184:AC184)</f>
        <v/>
      </c>
      <c r="BB184" s="215">
        <f>BA184-Y184</f>
        <v/>
      </c>
      <c r="BC184" s="35">
        <f>BB184/BA184</f>
        <v/>
      </c>
      <c r="BD184" s="35">
        <f>IFERROR(AZ184/AV184,)</f>
        <v/>
      </c>
      <c r="BE184" s="255">
        <f>AV184-SUM(Z184:AC184)</f>
        <v/>
      </c>
      <c r="BF184" s="255">
        <f>AV184-BE184-AC184-AB184</f>
        <v/>
      </c>
      <c r="BG184" s="255">
        <f>AV184-BE184-BF184-AB184</f>
        <v/>
      </c>
      <c r="BH184" s="255">
        <f>AB184</f>
        <v/>
      </c>
      <c r="BI184">
        <f>IF(BD184&lt;0%,"Loss",IF(BD184&lt;5%,"On Cost Plus",IF(BD184&lt;10%,"Within","Exceed")))</f>
        <v/>
      </c>
      <c r="BJ184" t="inlineStr">
        <is>
          <t>Exceed</t>
        </is>
      </c>
      <c r="BK184">
        <f>0.51*$BK$6</f>
        <v/>
      </c>
      <c r="BL184" s="190">
        <f>BK184-W184</f>
        <v/>
      </c>
      <c r="BM184" s="189">
        <f>BL184*O184</f>
        <v/>
      </c>
    </row>
    <row r="185">
      <c r="A185">
        <f>CONCATENATE(E185,F185,G185,H185,I185,J185,K185,L185)</f>
        <v/>
      </c>
      <c r="B185">
        <f>CONCATENATE(J185,"-&gt;",K185,"/",E185)</f>
        <v/>
      </c>
      <c r="C185" s="23" t="inlineStr">
        <is>
          <t>AFEEZ AJIBADE/Ebenezer</t>
        </is>
      </c>
      <c r="D185">
        <f>CONCATENATE(G185,"-",H185,"-",F185)</f>
        <v/>
      </c>
      <c r="E185" s="24" t="inlineStr">
        <is>
          <t>Lacasera-45T-NBL-DSL-JUMBO</t>
        </is>
      </c>
      <c r="F185" s="24" t="inlineStr">
        <is>
          <t>JUMBO</t>
        </is>
      </c>
      <c r="G185" s="25" t="inlineStr">
        <is>
          <t>NBL-DSL</t>
        </is>
      </c>
      <c r="H185" s="24" t="inlineStr">
        <is>
          <t>45T</t>
        </is>
      </c>
      <c r="I185" s="251" t="inlineStr">
        <is>
          <t>Lacasera</t>
        </is>
      </c>
      <c r="J185" s="251" t="inlineStr">
        <is>
          <t>Lagos</t>
        </is>
      </c>
      <c r="K185" s="23" t="inlineStr">
        <is>
          <t>Katsina</t>
        </is>
      </c>
      <c r="L185" t="inlineStr">
        <is>
          <t>Katsina</t>
        </is>
      </c>
      <c r="M185" s="1" t="inlineStr">
        <is>
          <t>North</t>
        </is>
      </c>
      <c r="N185" s="261" t="n">
        <v>956</v>
      </c>
      <c r="O185" s="257" t="n">
        <v>1912</v>
      </c>
      <c r="P185" s="227">
        <f>ROUNDUP(O185/300,)</f>
        <v/>
      </c>
      <c r="Q185" s="220" t="n">
        <v>1</v>
      </c>
      <c r="R185" s="220">
        <f>Q185+P185</f>
        <v/>
      </c>
      <c r="S185" s="198">
        <f>ROUNDDOWN(O185*0.7,)</f>
        <v/>
      </c>
      <c r="T185" s="220">
        <f>_xlfn.XLOOKUP(G185,[1]Fx!$A$4:$A$12,[1]Fx!$B$4:$B$12)</f>
        <v/>
      </c>
      <c r="U185" s="220">
        <f>_xlfn.XLOOKUP(G185,[1]Fx!$A$4:$A$12,[1]Fx!$C$4:$C$12)</f>
        <v/>
      </c>
      <c r="V185" s="220">
        <f>_xlfn.XLOOKUP(G185,[1]Fx!$A$4:$A$12,[1]Fx!$D$4:$D$12)</f>
        <v/>
      </c>
      <c r="W185" s="208">
        <f>_xlfn.XLOOKUP(H185&amp;I185,'[1]Mapping DSL'!$H:$H,'[1]Mapping DSL'!$J:$J)</f>
        <v/>
      </c>
      <c r="X185" s="220">
        <f>_xlfn.XLOOKUP(G185,[1]Fx!$A$4:$A$12,[1]Fx!$E$4:$E$12)</f>
        <v/>
      </c>
      <c r="Y185" s="220">
        <f>T185*R185</f>
        <v/>
      </c>
      <c r="Z185" s="220">
        <f>U185*O185</f>
        <v/>
      </c>
      <c r="AA185" s="220">
        <f>V185*O185</f>
        <v/>
      </c>
      <c r="AB185" s="220">
        <f>W185*O185</f>
        <v/>
      </c>
      <c r="AC185" s="198">
        <f>X185*O185</f>
        <v/>
      </c>
      <c r="AD185" s="220" t="n">
        <v>0</v>
      </c>
      <c r="AE185" s="220" t="n">
        <v>0</v>
      </c>
      <c r="AF185" s="220">
        <f>SUM(Y185:AE185)</f>
        <v/>
      </c>
      <c r="AG185" s="205">
        <f>_xlfn.XLOOKUP(G185,[1]Fx!$A$16:$A$24,[1]Fx!$B$16:$B$24)</f>
        <v/>
      </c>
      <c r="AH185" s="220">
        <f>AG185*R185</f>
        <v/>
      </c>
      <c r="AI185" s="220">
        <f>$AI$6*Z185</f>
        <v/>
      </c>
      <c r="AJ185" s="220">
        <f>$AJ$6*AA185</f>
        <v/>
      </c>
      <c r="AK185" s="220">
        <f>$AK$6*AB185</f>
        <v/>
      </c>
      <c r="AL185" s="220">
        <f>$AL$6*AC185</f>
        <v/>
      </c>
      <c r="AM185" s="220">
        <f>SUM(AH185:AL185)</f>
        <v/>
      </c>
      <c r="AN185" s="220" t="n">
        <v>0</v>
      </c>
      <c r="AO185" s="220">
        <f>AN185*AH185</f>
        <v/>
      </c>
      <c r="AP185" s="220">
        <f>AD185</f>
        <v/>
      </c>
      <c r="AQ185" s="220">
        <f>AE185</f>
        <v/>
      </c>
      <c r="AR185" s="220">
        <f>AM185-AO185</f>
        <v/>
      </c>
      <c r="AS185" s="220">
        <f>AR185-AK185</f>
        <v/>
      </c>
      <c r="AT185" s="220">
        <f>AS185*1.075</f>
        <v/>
      </c>
      <c r="AU185" s="220">
        <f>ROUNDUP(AT185+AK185+AP185+AQ185,-4)</f>
        <v/>
      </c>
      <c r="AV185" s="198" t="n">
        <v>3858651</v>
      </c>
      <c r="AW185" s="227" t="n"/>
      <c r="AX185" s="220">
        <f>AV185-AR185</f>
        <v/>
      </c>
      <c r="AY185" s="35">
        <f>AX185/AR185</f>
        <v/>
      </c>
      <c r="AZ185" s="220">
        <f>AV185-AF185</f>
        <v/>
      </c>
      <c r="BA185" s="215">
        <f>AV185-SUM(Z185:AC185)</f>
        <v/>
      </c>
      <c r="BB185" s="215">
        <f>BA185-Y185</f>
        <v/>
      </c>
      <c r="BC185" s="35">
        <f>BB185/BA185</f>
        <v/>
      </c>
      <c r="BD185" s="35">
        <f>IFERROR(AZ185/AV185,)</f>
        <v/>
      </c>
      <c r="BE185" s="255">
        <f>AV185-SUM(Z185:AC185)</f>
        <v/>
      </c>
      <c r="BF185" s="255">
        <f>AV185-BE185-AC185-AB185</f>
        <v/>
      </c>
      <c r="BG185" s="255">
        <f>AV185-BE185-BF185-AB185</f>
        <v/>
      </c>
      <c r="BH185" s="255">
        <f>AB185</f>
        <v/>
      </c>
      <c r="BI185">
        <f>IF(BD185&lt;0%,"Loss",IF(BD185&lt;5%,"On Cost Plus",IF(BD185&lt;10%,"Within","Exceed")))</f>
        <v/>
      </c>
      <c r="BJ185" t="inlineStr">
        <is>
          <t>Exceed</t>
        </is>
      </c>
      <c r="BK185">
        <f>0.51*$BK$6</f>
        <v/>
      </c>
      <c r="BL185" s="190">
        <f>BK185-W185</f>
        <v/>
      </c>
      <c r="BM185" s="189">
        <f>BL185*O185</f>
        <v/>
      </c>
    </row>
    <row r="186">
      <c r="A186">
        <f>CONCATENATE(E186,F186,G186,H186,I186,J186,K186,L186)</f>
        <v/>
      </c>
      <c r="B186">
        <f>CONCATENATE(J186,"-&gt;",K186,"/",E186)</f>
        <v/>
      </c>
      <c r="C186" s="23" t="inlineStr">
        <is>
          <t>AFEEZ AJIBADE/Ebenezer</t>
        </is>
      </c>
      <c r="D186">
        <f>CONCATENATE(G186,"-",H186,"-",F186)</f>
        <v/>
      </c>
      <c r="E186" s="24" t="inlineStr">
        <is>
          <t>Lacasera-45T-NBL-DSL-JUMBO</t>
        </is>
      </c>
      <c r="F186" s="24" t="inlineStr">
        <is>
          <t>JUMBO</t>
        </is>
      </c>
      <c r="G186" s="25" t="inlineStr">
        <is>
          <t>NBL-DSL</t>
        </is>
      </c>
      <c r="H186" s="24" t="inlineStr">
        <is>
          <t>45T</t>
        </is>
      </c>
      <c r="I186" s="251" t="inlineStr">
        <is>
          <t>Lacasera</t>
        </is>
      </c>
      <c r="J186" s="251" t="inlineStr">
        <is>
          <t>Lagos</t>
        </is>
      </c>
      <c r="K186" s="23" t="inlineStr">
        <is>
          <t>Jebba</t>
        </is>
      </c>
      <c r="L186" t="inlineStr">
        <is>
          <t>Kwara</t>
        </is>
      </c>
      <c r="M186" s="1" t="inlineStr">
        <is>
          <t>West</t>
        </is>
      </c>
      <c r="N186" s="261" t="n">
        <v>374</v>
      </c>
      <c r="O186" s="257" t="n">
        <v>748</v>
      </c>
      <c r="P186" s="227">
        <f>ROUNDUP(O186/300,)</f>
        <v/>
      </c>
      <c r="Q186" s="220" t="n">
        <v>1</v>
      </c>
      <c r="R186" s="220">
        <f>Q186+P186</f>
        <v/>
      </c>
      <c r="S186" s="198">
        <f>ROUNDDOWN(O186*0.7,)</f>
        <v/>
      </c>
      <c r="T186" s="220">
        <f>_xlfn.XLOOKUP(G186,[1]Fx!$A$4:$A$12,[1]Fx!$B$4:$B$12)</f>
        <v/>
      </c>
      <c r="U186" s="220">
        <f>_xlfn.XLOOKUP(G186,[1]Fx!$A$4:$A$12,[1]Fx!$C$4:$C$12)</f>
        <v/>
      </c>
      <c r="V186" s="220">
        <f>_xlfn.XLOOKUP(G186,[1]Fx!$A$4:$A$12,[1]Fx!$D$4:$D$12)</f>
        <v/>
      </c>
      <c r="W186" s="208">
        <f>_xlfn.XLOOKUP(H186&amp;I186,'[1]Mapping DSL'!$H:$H,'[1]Mapping DSL'!$J:$J)</f>
        <v/>
      </c>
      <c r="X186" s="220">
        <f>_xlfn.XLOOKUP(G186,[1]Fx!$A$4:$A$12,[1]Fx!$E$4:$E$12)</f>
        <v/>
      </c>
      <c r="Y186" s="220">
        <f>T186*R186</f>
        <v/>
      </c>
      <c r="Z186" s="220">
        <f>U186*O186</f>
        <v/>
      </c>
      <c r="AA186" s="220">
        <f>V186*O186</f>
        <v/>
      </c>
      <c r="AB186" s="220">
        <f>W186*O186</f>
        <v/>
      </c>
      <c r="AC186" s="198">
        <f>X186*O186</f>
        <v/>
      </c>
      <c r="AD186" s="220" t="n">
        <v>0</v>
      </c>
      <c r="AE186" s="220" t="n">
        <v>0</v>
      </c>
      <c r="AF186" s="220">
        <f>SUM(Y186:AE186)</f>
        <v/>
      </c>
      <c r="AG186" s="205">
        <f>_xlfn.XLOOKUP(G186,[1]Fx!$A$16:$A$24,[1]Fx!$B$16:$B$24)</f>
        <v/>
      </c>
      <c r="AH186" s="220">
        <f>AG186*R186</f>
        <v/>
      </c>
      <c r="AI186" s="220">
        <f>$AI$6*Z186</f>
        <v/>
      </c>
      <c r="AJ186" s="220">
        <f>$AJ$6*AA186</f>
        <v/>
      </c>
      <c r="AK186" s="220">
        <f>$AK$6*AB186</f>
        <v/>
      </c>
      <c r="AL186" s="220">
        <f>$AL$6*AC186</f>
        <v/>
      </c>
      <c r="AM186" s="220">
        <f>SUM(AH186:AL186)</f>
        <v/>
      </c>
      <c r="AN186" s="220" t="n">
        <v>0</v>
      </c>
      <c r="AO186" s="220">
        <f>AN186*AH186</f>
        <v/>
      </c>
      <c r="AP186" s="220">
        <f>AD186</f>
        <v/>
      </c>
      <c r="AQ186" s="220">
        <f>AE186</f>
        <v/>
      </c>
      <c r="AR186" s="220">
        <f>AM186-AO186</f>
        <v/>
      </c>
      <c r="AS186" s="220">
        <f>AR186-AK186</f>
        <v/>
      </c>
      <c r="AT186" s="220">
        <f>AS186*1.075</f>
        <v/>
      </c>
      <c r="AU186" s="220">
        <f>ROUNDUP(AT186+AK186+AP186+AQ186,-4)</f>
        <v/>
      </c>
      <c r="AV186" s="198" t="n">
        <v>1538365</v>
      </c>
      <c r="AW186" s="227" t="n"/>
      <c r="AX186" s="220">
        <f>AV186-AR186</f>
        <v/>
      </c>
      <c r="AY186" s="35">
        <f>AX186/AR186</f>
        <v/>
      </c>
      <c r="AZ186" s="220">
        <f>AV186-AF186</f>
        <v/>
      </c>
      <c r="BA186" s="215">
        <f>AV186-SUM(Z186:AC186)</f>
        <v/>
      </c>
      <c r="BB186" s="215">
        <f>BA186-Y186</f>
        <v/>
      </c>
      <c r="BC186" s="35">
        <f>BB186/BA186</f>
        <v/>
      </c>
      <c r="BD186" s="35">
        <f>IFERROR(AZ186/AV186,)</f>
        <v/>
      </c>
      <c r="BE186" s="255">
        <f>AV186-SUM(Z186:AC186)</f>
        <v/>
      </c>
      <c r="BF186" s="255">
        <f>AV186-BE186-AC186-AB186</f>
        <v/>
      </c>
      <c r="BG186" s="255">
        <f>AV186-BE186-BF186-AB186</f>
        <v/>
      </c>
      <c r="BH186" s="255">
        <f>AB186</f>
        <v/>
      </c>
      <c r="BI186">
        <f>IF(BD186&lt;0%,"Loss",IF(BD186&lt;5%,"On Cost Plus",IF(BD186&lt;10%,"Within","Exceed")))</f>
        <v/>
      </c>
      <c r="BJ186" t="inlineStr">
        <is>
          <t>Exceed</t>
        </is>
      </c>
      <c r="BK186">
        <f>0.51*$BK$6</f>
        <v/>
      </c>
      <c r="BL186" s="190">
        <f>BK186-W186</f>
        <v/>
      </c>
      <c r="BM186" s="189">
        <f>BL186*O186</f>
        <v/>
      </c>
    </row>
    <row r="187">
      <c r="A187">
        <f>CONCATENATE(E187,F187,G187,H187,I187,J187,K187,L187)</f>
        <v/>
      </c>
      <c r="B187">
        <f>CONCATENATE(J187,"-&gt;",K187,"/",E187)</f>
        <v/>
      </c>
      <c r="C187" s="23" t="inlineStr">
        <is>
          <t>AFEEZ AJIBADE/Ebenezer</t>
        </is>
      </c>
      <c r="D187">
        <f>CONCATENATE(G187,"-",H187,"-",F187)</f>
        <v/>
      </c>
      <c r="E187" s="24" t="inlineStr">
        <is>
          <t>Lacasera-45T-NBL-DSL-JUMBO</t>
        </is>
      </c>
      <c r="F187" s="24" t="inlineStr">
        <is>
          <t>JUMBO</t>
        </is>
      </c>
      <c r="G187" s="25" t="inlineStr">
        <is>
          <t>NBL-DSL</t>
        </is>
      </c>
      <c r="H187" s="24" t="inlineStr">
        <is>
          <t>45T</t>
        </is>
      </c>
      <c r="I187" s="251" t="inlineStr">
        <is>
          <t>Lacasera</t>
        </is>
      </c>
      <c r="J187" s="251" t="inlineStr">
        <is>
          <t>Lagos</t>
        </is>
      </c>
      <c r="K187" s="23" t="inlineStr">
        <is>
          <t>Ilorin</t>
        </is>
      </c>
      <c r="L187" t="inlineStr">
        <is>
          <t>Kwara</t>
        </is>
      </c>
      <c r="M187" s="1" t="inlineStr">
        <is>
          <t>West</t>
        </is>
      </c>
      <c r="N187" s="261" t="n">
        <v>305</v>
      </c>
      <c r="O187" s="257" t="n">
        <v>610</v>
      </c>
      <c r="P187" s="227">
        <f>ROUNDUP(O187/300,)</f>
        <v/>
      </c>
      <c r="Q187" s="220" t="n">
        <v>1</v>
      </c>
      <c r="R187" s="220">
        <f>Q187+P187</f>
        <v/>
      </c>
      <c r="S187" s="198">
        <f>ROUNDDOWN(O187*0.7,)</f>
        <v/>
      </c>
      <c r="T187" s="220">
        <f>_xlfn.XLOOKUP(G187,[1]Fx!$A$4:$A$12,[1]Fx!$B$4:$B$12)</f>
        <v/>
      </c>
      <c r="U187" s="220">
        <f>_xlfn.XLOOKUP(G187,[1]Fx!$A$4:$A$12,[1]Fx!$C$4:$C$12)</f>
        <v/>
      </c>
      <c r="V187" s="220">
        <f>_xlfn.XLOOKUP(G187,[1]Fx!$A$4:$A$12,[1]Fx!$D$4:$D$12)</f>
        <v/>
      </c>
      <c r="W187" s="208">
        <f>_xlfn.XLOOKUP(H187&amp;I187,'[1]Mapping DSL'!$H:$H,'[1]Mapping DSL'!$J:$J)</f>
        <v/>
      </c>
      <c r="X187" s="220">
        <f>_xlfn.XLOOKUP(G187,[1]Fx!$A$4:$A$12,[1]Fx!$E$4:$E$12)</f>
        <v/>
      </c>
      <c r="Y187" s="220">
        <f>T187*R187</f>
        <v/>
      </c>
      <c r="Z187" s="220">
        <f>U187*O187</f>
        <v/>
      </c>
      <c r="AA187" s="220">
        <f>V187*O187</f>
        <v/>
      </c>
      <c r="AB187" s="220">
        <f>W187*O187</f>
        <v/>
      </c>
      <c r="AC187" s="198">
        <f>X187*O187</f>
        <v/>
      </c>
      <c r="AD187" s="220" t="n">
        <v>0</v>
      </c>
      <c r="AE187" s="220" t="n">
        <v>0</v>
      </c>
      <c r="AF187" s="220">
        <f>SUM(Y187:AE187)</f>
        <v/>
      </c>
      <c r="AG187" s="205">
        <f>_xlfn.XLOOKUP(G187,[1]Fx!$A$16:$A$24,[1]Fx!$B$16:$B$24)</f>
        <v/>
      </c>
      <c r="AH187" s="220">
        <f>AG187*R187</f>
        <v/>
      </c>
      <c r="AI187" s="220">
        <f>$AI$6*Z187</f>
        <v/>
      </c>
      <c r="AJ187" s="220">
        <f>$AJ$6*AA187</f>
        <v/>
      </c>
      <c r="AK187" s="220">
        <f>$AK$6*AB187</f>
        <v/>
      </c>
      <c r="AL187" s="220">
        <f>$AL$6*AC187</f>
        <v/>
      </c>
      <c r="AM187" s="220">
        <f>SUM(AH187:AL187)</f>
        <v/>
      </c>
      <c r="AN187" s="220" t="n">
        <v>0</v>
      </c>
      <c r="AO187" s="220">
        <f>AN187*AH187</f>
        <v/>
      </c>
      <c r="AP187" s="220">
        <f>AD187</f>
        <v/>
      </c>
      <c r="AQ187" s="220">
        <f>AE187</f>
        <v/>
      </c>
      <c r="AR187" s="220">
        <f>AM187-AO187</f>
        <v/>
      </c>
      <c r="AS187" s="220">
        <f>AR187-AK187</f>
        <v/>
      </c>
      <c r="AT187" s="220">
        <f>AS187*1.075</f>
        <v/>
      </c>
      <c r="AU187" s="220">
        <f>ROUNDUP(AT187+AK187+AP187+AQ187,-4)</f>
        <v/>
      </c>
      <c r="AV187" s="198" t="n">
        <v>1349764</v>
      </c>
      <c r="AW187" s="227" t="n"/>
      <c r="AX187" s="220">
        <f>AV187-AR187</f>
        <v/>
      </c>
      <c r="AY187" s="35">
        <f>AX187/AR187</f>
        <v/>
      </c>
      <c r="AZ187" s="220">
        <f>AV187-AF187</f>
        <v/>
      </c>
      <c r="BA187" s="215">
        <f>AV187-SUM(Z187:AC187)</f>
        <v/>
      </c>
      <c r="BB187" s="215">
        <f>BA187-Y187</f>
        <v/>
      </c>
      <c r="BC187" s="35">
        <f>BB187/BA187</f>
        <v/>
      </c>
      <c r="BD187" s="35">
        <f>IFERROR(AZ187/AV187,)</f>
        <v/>
      </c>
      <c r="BE187" s="255">
        <f>AV187-SUM(Z187:AC187)</f>
        <v/>
      </c>
      <c r="BF187" s="255">
        <f>AV187-BE187-AC187-AB187</f>
        <v/>
      </c>
      <c r="BG187" s="255">
        <f>AV187-BE187-BF187-AB187</f>
        <v/>
      </c>
      <c r="BH187" s="255">
        <f>AB187</f>
        <v/>
      </c>
      <c r="BI187">
        <f>IF(BD187&lt;0%,"Loss",IF(BD187&lt;5%,"On Cost Plus",IF(BD187&lt;10%,"Within","Exceed")))</f>
        <v/>
      </c>
      <c r="BJ187" t="inlineStr">
        <is>
          <t>Exceed</t>
        </is>
      </c>
      <c r="BK187">
        <f>0.51*$BK$6</f>
        <v/>
      </c>
      <c r="BL187" s="190">
        <f>BK187-W187</f>
        <v/>
      </c>
      <c r="BM187" s="189">
        <f>BL187*O187</f>
        <v/>
      </c>
    </row>
    <row r="188">
      <c r="A188">
        <f>CONCATENATE(E188,F188,G188,H188,I188,J188,K188,L188)</f>
        <v/>
      </c>
      <c r="B188">
        <f>CONCATENATE(J188,"-&gt;",K188,"/",E188)</f>
        <v/>
      </c>
      <c r="C188" s="23" t="inlineStr">
        <is>
          <t>AFEEZ AJIBADE/Ebenezer</t>
        </is>
      </c>
      <c r="D188">
        <f>CONCATENATE(G188,"-",H188,"-",F188)</f>
        <v/>
      </c>
      <c r="E188" s="24" t="inlineStr">
        <is>
          <t>Lacasera-45T-NBL-DSL-JUMBO</t>
        </is>
      </c>
      <c r="F188" s="24" t="inlineStr">
        <is>
          <t>JUMBO</t>
        </is>
      </c>
      <c r="G188" s="25" t="inlineStr">
        <is>
          <t>NBL-DSL</t>
        </is>
      </c>
      <c r="H188" s="24" t="inlineStr">
        <is>
          <t>45T</t>
        </is>
      </c>
      <c r="I188" s="251" t="inlineStr">
        <is>
          <t>Lacasera</t>
        </is>
      </c>
      <c r="J188" s="251" t="inlineStr">
        <is>
          <t>Lagos</t>
        </is>
      </c>
      <c r="K188" s="23" t="inlineStr">
        <is>
          <t>Offa</t>
        </is>
      </c>
      <c r="L188" t="inlineStr">
        <is>
          <t>Kwara</t>
        </is>
      </c>
      <c r="M188" s="1" t="inlineStr">
        <is>
          <t>West</t>
        </is>
      </c>
      <c r="N188" s="261" t="n">
        <v>278.5</v>
      </c>
      <c r="O188" s="257" t="n">
        <v>557</v>
      </c>
      <c r="P188" s="227">
        <f>ROUNDUP(O188/300,)</f>
        <v/>
      </c>
      <c r="Q188" s="220" t="n">
        <v>1</v>
      </c>
      <c r="R188" s="220">
        <f>Q188+P188</f>
        <v/>
      </c>
      <c r="S188" s="198">
        <f>ROUNDDOWN(O188*0.7,)</f>
        <v/>
      </c>
      <c r="T188" s="220">
        <f>_xlfn.XLOOKUP(G188,[1]Fx!$A$4:$A$12,[1]Fx!$B$4:$B$12)</f>
        <v/>
      </c>
      <c r="U188" s="220">
        <f>_xlfn.XLOOKUP(G188,[1]Fx!$A$4:$A$12,[1]Fx!$C$4:$C$12)</f>
        <v/>
      </c>
      <c r="V188" s="220">
        <f>_xlfn.XLOOKUP(G188,[1]Fx!$A$4:$A$12,[1]Fx!$D$4:$D$12)</f>
        <v/>
      </c>
      <c r="W188" s="208">
        <f>_xlfn.XLOOKUP(H188&amp;I188,'[1]Mapping DSL'!$H:$H,'[1]Mapping DSL'!$J:$J)</f>
        <v/>
      </c>
      <c r="X188" s="220">
        <f>_xlfn.XLOOKUP(G188,[1]Fx!$A$4:$A$12,[1]Fx!$E$4:$E$12)</f>
        <v/>
      </c>
      <c r="Y188" s="220">
        <f>T188*R188</f>
        <v/>
      </c>
      <c r="Z188" s="220">
        <f>U188*O188</f>
        <v/>
      </c>
      <c r="AA188" s="220">
        <f>V188*O188</f>
        <v/>
      </c>
      <c r="AB188" s="220">
        <f>W188*O188</f>
        <v/>
      </c>
      <c r="AC188" s="198">
        <f>X188*O188</f>
        <v/>
      </c>
      <c r="AD188" s="220" t="n">
        <v>0</v>
      </c>
      <c r="AE188" s="220" t="n">
        <v>0</v>
      </c>
      <c r="AF188" s="220">
        <f>SUM(Y188:AE188)</f>
        <v/>
      </c>
      <c r="AG188" s="205">
        <f>_xlfn.XLOOKUP(G188,[1]Fx!$A$16:$A$24,[1]Fx!$B$16:$B$24)</f>
        <v/>
      </c>
      <c r="AH188" s="220">
        <f>AG188*R188</f>
        <v/>
      </c>
      <c r="AI188" s="220">
        <f>$AI$6*Z188</f>
        <v/>
      </c>
      <c r="AJ188" s="220">
        <f>$AJ$6*AA188</f>
        <v/>
      </c>
      <c r="AK188" s="220">
        <f>$AK$6*AB188</f>
        <v/>
      </c>
      <c r="AL188" s="220">
        <f>$AL$6*AC188</f>
        <v/>
      </c>
      <c r="AM188" s="220">
        <f>SUM(AH188:AL188)</f>
        <v/>
      </c>
      <c r="AN188" s="220" t="n">
        <v>0</v>
      </c>
      <c r="AO188" s="220">
        <f>AN188*AH188</f>
        <v/>
      </c>
      <c r="AP188" s="220">
        <f>AD188</f>
        <v/>
      </c>
      <c r="AQ188" s="220">
        <f>AE188</f>
        <v/>
      </c>
      <c r="AR188" s="220">
        <f>AM188-AO188</f>
        <v/>
      </c>
      <c r="AS188" s="220">
        <f>AR188-AK188</f>
        <v/>
      </c>
      <c r="AT188" s="220">
        <f>AS188*1.075</f>
        <v/>
      </c>
      <c r="AU188" s="220">
        <f>ROUNDUP(AT188+AK188+AP188+AQ188,-4)</f>
        <v/>
      </c>
      <c r="AV188" s="198" t="n">
        <v>1349764</v>
      </c>
      <c r="AW188" s="227" t="n"/>
      <c r="AX188" s="220">
        <f>AV188-AR188</f>
        <v/>
      </c>
      <c r="AY188" s="35">
        <f>AX188/AR188</f>
        <v/>
      </c>
      <c r="AZ188" s="220">
        <f>AV188-AF188</f>
        <v/>
      </c>
      <c r="BA188" s="215">
        <f>AV188-SUM(Z188:AC188)</f>
        <v/>
      </c>
      <c r="BB188" s="215">
        <f>BA188-Y188</f>
        <v/>
      </c>
      <c r="BC188" s="35">
        <f>BB188/BA188</f>
        <v/>
      </c>
      <c r="BD188" s="35">
        <f>IFERROR(AZ188/AV188,)</f>
        <v/>
      </c>
      <c r="BE188" s="255">
        <f>AV188-SUM(Z188:AC188)</f>
        <v/>
      </c>
      <c r="BF188" s="255">
        <f>AV188-BE188-AC188-AB188</f>
        <v/>
      </c>
      <c r="BG188" s="255">
        <f>AV188-BE188-BF188-AB188</f>
        <v/>
      </c>
      <c r="BH188" s="255">
        <f>AB188</f>
        <v/>
      </c>
      <c r="BI188">
        <f>IF(BD188&lt;0%,"Loss",IF(BD188&lt;5%,"On Cost Plus",IF(BD188&lt;10%,"Within","Exceed")))</f>
        <v/>
      </c>
      <c r="BJ188" t="inlineStr">
        <is>
          <t>Exceed</t>
        </is>
      </c>
      <c r="BK188">
        <f>0.51*$BK$6</f>
        <v/>
      </c>
      <c r="BL188" s="190">
        <f>BK188-W188</f>
        <v/>
      </c>
      <c r="BM188" s="189">
        <f>BL188*O188</f>
        <v/>
      </c>
    </row>
    <row r="189">
      <c r="A189">
        <f>CONCATENATE(E189,F189,G189,H189,I189,J189,K189,L189)</f>
        <v/>
      </c>
      <c r="B189">
        <f>CONCATENATE(J189,"-&gt;",K189,"/",E189)</f>
        <v/>
      </c>
      <c r="C189" s="23" t="inlineStr">
        <is>
          <t>AFEEZ AJIBADE/Ebenezer</t>
        </is>
      </c>
      <c r="D189">
        <f>CONCATENATE(G189,"-",H189,"-",F189)</f>
        <v/>
      </c>
      <c r="E189" s="24" t="inlineStr">
        <is>
          <t>Lacasera-45T-NBL-DSL-JUMBO</t>
        </is>
      </c>
      <c r="F189" s="24" t="inlineStr">
        <is>
          <t>JUMBO</t>
        </is>
      </c>
      <c r="G189" s="25" t="inlineStr">
        <is>
          <t>NBL-DSL</t>
        </is>
      </c>
      <c r="H189" s="24" t="inlineStr">
        <is>
          <t>45T</t>
        </is>
      </c>
      <c r="I189" s="251" t="inlineStr">
        <is>
          <t>Lacasera</t>
        </is>
      </c>
      <c r="J189" s="251" t="inlineStr">
        <is>
          <t>Lagos</t>
        </is>
      </c>
      <c r="K189" s="23" t="inlineStr">
        <is>
          <t>Akure</t>
        </is>
      </c>
      <c r="L189" t="inlineStr">
        <is>
          <t>Ondo</t>
        </is>
      </c>
      <c r="M189" s="1" t="inlineStr">
        <is>
          <t>West</t>
        </is>
      </c>
      <c r="N189" s="261" t="n">
        <v>301.5</v>
      </c>
      <c r="O189" s="257" t="n">
        <v>603</v>
      </c>
      <c r="P189" s="227">
        <f>ROUNDUP(O189/300,)</f>
        <v/>
      </c>
      <c r="Q189" s="220" t="n">
        <v>1</v>
      </c>
      <c r="R189" s="220">
        <f>Q189+P189</f>
        <v/>
      </c>
      <c r="S189" s="198">
        <f>ROUNDDOWN(O189*0.7,)</f>
        <v/>
      </c>
      <c r="T189" s="220">
        <f>_xlfn.XLOOKUP(G189,[1]Fx!$A$4:$A$12,[1]Fx!$B$4:$B$12)</f>
        <v/>
      </c>
      <c r="U189" s="220">
        <f>_xlfn.XLOOKUP(G189,[1]Fx!$A$4:$A$12,[1]Fx!$C$4:$C$12)</f>
        <v/>
      </c>
      <c r="V189" s="220">
        <f>_xlfn.XLOOKUP(G189,[1]Fx!$A$4:$A$12,[1]Fx!$D$4:$D$12)</f>
        <v/>
      </c>
      <c r="W189" s="208">
        <f>_xlfn.XLOOKUP(H189&amp;I189,'[1]Mapping DSL'!$H:$H,'[1]Mapping DSL'!$J:$J)</f>
        <v/>
      </c>
      <c r="X189" s="220">
        <f>_xlfn.XLOOKUP(G189,[1]Fx!$A$4:$A$12,[1]Fx!$E$4:$E$12)</f>
        <v/>
      </c>
      <c r="Y189" s="220">
        <f>T189*R189</f>
        <v/>
      </c>
      <c r="Z189" s="220">
        <f>U189*O189</f>
        <v/>
      </c>
      <c r="AA189" s="220">
        <f>V189*O189</f>
        <v/>
      </c>
      <c r="AB189" s="220">
        <f>W189*O189</f>
        <v/>
      </c>
      <c r="AC189" s="198">
        <f>X189*O189</f>
        <v/>
      </c>
      <c r="AD189" s="220" t="n">
        <v>0</v>
      </c>
      <c r="AE189" s="220" t="n">
        <v>0</v>
      </c>
      <c r="AF189" s="220">
        <f>SUM(Y189:AE189)</f>
        <v/>
      </c>
      <c r="AG189" s="205">
        <f>_xlfn.XLOOKUP(G189,[1]Fx!$A$16:$A$24,[1]Fx!$B$16:$B$24)</f>
        <v/>
      </c>
      <c r="AH189" s="220">
        <f>AG189*R189</f>
        <v/>
      </c>
      <c r="AI189" s="220">
        <f>$AI$6*Z189</f>
        <v/>
      </c>
      <c r="AJ189" s="220">
        <f>$AJ$6*AA189</f>
        <v/>
      </c>
      <c r="AK189" s="220">
        <f>$AK$6*AB189</f>
        <v/>
      </c>
      <c r="AL189" s="220">
        <f>$AL$6*AC189</f>
        <v/>
      </c>
      <c r="AM189" s="220">
        <f>SUM(AH189:AL189)</f>
        <v/>
      </c>
      <c r="AN189" s="220" t="n">
        <v>0</v>
      </c>
      <c r="AO189" s="220">
        <f>AN189*AH189</f>
        <v/>
      </c>
      <c r="AP189" s="220">
        <f>AD189</f>
        <v/>
      </c>
      <c r="AQ189" s="220">
        <f>AE189</f>
        <v/>
      </c>
      <c r="AR189" s="220">
        <f>AM189-AO189</f>
        <v/>
      </c>
      <c r="AS189" s="220">
        <f>AR189-AK189</f>
        <v/>
      </c>
      <c r="AT189" s="220">
        <f>AS189*1.075</f>
        <v/>
      </c>
      <c r="AU189" s="220">
        <f>ROUNDUP(AT189+AK189+AP189+AQ189,-4)</f>
        <v/>
      </c>
      <c r="AV189" s="198" t="n">
        <v>1429990</v>
      </c>
      <c r="AW189" s="227" t="n"/>
      <c r="AX189" s="220">
        <f>AV189-AR189</f>
        <v/>
      </c>
      <c r="AY189" s="35">
        <f>AX189/AR189</f>
        <v/>
      </c>
      <c r="AZ189" s="220">
        <f>AV189-AF189</f>
        <v/>
      </c>
      <c r="BA189" s="215">
        <f>AV189-SUM(Z189:AC189)</f>
        <v/>
      </c>
      <c r="BB189" s="215">
        <f>BA189-Y189</f>
        <v/>
      </c>
      <c r="BC189" s="35">
        <f>BB189/BA189</f>
        <v/>
      </c>
      <c r="BD189" s="35">
        <f>IFERROR(AZ189/AV189,)</f>
        <v/>
      </c>
      <c r="BE189" s="255">
        <f>AV189-SUM(Z189:AC189)</f>
        <v/>
      </c>
      <c r="BF189" s="255">
        <f>AV189-BE189-AC189-AB189</f>
        <v/>
      </c>
      <c r="BG189" s="255">
        <f>AV189-BE189-BF189-AB189</f>
        <v/>
      </c>
      <c r="BH189" s="255">
        <f>AB189</f>
        <v/>
      </c>
      <c r="BI189">
        <f>IF(BD189&lt;0%,"Loss",IF(BD189&lt;5%,"On Cost Plus",IF(BD189&lt;10%,"Within","Exceed")))</f>
        <v/>
      </c>
      <c r="BJ189" t="inlineStr">
        <is>
          <t>Exceed</t>
        </is>
      </c>
      <c r="BK189">
        <f>0.51*$BK$6</f>
        <v/>
      </c>
      <c r="BL189" s="190">
        <f>BK189-W189</f>
        <v/>
      </c>
      <c r="BM189" s="189">
        <f>BL189*O189</f>
        <v/>
      </c>
    </row>
    <row r="190">
      <c r="A190">
        <f>CONCATENATE(E190,F190,G190,H190,I190,J190,K190,L190)</f>
        <v/>
      </c>
      <c r="B190">
        <f>CONCATENATE(J190,"-&gt;",K190,"/",E190)</f>
        <v/>
      </c>
      <c r="C190" s="23" t="inlineStr">
        <is>
          <t>AFEEZ AJIBADE/Ebenezer</t>
        </is>
      </c>
      <c r="D190">
        <f>CONCATENATE(G190,"-",H190,"-",F190)</f>
        <v/>
      </c>
      <c r="E190" s="24" t="inlineStr">
        <is>
          <t>Lacasera-45T-NBL-DSL-JUMBO</t>
        </is>
      </c>
      <c r="F190" s="24" t="inlineStr">
        <is>
          <t>JUMBO</t>
        </is>
      </c>
      <c r="G190" s="25" t="inlineStr">
        <is>
          <t>NBL-DSL</t>
        </is>
      </c>
      <c r="H190" s="24" t="inlineStr">
        <is>
          <t>45T</t>
        </is>
      </c>
      <c r="I190" s="251" t="inlineStr">
        <is>
          <t>Lacasera</t>
        </is>
      </c>
      <c r="J190" s="251" t="inlineStr">
        <is>
          <t>Lagos</t>
        </is>
      </c>
      <c r="K190" s="23" t="inlineStr">
        <is>
          <t>Ibadan</t>
        </is>
      </c>
      <c r="L190" t="inlineStr">
        <is>
          <t>Oyo</t>
        </is>
      </c>
      <c r="M190" s="1" t="inlineStr">
        <is>
          <t>West</t>
        </is>
      </c>
      <c r="N190" s="261" t="n">
        <v>135</v>
      </c>
      <c r="O190" s="257" t="n">
        <v>270</v>
      </c>
      <c r="P190" s="227">
        <f>ROUNDUP(O190/300,)</f>
        <v/>
      </c>
      <c r="Q190" s="220" t="n">
        <v>1</v>
      </c>
      <c r="R190" s="220">
        <f>Q190+P190</f>
        <v/>
      </c>
      <c r="S190" s="198">
        <f>ROUNDDOWN(O190*0.7,)</f>
        <v/>
      </c>
      <c r="T190" s="220">
        <f>_xlfn.XLOOKUP(G190,[1]Fx!$A$4:$A$12,[1]Fx!$B$4:$B$12)</f>
        <v/>
      </c>
      <c r="U190" s="220">
        <f>_xlfn.XLOOKUP(G190,[1]Fx!$A$4:$A$12,[1]Fx!$C$4:$C$12)</f>
        <v/>
      </c>
      <c r="V190" s="220">
        <f>_xlfn.XLOOKUP(G190,[1]Fx!$A$4:$A$12,[1]Fx!$D$4:$D$12)</f>
        <v/>
      </c>
      <c r="W190" s="208">
        <f>_xlfn.XLOOKUP(H190&amp;I190,'[1]Mapping DSL'!$H:$H,'[1]Mapping DSL'!$J:$J)</f>
        <v/>
      </c>
      <c r="X190" s="220">
        <f>_xlfn.XLOOKUP(G190,[1]Fx!$A$4:$A$12,[1]Fx!$E$4:$E$12)</f>
        <v/>
      </c>
      <c r="Y190" s="220">
        <f>T190*R190</f>
        <v/>
      </c>
      <c r="Z190" s="220">
        <f>U190*O190</f>
        <v/>
      </c>
      <c r="AA190" s="220">
        <f>V190*O190</f>
        <v/>
      </c>
      <c r="AB190" s="220">
        <f>W190*O190</f>
        <v/>
      </c>
      <c r="AC190" s="198">
        <f>X190*O190</f>
        <v/>
      </c>
      <c r="AD190" s="220" t="n">
        <v>0</v>
      </c>
      <c r="AE190" s="220" t="n">
        <v>0</v>
      </c>
      <c r="AF190" s="220">
        <f>SUM(Y190:AE190)</f>
        <v/>
      </c>
      <c r="AG190" s="205">
        <f>_xlfn.XLOOKUP(G190,[1]Fx!$A$16:$A$24,[1]Fx!$B$16:$B$24)</f>
        <v/>
      </c>
      <c r="AH190" s="220">
        <f>AG190*R190</f>
        <v/>
      </c>
      <c r="AI190" s="220">
        <f>$AI$6*Z190</f>
        <v/>
      </c>
      <c r="AJ190" s="220">
        <f>$AJ$6*AA190</f>
        <v/>
      </c>
      <c r="AK190" s="220">
        <f>$AK$6*AB190</f>
        <v/>
      </c>
      <c r="AL190" s="220">
        <f>$AL$6*AC190</f>
        <v/>
      </c>
      <c r="AM190" s="220">
        <f>SUM(AH190:AL190)</f>
        <v/>
      </c>
      <c r="AN190" s="220" t="n">
        <v>0</v>
      </c>
      <c r="AO190" s="220">
        <f>AN190*AH190</f>
        <v/>
      </c>
      <c r="AP190" s="220">
        <f>AD190</f>
        <v/>
      </c>
      <c r="AQ190" s="220">
        <f>AE190</f>
        <v/>
      </c>
      <c r="AR190" s="220">
        <f>AM190-AO190</f>
        <v/>
      </c>
      <c r="AS190" s="220">
        <f>AR190-AK190</f>
        <v/>
      </c>
      <c r="AT190" s="220">
        <f>AS190*1.075</f>
        <v/>
      </c>
      <c r="AU190" s="220">
        <f>ROUNDUP(AT190+AK190+AP190+AQ190,-4)</f>
        <v/>
      </c>
      <c r="AV190" s="198" t="n">
        <v>879460</v>
      </c>
      <c r="AW190" s="227" t="n"/>
      <c r="AX190" s="220">
        <f>AV190-AR190</f>
        <v/>
      </c>
      <c r="AY190" s="35">
        <f>AX190/AR190</f>
        <v/>
      </c>
      <c r="AZ190" s="220">
        <f>AV190-AF190</f>
        <v/>
      </c>
      <c r="BA190" s="215">
        <f>AV190-SUM(Z190:AC190)</f>
        <v/>
      </c>
      <c r="BB190" s="215">
        <f>BA190-Y190</f>
        <v/>
      </c>
      <c r="BC190" s="35">
        <f>BB190/BA190</f>
        <v/>
      </c>
      <c r="BD190" s="35">
        <f>IFERROR(AZ190/AV190,)</f>
        <v/>
      </c>
      <c r="BE190" s="255">
        <f>AV190-SUM(Z190:AC190)</f>
        <v/>
      </c>
      <c r="BF190" s="255">
        <f>AV190-BE190-AC190-AB190</f>
        <v/>
      </c>
      <c r="BG190" s="255">
        <f>AV190-BE190-BF190-AB190</f>
        <v/>
      </c>
      <c r="BH190" s="255">
        <f>AB190</f>
        <v/>
      </c>
      <c r="BI190">
        <f>IF(BD190&lt;0%,"Loss",IF(BD190&lt;5%,"On Cost Plus",IF(BD190&lt;10%,"Within","Exceed")))</f>
        <v/>
      </c>
      <c r="BJ190" t="inlineStr">
        <is>
          <t>Exceed</t>
        </is>
      </c>
      <c r="BK190">
        <f>0.51*$BK$6</f>
        <v/>
      </c>
      <c r="BL190" s="190">
        <f>BK190-W190</f>
        <v/>
      </c>
      <c r="BM190" s="189">
        <f>BL190*O190</f>
        <v/>
      </c>
    </row>
    <row r="191">
      <c r="A191">
        <f>CONCATENATE(E191,F191,G191,H191,I191,J191,K191,L191)</f>
        <v/>
      </c>
      <c r="B191">
        <f>CONCATENATE(J191,"-&gt;",K191,"/",E191)</f>
        <v/>
      </c>
      <c r="C191" s="23" t="inlineStr">
        <is>
          <t>AFEEZ AJIBADE/Ebenezer</t>
        </is>
      </c>
      <c r="D191">
        <f>CONCATENATE(G191,"-",H191,"-",F191)</f>
        <v/>
      </c>
      <c r="E191" s="24" t="inlineStr">
        <is>
          <t>Lacasera-45T-NBL-DSL-JUMBO</t>
        </is>
      </c>
      <c r="F191" s="24" t="inlineStr">
        <is>
          <t>JUMBO</t>
        </is>
      </c>
      <c r="G191" s="25" t="inlineStr">
        <is>
          <t>NBL-DSL</t>
        </is>
      </c>
      <c r="H191" s="24" t="inlineStr">
        <is>
          <t>45T</t>
        </is>
      </c>
      <c r="I191" s="251" t="inlineStr">
        <is>
          <t>Lacasera</t>
        </is>
      </c>
      <c r="J191" s="251" t="inlineStr">
        <is>
          <t>Lagos</t>
        </is>
      </c>
      <c r="K191" s="23" t="inlineStr">
        <is>
          <t>Iseyin</t>
        </is>
      </c>
      <c r="L191" t="inlineStr">
        <is>
          <t>Oyo</t>
        </is>
      </c>
      <c r="M191" s="1" t="inlineStr">
        <is>
          <t>West</t>
        </is>
      </c>
      <c r="N191" s="261" t="n">
        <v>222.5</v>
      </c>
      <c r="O191" s="257" t="n">
        <v>445</v>
      </c>
      <c r="P191" s="227">
        <f>ROUNDUP(O191/300,)</f>
        <v/>
      </c>
      <c r="Q191" s="220" t="n">
        <v>1</v>
      </c>
      <c r="R191" s="220">
        <f>Q191+P191</f>
        <v/>
      </c>
      <c r="S191" s="198">
        <f>ROUNDDOWN(O191*0.7,)</f>
        <v/>
      </c>
      <c r="T191" s="220">
        <f>_xlfn.XLOOKUP(G191,[1]Fx!$A$4:$A$12,[1]Fx!$B$4:$B$12)</f>
        <v/>
      </c>
      <c r="U191" s="220">
        <f>_xlfn.XLOOKUP(G191,[1]Fx!$A$4:$A$12,[1]Fx!$C$4:$C$12)</f>
        <v/>
      </c>
      <c r="V191" s="220">
        <f>_xlfn.XLOOKUP(G191,[1]Fx!$A$4:$A$12,[1]Fx!$D$4:$D$12)</f>
        <v/>
      </c>
      <c r="W191" s="208">
        <f>_xlfn.XLOOKUP(H191&amp;I191,'[1]Mapping DSL'!$H:$H,'[1]Mapping DSL'!$J:$J)</f>
        <v/>
      </c>
      <c r="X191" s="220">
        <f>_xlfn.XLOOKUP(G191,[1]Fx!$A$4:$A$12,[1]Fx!$E$4:$E$12)</f>
        <v/>
      </c>
      <c r="Y191" s="220">
        <f>T191*R191</f>
        <v/>
      </c>
      <c r="Z191" s="220">
        <f>U191*O191</f>
        <v/>
      </c>
      <c r="AA191" s="220">
        <f>V191*O191</f>
        <v/>
      </c>
      <c r="AB191" s="220">
        <f>W191*O191</f>
        <v/>
      </c>
      <c r="AC191" s="198">
        <f>X191*O191</f>
        <v/>
      </c>
      <c r="AD191" s="220" t="n">
        <v>0</v>
      </c>
      <c r="AE191" s="220" t="n">
        <v>0</v>
      </c>
      <c r="AF191" s="220">
        <f>SUM(Y191:AE191)</f>
        <v/>
      </c>
      <c r="AG191" s="205">
        <f>_xlfn.XLOOKUP(G191,[1]Fx!$A$16:$A$24,[1]Fx!$B$16:$B$24)</f>
        <v/>
      </c>
      <c r="AH191" s="220">
        <f>AG191*R191</f>
        <v/>
      </c>
      <c r="AI191" s="220">
        <f>$AI$6*Z191</f>
        <v/>
      </c>
      <c r="AJ191" s="220">
        <f>$AJ$6*AA191</f>
        <v/>
      </c>
      <c r="AK191" s="220">
        <f>$AK$6*AB191</f>
        <v/>
      </c>
      <c r="AL191" s="220">
        <f>$AL$6*AC191</f>
        <v/>
      </c>
      <c r="AM191" s="220">
        <f>SUM(AH191:AL191)</f>
        <v/>
      </c>
      <c r="AN191" s="220" t="n">
        <v>0</v>
      </c>
      <c r="AO191" s="220">
        <f>AN191*AH191</f>
        <v/>
      </c>
      <c r="AP191" s="220">
        <f>AD191</f>
        <v/>
      </c>
      <c r="AQ191" s="220">
        <f>AE191</f>
        <v/>
      </c>
      <c r="AR191" s="220">
        <f>AM191-AO191</f>
        <v/>
      </c>
      <c r="AS191" s="220">
        <f>AR191-AK191</f>
        <v/>
      </c>
      <c r="AT191" s="220">
        <f>AS191*1.075</f>
        <v/>
      </c>
      <c r="AU191" s="220">
        <f>ROUNDUP(AT191+AK191+AP191+AQ191,-4)</f>
        <v/>
      </c>
      <c r="AV191" s="198" t="n">
        <v>1179460</v>
      </c>
      <c r="AW191" s="227" t="n"/>
      <c r="AX191" s="220">
        <f>AV191-AR191</f>
        <v/>
      </c>
      <c r="AY191" s="35">
        <f>AX191/AR191</f>
        <v/>
      </c>
      <c r="AZ191" s="220">
        <f>AV191-AF191</f>
        <v/>
      </c>
      <c r="BA191" s="215">
        <f>AV191-SUM(Z191:AC191)</f>
        <v/>
      </c>
      <c r="BB191" s="215">
        <f>BA191-Y191</f>
        <v/>
      </c>
      <c r="BC191" s="35">
        <f>BB191/BA191</f>
        <v/>
      </c>
      <c r="BD191" s="35">
        <f>IFERROR(AZ191/AV191,)</f>
        <v/>
      </c>
      <c r="BE191" s="255">
        <f>AV191-SUM(Z191:AC191)</f>
        <v/>
      </c>
      <c r="BF191" s="255">
        <f>AV191-BE191-AC191-AB191</f>
        <v/>
      </c>
      <c r="BG191" s="255">
        <f>AV191-BE191-BF191-AB191</f>
        <v/>
      </c>
      <c r="BH191" s="255">
        <f>AB191</f>
        <v/>
      </c>
      <c r="BI191">
        <f>IF(BD191&lt;0%,"Loss",IF(BD191&lt;5%,"On Cost Plus",IF(BD191&lt;10%,"Within","Exceed")))</f>
        <v/>
      </c>
      <c r="BJ191" t="inlineStr">
        <is>
          <t>Exceed</t>
        </is>
      </c>
      <c r="BK191">
        <f>0.51*$BK$6</f>
        <v/>
      </c>
      <c r="BL191" s="190">
        <f>BK191-W191</f>
        <v/>
      </c>
      <c r="BM191" s="189">
        <f>BL191*O191</f>
        <v/>
      </c>
    </row>
    <row r="192">
      <c r="A192">
        <f>CONCATENATE(E192,F192,G192,H192,I192,J192,K192,L192)</f>
        <v/>
      </c>
      <c r="B192">
        <f>CONCATENATE(J192,"-&gt;",K192,"/",E192)</f>
        <v/>
      </c>
      <c r="C192" s="23" t="inlineStr">
        <is>
          <t>AFEEZ AJIBADE/Ebenezer</t>
        </is>
      </c>
      <c r="D192">
        <f>CONCATENATE(G192,"-",H192,"-",F192)</f>
        <v/>
      </c>
      <c r="E192" s="24" t="inlineStr">
        <is>
          <t>Lacasera-45T-NBL-DSL-JUMBO</t>
        </is>
      </c>
      <c r="F192" s="24" t="inlineStr">
        <is>
          <t>JUMBO</t>
        </is>
      </c>
      <c r="G192" s="25" t="inlineStr">
        <is>
          <t>NBL-DSL</t>
        </is>
      </c>
      <c r="H192" s="24" t="inlineStr">
        <is>
          <t>45T</t>
        </is>
      </c>
      <c r="I192" s="251" t="inlineStr">
        <is>
          <t>Lacasera</t>
        </is>
      </c>
      <c r="J192" s="251" t="inlineStr">
        <is>
          <t>Lagos</t>
        </is>
      </c>
      <c r="K192" s="23" t="inlineStr">
        <is>
          <t>Ilaro</t>
        </is>
      </c>
      <c r="L192" t="inlineStr">
        <is>
          <t>Ogun</t>
        </is>
      </c>
      <c r="M192" s="1" t="inlineStr">
        <is>
          <t>West</t>
        </is>
      </c>
      <c r="N192" s="261" t="n">
        <v>43</v>
      </c>
      <c r="O192" s="257" t="n">
        <v>86</v>
      </c>
      <c r="P192" s="227">
        <f>ROUNDUP(O192/300,)</f>
        <v/>
      </c>
      <c r="Q192" s="220" t="n">
        <v>1</v>
      </c>
      <c r="R192" s="220">
        <f>Q192+P192</f>
        <v/>
      </c>
      <c r="S192" s="198">
        <f>ROUNDDOWN(O192*0.7,)</f>
        <v/>
      </c>
      <c r="T192" s="220">
        <f>_xlfn.XLOOKUP(G192,[1]Fx!$A$4:$A$12,[1]Fx!$B$4:$B$12)</f>
        <v/>
      </c>
      <c r="U192" s="220">
        <f>_xlfn.XLOOKUP(G192,[1]Fx!$A$4:$A$12,[1]Fx!$C$4:$C$12)</f>
        <v/>
      </c>
      <c r="V192" s="220">
        <f>_xlfn.XLOOKUP(G192,[1]Fx!$A$4:$A$12,[1]Fx!$D$4:$D$12)</f>
        <v/>
      </c>
      <c r="W192" s="208">
        <f>_xlfn.XLOOKUP(H192&amp;I192,'[1]Mapping DSL'!$H:$H,'[1]Mapping DSL'!$J:$J)</f>
        <v/>
      </c>
      <c r="X192" s="220">
        <f>_xlfn.XLOOKUP(G192,[1]Fx!$A$4:$A$12,[1]Fx!$E$4:$E$12)</f>
        <v/>
      </c>
      <c r="Y192" s="220">
        <f>T192*R192</f>
        <v/>
      </c>
      <c r="Z192" s="220">
        <f>U192*O192</f>
        <v/>
      </c>
      <c r="AA192" s="220">
        <f>V192*O192</f>
        <v/>
      </c>
      <c r="AB192" s="220">
        <f>W192*O192</f>
        <v/>
      </c>
      <c r="AC192" s="198">
        <f>X192*O192</f>
        <v/>
      </c>
      <c r="AD192" s="220" t="n">
        <v>0</v>
      </c>
      <c r="AE192" s="220" t="n">
        <v>0</v>
      </c>
      <c r="AF192" s="220">
        <f>SUM(Y192:AE192)</f>
        <v/>
      </c>
      <c r="AG192" s="205">
        <f>_xlfn.XLOOKUP(G192,[1]Fx!$A$16:$A$24,[1]Fx!$B$16:$B$24)</f>
        <v/>
      </c>
      <c r="AH192" s="220">
        <f>AG192*R192</f>
        <v/>
      </c>
      <c r="AI192" s="220">
        <f>$AI$6*Z192</f>
        <v/>
      </c>
      <c r="AJ192" s="220">
        <f>$AJ$6*AA192</f>
        <v/>
      </c>
      <c r="AK192" s="220">
        <f>$AK$6*AB192</f>
        <v/>
      </c>
      <c r="AL192" s="220">
        <f>$AL$6*AC192</f>
        <v/>
      </c>
      <c r="AM192" s="220">
        <f>SUM(AH192:AL192)</f>
        <v/>
      </c>
      <c r="AN192" s="220" t="n">
        <v>0</v>
      </c>
      <c r="AO192" s="220">
        <f>AN192*AH192</f>
        <v/>
      </c>
      <c r="AP192" s="220">
        <f>AD192</f>
        <v/>
      </c>
      <c r="AQ192" s="220">
        <f>AE192</f>
        <v/>
      </c>
      <c r="AR192" s="220">
        <f>AM192-AO192</f>
        <v/>
      </c>
      <c r="AS192" s="220">
        <f>AR192-AK192</f>
        <v/>
      </c>
      <c r="AT192" s="220">
        <f>AS192*1.075</f>
        <v/>
      </c>
      <c r="AU192" s="220">
        <f>ROUNDUP(AT192+AK192+AP192+AQ192,-4)</f>
        <v/>
      </c>
      <c r="AV192" s="198" t="n">
        <v>1083752</v>
      </c>
      <c r="AW192" s="227" t="n"/>
      <c r="AX192" s="220">
        <f>AV192-AR192</f>
        <v/>
      </c>
      <c r="AY192" s="35">
        <f>AX192/AR192</f>
        <v/>
      </c>
      <c r="AZ192" s="220">
        <f>AV192-AF192</f>
        <v/>
      </c>
      <c r="BA192" s="215">
        <f>AV192-SUM(Z192:AC192)</f>
        <v/>
      </c>
      <c r="BB192" s="215">
        <f>BA192-Y192</f>
        <v/>
      </c>
      <c r="BC192" s="35">
        <f>BB192/BA192</f>
        <v/>
      </c>
      <c r="BD192" s="35">
        <f>IFERROR(AZ192/AV192,)</f>
        <v/>
      </c>
      <c r="BE192" s="255">
        <f>AV192-SUM(Z192:AC192)</f>
        <v/>
      </c>
      <c r="BF192" s="255">
        <f>AV192-BE192-AC192-AB192</f>
        <v/>
      </c>
      <c r="BG192" s="255">
        <f>AV192-BE192-BF192-AB192</f>
        <v/>
      </c>
      <c r="BH192" s="255">
        <f>AB192</f>
        <v/>
      </c>
      <c r="BI192">
        <f>IF(BD192&lt;0%,"Loss",IF(BD192&lt;5%,"On Cost Plus",IF(BD192&lt;10%,"Within","Exceed")))</f>
        <v/>
      </c>
      <c r="BJ192" t="inlineStr">
        <is>
          <t>Exceed</t>
        </is>
      </c>
      <c r="BK192">
        <f>0.51*$BK$6</f>
        <v/>
      </c>
      <c r="BL192" s="190">
        <f>BK192-W192</f>
        <v/>
      </c>
      <c r="BM192" s="189">
        <f>BL192*O192</f>
        <v/>
      </c>
    </row>
    <row r="193">
      <c r="A193">
        <f>CONCATENATE(E193,F193,G193,H193,I193,J193,K193,L193)</f>
        <v/>
      </c>
      <c r="B193">
        <f>CONCATENATE(J193,"-&gt;",K193,"/",E193)</f>
        <v/>
      </c>
      <c r="C193" s="23" t="inlineStr">
        <is>
          <t>AFEEZ AJIBADE/Ebenezer</t>
        </is>
      </c>
      <c r="D193">
        <f>CONCATENATE(G193,"-",H193,"-",F193)</f>
        <v/>
      </c>
      <c r="E193" s="24" t="inlineStr">
        <is>
          <t>Lacasera-45T-NBL-DSL-JUMBO</t>
        </is>
      </c>
      <c r="F193" s="24" t="inlineStr">
        <is>
          <t>JUMBO</t>
        </is>
      </c>
      <c r="G193" s="25" t="inlineStr">
        <is>
          <t>NBL-DSL</t>
        </is>
      </c>
      <c r="H193" s="24" t="inlineStr">
        <is>
          <t>45T</t>
        </is>
      </c>
      <c r="I193" s="251" t="inlineStr">
        <is>
          <t>Lacasera</t>
        </is>
      </c>
      <c r="J193" s="251" t="inlineStr">
        <is>
          <t>Lagos</t>
        </is>
      </c>
      <c r="K193" s="23" t="inlineStr">
        <is>
          <t>Osogbo</t>
        </is>
      </c>
      <c r="L193" t="inlineStr">
        <is>
          <t>Osun</t>
        </is>
      </c>
      <c r="M193" s="1" t="inlineStr">
        <is>
          <t>West</t>
        </is>
      </c>
      <c r="N193" s="261" t="n">
        <v>229.5</v>
      </c>
      <c r="O193" s="257" t="n">
        <v>459</v>
      </c>
      <c r="P193" s="227">
        <f>ROUNDUP(O193/300,)</f>
        <v/>
      </c>
      <c r="Q193" s="220" t="n">
        <v>1</v>
      </c>
      <c r="R193" s="220">
        <f>Q193+P193</f>
        <v/>
      </c>
      <c r="S193" s="198">
        <f>ROUNDDOWN(O193*0.7,)</f>
        <v/>
      </c>
      <c r="T193" s="220">
        <f>_xlfn.XLOOKUP(G193,[1]Fx!$A$4:$A$12,[1]Fx!$B$4:$B$12)</f>
        <v/>
      </c>
      <c r="U193" s="220">
        <f>_xlfn.XLOOKUP(G193,[1]Fx!$A$4:$A$12,[1]Fx!$C$4:$C$12)</f>
        <v/>
      </c>
      <c r="V193" s="220">
        <f>_xlfn.XLOOKUP(G193,[1]Fx!$A$4:$A$12,[1]Fx!$D$4:$D$12)</f>
        <v/>
      </c>
      <c r="W193" s="208">
        <f>_xlfn.XLOOKUP(H193&amp;I193,'[1]Mapping DSL'!$H:$H,'[1]Mapping DSL'!$J:$J)</f>
        <v/>
      </c>
      <c r="X193" s="220">
        <f>_xlfn.XLOOKUP(G193,[1]Fx!$A$4:$A$12,[1]Fx!$E$4:$E$12)</f>
        <v/>
      </c>
      <c r="Y193" s="220">
        <f>T193*R193</f>
        <v/>
      </c>
      <c r="Z193" s="220">
        <f>U193*O193</f>
        <v/>
      </c>
      <c r="AA193" s="220">
        <f>V193*O193</f>
        <v/>
      </c>
      <c r="AB193" s="220">
        <f>W193*O193</f>
        <v/>
      </c>
      <c r="AC193" s="198">
        <f>X193*O193</f>
        <v/>
      </c>
      <c r="AD193" s="220" t="n">
        <v>0</v>
      </c>
      <c r="AE193" s="220" t="n">
        <v>0</v>
      </c>
      <c r="AF193" s="220">
        <f>SUM(Y193:AE193)</f>
        <v/>
      </c>
      <c r="AG193" s="205">
        <f>_xlfn.XLOOKUP(G193,[1]Fx!$A$16:$A$24,[1]Fx!$B$16:$B$24)</f>
        <v/>
      </c>
      <c r="AH193" s="220">
        <f>AG193*R193</f>
        <v/>
      </c>
      <c r="AI193" s="220">
        <f>$AI$6*Z193</f>
        <v/>
      </c>
      <c r="AJ193" s="220">
        <f>$AJ$6*AA193</f>
        <v/>
      </c>
      <c r="AK193" s="220">
        <f>$AK$6*AB193</f>
        <v/>
      </c>
      <c r="AL193" s="220">
        <f>$AL$6*AC193</f>
        <v/>
      </c>
      <c r="AM193" s="220">
        <f>SUM(AH193:AL193)</f>
        <v/>
      </c>
      <c r="AN193" s="220" t="n">
        <v>0</v>
      </c>
      <c r="AO193" s="220">
        <f>AN193*AH193</f>
        <v/>
      </c>
      <c r="AP193" s="220">
        <f>AD193</f>
        <v/>
      </c>
      <c r="AQ193" s="220">
        <f>AE193</f>
        <v/>
      </c>
      <c r="AR193" s="220">
        <f>AM193-AO193</f>
        <v/>
      </c>
      <c r="AS193" s="220">
        <f>AR193-AK193</f>
        <v/>
      </c>
      <c r="AT193" s="220">
        <f>AS193*1.075</f>
        <v/>
      </c>
      <c r="AU193" s="220">
        <f>ROUNDUP(AT193+AK193+AP193+AQ193,-4)</f>
        <v/>
      </c>
      <c r="AV193" s="198" t="n">
        <v>1210425</v>
      </c>
      <c r="AW193" s="227" t="n"/>
      <c r="AX193" s="220">
        <f>AV193-AR193</f>
        <v/>
      </c>
      <c r="AY193" s="35">
        <f>AX193/AR193</f>
        <v/>
      </c>
      <c r="AZ193" s="220">
        <f>AV193-AF193</f>
        <v/>
      </c>
      <c r="BA193" s="215">
        <f>AV193-SUM(Z193:AC193)</f>
        <v/>
      </c>
      <c r="BB193" s="215">
        <f>BA193-Y193</f>
        <v/>
      </c>
      <c r="BC193" s="35">
        <f>BB193/BA193</f>
        <v/>
      </c>
      <c r="BD193" s="35">
        <f>IFERROR(AZ193/AV193,)</f>
        <v/>
      </c>
      <c r="BE193" s="255">
        <f>AV193-SUM(Z193:AC193)</f>
        <v/>
      </c>
      <c r="BF193" s="255">
        <f>AV193-BE193-AC193-AB193</f>
        <v/>
      </c>
      <c r="BG193" s="255">
        <f>AV193-BE193-BF193-AB193</f>
        <v/>
      </c>
      <c r="BH193" s="255">
        <f>AB193</f>
        <v/>
      </c>
      <c r="BI193">
        <f>IF(BD193&lt;0%,"Loss",IF(BD193&lt;5%,"On Cost Plus",IF(BD193&lt;10%,"Within","Exceed")))</f>
        <v/>
      </c>
      <c r="BJ193" t="inlineStr">
        <is>
          <t>Exceed</t>
        </is>
      </c>
      <c r="BK193">
        <f>0.51*$BK$6</f>
        <v/>
      </c>
      <c r="BL193" s="190">
        <f>BK193-W193</f>
        <v/>
      </c>
      <c r="BM193" s="189">
        <f>BL193*O193</f>
        <v/>
      </c>
    </row>
    <row r="194">
      <c r="A194">
        <f>CONCATENATE(E194,F194,G194,H194,I194,J194,K194,L194)</f>
        <v/>
      </c>
      <c r="B194">
        <f>CONCATENATE(J194,"-&gt;",K194,"/",E194)</f>
        <v/>
      </c>
      <c r="C194" s="23" t="inlineStr">
        <is>
          <t>AFEEZ AJIBADE/Ebenezer</t>
        </is>
      </c>
      <c r="D194">
        <f>CONCATENATE(G194,"-",H194,"-",F194)</f>
        <v/>
      </c>
      <c r="E194" s="24" t="inlineStr">
        <is>
          <t>Lacasera-45T-NBL-DSL-JUMBO</t>
        </is>
      </c>
      <c r="F194" s="24" t="inlineStr">
        <is>
          <t>JUMBO</t>
        </is>
      </c>
      <c r="G194" s="25" t="inlineStr">
        <is>
          <t>NBL-DSL</t>
        </is>
      </c>
      <c r="H194" s="24" t="inlineStr">
        <is>
          <t>45T</t>
        </is>
      </c>
      <c r="I194" s="251" t="inlineStr">
        <is>
          <t>Lacasera</t>
        </is>
      </c>
      <c r="J194" s="251" t="inlineStr">
        <is>
          <t>Lagos</t>
        </is>
      </c>
      <c r="K194" s="23" t="inlineStr">
        <is>
          <t>Ado-Ekiti</t>
        </is>
      </c>
      <c r="L194" t="inlineStr">
        <is>
          <t>Ekiti</t>
        </is>
      </c>
      <c r="M194" s="1" t="inlineStr">
        <is>
          <t>West</t>
        </is>
      </c>
      <c r="N194" s="261" t="n">
        <v>325.5</v>
      </c>
      <c r="O194" s="257" t="n">
        <v>651</v>
      </c>
      <c r="P194" s="227">
        <f>ROUNDUP(O194/300,)</f>
        <v/>
      </c>
      <c r="Q194" s="220" t="n">
        <v>1</v>
      </c>
      <c r="R194" s="220">
        <f>Q194+P194</f>
        <v/>
      </c>
      <c r="S194" s="198">
        <f>ROUNDDOWN(O194*0.7,)</f>
        <v/>
      </c>
      <c r="T194" s="220">
        <f>_xlfn.XLOOKUP(G194,[1]Fx!$A$4:$A$12,[1]Fx!$B$4:$B$12)</f>
        <v/>
      </c>
      <c r="U194" s="220">
        <f>_xlfn.XLOOKUP(G194,[1]Fx!$A$4:$A$12,[1]Fx!$C$4:$C$12)</f>
        <v/>
      </c>
      <c r="V194" s="220">
        <f>_xlfn.XLOOKUP(G194,[1]Fx!$A$4:$A$12,[1]Fx!$D$4:$D$12)</f>
        <v/>
      </c>
      <c r="W194" s="208">
        <f>_xlfn.XLOOKUP(H194&amp;I194,'[1]Mapping DSL'!$H:$H,'[1]Mapping DSL'!$J:$J)</f>
        <v/>
      </c>
      <c r="X194" s="220">
        <f>_xlfn.XLOOKUP(G194,[1]Fx!$A$4:$A$12,[1]Fx!$E$4:$E$12)</f>
        <v/>
      </c>
      <c r="Y194" s="220">
        <f>T194*R194</f>
        <v/>
      </c>
      <c r="Z194" s="220">
        <f>U194*O194</f>
        <v/>
      </c>
      <c r="AA194" s="220">
        <f>V194*O194</f>
        <v/>
      </c>
      <c r="AB194" s="220">
        <f>W194*O194</f>
        <v/>
      </c>
      <c r="AC194" s="198">
        <f>X194*O194</f>
        <v/>
      </c>
      <c r="AD194" s="220" t="n">
        <v>0</v>
      </c>
      <c r="AE194" s="220" t="n">
        <v>0</v>
      </c>
      <c r="AF194" s="220">
        <f>SUM(Y194:AE194)</f>
        <v/>
      </c>
      <c r="AG194" s="205">
        <f>_xlfn.XLOOKUP(G194,[1]Fx!$A$16:$A$24,[1]Fx!$B$16:$B$24)</f>
        <v/>
      </c>
      <c r="AH194" s="220">
        <f>AG194*R194</f>
        <v/>
      </c>
      <c r="AI194" s="220">
        <f>$AI$6*Z194</f>
        <v/>
      </c>
      <c r="AJ194" s="220">
        <f>$AJ$6*AA194</f>
        <v/>
      </c>
      <c r="AK194" s="220">
        <f>$AK$6*AB194</f>
        <v/>
      </c>
      <c r="AL194" s="220">
        <f>$AL$6*AC194</f>
        <v/>
      </c>
      <c r="AM194" s="220">
        <f>SUM(AH194:AL194)</f>
        <v/>
      </c>
      <c r="AN194" s="220" t="n">
        <v>0</v>
      </c>
      <c r="AO194" s="220">
        <f>AN194*AH194</f>
        <v/>
      </c>
      <c r="AP194" s="220">
        <f>AD194</f>
        <v/>
      </c>
      <c r="AQ194" s="220">
        <f>AE194</f>
        <v/>
      </c>
      <c r="AR194" s="220">
        <f>AM194-AO194</f>
        <v/>
      </c>
      <c r="AS194" s="220">
        <f>AR194-AK194</f>
        <v/>
      </c>
      <c r="AT194" s="220">
        <f>AS194*1.075</f>
        <v/>
      </c>
      <c r="AU194" s="220">
        <f>ROUNDUP(AT194+AK194+AP194+AQ194,-4)</f>
        <v/>
      </c>
      <c r="AV194" s="198" t="n">
        <v>1673483</v>
      </c>
      <c r="AW194" s="227" t="n"/>
      <c r="AX194" s="220">
        <f>AV194-AR194</f>
        <v/>
      </c>
      <c r="AY194" s="35">
        <f>AX194/AR194</f>
        <v/>
      </c>
      <c r="AZ194" s="220">
        <f>AV194-AF194</f>
        <v/>
      </c>
      <c r="BA194" s="215">
        <f>AV194-SUM(Z194:AC194)</f>
        <v/>
      </c>
      <c r="BB194" s="215">
        <f>BA194-Y194</f>
        <v/>
      </c>
      <c r="BC194" s="35">
        <f>BB194/BA194</f>
        <v/>
      </c>
      <c r="BD194" s="35">
        <f>IFERROR(AZ194/AV194,)</f>
        <v/>
      </c>
      <c r="BE194" s="255">
        <f>AV194-SUM(Z194:AC194)</f>
        <v/>
      </c>
      <c r="BF194" s="255">
        <f>AV194-BE194-AC194-AB194</f>
        <v/>
      </c>
      <c r="BG194" s="255">
        <f>AV194-BE194-BF194-AB194</f>
        <v/>
      </c>
      <c r="BH194" s="255">
        <f>AB194</f>
        <v/>
      </c>
      <c r="BI194">
        <f>IF(BD194&lt;0%,"Loss",IF(BD194&lt;5%,"On Cost Plus",IF(BD194&lt;10%,"Within","Exceed")))</f>
        <v/>
      </c>
      <c r="BJ194" t="inlineStr">
        <is>
          <t>Exceed</t>
        </is>
      </c>
      <c r="BK194">
        <f>0.51*$BK$6</f>
        <v/>
      </c>
      <c r="BL194" s="190">
        <f>BK194-W194</f>
        <v/>
      </c>
      <c r="BM194" s="189">
        <f>BL194*O194</f>
        <v/>
      </c>
    </row>
    <row r="195">
      <c r="A195">
        <f>CONCATENATE(E195,F195,G195,H195,I195,J195,K195,L195)</f>
        <v/>
      </c>
      <c r="B195">
        <f>CONCATENATE(J195,"-&gt;",K195,"/",E195)</f>
        <v/>
      </c>
      <c r="C195" s="23" t="inlineStr">
        <is>
          <t>AFEEZ AJIBADE/Ebenezer</t>
        </is>
      </c>
      <c r="D195">
        <f>CONCATENATE(G195,"-",H195,"-",F195)</f>
        <v/>
      </c>
      <c r="E195" s="24" t="inlineStr">
        <is>
          <t>Lacasera-45T-NBL-DSL-JUMBO</t>
        </is>
      </c>
      <c r="F195" s="24" t="inlineStr">
        <is>
          <t>JUMBO</t>
        </is>
      </c>
      <c r="G195" s="25" t="inlineStr">
        <is>
          <t>NBL-DSL</t>
        </is>
      </c>
      <c r="H195" s="24" t="inlineStr">
        <is>
          <t>45T</t>
        </is>
      </c>
      <c r="I195" s="251" t="inlineStr">
        <is>
          <t>Lacasera</t>
        </is>
      </c>
      <c r="J195" s="251" t="inlineStr">
        <is>
          <t>Lagos</t>
        </is>
      </c>
      <c r="K195" s="23" t="inlineStr">
        <is>
          <t>Auchi</t>
        </is>
      </c>
      <c r="L195" t="inlineStr">
        <is>
          <t>Edo</t>
        </is>
      </c>
      <c r="M195" s="1" t="inlineStr">
        <is>
          <t>West</t>
        </is>
      </c>
      <c r="N195" s="261" t="n">
        <v>433</v>
      </c>
      <c r="O195" s="257" t="n">
        <v>866</v>
      </c>
      <c r="P195" s="227">
        <f>ROUNDUP(O195/300,)</f>
        <v/>
      </c>
      <c r="Q195" s="220" t="n">
        <v>1</v>
      </c>
      <c r="R195" s="220">
        <f>Q195+P195</f>
        <v/>
      </c>
      <c r="S195" s="198">
        <f>ROUNDDOWN(O195*0.7,)</f>
        <v/>
      </c>
      <c r="T195" s="220">
        <f>_xlfn.XLOOKUP(G195,[1]Fx!$A$4:$A$12,[1]Fx!$B$4:$B$12)</f>
        <v/>
      </c>
      <c r="U195" s="220">
        <f>_xlfn.XLOOKUP(G195,[1]Fx!$A$4:$A$12,[1]Fx!$C$4:$C$12)</f>
        <v/>
      </c>
      <c r="V195" s="220">
        <f>_xlfn.XLOOKUP(G195,[1]Fx!$A$4:$A$12,[1]Fx!$D$4:$D$12)</f>
        <v/>
      </c>
      <c r="W195" s="208">
        <f>_xlfn.XLOOKUP(H195&amp;I195,'[1]Mapping DSL'!$H:$H,'[1]Mapping DSL'!$J:$J)</f>
        <v/>
      </c>
      <c r="X195" s="220">
        <f>_xlfn.XLOOKUP(G195,[1]Fx!$A$4:$A$12,[1]Fx!$E$4:$E$12)</f>
        <v/>
      </c>
      <c r="Y195" s="220">
        <f>T195*R195</f>
        <v/>
      </c>
      <c r="Z195" s="220">
        <f>U195*O195</f>
        <v/>
      </c>
      <c r="AA195" s="220">
        <f>V195*O195</f>
        <v/>
      </c>
      <c r="AB195" s="220">
        <f>W195*O195</f>
        <v/>
      </c>
      <c r="AC195" s="198">
        <f>X195*O195</f>
        <v/>
      </c>
      <c r="AD195" s="220" t="n">
        <v>0</v>
      </c>
      <c r="AE195" s="220" t="n">
        <v>0</v>
      </c>
      <c r="AF195" s="220">
        <f>SUM(Y195:AE195)</f>
        <v/>
      </c>
      <c r="AG195" s="205">
        <f>_xlfn.XLOOKUP(G195,[1]Fx!$A$16:$A$24,[1]Fx!$B$16:$B$24)</f>
        <v/>
      </c>
      <c r="AH195" s="220">
        <f>AG195*R195</f>
        <v/>
      </c>
      <c r="AI195" s="220">
        <f>$AI$6*Z195</f>
        <v/>
      </c>
      <c r="AJ195" s="220">
        <f>$AJ$6*AA195</f>
        <v/>
      </c>
      <c r="AK195" s="220">
        <f>$AK$6*AB195</f>
        <v/>
      </c>
      <c r="AL195" s="220">
        <f>$AL$6*AC195</f>
        <v/>
      </c>
      <c r="AM195" s="220">
        <f>SUM(AH195:AL195)</f>
        <v/>
      </c>
      <c r="AN195" s="220" t="n">
        <v>0</v>
      </c>
      <c r="AO195" s="220">
        <f>AN195*AH195</f>
        <v/>
      </c>
      <c r="AP195" s="220">
        <f>AD195</f>
        <v/>
      </c>
      <c r="AQ195" s="220">
        <f>AE195</f>
        <v/>
      </c>
      <c r="AR195" s="220">
        <f>AM195-AO195</f>
        <v/>
      </c>
      <c r="AS195" s="220">
        <f>AR195-AK195</f>
        <v/>
      </c>
      <c r="AT195" s="220">
        <f>AS195*1.075</f>
        <v/>
      </c>
      <c r="AU195" s="220">
        <f>ROUNDUP(AT195+AK195+AP195+AQ195,-4)</f>
        <v/>
      </c>
      <c r="AV195" s="198" t="n">
        <v>2101354</v>
      </c>
      <c r="AW195" s="227" t="n"/>
      <c r="AX195" s="220">
        <f>AV195-AR195</f>
        <v/>
      </c>
      <c r="AY195" s="35">
        <f>AX195/AR195</f>
        <v/>
      </c>
      <c r="AZ195" s="220">
        <f>AV195-AF195</f>
        <v/>
      </c>
      <c r="BA195" s="215">
        <f>AV195-SUM(Z195:AC195)</f>
        <v/>
      </c>
      <c r="BB195" s="215">
        <f>BA195-Y195</f>
        <v/>
      </c>
      <c r="BC195" s="35">
        <f>BB195/BA195</f>
        <v/>
      </c>
      <c r="BD195" s="35">
        <f>IFERROR(AZ195/AV195,)</f>
        <v/>
      </c>
      <c r="BE195" s="255">
        <f>AV195-SUM(Z195:AC195)</f>
        <v/>
      </c>
      <c r="BF195" s="255">
        <f>AV195-BE195-AC195-AB195</f>
        <v/>
      </c>
      <c r="BG195" s="255">
        <f>AV195-BE195-BF195-AB195</f>
        <v/>
      </c>
      <c r="BH195" s="255">
        <f>AB195</f>
        <v/>
      </c>
      <c r="BI195">
        <f>IF(BD195&lt;0%,"Loss",IF(BD195&lt;5%,"On Cost Plus",IF(BD195&lt;10%,"Within","Exceed")))</f>
        <v/>
      </c>
      <c r="BJ195" t="inlineStr">
        <is>
          <t>Exceed</t>
        </is>
      </c>
      <c r="BK195">
        <f>0.51*$BK$6</f>
        <v/>
      </c>
      <c r="BL195" s="190">
        <f>BK195-W195</f>
        <v/>
      </c>
      <c r="BM195" s="189">
        <f>BL195*O195</f>
        <v/>
      </c>
    </row>
    <row r="196">
      <c r="A196">
        <f>CONCATENATE(E196,F196,G196,H196,I196,J196,K196,L196)</f>
        <v/>
      </c>
      <c r="B196">
        <f>CONCATENATE(J196,"-&gt;",K196,"/",E196)</f>
        <v/>
      </c>
      <c r="C196" s="23" t="inlineStr">
        <is>
          <t>AFEEZ AJIBADE/Ebenezer</t>
        </is>
      </c>
      <c r="D196">
        <f>CONCATENATE(G196,"-",H196,"-",F196)</f>
        <v/>
      </c>
      <c r="E196" s="24" t="inlineStr">
        <is>
          <t>Lacasera-45T-NBL-DSL-JUMBO</t>
        </is>
      </c>
      <c r="F196" s="24" t="inlineStr">
        <is>
          <t>JUMBO</t>
        </is>
      </c>
      <c r="G196" s="25" t="inlineStr">
        <is>
          <t>NBL-DSL</t>
        </is>
      </c>
      <c r="H196" s="24" t="inlineStr">
        <is>
          <t>45T</t>
        </is>
      </c>
      <c r="I196" s="251" t="inlineStr">
        <is>
          <t>Lacasera</t>
        </is>
      </c>
      <c r="J196" s="251" t="inlineStr">
        <is>
          <t>Lagos</t>
        </is>
      </c>
      <c r="K196" s="23" t="inlineStr">
        <is>
          <t>Oja-Odan</t>
        </is>
      </c>
      <c r="L196" t="inlineStr">
        <is>
          <t>Ogun</t>
        </is>
      </c>
      <c r="M196" s="1" t="inlineStr">
        <is>
          <t>West</t>
        </is>
      </c>
      <c r="N196" s="261" t="n">
        <v>98.5</v>
      </c>
      <c r="O196" s="257" t="n">
        <v>197</v>
      </c>
      <c r="P196" s="227">
        <f>ROUNDUP(O196/300,)</f>
        <v/>
      </c>
      <c r="Q196" s="220" t="n">
        <v>1</v>
      </c>
      <c r="R196" s="220">
        <f>Q196+P196</f>
        <v/>
      </c>
      <c r="S196" s="198">
        <f>ROUNDDOWN(O196*0.7,)</f>
        <v/>
      </c>
      <c r="T196" s="220">
        <f>_xlfn.XLOOKUP(G196,[1]Fx!$A$4:$A$12,[1]Fx!$B$4:$B$12)</f>
        <v/>
      </c>
      <c r="U196" s="220">
        <f>_xlfn.XLOOKUP(G196,[1]Fx!$A$4:$A$12,[1]Fx!$C$4:$C$12)</f>
        <v/>
      </c>
      <c r="V196" s="220">
        <f>_xlfn.XLOOKUP(G196,[1]Fx!$A$4:$A$12,[1]Fx!$D$4:$D$12)</f>
        <v/>
      </c>
      <c r="W196" s="208">
        <f>_xlfn.XLOOKUP(H196&amp;I196,'[1]Mapping DSL'!$H:$H,'[1]Mapping DSL'!$J:$J)</f>
        <v/>
      </c>
      <c r="X196" s="220">
        <f>_xlfn.XLOOKUP(G196,[1]Fx!$A$4:$A$12,[1]Fx!$E$4:$E$12)</f>
        <v/>
      </c>
      <c r="Y196" s="220">
        <f>T196*R196</f>
        <v/>
      </c>
      <c r="Z196" s="220">
        <f>U196*O196</f>
        <v/>
      </c>
      <c r="AA196" s="220">
        <f>V196*O196</f>
        <v/>
      </c>
      <c r="AB196" s="220">
        <f>W196*O196</f>
        <v/>
      </c>
      <c r="AC196" s="198">
        <f>X196*O196</f>
        <v/>
      </c>
      <c r="AD196" s="220" t="n">
        <v>0</v>
      </c>
      <c r="AE196" s="220" t="n">
        <v>0</v>
      </c>
      <c r="AF196" s="220">
        <f>SUM(Y196:AE196)</f>
        <v/>
      </c>
      <c r="AG196" s="205">
        <f>_xlfn.XLOOKUP(G196,[1]Fx!$A$16:$A$24,[1]Fx!$B$16:$B$24)</f>
        <v/>
      </c>
      <c r="AH196" s="220">
        <f>AG196*R196</f>
        <v/>
      </c>
      <c r="AI196" s="220">
        <f>$AI$6*Z196</f>
        <v/>
      </c>
      <c r="AJ196" s="220">
        <f>$AJ$6*AA196</f>
        <v/>
      </c>
      <c r="AK196" s="220">
        <f>$AK$6*AB196</f>
        <v/>
      </c>
      <c r="AL196" s="220">
        <f>$AL$6*AC196</f>
        <v/>
      </c>
      <c r="AM196" s="220">
        <f>SUM(AH196:AL196)</f>
        <v/>
      </c>
      <c r="AN196" s="220" t="n">
        <v>0</v>
      </c>
      <c r="AO196" s="220">
        <f>AN196*AH196</f>
        <v/>
      </c>
      <c r="AP196" s="220">
        <f>AD196</f>
        <v/>
      </c>
      <c r="AQ196" s="220">
        <f>AE196</f>
        <v/>
      </c>
      <c r="AR196" s="220">
        <f>AM196-AO196</f>
        <v/>
      </c>
      <c r="AS196" s="220">
        <f>AR196-AK196</f>
        <v/>
      </c>
      <c r="AT196" s="220">
        <f>AS196*1.075</f>
        <v/>
      </c>
      <c r="AU196" s="220">
        <f>ROUNDUP(AT196+AK196+AP196+AQ196,-4)</f>
        <v/>
      </c>
      <c r="AV196" s="198" t="n">
        <v>907328</v>
      </c>
      <c r="AW196" s="227" t="n"/>
      <c r="AX196" s="220">
        <f>AV196-AR196</f>
        <v/>
      </c>
      <c r="AY196" s="35">
        <f>AX196/AR196</f>
        <v/>
      </c>
      <c r="AZ196" s="220">
        <f>AV196-AF196</f>
        <v/>
      </c>
      <c r="BA196" s="215">
        <f>AV196-SUM(Z196:AC196)</f>
        <v/>
      </c>
      <c r="BB196" s="215">
        <f>BA196-Y196</f>
        <v/>
      </c>
      <c r="BC196" s="35">
        <f>BB196/BA196</f>
        <v/>
      </c>
      <c r="BD196" s="35">
        <f>IFERROR(AZ196/AV196,)</f>
        <v/>
      </c>
      <c r="BE196" s="255">
        <f>AV196-SUM(Z196:AC196)</f>
        <v/>
      </c>
      <c r="BF196" s="255">
        <f>AV196-BE196-AC196-AB196</f>
        <v/>
      </c>
      <c r="BG196" s="255">
        <f>AV196-BE196-BF196-AB196</f>
        <v/>
      </c>
      <c r="BH196" s="255">
        <f>AB196</f>
        <v/>
      </c>
      <c r="BI196">
        <f>IF(BD196&lt;0%,"Loss",IF(BD196&lt;5%,"On Cost Plus",IF(BD196&lt;10%,"Within","Exceed")))</f>
        <v/>
      </c>
      <c r="BJ196" t="inlineStr">
        <is>
          <t>Exceed</t>
        </is>
      </c>
      <c r="BK196">
        <f>0.51*$BK$6</f>
        <v/>
      </c>
      <c r="BL196" s="190">
        <f>BK196-W196</f>
        <v/>
      </c>
      <c r="BM196" s="189">
        <f>BL196*O196</f>
        <v/>
      </c>
    </row>
    <row r="197">
      <c r="A197">
        <f>CONCATENATE(E197,F197,G197,H197,I197,J197,K197,L197)</f>
        <v/>
      </c>
      <c r="B197">
        <f>CONCATENATE(J197,"-&gt;",K197,"/",E197)</f>
        <v/>
      </c>
      <c r="C197" s="23" t="inlineStr">
        <is>
          <t>AFEEZ AJIBADE/Ebenezer</t>
        </is>
      </c>
      <c r="D197">
        <f>CONCATENATE(G197,"-",H197,"-",F197)</f>
        <v/>
      </c>
      <c r="E197" s="24" t="inlineStr">
        <is>
          <t>Lacasera-45T-NBL-DSL-JUMBO</t>
        </is>
      </c>
      <c r="F197" s="24" t="inlineStr">
        <is>
          <t>JUMBO</t>
        </is>
      </c>
      <c r="G197" s="25" t="inlineStr">
        <is>
          <t>NBL-DSL</t>
        </is>
      </c>
      <c r="H197" s="24" t="inlineStr">
        <is>
          <t>45T</t>
        </is>
      </c>
      <c r="I197" s="251" t="inlineStr">
        <is>
          <t>Lacasera</t>
        </is>
      </c>
      <c r="J197" s="251" t="inlineStr">
        <is>
          <t>Lagos</t>
        </is>
      </c>
      <c r="K197" s="23" t="inlineStr">
        <is>
          <t>Kaiama</t>
        </is>
      </c>
      <c r="L197" t="inlineStr">
        <is>
          <t>Kwara</t>
        </is>
      </c>
      <c r="M197" s="1" t="inlineStr">
        <is>
          <t>West</t>
        </is>
      </c>
      <c r="N197" s="261" t="n">
        <v>435</v>
      </c>
      <c r="O197" s="257" t="n">
        <v>870</v>
      </c>
      <c r="P197" s="227">
        <f>ROUNDUP(O197/300,)</f>
        <v/>
      </c>
      <c r="Q197" s="220" t="n">
        <v>1</v>
      </c>
      <c r="R197" s="220">
        <f>Q197+P197</f>
        <v/>
      </c>
      <c r="S197" s="198">
        <f>ROUNDDOWN(O197*0.7,)</f>
        <v/>
      </c>
      <c r="T197" s="220">
        <f>_xlfn.XLOOKUP(G197,[1]Fx!$A$4:$A$12,[1]Fx!$B$4:$B$12)</f>
        <v/>
      </c>
      <c r="U197" s="220">
        <f>_xlfn.XLOOKUP(G197,[1]Fx!$A$4:$A$12,[1]Fx!$C$4:$C$12)</f>
        <v/>
      </c>
      <c r="V197" s="220">
        <f>_xlfn.XLOOKUP(G197,[1]Fx!$A$4:$A$12,[1]Fx!$D$4:$D$12)</f>
        <v/>
      </c>
      <c r="W197" s="208">
        <f>_xlfn.XLOOKUP(H197&amp;I197,'[1]Mapping DSL'!$H:$H,'[1]Mapping DSL'!$J:$J)</f>
        <v/>
      </c>
      <c r="X197" s="220">
        <f>_xlfn.XLOOKUP(G197,[1]Fx!$A$4:$A$12,[1]Fx!$E$4:$E$12)</f>
        <v/>
      </c>
      <c r="Y197" s="220">
        <f>T197*R197</f>
        <v/>
      </c>
      <c r="Z197" s="220">
        <f>U197*O197</f>
        <v/>
      </c>
      <c r="AA197" s="220">
        <f>V197*O197</f>
        <v/>
      </c>
      <c r="AB197" s="220">
        <f>W197*O197</f>
        <v/>
      </c>
      <c r="AC197" s="198">
        <f>X197*O197</f>
        <v/>
      </c>
      <c r="AD197" s="220" t="n">
        <v>0</v>
      </c>
      <c r="AE197" s="220" t="n">
        <v>0</v>
      </c>
      <c r="AF197" s="220">
        <f>SUM(Y197:AE197)</f>
        <v/>
      </c>
      <c r="AG197" s="205">
        <f>_xlfn.XLOOKUP(G197,[1]Fx!$A$16:$A$24,[1]Fx!$B$16:$B$24)</f>
        <v/>
      </c>
      <c r="AH197" s="220">
        <f>AG197*R197</f>
        <v/>
      </c>
      <c r="AI197" s="220">
        <f>$AI$6*Z197</f>
        <v/>
      </c>
      <c r="AJ197" s="220">
        <f>$AJ$6*AA197</f>
        <v/>
      </c>
      <c r="AK197" s="220">
        <f>$AK$6*AB197</f>
        <v/>
      </c>
      <c r="AL197" s="220">
        <f>$AL$6*AC197</f>
        <v/>
      </c>
      <c r="AM197" s="220">
        <f>SUM(AH197:AL197)</f>
        <v/>
      </c>
      <c r="AN197" s="220" t="n">
        <v>0</v>
      </c>
      <c r="AO197" s="220">
        <f>AN197*AH197</f>
        <v/>
      </c>
      <c r="AP197" s="220">
        <f>AD197</f>
        <v/>
      </c>
      <c r="AQ197" s="220">
        <f>AE197</f>
        <v/>
      </c>
      <c r="AR197" s="220">
        <f>AM197-AO197</f>
        <v/>
      </c>
      <c r="AS197" s="220">
        <f>AR197-AK197</f>
        <v/>
      </c>
      <c r="AT197" s="220">
        <f>AS197*1.075</f>
        <v/>
      </c>
      <c r="AU197" s="220">
        <f>ROUNDUP(AT197+AK197+AP197+AQ197,-4)</f>
        <v/>
      </c>
      <c r="AV197" s="198" t="n">
        <v>1953504</v>
      </c>
      <c r="AW197" s="227" t="n"/>
      <c r="AX197" s="220">
        <f>AV197-AR197</f>
        <v/>
      </c>
      <c r="AY197" s="35">
        <f>AX197/AR197</f>
        <v/>
      </c>
      <c r="AZ197" s="220">
        <f>AV197-AF197</f>
        <v/>
      </c>
      <c r="BA197" s="215">
        <f>AV197-SUM(Z197:AC197)</f>
        <v/>
      </c>
      <c r="BB197" s="215">
        <f>BA197-Y197</f>
        <v/>
      </c>
      <c r="BC197" s="35">
        <f>BB197/BA197</f>
        <v/>
      </c>
      <c r="BD197" s="35">
        <f>IFERROR(AZ197/AV197,)</f>
        <v/>
      </c>
      <c r="BE197" s="255">
        <f>AV197-SUM(Z197:AC197)</f>
        <v/>
      </c>
      <c r="BF197" s="255">
        <f>AV197-BE197-AC197-AB197</f>
        <v/>
      </c>
      <c r="BG197" s="255">
        <f>AV197-BE197-BF197-AB197</f>
        <v/>
      </c>
      <c r="BH197" s="255">
        <f>AB197</f>
        <v/>
      </c>
      <c r="BI197">
        <f>IF(BD197&lt;0%,"Loss",IF(BD197&lt;5%,"On Cost Plus",IF(BD197&lt;10%,"Within","Exceed")))</f>
        <v/>
      </c>
      <c r="BJ197" t="inlineStr">
        <is>
          <t>Exceed</t>
        </is>
      </c>
      <c r="BK197">
        <f>0.51*$BK$6</f>
        <v/>
      </c>
      <c r="BL197" s="190">
        <f>BK197-W197</f>
        <v/>
      </c>
      <c r="BM197" s="189">
        <f>BL197*O197</f>
        <v/>
      </c>
    </row>
    <row r="198">
      <c r="A198">
        <f>CONCATENATE(E198,F198,G198,H198,I198,J198,K198,L198)</f>
        <v/>
      </c>
      <c r="B198">
        <f>CONCATENATE(J198,"-&gt;",K198,"/",E198)</f>
        <v/>
      </c>
      <c r="C198" s="23" t="inlineStr">
        <is>
          <t>AFEEZ AJIBADE/Ebenezer</t>
        </is>
      </c>
      <c r="D198">
        <f>CONCATENATE(G198,"-",H198,"-",F198)</f>
        <v/>
      </c>
      <c r="E198" s="24" t="inlineStr">
        <is>
          <t>Lacasera-45T-NBL-DSL-JUMBO</t>
        </is>
      </c>
      <c r="F198" s="24" t="inlineStr">
        <is>
          <t>JUMBO</t>
        </is>
      </c>
      <c r="G198" s="25" t="inlineStr">
        <is>
          <t>NBL-DSL</t>
        </is>
      </c>
      <c r="H198" s="24" t="inlineStr">
        <is>
          <t>45T</t>
        </is>
      </c>
      <c r="I198" s="251" t="inlineStr">
        <is>
          <t>Lacasera</t>
        </is>
      </c>
      <c r="J198" s="251" t="inlineStr">
        <is>
          <t>Lagos</t>
        </is>
      </c>
      <c r="K198" s="23" t="inlineStr">
        <is>
          <t>Imeko</t>
        </is>
      </c>
      <c r="L198" t="inlineStr">
        <is>
          <t>Ogun</t>
        </is>
      </c>
      <c r="M198" s="1" t="inlineStr">
        <is>
          <t>West</t>
        </is>
      </c>
      <c r="N198" s="261" t="n">
        <v>179.5</v>
      </c>
      <c r="O198" s="257" t="n">
        <v>359</v>
      </c>
      <c r="P198" s="227">
        <f>ROUNDUP(O198/300,)</f>
        <v/>
      </c>
      <c r="Q198" s="220" t="n">
        <v>1</v>
      </c>
      <c r="R198" s="220">
        <f>Q198+P198</f>
        <v/>
      </c>
      <c r="S198" s="198">
        <f>ROUNDDOWN(O198*0.7,)</f>
        <v/>
      </c>
      <c r="T198" s="220">
        <f>_xlfn.XLOOKUP(G198,[1]Fx!$A$4:$A$12,[1]Fx!$B$4:$B$12)</f>
        <v/>
      </c>
      <c r="U198" s="220">
        <f>_xlfn.XLOOKUP(G198,[1]Fx!$A$4:$A$12,[1]Fx!$C$4:$C$12)</f>
        <v/>
      </c>
      <c r="V198" s="220">
        <f>_xlfn.XLOOKUP(G198,[1]Fx!$A$4:$A$12,[1]Fx!$D$4:$D$12)</f>
        <v/>
      </c>
      <c r="W198" s="208">
        <f>_xlfn.XLOOKUP(H198&amp;I198,'[1]Mapping DSL'!$H:$H,'[1]Mapping DSL'!$J:$J)</f>
        <v/>
      </c>
      <c r="X198" s="220">
        <f>_xlfn.XLOOKUP(G198,[1]Fx!$A$4:$A$12,[1]Fx!$E$4:$E$12)</f>
        <v/>
      </c>
      <c r="Y198" s="220">
        <f>T198*R198</f>
        <v/>
      </c>
      <c r="Z198" s="220">
        <f>U198*O198</f>
        <v/>
      </c>
      <c r="AA198" s="220">
        <f>V198*O198</f>
        <v/>
      </c>
      <c r="AB198" s="220">
        <f>W198*O198</f>
        <v/>
      </c>
      <c r="AC198" s="198">
        <f>X198*O198</f>
        <v/>
      </c>
      <c r="AD198" s="220" t="n">
        <v>0</v>
      </c>
      <c r="AE198" s="220" t="n">
        <v>0</v>
      </c>
      <c r="AF198" s="220">
        <f>SUM(Y198:AE198)</f>
        <v/>
      </c>
      <c r="AG198" s="205">
        <f>_xlfn.XLOOKUP(G198,[1]Fx!$A$16:$A$24,[1]Fx!$B$16:$B$24)</f>
        <v/>
      </c>
      <c r="AH198" s="220">
        <f>AG198*R198</f>
        <v/>
      </c>
      <c r="AI198" s="220">
        <f>$AI$6*Z198</f>
        <v/>
      </c>
      <c r="AJ198" s="220">
        <f>$AJ$6*AA198</f>
        <v/>
      </c>
      <c r="AK198" s="220">
        <f>$AK$6*AB198</f>
        <v/>
      </c>
      <c r="AL198" s="220">
        <f>$AL$6*AC198</f>
        <v/>
      </c>
      <c r="AM198" s="220">
        <f>SUM(AH198:AL198)</f>
        <v/>
      </c>
      <c r="AN198" s="220" t="n">
        <v>0</v>
      </c>
      <c r="AO198" s="220">
        <f>AN198*AH198</f>
        <v/>
      </c>
      <c r="AP198" s="220">
        <f>AD198</f>
        <v/>
      </c>
      <c r="AQ198" s="220">
        <f>AE198</f>
        <v/>
      </c>
      <c r="AR198" s="220">
        <f>AM198-AO198</f>
        <v/>
      </c>
      <c r="AS198" s="220">
        <f>AR198-AK198</f>
        <v/>
      </c>
      <c r="AT198" s="220">
        <f>AS198*1.075</f>
        <v/>
      </c>
      <c r="AU198" s="220">
        <f>ROUNDUP(AT198+AK198+AP198+AQ198,-4)</f>
        <v/>
      </c>
      <c r="AV198" s="198" t="n">
        <v>967816</v>
      </c>
      <c r="AW198" s="227" t="n"/>
      <c r="AX198" s="220">
        <f>AV198-AR198</f>
        <v/>
      </c>
      <c r="AY198" s="35">
        <f>AX198/AR198</f>
        <v/>
      </c>
      <c r="AZ198" s="220">
        <f>AV198-AF198</f>
        <v/>
      </c>
      <c r="BA198" s="215">
        <f>AV198-SUM(Z198:AC198)</f>
        <v/>
      </c>
      <c r="BB198" s="215">
        <f>BA198-Y198</f>
        <v/>
      </c>
      <c r="BC198" s="35">
        <f>BB198/BA198</f>
        <v/>
      </c>
      <c r="BD198" s="35">
        <f>IFERROR(AZ198/AV198,)</f>
        <v/>
      </c>
      <c r="BE198" s="255">
        <f>AV198-SUM(Z198:AC198)</f>
        <v/>
      </c>
      <c r="BF198" s="255">
        <f>AV198-BE198-AC198-AB198</f>
        <v/>
      </c>
      <c r="BG198" s="255">
        <f>AV198-BE198-BF198-AB198</f>
        <v/>
      </c>
      <c r="BH198" s="255">
        <f>AB198</f>
        <v/>
      </c>
      <c r="BI198">
        <f>IF(BD198&lt;0%,"Loss",IF(BD198&lt;5%,"On Cost Plus",IF(BD198&lt;10%,"Within","Exceed")))</f>
        <v/>
      </c>
      <c r="BJ198" t="inlineStr">
        <is>
          <t>Exceed</t>
        </is>
      </c>
      <c r="BK198">
        <f>0.51*$BK$6</f>
        <v/>
      </c>
      <c r="BL198" s="190">
        <f>BK198-W198</f>
        <v/>
      </c>
      <c r="BM198" s="189">
        <f>BL198*O198</f>
        <v/>
      </c>
    </row>
    <row r="199">
      <c r="A199">
        <f>CONCATENATE(E199,F199,G199,H199,I199,J199,K199,L199)</f>
        <v/>
      </c>
      <c r="B199">
        <f>CONCATENATE(J199,"-&gt;",K199,"/",E199)</f>
        <v/>
      </c>
      <c r="C199" s="23" t="inlineStr">
        <is>
          <t>AFEEZ AJIBADE/Ebenezer</t>
        </is>
      </c>
      <c r="D199">
        <f>CONCATENATE(G199,"-",H199,"-",F199)</f>
        <v/>
      </c>
      <c r="E199" s="24" t="inlineStr">
        <is>
          <t>Lacasera-45T-NBL-DSL-JUMBO</t>
        </is>
      </c>
      <c r="F199" s="24" t="inlineStr">
        <is>
          <t>JUMBO</t>
        </is>
      </c>
      <c r="G199" s="25" t="inlineStr">
        <is>
          <t>NBL-DSL</t>
        </is>
      </c>
      <c r="H199" s="24" t="inlineStr">
        <is>
          <t>45T</t>
        </is>
      </c>
      <c r="I199" s="251" t="inlineStr">
        <is>
          <t>Lacasera</t>
        </is>
      </c>
      <c r="J199" s="251" t="inlineStr">
        <is>
          <t>Lagos</t>
        </is>
      </c>
      <c r="K199" s="23" t="inlineStr">
        <is>
          <t>Benin City</t>
        </is>
      </c>
      <c r="L199" t="inlineStr">
        <is>
          <t>Edo</t>
        </is>
      </c>
      <c r="M199" s="1" t="inlineStr">
        <is>
          <t>West</t>
        </is>
      </c>
      <c r="N199" s="261" t="n">
        <v>320</v>
      </c>
      <c r="O199" s="257" t="n">
        <v>640</v>
      </c>
      <c r="P199" s="227">
        <f>ROUNDUP(O199/300,)</f>
        <v/>
      </c>
      <c r="Q199" s="220" t="n">
        <v>1</v>
      </c>
      <c r="R199" s="220">
        <f>Q199+P199</f>
        <v/>
      </c>
      <c r="S199" s="198">
        <f>ROUNDDOWN(O199*0.7,)</f>
        <v/>
      </c>
      <c r="T199" s="220">
        <f>_xlfn.XLOOKUP(G199,[1]Fx!$A$4:$A$12,[1]Fx!$B$4:$B$12)</f>
        <v/>
      </c>
      <c r="U199" s="220">
        <f>_xlfn.XLOOKUP(G199,[1]Fx!$A$4:$A$12,[1]Fx!$C$4:$C$12)</f>
        <v/>
      </c>
      <c r="V199" s="220">
        <f>_xlfn.XLOOKUP(G199,[1]Fx!$A$4:$A$12,[1]Fx!$D$4:$D$12)</f>
        <v/>
      </c>
      <c r="W199" s="208">
        <f>_xlfn.XLOOKUP(H199&amp;I199,'[1]Mapping DSL'!$H:$H,'[1]Mapping DSL'!$J:$J)</f>
        <v/>
      </c>
      <c r="X199" s="220">
        <f>_xlfn.XLOOKUP(G199,[1]Fx!$A$4:$A$12,[1]Fx!$E$4:$E$12)</f>
        <v/>
      </c>
      <c r="Y199" s="220">
        <f>T199*R199</f>
        <v/>
      </c>
      <c r="Z199" s="220">
        <f>U199*O199</f>
        <v/>
      </c>
      <c r="AA199" s="220">
        <f>V199*O199</f>
        <v/>
      </c>
      <c r="AB199" s="220">
        <f>W199*O199</f>
        <v/>
      </c>
      <c r="AC199" s="198">
        <f>X199*O199</f>
        <v/>
      </c>
      <c r="AD199" s="220" t="n">
        <v>0</v>
      </c>
      <c r="AE199" s="220" t="n">
        <v>0</v>
      </c>
      <c r="AF199" s="220">
        <f>SUM(Y199:AE199)</f>
        <v/>
      </c>
      <c r="AG199" s="205">
        <f>_xlfn.XLOOKUP(G199,[1]Fx!$A$16:$A$24,[1]Fx!$B$16:$B$24)</f>
        <v/>
      </c>
      <c r="AH199" s="220">
        <f>AG199*R199</f>
        <v/>
      </c>
      <c r="AI199" s="220">
        <f>$AI$6*Z199</f>
        <v/>
      </c>
      <c r="AJ199" s="220">
        <f>$AJ$6*AA199</f>
        <v/>
      </c>
      <c r="AK199" s="220">
        <f>$AK$6*AB199</f>
        <v/>
      </c>
      <c r="AL199" s="220">
        <f>$AL$6*AC199</f>
        <v/>
      </c>
      <c r="AM199" s="220">
        <f>SUM(AH199:AL199)</f>
        <v/>
      </c>
      <c r="AN199" s="220" t="n">
        <v>0</v>
      </c>
      <c r="AO199" s="220">
        <f>AN199*AH199</f>
        <v/>
      </c>
      <c r="AP199" s="220">
        <f>AD199</f>
        <v/>
      </c>
      <c r="AQ199" s="220">
        <f>AE199</f>
        <v/>
      </c>
      <c r="AR199" s="220">
        <f>AM199-AO199</f>
        <v/>
      </c>
      <c r="AS199" s="220">
        <f>AR199-AK199</f>
        <v/>
      </c>
      <c r="AT199" s="220">
        <f>AS199*1.075</f>
        <v/>
      </c>
      <c r="AU199" s="220">
        <f>ROUNDUP(AT199+AK199+AP199+AQ199,-4)</f>
        <v/>
      </c>
      <c r="AV199" s="198" t="n">
        <v>1634564</v>
      </c>
      <c r="AW199" s="227" t="n"/>
      <c r="AX199" s="220">
        <f>AV199-AR199</f>
        <v/>
      </c>
      <c r="AY199" s="35">
        <f>AX199/AR199</f>
        <v/>
      </c>
      <c r="AZ199" s="220">
        <f>AV199-AF199</f>
        <v/>
      </c>
      <c r="BA199" s="215">
        <f>AV199-SUM(Z199:AC199)</f>
        <v/>
      </c>
      <c r="BB199" s="215">
        <f>BA199-Y199</f>
        <v/>
      </c>
      <c r="BC199" s="35">
        <f>BB199/BA199</f>
        <v/>
      </c>
      <c r="BD199" s="35">
        <f>IFERROR(AZ199/AV199,)</f>
        <v/>
      </c>
      <c r="BE199" s="255">
        <f>AV199-SUM(Z199:AC199)</f>
        <v/>
      </c>
      <c r="BF199" s="255">
        <f>AV199-BE199-AC199-AB199</f>
        <v/>
      </c>
      <c r="BG199" s="255">
        <f>AV199-BE199-BF199-AB199</f>
        <v/>
      </c>
      <c r="BH199" s="255">
        <f>AB199</f>
        <v/>
      </c>
      <c r="BI199">
        <f>IF(BD199&lt;0%,"Loss",IF(BD199&lt;5%,"On Cost Plus",IF(BD199&lt;10%,"Within","Exceed")))</f>
        <v/>
      </c>
      <c r="BJ199" t="inlineStr">
        <is>
          <t>Exceed</t>
        </is>
      </c>
      <c r="BK199">
        <f>0.51*$BK$6</f>
        <v/>
      </c>
      <c r="BL199" s="190">
        <f>BK199-W199</f>
        <v/>
      </c>
      <c r="BM199" s="189">
        <f>BL199*O199</f>
        <v/>
      </c>
    </row>
    <row r="200">
      <c r="A200">
        <f>CONCATENATE(E200,F200,G200,H200,I200,J200,K200,L200)</f>
        <v/>
      </c>
      <c r="B200">
        <f>CONCATENATE(J200,"-&gt;",K200,"/",E200)</f>
        <v/>
      </c>
      <c r="C200" s="23" t="inlineStr">
        <is>
          <t>AFEEZ AJIBADE/Ebenezer</t>
        </is>
      </c>
      <c r="D200">
        <f>CONCATENATE(G200,"-",H200,"-",F200)</f>
        <v/>
      </c>
      <c r="E200" s="24" t="inlineStr">
        <is>
          <t>Lacasera-45T-NBL-DSL-JUMBO</t>
        </is>
      </c>
      <c r="F200" s="24" t="inlineStr">
        <is>
          <t>JUMBO</t>
        </is>
      </c>
      <c r="G200" s="25" t="inlineStr">
        <is>
          <t>NBL-DSL</t>
        </is>
      </c>
      <c r="H200" s="24" t="inlineStr">
        <is>
          <t>45T</t>
        </is>
      </c>
      <c r="I200" s="251" t="inlineStr">
        <is>
          <t>Lacasera</t>
        </is>
      </c>
      <c r="J200" s="251" t="inlineStr">
        <is>
          <t>Lagos</t>
        </is>
      </c>
      <c r="K200" s="23" t="inlineStr">
        <is>
          <t>Uromi</t>
        </is>
      </c>
      <c r="L200" t="inlineStr">
        <is>
          <t>Edo</t>
        </is>
      </c>
      <c r="M200" s="1" t="inlineStr">
        <is>
          <t>West</t>
        </is>
      </c>
      <c r="N200" s="261" t="n">
        <v>413</v>
      </c>
      <c r="O200" s="257" t="n">
        <v>826</v>
      </c>
      <c r="P200" s="227">
        <f>ROUNDUP(O200/300,)</f>
        <v/>
      </c>
      <c r="Q200" s="220" t="n">
        <v>1</v>
      </c>
      <c r="R200" s="220">
        <f>Q200+P200</f>
        <v/>
      </c>
      <c r="S200" s="198">
        <f>ROUNDDOWN(O200*0.7,)</f>
        <v/>
      </c>
      <c r="T200" s="220">
        <f>_xlfn.XLOOKUP(G200,[1]Fx!$A$4:$A$12,[1]Fx!$B$4:$B$12)</f>
        <v/>
      </c>
      <c r="U200" s="220">
        <f>_xlfn.XLOOKUP(G200,[1]Fx!$A$4:$A$12,[1]Fx!$C$4:$C$12)</f>
        <v/>
      </c>
      <c r="V200" s="220">
        <f>_xlfn.XLOOKUP(G200,[1]Fx!$A$4:$A$12,[1]Fx!$D$4:$D$12)</f>
        <v/>
      </c>
      <c r="W200" s="208">
        <f>_xlfn.XLOOKUP(H200&amp;I200,'[1]Mapping DSL'!$H:$H,'[1]Mapping DSL'!$J:$J)</f>
        <v/>
      </c>
      <c r="X200" s="220">
        <f>_xlfn.XLOOKUP(G200,[1]Fx!$A$4:$A$12,[1]Fx!$E$4:$E$12)</f>
        <v/>
      </c>
      <c r="Y200" s="220">
        <f>T200*R200</f>
        <v/>
      </c>
      <c r="Z200" s="220">
        <f>U200*O200</f>
        <v/>
      </c>
      <c r="AA200" s="220">
        <f>V200*O200</f>
        <v/>
      </c>
      <c r="AB200" s="220">
        <f>W200*O200</f>
        <v/>
      </c>
      <c r="AC200" s="198">
        <f>X200*O200</f>
        <v/>
      </c>
      <c r="AD200" s="220" t="n">
        <v>0</v>
      </c>
      <c r="AE200" s="220" t="n">
        <v>0</v>
      </c>
      <c r="AF200" s="220">
        <f>SUM(Y200:AE200)</f>
        <v/>
      </c>
      <c r="AG200" s="205">
        <f>_xlfn.XLOOKUP(G200,[1]Fx!$A$16:$A$24,[1]Fx!$B$16:$B$24)</f>
        <v/>
      </c>
      <c r="AH200" s="220">
        <f>AG200*R200</f>
        <v/>
      </c>
      <c r="AI200" s="220">
        <f>$AI$6*Z200</f>
        <v/>
      </c>
      <c r="AJ200" s="220">
        <f>$AJ$6*AA200</f>
        <v/>
      </c>
      <c r="AK200" s="220">
        <f>$AK$6*AB200</f>
        <v/>
      </c>
      <c r="AL200" s="220">
        <f>$AL$6*AC200</f>
        <v/>
      </c>
      <c r="AM200" s="220">
        <f>SUM(AH200:AL200)</f>
        <v/>
      </c>
      <c r="AN200" s="220" t="n">
        <v>0</v>
      </c>
      <c r="AO200" s="220">
        <f>AN200*AH200</f>
        <v/>
      </c>
      <c r="AP200" s="220">
        <f>AD200</f>
        <v/>
      </c>
      <c r="AQ200" s="220">
        <f>AE200</f>
        <v/>
      </c>
      <c r="AR200" s="220">
        <f>AM200-AO200</f>
        <v/>
      </c>
      <c r="AS200" s="220">
        <f>AR200-AK200</f>
        <v/>
      </c>
      <c r="AT200" s="220">
        <f>AS200*1.075</f>
        <v/>
      </c>
      <c r="AU200" s="220">
        <f>ROUNDUP(AT200+AK200+AP200+AQ200,-4)</f>
        <v/>
      </c>
      <c r="AV200" s="198" t="n">
        <v>1831152</v>
      </c>
      <c r="AW200" s="227" t="n"/>
      <c r="AX200" s="220">
        <f>AV200-AR200</f>
        <v/>
      </c>
      <c r="AY200" s="35">
        <f>AX200/AR200</f>
        <v/>
      </c>
      <c r="AZ200" s="220">
        <f>AV200-AF200</f>
        <v/>
      </c>
      <c r="BA200" s="215">
        <f>AV200-SUM(Z200:AC200)</f>
        <v/>
      </c>
      <c r="BB200" s="215">
        <f>BA200-Y200</f>
        <v/>
      </c>
      <c r="BC200" s="35">
        <f>BB200/BA200</f>
        <v/>
      </c>
      <c r="BD200" s="35">
        <f>IFERROR(AZ200/AV200,)</f>
        <v/>
      </c>
      <c r="BE200" s="255">
        <f>AV200-SUM(Z200:AC200)</f>
        <v/>
      </c>
      <c r="BF200" s="255">
        <f>AV200-BE200-AC200-AB200</f>
        <v/>
      </c>
      <c r="BG200" s="255">
        <f>AV200-BE200-BF200-AB200</f>
        <v/>
      </c>
      <c r="BH200" s="255">
        <f>AB200</f>
        <v/>
      </c>
      <c r="BI200">
        <f>IF(BD200&lt;0%,"Loss",IF(BD200&lt;5%,"On Cost Plus",IF(BD200&lt;10%,"Within","Exceed")))</f>
        <v/>
      </c>
      <c r="BJ200" t="inlineStr">
        <is>
          <t>Exceed</t>
        </is>
      </c>
      <c r="BK200">
        <f>0.51*$BK$6</f>
        <v/>
      </c>
      <c r="BL200" s="190">
        <f>BK200-W200</f>
        <v/>
      </c>
      <c r="BM200" s="189">
        <f>BL200*O200</f>
        <v/>
      </c>
    </row>
    <row r="201">
      <c r="A201">
        <f>CONCATENATE(E201,F201,G201,H201,I201,J201,K201,L201)</f>
        <v/>
      </c>
      <c r="B201">
        <f>CONCATENATE(J201,"-&gt;",K201,"/",E201)</f>
        <v/>
      </c>
      <c r="C201" s="23" t="inlineStr">
        <is>
          <t>AFEEZ AJIBADE/Ebenezer</t>
        </is>
      </c>
      <c r="D201">
        <f>CONCATENATE(G201,"-",H201,"-",F201)</f>
        <v/>
      </c>
      <c r="E201" s="24" t="inlineStr">
        <is>
          <t>Lacasera-45T-NBL-DSL-JUMBO</t>
        </is>
      </c>
      <c r="F201" s="24" t="inlineStr">
        <is>
          <t>JUMBO</t>
        </is>
      </c>
      <c r="G201" s="25" t="inlineStr">
        <is>
          <t>NBL-DSL</t>
        </is>
      </c>
      <c r="H201" s="24" t="inlineStr">
        <is>
          <t>45T</t>
        </is>
      </c>
      <c r="I201" s="251" t="inlineStr">
        <is>
          <t>Lacasera</t>
        </is>
      </c>
      <c r="J201" s="251" t="inlineStr">
        <is>
          <t>Lagos</t>
        </is>
      </c>
      <c r="K201" s="23" t="inlineStr">
        <is>
          <t>Warri</t>
        </is>
      </c>
      <c r="L201" t="inlineStr">
        <is>
          <t>Delta</t>
        </is>
      </c>
      <c r="M201" s="1" t="inlineStr">
        <is>
          <t>Central</t>
        </is>
      </c>
      <c r="N201" s="261" t="n">
        <v>426.5</v>
      </c>
      <c r="O201" s="257" t="n">
        <v>853</v>
      </c>
      <c r="P201" s="227">
        <f>ROUNDUP(O201/300,)</f>
        <v/>
      </c>
      <c r="Q201" s="220" t="n">
        <v>1</v>
      </c>
      <c r="R201" s="220">
        <f>Q201+P201</f>
        <v/>
      </c>
      <c r="S201" s="198">
        <f>ROUNDDOWN(O201*0.7,)</f>
        <v/>
      </c>
      <c r="T201" s="220">
        <f>_xlfn.XLOOKUP(G201,[1]Fx!$A$4:$A$12,[1]Fx!$B$4:$B$12)</f>
        <v/>
      </c>
      <c r="U201" s="220">
        <f>_xlfn.XLOOKUP(G201,[1]Fx!$A$4:$A$12,[1]Fx!$C$4:$C$12)</f>
        <v/>
      </c>
      <c r="V201" s="220">
        <f>_xlfn.XLOOKUP(G201,[1]Fx!$A$4:$A$12,[1]Fx!$D$4:$D$12)</f>
        <v/>
      </c>
      <c r="W201" s="208">
        <f>_xlfn.XLOOKUP(H201&amp;I201,'[1]Mapping DSL'!$H:$H,'[1]Mapping DSL'!$J:$J)</f>
        <v/>
      </c>
      <c r="X201" s="220">
        <f>_xlfn.XLOOKUP(G201,[1]Fx!$A$4:$A$12,[1]Fx!$E$4:$E$12)</f>
        <v/>
      </c>
      <c r="Y201" s="220">
        <f>T201*R201</f>
        <v/>
      </c>
      <c r="Z201" s="220">
        <f>U201*O201</f>
        <v/>
      </c>
      <c r="AA201" s="220">
        <f>V201*O201</f>
        <v/>
      </c>
      <c r="AB201" s="220">
        <f>W201*O201</f>
        <v/>
      </c>
      <c r="AC201" s="198">
        <f>X201*O201</f>
        <v/>
      </c>
      <c r="AD201" s="220" t="n">
        <v>0</v>
      </c>
      <c r="AE201" s="220" t="n">
        <v>0</v>
      </c>
      <c r="AF201" s="220">
        <f>SUM(Y201:AE201)</f>
        <v/>
      </c>
      <c r="AG201" s="205">
        <f>_xlfn.XLOOKUP(G201,[1]Fx!$A$16:$A$24,[1]Fx!$B$16:$B$24)</f>
        <v/>
      </c>
      <c r="AH201" s="220">
        <f>AG201*R201</f>
        <v/>
      </c>
      <c r="AI201" s="220">
        <f>$AI$6*Z201</f>
        <v/>
      </c>
      <c r="AJ201" s="220">
        <f>$AJ$6*AA201</f>
        <v/>
      </c>
      <c r="AK201" s="220">
        <f>$AK$6*AB201</f>
        <v/>
      </c>
      <c r="AL201" s="220">
        <f>$AL$6*AC201</f>
        <v/>
      </c>
      <c r="AM201" s="220">
        <f>SUM(AH201:AL201)</f>
        <v/>
      </c>
      <c r="AN201" s="220" t="n">
        <v>0</v>
      </c>
      <c r="AO201" s="220">
        <f>AN201*AH201</f>
        <v/>
      </c>
      <c r="AP201" s="220">
        <f>AD201</f>
        <v/>
      </c>
      <c r="AQ201" s="220">
        <f>AE201</f>
        <v/>
      </c>
      <c r="AR201" s="220">
        <f>AM201-AO201</f>
        <v/>
      </c>
      <c r="AS201" s="220">
        <f>AR201-AK201</f>
        <v/>
      </c>
      <c r="AT201" s="220">
        <f>AS201*1.075</f>
        <v/>
      </c>
      <c r="AU201" s="220">
        <f>ROUNDUP(AT201+AK201+AP201+AQ201,-4)</f>
        <v/>
      </c>
      <c r="AV201" s="198" t="n">
        <v>2052485</v>
      </c>
      <c r="AW201" s="227" t="n"/>
      <c r="AX201" s="220">
        <f>AV201-AR201</f>
        <v/>
      </c>
      <c r="AY201" s="35">
        <f>AX201/AR201</f>
        <v/>
      </c>
      <c r="AZ201" s="220">
        <f>AV201-AF201</f>
        <v/>
      </c>
      <c r="BA201" s="215">
        <f>AV201-SUM(Z201:AC201)</f>
        <v/>
      </c>
      <c r="BB201" s="215">
        <f>BA201-Y201</f>
        <v/>
      </c>
      <c r="BC201" s="35">
        <f>BB201/BA201</f>
        <v/>
      </c>
      <c r="BD201" s="35">
        <f>IFERROR(AZ201/AV201,)</f>
        <v/>
      </c>
      <c r="BE201" s="255">
        <f>AV201-SUM(Z201:AC201)</f>
        <v/>
      </c>
      <c r="BF201" s="255">
        <f>AV201-BE201-AC201-AB201</f>
        <v/>
      </c>
      <c r="BG201" s="255">
        <f>AV201-BE201-BF201-AB201</f>
        <v/>
      </c>
      <c r="BH201" s="255">
        <f>AB201</f>
        <v/>
      </c>
      <c r="BI201">
        <f>IF(BD201&lt;0%,"Loss",IF(BD201&lt;5%,"On Cost Plus",IF(BD201&lt;10%,"Within","Exceed")))</f>
        <v/>
      </c>
      <c r="BJ201" t="inlineStr">
        <is>
          <t>Exceed</t>
        </is>
      </c>
      <c r="BK201">
        <f>0.51*$BK$6</f>
        <v/>
      </c>
      <c r="BL201" s="190">
        <f>BK201-W201</f>
        <v/>
      </c>
      <c r="BM201" s="189">
        <f>BL201*O201</f>
        <v/>
      </c>
    </row>
    <row r="202">
      <c r="A202">
        <f>CONCATENATE(E202,F202,G202,H202,I202,J202,K202,L202)</f>
        <v/>
      </c>
      <c r="B202">
        <f>CONCATENATE(J202,"-&gt;",K202,"/",E202)</f>
        <v/>
      </c>
      <c r="C202" s="23" t="inlineStr">
        <is>
          <t>AFEEZ AJIBADE/Ebenezer</t>
        </is>
      </c>
      <c r="D202">
        <f>CONCATENATE(G202,"-",H202,"-",F202)</f>
        <v/>
      </c>
      <c r="E202" s="24" t="inlineStr">
        <is>
          <t>Lacasera-45T-NBL-DSL-JUMBO</t>
        </is>
      </c>
      <c r="F202" s="24" t="inlineStr">
        <is>
          <t>JUMBO</t>
        </is>
      </c>
      <c r="G202" s="25" t="inlineStr">
        <is>
          <t>NBL-DSL</t>
        </is>
      </c>
      <c r="H202" s="24" t="inlineStr">
        <is>
          <t>45T</t>
        </is>
      </c>
      <c r="I202" s="251" t="inlineStr">
        <is>
          <t>Lacasera</t>
        </is>
      </c>
      <c r="J202" s="251" t="inlineStr">
        <is>
          <t>Lagos</t>
        </is>
      </c>
      <c r="K202" s="23" t="inlineStr">
        <is>
          <t>Zaki Biam</t>
        </is>
      </c>
      <c r="L202" t="inlineStr">
        <is>
          <t>Benue</t>
        </is>
      </c>
      <c r="M202" s="1" t="inlineStr">
        <is>
          <t>Central</t>
        </is>
      </c>
      <c r="N202" s="261" t="n">
        <v>900</v>
      </c>
      <c r="O202" s="257" t="n">
        <v>1800</v>
      </c>
      <c r="P202" s="227">
        <f>ROUNDUP(O202/300,)</f>
        <v/>
      </c>
      <c r="Q202" s="220" t="n">
        <v>1</v>
      </c>
      <c r="R202" s="220">
        <f>Q202+P202</f>
        <v/>
      </c>
      <c r="S202" s="198">
        <f>ROUNDDOWN(O202*0.7,)</f>
        <v/>
      </c>
      <c r="T202" s="220">
        <f>_xlfn.XLOOKUP(G202,[1]Fx!$A$4:$A$12,[1]Fx!$B$4:$B$12)</f>
        <v/>
      </c>
      <c r="U202" s="220">
        <f>_xlfn.XLOOKUP(G202,[1]Fx!$A$4:$A$12,[1]Fx!$C$4:$C$12)</f>
        <v/>
      </c>
      <c r="V202" s="220">
        <f>_xlfn.XLOOKUP(G202,[1]Fx!$A$4:$A$12,[1]Fx!$D$4:$D$12)</f>
        <v/>
      </c>
      <c r="W202" s="208">
        <f>_xlfn.XLOOKUP(H202&amp;I202,'[1]Mapping DSL'!$H:$H,'[1]Mapping DSL'!$J:$J)</f>
        <v/>
      </c>
      <c r="X202" s="220">
        <f>_xlfn.XLOOKUP(G202,[1]Fx!$A$4:$A$12,[1]Fx!$E$4:$E$12)</f>
        <v/>
      </c>
      <c r="Y202" s="220">
        <f>T202*R202</f>
        <v/>
      </c>
      <c r="Z202" s="220">
        <f>U202*O202</f>
        <v/>
      </c>
      <c r="AA202" s="220">
        <f>V202*O202</f>
        <v/>
      </c>
      <c r="AB202" s="220">
        <f>W202*O202</f>
        <v/>
      </c>
      <c r="AC202" s="198">
        <f>X202*O202</f>
        <v/>
      </c>
      <c r="AD202" s="220" t="n">
        <v>0</v>
      </c>
      <c r="AE202" s="220" t="n">
        <v>0</v>
      </c>
      <c r="AF202" s="220">
        <f>SUM(Y202:AE202)</f>
        <v/>
      </c>
      <c r="AG202" s="205">
        <f>_xlfn.XLOOKUP(G202,[1]Fx!$A$16:$A$24,[1]Fx!$B$16:$B$24)</f>
        <v/>
      </c>
      <c r="AH202" s="220">
        <f>AG202*R202</f>
        <v/>
      </c>
      <c r="AI202" s="220">
        <f>$AI$6*Z202</f>
        <v/>
      </c>
      <c r="AJ202" s="220">
        <f>$AJ$6*AA202</f>
        <v/>
      </c>
      <c r="AK202" s="220">
        <f>$AK$6*AB202</f>
        <v/>
      </c>
      <c r="AL202" s="220">
        <f>$AL$6*AC202</f>
        <v/>
      </c>
      <c r="AM202" s="220">
        <f>SUM(AH202:AL202)</f>
        <v/>
      </c>
      <c r="AN202" s="220" t="n">
        <v>0</v>
      </c>
      <c r="AO202" s="220">
        <f>AN202*AH202</f>
        <v/>
      </c>
      <c r="AP202" s="220">
        <f>AD202</f>
        <v/>
      </c>
      <c r="AQ202" s="220">
        <f>AE202</f>
        <v/>
      </c>
      <c r="AR202" s="220">
        <f>AM202-AO202</f>
        <v/>
      </c>
      <c r="AS202" s="220">
        <f>AR202-AK202</f>
        <v/>
      </c>
      <c r="AT202" s="220">
        <f>AS202*1.075</f>
        <v/>
      </c>
      <c r="AU202" s="220">
        <f>ROUNDUP(AT202+AK202+AP202+AQ202,-4)</f>
        <v/>
      </c>
      <c r="AV202" s="198" t="n">
        <v>3808026</v>
      </c>
      <c r="AW202" s="227" t="n"/>
      <c r="AX202" s="220">
        <f>AV202-AR202</f>
        <v/>
      </c>
      <c r="AY202" s="35">
        <f>AX202/AR202</f>
        <v/>
      </c>
      <c r="AZ202" s="220">
        <f>AV202-AF202</f>
        <v/>
      </c>
      <c r="BA202" s="215">
        <f>AV202-SUM(Z202:AC202)</f>
        <v/>
      </c>
      <c r="BB202" s="215">
        <f>BA202-Y202</f>
        <v/>
      </c>
      <c r="BC202" s="35">
        <f>BB202/BA202</f>
        <v/>
      </c>
      <c r="BD202" s="35">
        <f>IFERROR(AZ202/AV202,)</f>
        <v/>
      </c>
      <c r="BE202" s="255">
        <f>AV202-SUM(Z202:AC202)</f>
        <v/>
      </c>
      <c r="BF202" s="255">
        <f>AV202-BE202-AC202-AB202</f>
        <v/>
      </c>
      <c r="BG202" s="255">
        <f>AV202-BE202-BF202-AB202</f>
        <v/>
      </c>
      <c r="BH202" s="255">
        <f>AB202</f>
        <v/>
      </c>
      <c r="BI202">
        <f>IF(BD202&lt;0%,"Loss",IF(BD202&lt;5%,"On Cost Plus",IF(BD202&lt;10%,"Within","Exceed")))</f>
        <v/>
      </c>
      <c r="BJ202" t="inlineStr">
        <is>
          <t>Exceed</t>
        </is>
      </c>
      <c r="BK202">
        <f>0.51*$BK$6</f>
        <v/>
      </c>
      <c r="BL202" s="190">
        <f>BK202-W202</f>
        <v/>
      </c>
      <c r="BM202" s="189">
        <f>BL202*O202</f>
        <v/>
      </c>
    </row>
    <row r="203">
      <c r="A203">
        <f>CONCATENATE(E203,F203,G203,H203,I203,J203,K203,L203)</f>
        <v/>
      </c>
      <c r="B203">
        <f>CONCATENATE(J203,"-&gt;",K203,"/",E203)</f>
        <v/>
      </c>
      <c r="C203" s="23" t="inlineStr">
        <is>
          <t>AFEEZ AJIBADE/Ebenezer</t>
        </is>
      </c>
      <c r="D203">
        <f>CONCATENATE(G203,"-",H203,"-",F203)</f>
        <v/>
      </c>
      <c r="E203" s="24" t="inlineStr">
        <is>
          <t>Lacasera-45T-NBL-DSL-JUMBO</t>
        </is>
      </c>
      <c r="F203" s="24" t="inlineStr">
        <is>
          <t>JUMBO</t>
        </is>
      </c>
      <c r="G203" s="25" t="inlineStr">
        <is>
          <t>NBL-DSL</t>
        </is>
      </c>
      <c r="H203" s="24" t="inlineStr">
        <is>
          <t>45T</t>
        </is>
      </c>
      <c r="I203" s="251" t="inlineStr">
        <is>
          <t>Lacasera</t>
        </is>
      </c>
      <c r="J203" s="251" t="inlineStr">
        <is>
          <t>Lagos</t>
        </is>
      </c>
      <c r="K203" s="23" t="inlineStr">
        <is>
          <t>Katsina-Ala</t>
        </is>
      </c>
      <c r="L203" t="inlineStr">
        <is>
          <t>Benue</t>
        </is>
      </c>
      <c r="M203" s="1" t="inlineStr">
        <is>
          <t>Central</t>
        </is>
      </c>
      <c r="N203" s="261" t="n">
        <v>849</v>
      </c>
      <c r="O203" s="257" t="n">
        <v>1698</v>
      </c>
      <c r="P203" s="227">
        <f>ROUNDUP(O203/300,)</f>
        <v/>
      </c>
      <c r="Q203" s="220" t="n">
        <v>1</v>
      </c>
      <c r="R203" s="220">
        <f>Q203+P203</f>
        <v/>
      </c>
      <c r="S203" s="198">
        <f>ROUNDDOWN(O203*0.7,)</f>
        <v/>
      </c>
      <c r="T203" s="220">
        <f>_xlfn.XLOOKUP(G203,[1]Fx!$A$4:$A$12,[1]Fx!$B$4:$B$12)</f>
        <v/>
      </c>
      <c r="U203" s="220">
        <f>_xlfn.XLOOKUP(G203,[1]Fx!$A$4:$A$12,[1]Fx!$C$4:$C$12)</f>
        <v/>
      </c>
      <c r="V203" s="220">
        <f>_xlfn.XLOOKUP(G203,[1]Fx!$A$4:$A$12,[1]Fx!$D$4:$D$12)</f>
        <v/>
      </c>
      <c r="W203" s="208">
        <f>_xlfn.XLOOKUP(H203&amp;I203,'[1]Mapping DSL'!$H:$H,'[1]Mapping DSL'!$J:$J)</f>
        <v/>
      </c>
      <c r="X203" s="220">
        <f>_xlfn.XLOOKUP(G203,[1]Fx!$A$4:$A$12,[1]Fx!$E$4:$E$12)</f>
        <v/>
      </c>
      <c r="Y203" s="220">
        <f>T203*R203</f>
        <v/>
      </c>
      <c r="Z203" s="220">
        <f>U203*O203</f>
        <v/>
      </c>
      <c r="AA203" s="220">
        <f>V203*O203</f>
        <v/>
      </c>
      <c r="AB203" s="220">
        <f>W203*O203</f>
        <v/>
      </c>
      <c r="AC203" s="198">
        <f>X203*O203</f>
        <v/>
      </c>
      <c r="AD203" s="220" t="n">
        <v>0</v>
      </c>
      <c r="AE203" s="220" t="n">
        <v>0</v>
      </c>
      <c r="AF203" s="220">
        <f>SUM(Y203:AE203)</f>
        <v/>
      </c>
      <c r="AG203" s="205">
        <f>_xlfn.XLOOKUP(G203,[1]Fx!$A$16:$A$24,[1]Fx!$B$16:$B$24)</f>
        <v/>
      </c>
      <c r="AH203" s="220">
        <f>AG203*R203</f>
        <v/>
      </c>
      <c r="AI203" s="220">
        <f>$AI$6*Z203</f>
        <v/>
      </c>
      <c r="AJ203" s="220">
        <f>$AJ$6*AA203</f>
        <v/>
      </c>
      <c r="AK203" s="220">
        <f>$AK$6*AB203</f>
        <v/>
      </c>
      <c r="AL203" s="220">
        <f>$AL$6*AC203</f>
        <v/>
      </c>
      <c r="AM203" s="220">
        <f>SUM(AH203:AL203)</f>
        <v/>
      </c>
      <c r="AN203" s="220" t="n">
        <v>0</v>
      </c>
      <c r="AO203" s="220">
        <f>AN203*AH203</f>
        <v/>
      </c>
      <c r="AP203" s="220">
        <f>AD203</f>
        <v/>
      </c>
      <c r="AQ203" s="220">
        <f>AE203</f>
        <v/>
      </c>
      <c r="AR203" s="220">
        <f>AM203-AO203</f>
        <v/>
      </c>
      <c r="AS203" s="220">
        <f>AR203-AK203</f>
        <v/>
      </c>
      <c r="AT203" s="220">
        <f>AS203*1.075</f>
        <v/>
      </c>
      <c r="AU203" s="220">
        <f>ROUNDUP(AT203+AK203+AP203+AQ203,-4)</f>
        <v/>
      </c>
      <c r="AV203" s="198" t="n">
        <v>3381857</v>
      </c>
      <c r="AW203" s="227" t="n"/>
      <c r="AX203" s="220">
        <f>AV203-AR203</f>
        <v/>
      </c>
      <c r="AY203" s="35">
        <f>AX203/AR203</f>
        <v/>
      </c>
      <c r="AZ203" s="220">
        <f>AV203-AF203</f>
        <v/>
      </c>
      <c r="BA203" s="215">
        <f>AV203-SUM(Z203:AC203)</f>
        <v/>
      </c>
      <c r="BB203" s="215">
        <f>BA203-Y203</f>
        <v/>
      </c>
      <c r="BC203" s="35">
        <f>BB203/BA203</f>
        <v/>
      </c>
      <c r="BD203" s="35">
        <f>IFERROR(AZ203/AV203,)</f>
        <v/>
      </c>
      <c r="BE203" s="255">
        <f>AV203-SUM(Z203:AC203)</f>
        <v/>
      </c>
      <c r="BF203" s="255">
        <f>AV203-BE203-AC203-AB203</f>
        <v/>
      </c>
      <c r="BG203" s="255">
        <f>AV203-BE203-BF203-AB203</f>
        <v/>
      </c>
      <c r="BH203" s="255">
        <f>AB203</f>
        <v/>
      </c>
      <c r="BI203">
        <f>IF(BD203&lt;0%,"Loss",IF(BD203&lt;5%,"On Cost Plus",IF(BD203&lt;10%,"Within","Exceed")))</f>
        <v/>
      </c>
      <c r="BJ203" t="inlineStr">
        <is>
          <t>Exceed</t>
        </is>
      </c>
      <c r="BK203">
        <f>0.51*$BK$6</f>
        <v/>
      </c>
      <c r="BL203" s="190">
        <f>BK203-W203</f>
        <v/>
      </c>
      <c r="BM203" s="189">
        <f>BL203*O203</f>
        <v/>
      </c>
    </row>
    <row r="204">
      <c r="A204">
        <f>CONCATENATE(E204,F204,G204,H204,I204,J204,K204,L204)</f>
        <v/>
      </c>
      <c r="B204">
        <f>CONCATENATE(J204,"-&gt;",K204,"/",E204)</f>
        <v/>
      </c>
      <c r="C204" s="23" t="inlineStr">
        <is>
          <t>AFEEZ AJIBADE/Ebenezer</t>
        </is>
      </c>
      <c r="D204">
        <f>CONCATENATE(G204,"-",H204,"-",F204)</f>
        <v/>
      </c>
      <c r="E204" s="24" t="inlineStr">
        <is>
          <t>Lacasera-45T-NBL-DSL-JUMBO</t>
        </is>
      </c>
      <c r="F204" s="24" t="inlineStr">
        <is>
          <t>JUMBO</t>
        </is>
      </c>
      <c r="G204" s="25" t="inlineStr">
        <is>
          <t>NBL-DSL</t>
        </is>
      </c>
      <c r="H204" s="24" t="inlineStr">
        <is>
          <t>45T</t>
        </is>
      </c>
      <c r="I204" s="251" t="inlineStr">
        <is>
          <t>Lacasera</t>
        </is>
      </c>
      <c r="J204" s="251" t="inlineStr">
        <is>
          <t>Lagos</t>
        </is>
      </c>
      <c r="K204" s="23" t="inlineStr">
        <is>
          <t>Adikpo</t>
        </is>
      </c>
      <c r="L204" t="inlineStr">
        <is>
          <t>Benue</t>
        </is>
      </c>
      <c r="M204" s="1" t="inlineStr">
        <is>
          <t>Central</t>
        </is>
      </c>
      <c r="N204" s="261" t="n">
        <v>817.5</v>
      </c>
      <c r="O204" s="257" t="n">
        <v>1635</v>
      </c>
      <c r="P204" s="227">
        <f>ROUNDUP(O204/300,)</f>
        <v/>
      </c>
      <c r="Q204" s="220" t="n">
        <v>1</v>
      </c>
      <c r="R204" s="220">
        <f>Q204+P204</f>
        <v/>
      </c>
      <c r="S204" s="198">
        <f>ROUNDDOWN(O204*0.7,)</f>
        <v/>
      </c>
      <c r="T204" s="220">
        <f>_xlfn.XLOOKUP(G204,[1]Fx!$A$4:$A$12,[1]Fx!$B$4:$B$12)</f>
        <v/>
      </c>
      <c r="U204" s="220">
        <f>_xlfn.XLOOKUP(G204,[1]Fx!$A$4:$A$12,[1]Fx!$C$4:$C$12)</f>
        <v/>
      </c>
      <c r="V204" s="220">
        <f>_xlfn.XLOOKUP(G204,[1]Fx!$A$4:$A$12,[1]Fx!$D$4:$D$12)</f>
        <v/>
      </c>
      <c r="W204" s="208">
        <f>_xlfn.XLOOKUP(H204&amp;I204,'[1]Mapping DSL'!$H:$H,'[1]Mapping DSL'!$J:$J)</f>
        <v/>
      </c>
      <c r="X204" s="220">
        <f>_xlfn.XLOOKUP(G204,[1]Fx!$A$4:$A$12,[1]Fx!$E$4:$E$12)</f>
        <v/>
      </c>
      <c r="Y204" s="220">
        <f>T204*R204</f>
        <v/>
      </c>
      <c r="Z204" s="220">
        <f>U204*O204</f>
        <v/>
      </c>
      <c r="AA204" s="220">
        <f>V204*O204</f>
        <v/>
      </c>
      <c r="AB204" s="220">
        <f>W204*O204</f>
        <v/>
      </c>
      <c r="AC204" s="198">
        <f>X204*O204</f>
        <v/>
      </c>
      <c r="AD204" s="220" t="n">
        <v>0</v>
      </c>
      <c r="AE204" s="220" t="n">
        <v>0</v>
      </c>
      <c r="AF204" s="220">
        <f>SUM(Y204:AE204)</f>
        <v/>
      </c>
      <c r="AG204" s="205">
        <f>_xlfn.XLOOKUP(G204,[1]Fx!$A$16:$A$24,[1]Fx!$B$16:$B$24)</f>
        <v/>
      </c>
      <c r="AH204" s="220">
        <f>AG204*R204</f>
        <v/>
      </c>
      <c r="AI204" s="220">
        <f>$AI$6*Z204</f>
        <v/>
      </c>
      <c r="AJ204" s="220">
        <f>$AJ$6*AA204</f>
        <v/>
      </c>
      <c r="AK204" s="220">
        <f>$AK$6*AB204</f>
        <v/>
      </c>
      <c r="AL204" s="220">
        <f>$AL$6*AC204</f>
        <v/>
      </c>
      <c r="AM204" s="220">
        <f>SUM(AH204:AL204)</f>
        <v/>
      </c>
      <c r="AN204" s="220" t="n">
        <v>0</v>
      </c>
      <c r="AO204" s="220">
        <f>AN204*AH204</f>
        <v/>
      </c>
      <c r="AP204" s="220">
        <f>AD204</f>
        <v/>
      </c>
      <c r="AQ204" s="220">
        <f>AE204</f>
        <v/>
      </c>
      <c r="AR204" s="220">
        <f>AM204-AO204</f>
        <v/>
      </c>
      <c r="AS204" s="220">
        <f>AR204-AK204</f>
        <v/>
      </c>
      <c r="AT204" s="220">
        <f>AS204*1.075</f>
        <v/>
      </c>
      <c r="AU204" s="220">
        <f>ROUNDUP(AT204+AK204+AP204+AQ204,-4)</f>
        <v/>
      </c>
      <c r="AV204" s="198" t="n">
        <v>3317245</v>
      </c>
      <c r="AW204" s="227" t="n"/>
      <c r="AX204" s="220">
        <f>AV204-AR204</f>
        <v/>
      </c>
      <c r="AY204" s="35">
        <f>AX204/AR204</f>
        <v/>
      </c>
      <c r="AZ204" s="220">
        <f>AV204-AF204</f>
        <v/>
      </c>
      <c r="BA204" s="215">
        <f>AV204-SUM(Z204:AC204)</f>
        <v/>
      </c>
      <c r="BB204" s="215">
        <f>BA204-Y204</f>
        <v/>
      </c>
      <c r="BC204" s="35">
        <f>BB204/BA204</f>
        <v/>
      </c>
      <c r="BD204" s="35">
        <f>IFERROR(AZ204/AV204,)</f>
        <v/>
      </c>
      <c r="BE204" s="255">
        <f>AV204-SUM(Z204:AC204)</f>
        <v/>
      </c>
      <c r="BF204" s="255">
        <f>AV204-BE204-AC204-AB204</f>
        <v/>
      </c>
      <c r="BG204" s="255">
        <f>AV204-BE204-BF204-AB204</f>
        <v/>
      </c>
      <c r="BH204" s="255">
        <f>AB204</f>
        <v/>
      </c>
      <c r="BI204">
        <f>IF(BD204&lt;0%,"Loss",IF(BD204&lt;5%,"On Cost Plus",IF(BD204&lt;10%,"Within","Exceed")))</f>
        <v/>
      </c>
      <c r="BJ204" t="inlineStr">
        <is>
          <t>Exceed</t>
        </is>
      </c>
      <c r="BK204">
        <f>0.51*$BK$6</f>
        <v/>
      </c>
      <c r="BL204" s="190">
        <f>BK204-W204</f>
        <v/>
      </c>
      <c r="BM204" s="189">
        <f>BL204*O204</f>
        <v/>
      </c>
    </row>
    <row r="205">
      <c r="A205">
        <f>CONCATENATE(E205,F205,G205,H205,I205,J205,K205,L205)</f>
        <v/>
      </c>
      <c r="B205">
        <f>CONCATENATE(J205,"-&gt;",K205,"/",E205)</f>
        <v/>
      </c>
      <c r="C205" s="23" t="inlineStr">
        <is>
          <t>AFEEZ AJIBADE/Ebenezer</t>
        </is>
      </c>
      <c r="D205">
        <f>CONCATENATE(G205,"-",H205,"-",F205)</f>
        <v/>
      </c>
      <c r="E205" s="24" t="inlineStr">
        <is>
          <t>Lacasera-45T-NBL-DSL-JUMBO</t>
        </is>
      </c>
      <c r="F205" s="24" t="inlineStr">
        <is>
          <t>JUMBO</t>
        </is>
      </c>
      <c r="G205" s="25" t="inlineStr">
        <is>
          <t>NBL-DSL</t>
        </is>
      </c>
      <c r="H205" s="24" t="inlineStr">
        <is>
          <t>45T</t>
        </is>
      </c>
      <c r="I205" s="251" t="inlineStr">
        <is>
          <t>Lacasera</t>
        </is>
      </c>
      <c r="J205" s="251" t="inlineStr">
        <is>
          <t>Lagos</t>
        </is>
      </c>
      <c r="K205" s="23" t="inlineStr">
        <is>
          <t>Takum</t>
        </is>
      </c>
      <c r="L205" t="inlineStr">
        <is>
          <t>Taraba</t>
        </is>
      </c>
      <c r="M205" s="1" t="inlineStr">
        <is>
          <t>Central</t>
        </is>
      </c>
      <c r="N205" s="261" t="n">
        <v>926.5</v>
      </c>
      <c r="O205" s="257" t="n">
        <v>1853</v>
      </c>
      <c r="P205" s="227">
        <f>ROUNDUP(O205/300,)</f>
        <v/>
      </c>
      <c r="Q205" s="220" t="n">
        <v>1</v>
      </c>
      <c r="R205" s="220">
        <f>Q205+P205</f>
        <v/>
      </c>
      <c r="S205" s="198">
        <f>ROUNDDOWN(O205*0.7,)</f>
        <v/>
      </c>
      <c r="T205" s="220">
        <f>_xlfn.XLOOKUP(G205,[1]Fx!$A$4:$A$12,[1]Fx!$B$4:$B$12)</f>
        <v/>
      </c>
      <c r="U205" s="220">
        <f>_xlfn.XLOOKUP(G205,[1]Fx!$A$4:$A$12,[1]Fx!$C$4:$C$12)</f>
        <v/>
      </c>
      <c r="V205" s="220">
        <f>_xlfn.XLOOKUP(G205,[1]Fx!$A$4:$A$12,[1]Fx!$D$4:$D$12)</f>
        <v/>
      </c>
      <c r="W205" s="208">
        <f>_xlfn.XLOOKUP(H205&amp;I205,'[1]Mapping DSL'!$H:$H,'[1]Mapping DSL'!$J:$J)</f>
        <v/>
      </c>
      <c r="X205" s="220">
        <f>_xlfn.XLOOKUP(G205,[1]Fx!$A$4:$A$12,[1]Fx!$E$4:$E$12)</f>
        <v/>
      </c>
      <c r="Y205" s="220">
        <f>T205*R205</f>
        <v/>
      </c>
      <c r="Z205" s="220">
        <f>U205*O205</f>
        <v/>
      </c>
      <c r="AA205" s="220">
        <f>V205*O205</f>
        <v/>
      </c>
      <c r="AB205" s="220">
        <f>W205*O205</f>
        <v/>
      </c>
      <c r="AC205" s="198">
        <f>X205*O205</f>
        <v/>
      </c>
      <c r="AD205" s="220" t="n">
        <v>0</v>
      </c>
      <c r="AE205" s="220" t="n">
        <v>0</v>
      </c>
      <c r="AF205" s="220">
        <f>SUM(Y205:AE205)</f>
        <v/>
      </c>
      <c r="AG205" s="205">
        <f>_xlfn.XLOOKUP(G205,[1]Fx!$A$16:$A$24,[1]Fx!$B$16:$B$24)</f>
        <v/>
      </c>
      <c r="AH205" s="220">
        <f>AG205*R205</f>
        <v/>
      </c>
      <c r="AI205" s="220">
        <f>$AI$6*Z205</f>
        <v/>
      </c>
      <c r="AJ205" s="220">
        <f>$AJ$6*AA205</f>
        <v/>
      </c>
      <c r="AK205" s="220">
        <f>$AK$6*AB205</f>
        <v/>
      </c>
      <c r="AL205" s="220">
        <f>$AL$6*AC205</f>
        <v/>
      </c>
      <c r="AM205" s="220">
        <f>SUM(AH205:AL205)</f>
        <v/>
      </c>
      <c r="AN205" s="220" t="n">
        <v>0</v>
      </c>
      <c r="AO205" s="220">
        <f>AN205*AH205</f>
        <v/>
      </c>
      <c r="AP205" s="220">
        <f>AD205</f>
        <v/>
      </c>
      <c r="AQ205" s="220">
        <f>AE205</f>
        <v/>
      </c>
      <c r="AR205" s="220">
        <f>AM205-AO205</f>
        <v/>
      </c>
      <c r="AS205" s="220">
        <f>AR205-AK205</f>
        <v/>
      </c>
      <c r="AT205" s="220">
        <f>AS205*1.075</f>
        <v/>
      </c>
      <c r="AU205" s="220">
        <f>ROUNDUP(AT205+AK205+AP205+AQ205,-4)</f>
        <v/>
      </c>
      <c r="AV205" s="198" t="n">
        <v>3883637</v>
      </c>
      <c r="AW205" s="227" t="n"/>
      <c r="AX205" s="220">
        <f>AV205-AR205</f>
        <v/>
      </c>
      <c r="AY205" s="35">
        <f>AX205/AR205</f>
        <v/>
      </c>
      <c r="AZ205" s="220">
        <f>AV205-AF205</f>
        <v/>
      </c>
      <c r="BA205" s="215">
        <f>AV205-SUM(Z205:AC205)</f>
        <v/>
      </c>
      <c r="BB205" s="215">
        <f>BA205-Y205</f>
        <v/>
      </c>
      <c r="BC205" s="35">
        <f>BB205/BA205</f>
        <v/>
      </c>
      <c r="BD205" s="35">
        <f>IFERROR(AZ205/AV205,)</f>
        <v/>
      </c>
      <c r="BE205" s="255">
        <f>AV205-SUM(Z205:AC205)</f>
        <v/>
      </c>
      <c r="BF205" s="255">
        <f>AV205-BE205-AC205-AB205</f>
        <v/>
      </c>
      <c r="BG205" s="255">
        <f>AV205-BE205-BF205-AB205</f>
        <v/>
      </c>
      <c r="BH205" s="255">
        <f>AB205</f>
        <v/>
      </c>
      <c r="BI205">
        <f>IF(BD205&lt;0%,"Loss",IF(BD205&lt;5%,"On Cost Plus",IF(BD205&lt;10%,"Within","Exceed")))</f>
        <v/>
      </c>
      <c r="BJ205" t="inlineStr">
        <is>
          <t>Exceed</t>
        </is>
      </c>
      <c r="BK205">
        <f>0.51*$BK$6</f>
        <v/>
      </c>
      <c r="BL205" s="190">
        <f>BK205-W205</f>
        <v/>
      </c>
      <c r="BM205" s="189">
        <f>BL205*O205</f>
        <v/>
      </c>
    </row>
    <row r="206">
      <c r="A206">
        <f>CONCATENATE(E206,F206,G206,H206,I206,J206,K206,L206)</f>
        <v/>
      </c>
      <c r="B206">
        <f>CONCATENATE(J206,"-&gt;",K206,"/",E206)</f>
        <v/>
      </c>
      <c r="C206" s="23" t="inlineStr">
        <is>
          <t>AFEEZ AJIBADE/Ebenezer</t>
        </is>
      </c>
      <c r="D206">
        <f>CONCATENATE(G206,"-",H206,"-",F206)</f>
        <v/>
      </c>
      <c r="E206" s="24" t="inlineStr">
        <is>
          <t>Lacasera-45T-NBL-DSL-JUMBO</t>
        </is>
      </c>
      <c r="F206" s="24" t="inlineStr">
        <is>
          <t>JUMBO</t>
        </is>
      </c>
      <c r="G206" s="25" t="inlineStr">
        <is>
          <t>NBL-DSL</t>
        </is>
      </c>
      <c r="H206" s="24" t="inlineStr">
        <is>
          <t>45T</t>
        </is>
      </c>
      <c r="I206" s="251" t="inlineStr">
        <is>
          <t>Lacasera</t>
        </is>
      </c>
      <c r="J206" s="251" t="inlineStr">
        <is>
          <t>Lagos</t>
        </is>
      </c>
      <c r="K206" s="23" t="inlineStr">
        <is>
          <t>Mutum Biyu</t>
        </is>
      </c>
      <c r="L206" t="inlineStr">
        <is>
          <t>Taraba</t>
        </is>
      </c>
      <c r="M206" s="1" t="inlineStr">
        <is>
          <t>Central</t>
        </is>
      </c>
      <c r="N206" s="261" t="n">
        <v>1091.5</v>
      </c>
      <c r="O206" s="257" t="n">
        <v>2183</v>
      </c>
      <c r="P206" s="227">
        <f>ROUNDUP(O206/300,)</f>
        <v/>
      </c>
      <c r="Q206" s="220" t="n">
        <v>1</v>
      </c>
      <c r="R206" s="220">
        <f>Q206+P206</f>
        <v/>
      </c>
      <c r="S206" s="198">
        <f>ROUNDDOWN(O206*0.7,)</f>
        <v/>
      </c>
      <c r="T206" s="220">
        <f>_xlfn.XLOOKUP(G206,[1]Fx!$A$4:$A$12,[1]Fx!$B$4:$B$12)</f>
        <v/>
      </c>
      <c r="U206" s="220">
        <f>_xlfn.XLOOKUP(G206,[1]Fx!$A$4:$A$12,[1]Fx!$C$4:$C$12)</f>
        <v/>
      </c>
      <c r="V206" s="220">
        <f>_xlfn.XLOOKUP(G206,[1]Fx!$A$4:$A$12,[1]Fx!$D$4:$D$12)</f>
        <v/>
      </c>
      <c r="W206" s="208">
        <f>_xlfn.XLOOKUP(H206&amp;I206,'[1]Mapping DSL'!$H:$H,'[1]Mapping DSL'!$J:$J)</f>
        <v/>
      </c>
      <c r="X206" s="220">
        <f>_xlfn.XLOOKUP(G206,[1]Fx!$A$4:$A$12,[1]Fx!$E$4:$E$12)</f>
        <v/>
      </c>
      <c r="Y206" s="220">
        <f>T206*R206</f>
        <v/>
      </c>
      <c r="Z206" s="220">
        <f>U206*O206</f>
        <v/>
      </c>
      <c r="AA206" s="220">
        <f>V206*O206</f>
        <v/>
      </c>
      <c r="AB206" s="220">
        <f>W206*O206</f>
        <v/>
      </c>
      <c r="AC206" s="198">
        <f>X206*O206</f>
        <v/>
      </c>
      <c r="AD206" s="220" t="n">
        <v>0</v>
      </c>
      <c r="AE206" s="220" t="n">
        <v>0</v>
      </c>
      <c r="AF206" s="220">
        <f>SUM(Y206:AE206)</f>
        <v/>
      </c>
      <c r="AG206" s="205">
        <f>_xlfn.XLOOKUP(G206,[1]Fx!$A$16:$A$24,[1]Fx!$B$16:$B$24)</f>
        <v/>
      </c>
      <c r="AH206" s="220">
        <f>AG206*R206</f>
        <v/>
      </c>
      <c r="AI206" s="220">
        <f>$AI$6*Z206</f>
        <v/>
      </c>
      <c r="AJ206" s="220">
        <f>$AJ$6*AA206</f>
        <v/>
      </c>
      <c r="AK206" s="220">
        <f>$AK$6*AB206</f>
        <v/>
      </c>
      <c r="AL206" s="220">
        <f>$AL$6*AC206</f>
        <v/>
      </c>
      <c r="AM206" s="220">
        <f>SUM(AH206:AL206)</f>
        <v/>
      </c>
      <c r="AN206" s="220" t="n">
        <v>0</v>
      </c>
      <c r="AO206" s="220">
        <f>AN206*AH206</f>
        <v/>
      </c>
      <c r="AP206" s="220">
        <f>AD206</f>
        <v/>
      </c>
      <c r="AQ206" s="220">
        <f>AE206</f>
        <v/>
      </c>
      <c r="AR206" s="220">
        <f>AM206-AO206</f>
        <v/>
      </c>
      <c r="AS206" s="220">
        <f>AR206-AK206</f>
        <v/>
      </c>
      <c r="AT206" s="220">
        <f>AS206*1.075</f>
        <v/>
      </c>
      <c r="AU206" s="220">
        <f>ROUNDUP(AT206+AK206+AP206+AQ206,-4)</f>
        <v/>
      </c>
      <c r="AV206" s="198" t="n">
        <v>3550950</v>
      </c>
      <c r="AW206" s="227" t="n"/>
      <c r="AX206" s="220">
        <f>AV206-AR206</f>
        <v/>
      </c>
      <c r="AY206" s="35">
        <f>AX206/AR206</f>
        <v/>
      </c>
      <c r="AZ206" s="220">
        <f>AV206-AF206</f>
        <v/>
      </c>
      <c r="BA206" s="215">
        <f>AV206-SUM(Z206:AC206)</f>
        <v/>
      </c>
      <c r="BB206" s="215">
        <f>BA206-Y206</f>
        <v/>
      </c>
      <c r="BC206" s="35">
        <f>BB206/BA206</f>
        <v/>
      </c>
      <c r="BD206" s="35">
        <f>IFERROR(AZ206/AV206,)</f>
        <v/>
      </c>
      <c r="BE206" s="255">
        <f>AV206-SUM(Z206:AC206)</f>
        <v/>
      </c>
      <c r="BF206" s="255">
        <f>AV206-BE206-AC206-AB206</f>
        <v/>
      </c>
      <c r="BG206" s="255">
        <f>AV206-BE206-BF206-AB206</f>
        <v/>
      </c>
      <c r="BH206" s="255">
        <f>AB206</f>
        <v/>
      </c>
      <c r="BI206">
        <f>IF(BD206&lt;0%,"Loss",IF(BD206&lt;5%,"On Cost Plus",IF(BD206&lt;10%,"Within","Exceed")))</f>
        <v/>
      </c>
      <c r="BJ206" t="inlineStr">
        <is>
          <t>Within</t>
        </is>
      </c>
      <c r="BK206">
        <f>0.51*$BK$6</f>
        <v/>
      </c>
      <c r="BL206" s="190">
        <f>BK206-W206</f>
        <v/>
      </c>
      <c r="BM206" s="189">
        <f>BL206*O206</f>
        <v/>
      </c>
    </row>
    <row r="207">
      <c r="A207">
        <f>CONCATENATE(E207,F207,G207,H207,I207,J207,K207,L207)</f>
        <v/>
      </c>
      <c r="B207">
        <f>CONCATENATE(J207,"-&gt;",K207,"/",E207)</f>
        <v/>
      </c>
      <c r="C207" s="23" t="inlineStr">
        <is>
          <t>AFEEZ AJIBADE/Ebenezer</t>
        </is>
      </c>
      <c r="D207">
        <f>CONCATENATE(G207,"-",H207,"-",F207)</f>
        <v/>
      </c>
      <c r="E207" s="24" t="inlineStr">
        <is>
          <t>Lacasera-45T-NBL-DSL-JUMBO</t>
        </is>
      </c>
      <c r="F207" s="24" t="inlineStr">
        <is>
          <t>JUMBO</t>
        </is>
      </c>
      <c r="G207" s="25" t="inlineStr">
        <is>
          <t>NBL-DSL</t>
        </is>
      </c>
      <c r="H207" s="24" t="inlineStr">
        <is>
          <t>45T</t>
        </is>
      </c>
      <c r="I207" s="251" t="inlineStr">
        <is>
          <t>Lacasera</t>
        </is>
      </c>
      <c r="J207" s="251" t="inlineStr">
        <is>
          <t>Lagos</t>
        </is>
      </c>
      <c r="K207" s="23" t="inlineStr">
        <is>
          <t>Chikanda</t>
        </is>
      </c>
      <c r="L207" t="inlineStr">
        <is>
          <t>Kwara</t>
        </is>
      </c>
      <c r="M207" s="1" t="inlineStr">
        <is>
          <t>West</t>
        </is>
      </c>
      <c r="N207" s="261" t="n">
        <v>458</v>
      </c>
      <c r="O207" s="257" t="n">
        <v>916</v>
      </c>
      <c r="P207" s="227">
        <f>ROUNDUP(O207/300,)</f>
        <v/>
      </c>
      <c r="Q207" s="220" t="n">
        <v>1</v>
      </c>
      <c r="R207" s="220">
        <f>Q207+P207</f>
        <v/>
      </c>
      <c r="S207" s="198">
        <f>ROUNDDOWN(O207*0.7,)</f>
        <v/>
      </c>
      <c r="T207" s="220">
        <f>_xlfn.XLOOKUP(G207,[1]Fx!$A$4:$A$12,[1]Fx!$B$4:$B$12)</f>
        <v/>
      </c>
      <c r="U207" s="220">
        <f>_xlfn.XLOOKUP(G207,[1]Fx!$A$4:$A$12,[1]Fx!$C$4:$C$12)</f>
        <v/>
      </c>
      <c r="V207" s="220">
        <f>_xlfn.XLOOKUP(G207,[1]Fx!$A$4:$A$12,[1]Fx!$D$4:$D$12)</f>
        <v/>
      </c>
      <c r="W207" s="208">
        <f>_xlfn.XLOOKUP(H207&amp;I207,'[1]Mapping DSL'!$H:$H,'[1]Mapping DSL'!$J:$J)</f>
        <v/>
      </c>
      <c r="X207" s="220">
        <f>_xlfn.XLOOKUP(G207,[1]Fx!$A$4:$A$12,[1]Fx!$E$4:$E$12)</f>
        <v/>
      </c>
      <c r="Y207" s="220">
        <f>T207*R207</f>
        <v/>
      </c>
      <c r="Z207" s="220">
        <f>U207*O207</f>
        <v/>
      </c>
      <c r="AA207" s="220">
        <f>V207*O207</f>
        <v/>
      </c>
      <c r="AB207" s="220">
        <f>W207*O207</f>
        <v/>
      </c>
      <c r="AC207" s="198">
        <f>X207*O207</f>
        <v/>
      </c>
      <c r="AD207" s="220" t="n">
        <v>0</v>
      </c>
      <c r="AE207" s="220" t="n">
        <v>0</v>
      </c>
      <c r="AF207" s="220">
        <f>SUM(Y207:AE207)</f>
        <v/>
      </c>
      <c r="AG207" s="205">
        <f>_xlfn.XLOOKUP(G207,[1]Fx!$A$16:$A$24,[1]Fx!$B$16:$B$24)</f>
        <v/>
      </c>
      <c r="AH207" s="220">
        <f>AG207*R207</f>
        <v/>
      </c>
      <c r="AI207" s="220">
        <f>$AI$6*Z207</f>
        <v/>
      </c>
      <c r="AJ207" s="220">
        <f>$AJ$6*AA207</f>
        <v/>
      </c>
      <c r="AK207" s="220">
        <f>$AK$6*AB207</f>
        <v/>
      </c>
      <c r="AL207" s="220">
        <f>$AL$6*AC207</f>
        <v/>
      </c>
      <c r="AM207" s="220">
        <f>SUM(AH207:AL207)</f>
        <v/>
      </c>
      <c r="AN207" s="220" t="n">
        <v>0</v>
      </c>
      <c r="AO207" s="220">
        <f>AN207*AH207</f>
        <v/>
      </c>
      <c r="AP207" s="220">
        <f>AD207</f>
        <v/>
      </c>
      <c r="AQ207" s="220">
        <f>AE207</f>
        <v/>
      </c>
      <c r="AR207" s="220">
        <f>AM207-AO207</f>
        <v/>
      </c>
      <c r="AS207" s="220">
        <f>AR207-AK207</f>
        <v/>
      </c>
      <c r="AT207" s="220">
        <f>AS207*1.075</f>
        <v/>
      </c>
      <c r="AU207" s="220">
        <f>ROUNDUP(AT207+AK207+AP207+AQ207,-4)</f>
        <v/>
      </c>
      <c r="AV207" s="198" t="n">
        <v>2268319</v>
      </c>
      <c r="AW207" s="227" t="n"/>
      <c r="AX207" s="220">
        <f>AV207-AR207</f>
        <v/>
      </c>
      <c r="AY207" s="35">
        <f>AX207/AR207</f>
        <v/>
      </c>
      <c r="AZ207" s="220">
        <f>AV207-AF207</f>
        <v/>
      </c>
      <c r="BA207" s="215">
        <f>AV207-SUM(Z207:AC207)</f>
        <v/>
      </c>
      <c r="BB207" s="215">
        <f>BA207-Y207</f>
        <v/>
      </c>
      <c r="BC207" s="35">
        <f>BB207/BA207</f>
        <v/>
      </c>
      <c r="BD207" s="35">
        <f>IFERROR(AZ207/AV207,)</f>
        <v/>
      </c>
      <c r="BE207" s="255">
        <f>AV207-SUM(Z207:AC207)</f>
        <v/>
      </c>
      <c r="BF207" s="255">
        <f>AV207-BE207-AC207-AB207</f>
        <v/>
      </c>
      <c r="BG207" s="255">
        <f>AV207-BE207-BF207-AB207</f>
        <v/>
      </c>
      <c r="BH207" s="255">
        <f>AB207</f>
        <v/>
      </c>
      <c r="BI207">
        <f>IF(BD207&lt;0%,"Loss",IF(BD207&lt;5%,"On Cost Plus",IF(BD207&lt;10%,"Within","Exceed")))</f>
        <v/>
      </c>
      <c r="BJ207" t="inlineStr">
        <is>
          <t>Exceed</t>
        </is>
      </c>
      <c r="BK207">
        <f>0.51*$BK$6</f>
        <v/>
      </c>
      <c r="BL207" s="190">
        <f>BK207-W207</f>
        <v/>
      </c>
      <c r="BM207" s="189">
        <f>BL207*O207</f>
        <v/>
      </c>
    </row>
    <row r="208">
      <c r="A208">
        <f>CONCATENATE(E208,F208,G208,H208,I208,J208,K208,L208)</f>
        <v/>
      </c>
      <c r="B208">
        <f>CONCATENATE(J208,"-&gt;",K208,"/",E208)</f>
        <v/>
      </c>
      <c r="C208" s="23" t="inlineStr">
        <is>
          <t>AFEEZ AJIBADE/Ebenezer</t>
        </is>
      </c>
      <c r="D208">
        <f>CONCATENATE(G208,"-",H208,"-",F208)</f>
        <v/>
      </c>
      <c r="E208" s="24" t="inlineStr">
        <is>
          <t>Lacasera-45T-NBL-DSL-JUMBO</t>
        </is>
      </c>
      <c r="F208" s="24" t="inlineStr">
        <is>
          <t>JUMBO</t>
        </is>
      </c>
      <c r="G208" s="25" t="inlineStr">
        <is>
          <t>NBL-DSL</t>
        </is>
      </c>
      <c r="H208" s="24" t="inlineStr">
        <is>
          <t>45T</t>
        </is>
      </c>
      <c r="I208" s="251" t="inlineStr">
        <is>
          <t>Lacasera</t>
        </is>
      </c>
      <c r="J208" s="251" t="inlineStr">
        <is>
          <t>Lagos</t>
        </is>
      </c>
      <c r="K208" s="23" t="inlineStr">
        <is>
          <t>Ifon</t>
        </is>
      </c>
      <c r="L208" t="inlineStr">
        <is>
          <t>Ondo</t>
        </is>
      </c>
      <c r="M208" s="1" t="inlineStr">
        <is>
          <t>West</t>
        </is>
      </c>
      <c r="N208" s="261" t="n">
        <v>372.5</v>
      </c>
      <c r="O208" s="257" t="n">
        <v>745</v>
      </c>
      <c r="P208" s="227">
        <f>ROUNDUP(O208/300,)</f>
        <v/>
      </c>
      <c r="Q208" s="220" t="n">
        <v>1</v>
      </c>
      <c r="R208" s="220">
        <f>Q208+P208</f>
        <v/>
      </c>
      <c r="S208" s="198">
        <f>ROUNDDOWN(O208*0.7,)</f>
        <v/>
      </c>
      <c r="T208" s="220">
        <f>_xlfn.XLOOKUP(G208,[1]Fx!$A$4:$A$12,[1]Fx!$B$4:$B$12)</f>
        <v/>
      </c>
      <c r="U208" s="220">
        <f>_xlfn.XLOOKUP(G208,[1]Fx!$A$4:$A$12,[1]Fx!$C$4:$C$12)</f>
        <v/>
      </c>
      <c r="V208" s="220">
        <f>_xlfn.XLOOKUP(G208,[1]Fx!$A$4:$A$12,[1]Fx!$D$4:$D$12)</f>
        <v/>
      </c>
      <c r="W208" s="208">
        <f>_xlfn.XLOOKUP(H208&amp;I208,'[1]Mapping DSL'!$H:$H,'[1]Mapping DSL'!$J:$J)</f>
        <v/>
      </c>
      <c r="X208" s="220">
        <f>_xlfn.XLOOKUP(G208,[1]Fx!$A$4:$A$12,[1]Fx!$E$4:$E$12)</f>
        <v/>
      </c>
      <c r="Y208" s="220">
        <f>T208*R208</f>
        <v/>
      </c>
      <c r="Z208" s="220">
        <f>U208*O208</f>
        <v/>
      </c>
      <c r="AA208" s="220">
        <f>V208*O208</f>
        <v/>
      </c>
      <c r="AB208" s="220">
        <f>W208*O208</f>
        <v/>
      </c>
      <c r="AC208" s="198">
        <f>X208*O208</f>
        <v/>
      </c>
      <c r="AD208" s="220" t="n">
        <v>0</v>
      </c>
      <c r="AE208" s="220" t="n">
        <v>0</v>
      </c>
      <c r="AF208" s="220">
        <f>SUM(Y208:AE208)</f>
        <v/>
      </c>
      <c r="AG208" s="205">
        <f>_xlfn.XLOOKUP(G208,[1]Fx!$A$16:$A$24,[1]Fx!$B$16:$B$24)</f>
        <v/>
      </c>
      <c r="AH208" s="220">
        <f>AG208*R208</f>
        <v/>
      </c>
      <c r="AI208" s="220">
        <f>$AI$6*Z208</f>
        <v/>
      </c>
      <c r="AJ208" s="220">
        <f>$AJ$6*AA208</f>
        <v/>
      </c>
      <c r="AK208" s="220">
        <f>$AK$6*AB208</f>
        <v/>
      </c>
      <c r="AL208" s="220">
        <f>$AL$6*AC208</f>
        <v/>
      </c>
      <c r="AM208" s="220">
        <f>SUM(AH208:AL208)</f>
        <v/>
      </c>
      <c r="AN208" s="220" t="n">
        <v>0</v>
      </c>
      <c r="AO208" s="220">
        <f>AN208*AH208</f>
        <v/>
      </c>
      <c r="AP208" s="220">
        <f>AD208</f>
        <v/>
      </c>
      <c r="AQ208" s="220">
        <f>AE208</f>
        <v/>
      </c>
      <c r="AR208" s="220">
        <f>AM208-AO208</f>
        <v/>
      </c>
      <c r="AS208" s="220">
        <f>AR208-AK208</f>
        <v/>
      </c>
      <c r="AT208" s="220">
        <f>AS208*1.075</f>
        <v/>
      </c>
      <c r="AU208" s="220">
        <f>ROUNDUP(AT208+AK208+AP208+AQ208,-4)</f>
        <v/>
      </c>
      <c r="AV208" s="198" t="n">
        <v>2052485</v>
      </c>
      <c r="AW208" s="227" t="n"/>
      <c r="AX208" s="220">
        <f>AV208-AR208</f>
        <v/>
      </c>
      <c r="AY208" s="35">
        <f>AX208/AR208</f>
        <v/>
      </c>
      <c r="AZ208" s="220">
        <f>AV208-AF208</f>
        <v/>
      </c>
      <c r="BA208" s="215">
        <f>AV208-SUM(Z208:AC208)</f>
        <v/>
      </c>
      <c r="BB208" s="215">
        <f>BA208-Y208</f>
        <v/>
      </c>
      <c r="BC208" s="35">
        <f>BB208/BA208</f>
        <v/>
      </c>
      <c r="BD208" s="35">
        <f>IFERROR(AZ208/AV208,)</f>
        <v/>
      </c>
      <c r="BE208" s="255">
        <f>AV208-SUM(Z208:AC208)</f>
        <v/>
      </c>
      <c r="BF208" s="255">
        <f>AV208-BE208-AC208-AB208</f>
        <v/>
      </c>
      <c r="BG208" s="255">
        <f>AV208-BE208-BF208-AB208</f>
        <v/>
      </c>
      <c r="BH208" s="255">
        <f>AB208</f>
        <v/>
      </c>
      <c r="BI208">
        <f>IF(BD208&lt;0%,"Loss",IF(BD208&lt;5%,"On Cost Plus",IF(BD208&lt;10%,"Within","Exceed")))</f>
        <v/>
      </c>
      <c r="BJ208" t="inlineStr">
        <is>
          <t>Exceed</t>
        </is>
      </c>
      <c r="BK208">
        <f>0.51*$BK$6</f>
        <v/>
      </c>
      <c r="BL208" s="190">
        <f>BK208-W208</f>
        <v/>
      </c>
      <c r="BM208" s="189">
        <f>BL208*O208</f>
        <v/>
      </c>
    </row>
    <row r="209">
      <c r="A209">
        <f>CONCATENATE(E209,F209,G209,H209,I209,J209,K209,L209)</f>
        <v/>
      </c>
      <c r="B209">
        <f>CONCATENATE(J209,"-&gt;",K209,"/",E209)</f>
        <v/>
      </c>
      <c r="C209" s="23" t="inlineStr">
        <is>
          <t>AFEEZ AJIBADE/Ebenezer</t>
        </is>
      </c>
      <c r="D209">
        <f>CONCATENATE(G209,"-",H209,"-",F209)</f>
        <v/>
      </c>
      <c r="E209" s="24" t="inlineStr">
        <is>
          <t>NIGER BISCUIT-30T-NBL-DSL-JUMBO</t>
        </is>
      </c>
      <c r="F209" s="24" t="inlineStr">
        <is>
          <t>JUMBO</t>
        </is>
      </c>
      <c r="G209" s="25" t="inlineStr">
        <is>
          <t>NBL-DSL</t>
        </is>
      </c>
      <c r="H209" s="24" t="inlineStr">
        <is>
          <t>30T</t>
        </is>
      </c>
      <c r="I209" s="251" t="inlineStr">
        <is>
          <t>NIGER BISCUIT</t>
        </is>
      </c>
      <c r="J209" s="251" t="inlineStr">
        <is>
          <t>Lagos</t>
        </is>
      </c>
      <c r="K209" s="251" t="inlineStr">
        <is>
          <t>Port Harcourt</t>
        </is>
      </c>
      <c r="L209" s="204" t="inlineStr">
        <is>
          <t>Rivers</t>
        </is>
      </c>
      <c r="M209" s="252" t="inlineStr">
        <is>
          <t>East</t>
        </is>
      </c>
      <c r="N209" s="253" t="n">
        <v>630</v>
      </c>
      <c r="O209" s="198">
        <f>N209*2</f>
        <v/>
      </c>
      <c r="P209" s="220">
        <f>ROUNDUP(O209/300,)</f>
        <v/>
      </c>
      <c r="Q209" s="220" t="n">
        <v>1</v>
      </c>
      <c r="R209" s="220">
        <f>Q209+P209</f>
        <v/>
      </c>
      <c r="S209" s="195">
        <f>ROUNDDOWN(O209*0.7,)</f>
        <v/>
      </c>
      <c r="T209" s="208">
        <f>_xlfn.XLOOKUP(G209,[1]Fx!$A$4:$A$12,[1]Fx!$B$4:$B$12)</f>
        <v/>
      </c>
      <c r="U209" s="208">
        <f>_xlfn.XLOOKUP(G209,[1]Fx!$A$4:$A$12,[1]Fx!$C$4:$C$12)</f>
        <v/>
      </c>
      <c r="V209" s="208">
        <f>_xlfn.XLOOKUP(G209,[1]Fx!$A$4:$A$12,[1]Fx!$D$4:$D$12)</f>
        <v/>
      </c>
      <c r="W209" s="208">
        <f>_xlfn.XLOOKUP(H209&amp;I209,'[1]Mapping DSL'!$H:$H,'[1]Mapping DSL'!$J:$J)</f>
        <v/>
      </c>
      <c r="X209" s="220">
        <f>_xlfn.XLOOKUP(G209,[1]Fx!$A$4:$A$12,[1]Fx!$E$4:$E$12)</f>
        <v/>
      </c>
      <c r="Y209" s="220">
        <f>T209*R209</f>
        <v/>
      </c>
      <c r="Z209" s="220">
        <f>U209*O209</f>
        <v/>
      </c>
      <c r="AA209" s="220">
        <f>V209*O209</f>
        <v/>
      </c>
      <c r="AB209" s="220">
        <f>W209*O209</f>
        <v/>
      </c>
      <c r="AC209" s="198">
        <f>X209*O209</f>
        <v/>
      </c>
      <c r="AD209" s="220" t="n">
        <v>0</v>
      </c>
      <c r="AE209" s="220" t="n">
        <v>0</v>
      </c>
      <c r="AF209" s="208">
        <f>SUM(Y209:AE209)</f>
        <v/>
      </c>
      <c r="AG209" s="254">
        <f>_xlfn.XLOOKUP(G209,[1]Fx!$A$16:$A$24,[1]Fx!$B$16:$B$24)</f>
        <v/>
      </c>
      <c r="AH209" s="208">
        <f>AG209*R209</f>
        <v/>
      </c>
      <c r="AI209" s="208">
        <f>$AI$6*Z209</f>
        <v/>
      </c>
      <c r="AJ209" s="208">
        <f>$AJ$6*AA209</f>
        <v/>
      </c>
      <c r="AK209" s="208">
        <f>$AK$6*AB209</f>
        <v/>
      </c>
      <c r="AL209" s="208">
        <f>$AL$6*AC209</f>
        <v/>
      </c>
      <c r="AM209" s="220">
        <f>SUM(AH209:AL209)</f>
        <v/>
      </c>
      <c r="AN209" s="220" t="n">
        <v>0</v>
      </c>
      <c r="AO209" s="220">
        <f>AN209*AH209</f>
        <v/>
      </c>
      <c r="AP209" s="220">
        <f>AD209</f>
        <v/>
      </c>
      <c r="AQ209" s="220">
        <f>AE209</f>
        <v/>
      </c>
      <c r="AR209" s="208">
        <f>AM209-AO209</f>
        <v/>
      </c>
      <c r="AS209" s="220">
        <f>AR209-AK209</f>
        <v/>
      </c>
      <c r="AT209" s="208">
        <f>AS209*1.075</f>
        <v/>
      </c>
      <c r="AU209" s="208">
        <f>ROUNDUP(AT209+AK209,-4)</f>
        <v/>
      </c>
      <c r="AV209" s="198" t="n">
        <v>2400000</v>
      </c>
      <c r="AW209" s="220" t="n"/>
      <c r="AX209" s="208">
        <f>AV209-AR209</f>
        <v/>
      </c>
      <c r="AY209" s="35">
        <f>AX209/AR209</f>
        <v/>
      </c>
      <c r="AZ209" s="208">
        <f>AV209-AF209</f>
        <v/>
      </c>
      <c r="BA209" s="215">
        <f>AV209-SUM(Z209:AC209)</f>
        <v/>
      </c>
      <c r="BB209" s="215">
        <f>BA209-Y209</f>
        <v/>
      </c>
      <c r="BC209" s="35">
        <f>BB209/BA209</f>
        <v/>
      </c>
      <c r="BD209" s="35">
        <f>IFERROR(AZ209/AV209,)</f>
        <v/>
      </c>
      <c r="BE209" s="255">
        <f>AV209-SUM(Z209:AC209)</f>
        <v/>
      </c>
      <c r="BF209" s="255">
        <f>AV209-BE209-AC209-AB209</f>
        <v/>
      </c>
      <c r="BG209" s="255">
        <f>AV209-BE209-BF209-AB209</f>
        <v/>
      </c>
      <c r="BH209" s="255">
        <f>AB209</f>
        <v/>
      </c>
      <c r="BI209">
        <f>IF(BD209&lt;0%,"Loss",IF(BD209&lt;5%,"On Cost Plus",IF(BD209&lt;10%,"Within","Exceed")))</f>
        <v/>
      </c>
      <c r="BJ209" t="inlineStr">
        <is>
          <t>Exceed</t>
        </is>
      </c>
      <c r="BK209">
        <f>0.51*$BK$6</f>
        <v/>
      </c>
      <c r="BL209" s="190">
        <f>BK209-W209</f>
        <v/>
      </c>
      <c r="BM209" s="189">
        <f>BL209*O209</f>
        <v/>
      </c>
    </row>
    <row r="210">
      <c r="A210">
        <f>CONCATENATE(E210,F210,G210,H210,I210,J210,K210,L210)</f>
        <v/>
      </c>
      <c r="B210">
        <f>CONCATENATE(J210,"-&gt;",K210,"/",E210)</f>
        <v/>
      </c>
      <c r="C210" s="23" t="inlineStr">
        <is>
          <t>AFEEZ AJIBADE/Ebenezer</t>
        </is>
      </c>
      <c r="D210">
        <f>CONCATENATE(G210,"-",H210,"-",F210)</f>
        <v/>
      </c>
      <c r="E210" s="24" t="inlineStr">
        <is>
          <t>NIGER BISCUIT-30T-NBL-DSL-JUMBO</t>
        </is>
      </c>
      <c r="F210" s="24" t="inlineStr">
        <is>
          <t>JUMBO</t>
        </is>
      </c>
      <c r="G210" s="25" t="inlineStr">
        <is>
          <t>NBL-DSL</t>
        </is>
      </c>
      <c r="H210" s="24" t="inlineStr">
        <is>
          <t>30T</t>
        </is>
      </c>
      <c r="I210" s="251" t="inlineStr">
        <is>
          <t>NIGER BISCUIT</t>
        </is>
      </c>
      <c r="J210" s="251" t="inlineStr">
        <is>
          <t>Lagos</t>
        </is>
      </c>
      <c r="K210" s="251" t="inlineStr">
        <is>
          <t>Abuja</t>
        </is>
      </c>
      <c r="L210" s="204" t="inlineStr">
        <is>
          <t>FCT</t>
        </is>
      </c>
      <c r="M210" s="252" t="inlineStr">
        <is>
          <t>North</t>
        </is>
      </c>
      <c r="N210" s="253" t="n">
        <v>755</v>
      </c>
      <c r="O210" s="198">
        <f>N210*2</f>
        <v/>
      </c>
      <c r="P210" s="220">
        <f>ROUNDUP(O210/300,)</f>
        <v/>
      </c>
      <c r="Q210" s="220" t="n">
        <v>1</v>
      </c>
      <c r="R210" s="220">
        <f>Q210+P210</f>
        <v/>
      </c>
      <c r="S210" s="195">
        <f>ROUNDDOWN(O210*0.7,)</f>
        <v/>
      </c>
      <c r="T210" s="208">
        <f>_xlfn.XLOOKUP(G210,[1]Fx!$A$4:$A$12,[1]Fx!$B$4:$B$12)</f>
        <v/>
      </c>
      <c r="U210" s="208">
        <f>_xlfn.XLOOKUP(G210,[1]Fx!$A$4:$A$12,[1]Fx!$C$4:$C$12)</f>
        <v/>
      </c>
      <c r="V210" s="208">
        <f>_xlfn.XLOOKUP(G210,[1]Fx!$A$4:$A$12,[1]Fx!$D$4:$D$12)</f>
        <v/>
      </c>
      <c r="W210" s="208">
        <f>_xlfn.XLOOKUP(H210&amp;I210,'[1]Mapping DSL'!$H:$H,'[1]Mapping DSL'!$J:$J)</f>
        <v/>
      </c>
      <c r="X210" s="220">
        <f>_xlfn.XLOOKUP(G210,[1]Fx!$A$4:$A$12,[1]Fx!$E$4:$E$12)</f>
        <v/>
      </c>
      <c r="Y210" s="220">
        <f>T210*R210</f>
        <v/>
      </c>
      <c r="Z210" s="220">
        <f>U210*O210</f>
        <v/>
      </c>
      <c r="AA210" s="220">
        <f>V210*O210</f>
        <v/>
      </c>
      <c r="AB210" s="220">
        <f>W210*O210</f>
        <v/>
      </c>
      <c r="AC210" s="198">
        <f>X210*O210</f>
        <v/>
      </c>
      <c r="AD210" s="220" t="n">
        <v>0</v>
      </c>
      <c r="AE210" s="220" t="n">
        <v>0</v>
      </c>
      <c r="AF210" s="208">
        <f>SUM(Y210:AE210)</f>
        <v/>
      </c>
      <c r="AG210" s="254">
        <f>_xlfn.XLOOKUP(G210,[1]Fx!$A$16:$A$24,[1]Fx!$B$16:$B$24)</f>
        <v/>
      </c>
      <c r="AH210" s="208">
        <f>AG210*R210</f>
        <v/>
      </c>
      <c r="AI210" s="208">
        <f>$AI$6*Z210</f>
        <v/>
      </c>
      <c r="AJ210" s="208">
        <f>$AJ$6*AA210</f>
        <v/>
      </c>
      <c r="AK210" s="208">
        <f>$AK$6*AB210</f>
        <v/>
      </c>
      <c r="AL210" s="208">
        <f>$AL$6*AC210</f>
        <v/>
      </c>
      <c r="AM210" s="220">
        <f>SUM(AH210:AL210)</f>
        <v/>
      </c>
      <c r="AN210" s="220" t="n">
        <v>0.12</v>
      </c>
      <c r="AO210" s="220">
        <f>AN210*AH210</f>
        <v/>
      </c>
      <c r="AP210" s="220">
        <f>AD210</f>
        <v/>
      </c>
      <c r="AQ210" s="220">
        <f>AE210</f>
        <v/>
      </c>
      <c r="AR210" s="208">
        <f>AM210-AO210</f>
        <v/>
      </c>
      <c r="AS210" s="220">
        <f>AR210-AK210</f>
        <v/>
      </c>
      <c r="AT210" s="208">
        <f>AS210*1.075</f>
        <v/>
      </c>
      <c r="AU210" s="208">
        <f>ROUNDUP(AT210+AK210,-4)</f>
        <v/>
      </c>
      <c r="AV210" s="198" t="n">
        <v>2970000</v>
      </c>
      <c r="AW210" s="220" t="n"/>
      <c r="AX210" s="208">
        <f>AV210-AR210</f>
        <v/>
      </c>
      <c r="AY210" s="35">
        <f>AX210/AR210</f>
        <v/>
      </c>
      <c r="AZ210" s="208">
        <f>AV210-AF210</f>
        <v/>
      </c>
      <c r="BA210" s="215">
        <f>AV210-SUM(Z210:AC210)</f>
        <v/>
      </c>
      <c r="BB210" s="215">
        <f>BA210-Y210</f>
        <v/>
      </c>
      <c r="BC210" s="35">
        <f>BB210/BA210</f>
        <v/>
      </c>
      <c r="BD210" s="35">
        <f>IFERROR(AZ210/AV210,)</f>
        <v/>
      </c>
      <c r="BE210" s="255">
        <f>AV210-SUM(Z210:AC210)</f>
        <v/>
      </c>
      <c r="BF210" s="255">
        <f>AV210-BE210-AC210-AB210</f>
        <v/>
      </c>
      <c r="BG210" s="255">
        <f>AV210-BE210-BF210-AB210</f>
        <v/>
      </c>
      <c r="BH210" s="255">
        <f>AB210</f>
        <v/>
      </c>
      <c r="BI210">
        <f>IF(BD210&lt;0%,"Loss",IF(BD210&lt;5%,"On Cost Plus",IF(BD210&lt;10%,"Within","Exceed")))</f>
        <v/>
      </c>
      <c r="BJ210" t="inlineStr">
        <is>
          <t>Exceed</t>
        </is>
      </c>
      <c r="BK210">
        <f>0.51*$BK$6</f>
        <v/>
      </c>
      <c r="BL210" s="190">
        <f>BK210-W210</f>
        <v/>
      </c>
      <c r="BM210" s="189">
        <f>BL210*O210</f>
        <v/>
      </c>
    </row>
    <row r="211">
      <c r="A211">
        <f>CONCATENATE(E211,F211,G211,H211,I211,J211,K211,L211)</f>
        <v/>
      </c>
      <c r="B211">
        <f>CONCATENATE(J211,"-&gt;",K211,"/",E211)</f>
        <v/>
      </c>
      <c r="C211" s="23" t="inlineStr">
        <is>
          <t>AFEEZ AJIBADE/Ebenezer</t>
        </is>
      </c>
      <c r="D211">
        <f>CONCATENATE(G211,"-",H211,"-",F211)</f>
        <v/>
      </c>
      <c r="E211" s="24" t="inlineStr">
        <is>
          <t>NIGER BISCUIT-30T-NBL-DSL-JUMBO</t>
        </is>
      </c>
      <c r="F211" s="24" t="inlineStr">
        <is>
          <t>JUMBO</t>
        </is>
      </c>
      <c r="G211" s="25" t="inlineStr">
        <is>
          <t>NBL-DSL</t>
        </is>
      </c>
      <c r="H211" s="24" t="inlineStr">
        <is>
          <t>30T</t>
        </is>
      </c>
      <c r="I211" s="251" t="inlineStr">
        <is>
          <t>NIGER BISCUIT</t>
        </is>
      </c>
      <c r="J211" s="251" t="inlineStr">
        <is>
          <t>Lagos</t>
        </is>
      </c>
      <c r="K211" s="253" t="inlineStr">
        <is>
          <t>Kano</t>
        </is>
      </c>
      <c r="L211" s="205" t="inlineStr">
        <is>
          <t>Kano</t>
        </is>
      </c>
      <c r="M211" s="256" t="inlineStr">
        <is>
          <t>North</t>
        </is>
      </c>
      <c r="N211" s="253" t="n">
        <v>1100</v>
      </c>
      <c r="O211" s="198">
        <f>N211*2</f>
        <v/>
      </c>
      <c r="P211" s="220">
        <f>ROUNDUP(O211/300,)</f>
        <v/>
      </c>
      <c r="Q211" s="220" t="n">
        <v>1</v>
      </c>
      <c r="R211" s="220">
        <f>Q211+P211</f>
        <v/>
      </c>
      <c r="S211" s="195">
        <f>ROUNDDOWN(O211*0.7,)</f>
        <v/>
      </c>
      <c r="T211" s="208">
        <f>_xlfn.XLOOKUP(G211,[1]Fx!$A$4:$A$12,[1]Fx!$B$4:$B$12)</f>
        <v/>
      </c>
      <c r="U211" s="208">
        <f>_xlfn.XLOOKUP(G211,[1]Fx!$A$4:$A$12,[1]Fx!$C$4:$C$12)</f>
        <v/>
      </c>
      <c r="V211" s="208">
        <f>_xlfn.XLOOKUP(G211,[1]Fx!$A$4:$A$12,[1]Fx!$D$4:$D$12)</f>
        <v/>
      </c>
      <c r="W211" s="208">
        <f>_xlfn.XLOOKUP(H211&amp;I211,'[1]Mapping DSL'!$H:$H,'[1]Mapping DSL'!$J:$J)</f>
        <v/>
      </c>
      <c r="X211" s="220">
        <f>_xlfn.XLOOKUP(G211,[1]Fx!$A$4:$A$12,[1]Fx!$E$4:$E$12)</f>
        <v/>
      </c>
      <c r="Y211" s="220">
        <f>T211*R211</f>
        <v/>
      </c>
      <c r="Z211" s="220">
        <f>U211*O211</f>
        <v/>
      </c>
      <c r="AA211" s="220">
        <f>V211*O211</f>
        <v/>
      </c>
      <c r="AB211" s="220">
        <f>W211*O211</f>
        <v/>
      </c>
      <c r="AC211" s="198">
        <f>X211*O211</f>
        <v/>
      </c>
      <c r="AD211" s="220" t="n">
        <v>0</v>
      </c>
      <c r="AE211" s="220" t="n">
        <v>0</v>
      </c>
      <c r="AF211" s="208">
        <f>SUM(Y211:AE211)</f>
        <v/>
      </c>
      <c r="AG211" s="254">
        <f>_xlfn.XLOOKUP(G211,[1]Fx!$A$16:$A$24,[1]Fx!$B$16:$B$24)</f>
        <v/>
      </c>
      <c r="AH211" s="208">
        <f>AG211*R211</f>
        <v/>
      </c>
      <c r="AI211" s="208">
        <f>$AI$6*Z211</f>
        <v/>
      </c>
      <c r="AJ211" s="208">
        <f>$AJ$6*AA211</f>
        <v/>
      </c>
      <c r="AK211" s="208">
        <f>$AK$6*AB211</f>
        <v/>
      </c>
      <c r="AL211" s="208">
        <f>$AL$6*AC211</f>
        <v/>
      </c>
      <c r="AM211" s="220">
        <f>SUM(AH211:AL211)</f>
        <v/>
      </c>
      <c r="AN211" s="220" t="n">
        <v>0.15</v>
      </c>
      <c r="AO211" s="220">
        <f>AN211*AH211</f>
        <v/>
      </c>
      <c r="AP211" s="220">
        <f>AD211</f>
        <v/>
      </c>
      <c r="AQ211" s="220">
        <f>AE211</f>
        <v/>
      </c>
      <c r="AR211" s="208">
        <f>AM211-AO211</f>
        <v/>
      </c>
      <c r="AS211" s="220">
        <f>AR211-AK211</f>
        <v/>
      </c>
      <c r="AT211" s="208">
        <f>AS211*1.075</f>
        <v/>
      </c>
      <c r="AU211" s="208">
        <f>ROUNDUP(AT211+AK211,-4)</f>
        <v/>
      </c>
      <c r="AV211" s="198" t="n">
        <v>3950000</v>
      </c>
      <c r="AW211" s="220" t="n"/>
      <c r="AX211" s="208">
        <f>AV211-AR211</f>
        <v/>
      </c>
      <c r="AY211" s="35">
        <f>AX211/AR211</f>
        <v/>
      </c>
      <c r="AZ211" s="208">
        <f>AV211-AF211</f>
        <v/>
      </c>
      <c r="BA211" s="215">
        <f>AV211-SUM(Z211:AC211)</f>
        <v/>
      </c>
      <c r="BB211" s="215">
        <f>BA211-Y211</f>
        <v/>
      </c>
      <c r="BC211" s="35">
        <f>BB211/BA211</f>
        <v/>
      </c>
      <c r="BD211" s="35">
        <f>IFERROR(AZ211/AV211,)</f>
        <v/>
      </c>
      <c r="BE211" s="255">
        <f>AV211-SUM(Z211:AC211)</f>
        <v/>
      </c>
      <c r="BF211" s="255">
        <f>AV211-BE211-AC211-AB211</f>
        <v/>
      </c>
      <c r="BG211" s="255">
        <f>AV211-BE211-BF211-AB211</f>
        <v/>
      </c>
      <c r="BH211" s="255">
        <f>AB211</f>
        <v/>
      </c>
      <c r="BI211">
        <f>IF(BD211&lt;0%,"Loss",IF(BD211&lt;5%,"On Cost Plus",IF(BD211&lt;10%,"Within","Exceed")))</f>
        <v/>
      </c>
      <c r="BJ211" t="inlineStr">
        <is>
          <t>Exceed</t>
        </is>
      </c>
      <c r="BK211">
        <f>0.51*$BK$6</f>
        <v/>
      </c>
      <c r="BL211" s="190">
        <f>BK211-W211</f>
        <v/>
      </c>
      <c r="BM211" s="189">
        <f>BL211*O211</f>
        <v/>
      </c>
    </row>
    <row r="212">
      <c r="A212">
        <f>CONCATENATE(E212,F212,G212,H212,I212,J212,K212,L212)</f>
        <v/>
      </c>
      <c r="B212">
        <f>CONCATENATE(J212,"-&gt;",K212,"/",E212)</f>
        <v/>
      </c>
      <c r="C212" s="23" t="inlineStr">
        <is>
          <t>AFEEZ AJIBADE/Ebenezer</t>
        </is>
      </c>
      <c r="D212">
        <f>CONCATENATE(G212,"-",H212,"-",F212)</f>
        <v/>
      </c>
      <c r="E212" s="24" t="inlineStr">
        <is>
          <t>NIGER BISCUIT-30T-NBL-DSL-JUMBO</t>
        </is>
      </c>
      <c r="F212" s="24" t="inlineStr">
        <is>
          <t>JUMBO</t>
        </is>
      </c>
      <c r="G212" s="25" t="inlineStr">
        <is>
          <t>NBL-DSL</t>
        </is>
      </c>
      <c r="H212" s="24" t="inlineStr">
        <is>
          <t>30T</t>
        </is>
      </c>
      <c r="I212" s="251" t="inlineStr">
        <is>
          <t>NIGER BISCUIT</t>
        </is>
      </c>
      <c r="J212" s="251" t="inlineStr">
        <is>
          <t>Lagos</t>
        </is>
      </c>
      <c r="K212" s="251" t="inlineStr">
        <is>
          <t>Ibadan</t>
        </is>
      </c>
      <c r="L212" s="204" t="inlineStr">
        <is>
          <t>Oyo</t>
        </is>
      </c>
      <c r="M212" s="252" t="inlineStr">
        <is>
          <t>North</t>
        </is>
      </c>
      <c r="N212" s="257" t="n">
        <v>120</v>
      </c>
      <c r="O212" s="198">
        <f>N212*2</f>
        <v/>
      </c>
      <c r="P212" s="220">
        <f>ROUNDUP(O212/300,)</f>
        <v/>
      </c>
      <c r="Q212" s="220" t="n">
        <v>1.5</v>
      </c>
      <c r="R212" s="220">
        <f>Q212+P212</f>
        <v/>
      </c>
      <c r="S212" s="195">
        <f>ROUNDDOWN(O212*0.7,)</f>
        <v/>
      </c>
      <c r="T212" s="208">
        <f>_xlfn.XLOOKUP(G212,[1]Fx!$A$4:$A$12,[1]Fx!$B$4:$B$12)</f>
        <v/>
      </c>
      <c r="U212" s="208">
        <f>_xlfn.XLOOKUP(G212,[1]Fx!$A$4:$A$12,[1]Fx!$C$4:$C$12)</f>
        <v/>
      </c>
      <c r="V212" s="208">
        <f>_xlfn.XLOOKUP(G212,[1]Fx!$A$4:$A$12,[1]Fx!$D$4:$D$12)</f>
        <v/>
      </c>
      <c r="W212" s="208">
        <f>_xlfn.XLOOKUP(H212&amp;I212,'[1]Mapping DSL'!$H:$H,'[1]Mapping DSL'!$J:$J)</f>
        <v/>
      </c>
      <c r="X212" s="220">
        <f>_xlfn.XLOOKUP(G212,[1]Fx!$A$4:$A$12,[1]Fx!$E$4:$E$12)</f>
        <v/>
      </c>
      <c r="Y212" s="220">
        <f>T212*R212</f>
        <v/>
      </c>
      <c r="Z212" s="220">
        <f>U212*O212</f>
        <v/>
      </c>
      <c r="AA212" s="220">
        <f>V212*O212</f>
        <v/>
      </c>
      <c r="AB212" s="220">
        <f>W212*O212</f>
        <v/>
      </c>
      <c r="AC212" s="198">
        <f>X212*O212</f>
        <v/>
      </c>
      <c r="AD212" s="220" t="n">
        <v>0</v>
      </c>
      <c r="AE212" s="220" t="n">
        <v>0</v>
      </c>
      <c r="AF212" s="208">
        <f>SUM(Y212:AE212)</f>
        <v/>
      </c>
      <c r="AG212" s="254">
        <f>_xlfn.XLOOKUP(G212,[1]Fx!$A$16:$A$24,[1]Fx!$B$16:$B$24)</f>
        <v/>
      </c>
      <c r="AH212" s="208">
        <f>AG212*R212</f>
        <v/>
      </c>
      <c r="AI212" s="208">
        <f>$AI$6*Z212</f>
        <v/>
      </c>
      <c r="AJ212" s="208">
        <f>$AJ$6*AA212</f>
        <v/>
      </c>
      <c r="AK212" s="208">
        <f>$AK$6*AB212</f>
        <v/>
      </c>
      <c r="AL212" s="208">
        <f>$AL$6*AC212</f>
        <v/>
      </c>
      <c r="AM212" s="220">
        <f>SUM(AH212:AL212)</f>
        <v/>
      </c>
      <c r="AN212" s="220" t="n">
        <v>0</v>
      </c>
      <c r="AO212" s="220">
        <f>AN212*AH212</f>
        <v/>
      </c>
      <c r="AP212" s="220">
        <f>AD212</f>
        <v/>
      </c>
      <c r="AQ212" s="220">
        <f>AE212</f>
        <v/>
      </c>
      <c r="AR212" s="208">
        <f>AM212-AO212</f>
        <v/>
      </c>
      <c r="AS212" s="220">
        <f>AR212-AK212</f>
        <v/>
      </c>
      <c r="AT212" s="208">
        <f>AS212*1.075</f>
        <v/>
      </c>
      <c r="AU212" s="208">
        <f>ROUNDUP(AT212+AK212,-4)</f>
        <v/>
      </c>
      <c r="AV212" s="198" t="n">
        <v>750000</v>
      </c>
      <c r="AW212" s="220" t="n"/>
      <c r="AX212" s="208">
        <f>AV212-AR212</f>
        <v/>
      </c>
      <c r="AY212" s="35">
        <f>AX212/AR212</f>
        <v/>
      </c>
      <c r="AZ212" s="208">
        <f>AV212-AF212</f>
        <v/>
      </c>
      <c r="BA212" s="215">
        <f>AV212-SUM(Z212:AC212)</f>
        <v/>
      </c>
      <c r="BB212" s="215">
        <f>BA212-Y212</f>
        <v/>
      </c>
      <c r="BC212" s="35">
        <f>BB212/BA212</f>
        <v/>
      </c>
      <c r="BD212" s="35">
        <f>IFERROR(AZ212/AV212,)</f>
        <v/>
      </c>
      <c r="BE212" s="255">
        <f>AV212-SUM(Z212:AC212)</f>
        <v/>
      </c>
      <c r="BF212" s="255">
        <f>AV212-BE212-AC212-AB212</f>
        <v/>
      </c>
      <c r="BG212" s="255">
        <f>AV212-BE212-BF212-AB212</f>
        <v/>
      </c>
      <c r="BH212" s="255">
        <f>AB212</f>
        <v/>
      </c>
      <c r="BI212">
        <f>IF(BD212&lt;0%,"Loss",IF(BD212&lt;5%,"On Cost Plus",IF(BD212&lt;10%,"Within","Exceed")))</f>
        <v/>
      </c>
      <c r="BJ212" t="inlineStr">
        <is>
          <t>Exceed</t>
        </is>
      </c>
      <c r="BK212">
        <f>0.51*$BK$6</f>
        <v/>
      </c>
      <c r="BL212" s="190">
        <f>BK212-W212</f>
        <v/>
      </c>
      <c r="BM212" s="189">
        <f>BL212*O212</f>
        <v/>
      </c>
    </row>
    <row r="213" ht="43.2" customHeight="1">
      <c r="C213" s="96" t="inlineStr">
        <is>
          <t>YEKENE</t>
        </is>
      </c>
      <c r="D213" s="49">
        <f>CONCATENATE(G213,"-",H213,"-",F213)</f>
        <v/>
      </c>
      <c r="E213" s="93" t="inlineStr">
        <is>
          <t>Jamara-8T-25CBM</t>
        </is>
      </c>
      <c r="F213" s="94" t="inlineStr">
        <is>
          <t>25CBM</t>
        </is>
      </c>
      <c r="G213" s="50" t="inlineStr">
        <is>
          <t>Closed Body Logistics</t>
        </is>
      </c>
      <c r="H213" s="97" t="inlineStr">
        <is>
          <t>8T</t>
        </is>
      </c>
      <c r="I213" s="98" t="inlineStr">
        <is>
          <t>Jamara</t>
        </is>
      </c>
      <c r="J213" s="99" t="inlineStr">
        <is>
          <t>Lagos</t>
        </is>
      </c>
      <c r="K213" s="100" t="inlineStr">
        <is>
          <t>Abule Egba-Ijaiye-Moshalasi-Kola-Sango</t>
        </is>
      </c>
      <c r="L213" s="51" t="inlineStr">
        <is>
          <t>Ogun</t>
        </is>
      </c>
      <c r="M213" s="52" t="inlineStr">
        <is>
          <t>Sango-Ota</t>
        </is>
      </c>
      <c r="N213" s="193" t="n">
        <v>30</v>
      </c>
      <c r="O213" s="194">
        <f>N213*2</f>
        <v/>
      </c>
      <c r="P213" s="207">
        <f>ROUNDUP(O213/300,)</f>
        <v/>
      </c>
      <c r="Q213" s="207" t="n">
        <v>0.2</v>
      </c>
      <c r="R213" s="207">
        <f>Q213+P213</f>
        <v/>
      </c>
      <c r="S213" s="194">
        <f>ROUNDDOWN(O213*0.51,)+60</f>
        <v/>
      </c>
      <c r="T213" s="207">
        <f>_xlfn.XLOOKUP(F213,[1]Fx!$A$4:$A$10,[1]Fx!$B$4:$B$10)</f>
        <v/>
      </c>
      <c r="U213" s="207">
        <f>_xlfn.XLOOKUP(F213,[1]Fx!$A$4:$A$10,[1]Fx!$C$4:$C$10)</f>
        <v/>
      </c>
      <c r="V213" s="207">
        <f>_xlfn.XLOOKUP(F213,[1]Fx!$A$4:$A$10,[1]Fx!$D$4:$D$10)</f>
        <v/>
      </c>
      <c r="W213" s="207">
        <f>$V$2</f>
        <v/>
      </c>
      <c r="X213" s="207">
        <f>_xlfn.XLOOKUP(F213,[1]Fx!$A$4:$A$10,[1]Fx!$E$4:$E$10)</f>
        <v/>
      </c>
      <c r="Y213" s="207">
        <f>T213*R213</f>
        <v/>
      </c>
      <c r="Z213" s="207">
        <f>U213*O213</f>
        <v/>
      </c>
      <c r="AA213" s="207">
        <f>V213*O213</f>
        <v/>
      </c>
      <c r="AB213" s="207">
        <f>W213*O213</f>
        <v/>
      </c>
      <c r="AC213" s="194">
        <f>X213*O213</f>
        <v/>
      </c>
      <c r="AD213" s="207" t="n">
        <v>0</v>
      </c>
      <c r="AE213" s="207" t="n">
        <v>0</v>
      </c>
      <c r="AF213" s="207">
        <f>SUM(Y213:AE213)</f>
        <v/>
      </c>
      <c r="AG213" s="254">
        <f>_xlfn.XLOOKUP(F213,[1]Fx!$A$16:$A$22,[1]Fx!$B$16:$B$22)</f>
        <v/>
      </c>
      <c r="AH213" s="207">
        <f>AG213*R213</f>
        <v/>
      </c>
      <c r="AI213" s="207">
        <f>$AH$3*Z213</f>
        <v/>
      </c>
      <c r="AJ213" s="207">
        <f>$AI$3*AA213</f>
        <v/>
      </c>
      <c r="AK213" s="207">
        <f>$AJ$3*AB213</f>
        <v/>
      </c>
      <c r="AL213" s="207">
        <f>$AK$3*AC213</f>
        <v/>
      </c>
      <c r="AM213" s="208">
        <f>SUM(AH213:AL213)</f>
        <v/>
      </c>
      <c r="AN213" s="208" t="n">
        <v>0</v>
      </c>
      <c r="AO213" s="208">
        <f>AN213*AH213</f>
        <v/>
      </c>
      <c r="AP213" s="208">
        <f>AD213</f>
        <v/>
      </c>
      <c r="AQ213" s="208">
        <f>AE213</f>
        <v/>
      </c>
      <c r="AR213" s="208">
        <f>AM213-AO213</f>
        <v/>
      </c>
      <c r="AS213" s="208">
        <f>AR213-AK213</f>
        <v/>
      </c>
      <c r="AT213" s="208">
        <f>AS213*1.075</f>
        <v/>
      </c>
      <c r="AU213" s="208">
        <f>AT213+AK213</f>
        <v/>
      </c>
      <c r="AV213" s="195" t="n">
        <v>141581.78011258</v>
      </c>
      <c r="AW213" s="208" t="n"/>
      <c r="AX213" s="208">
        <f>AV213-AR213</f>
        <v/>
      </c>
      <c r="AY213" s="54">
        <f>AX213/AR213</f>
        <v/>
      </c>
      <c r="AZ213" s="208">
        <f>AV213-AF213</f>
        <v/>
      </c>
      <c r="BA213" s="207">
        <f>AV213-SUM(Z213:AC213)</f>
        <v/>
      </c>
      <c r="BB213" s="207">
        <f>BA213-Y213</f>
        <v/>
      </c>
      <c r="BC213" s="54">
        <f>BB213/BA213</f>
        <v/>
      </c>
      <c r="BD213" s="54">
        <f>IFERROR(AZ213/AV213,)</f>
        <v/>
      </c>
      <c r="BE213" s="262">
        <f>AV213-SUM(Z213:AC213)</f>
        <v/>
      </c>
      <c r="BF213" s="262">
        <f>AV213-BE213-AC213-AB213</f>
        <v/>
      </c>
      <c r="BG213" s="262">
        <f>AV213-BE213-BF213-AB213</f>
        <v/>
      </c>
      <c r="BH213" s="262">
        <f>AB213</f>
        <v/>
      </c>
      <c r="BI213" s="263" t="inlineStr">
        <is>
          <t>Approved</t>
        </is>
      </c>
    </row>
    <row r="214" ht="43.2" customHeight="1">
      <c r="C214" s="96" t="inlineStr">
        <is>
          <t>YEKENE</t>
        </is>
      </c>
      <c r="D214" s="49">
        <f>CONCATENATE(G214,"-",H214,"-",F214)</f>
        <v/>
      </c>
      <c r="E214" s="95" t="inlineStr">
        <is>
          <t>Jamara-8T-25CBM</t>
        </is>
      </c>
      <c r="F214" s="24" t="inlineStr">
        <is>
          <t>25CBM</t>
        </is>
      </c>
      <c r="G214" s="25" t="inlineStr">
        <is>
          <t>Closed Body Logistics</t>
        </is>
      </c>
      <c r="H214" s="101" t="inlineStr">
        <is>
          <t>8T</t>
        </is>
      </c>
      <c r="I214" s="102" t="inlineStr">
        <is>
          <t>Jamara</t>
        </is>
      </c>
      <c r="J214" s="103" t="inlineStr">
        <is>
          <t>Lagos</t>
        </is>
      </c>
      <c r="K214" s="104" t="inlineStr">
        <is>
          <t>Abule Egba-Ijaiye-Moshalasi-Kola-Sango</t>
        </is>
      </c>
      <c r="L214" s="57" t="inlineStr">
        <is>
          <t>Lagos</t>
        </is>
      </c>
      <c r="M214" s="58" t="inlineStr">
        <is>
          <t>Abule Egba</t>
        </is>
      </c>
      <c r="N214" s="196" t="n">
        <v>19</v>
      </c>
      <c r="O214" s="194">
        <f>N214*2</f>
        <v/>
      </c>
      <c r="P214" s="215">
        <f>ROUNDUP(O214/300,)</f>
        <v/>
      </c>
      <c r="Q214" s="215" t="n">
        <v>0.2</v>
      </c>
      <c r="R214" s="215">
        <f>Q214+P214</f>
        <v/>
      </c>
      <c r="S214" s="197">
        <f>ROUNDDOWN(O214*0.51,)+60</f>
        <v/>
      </c>
      <c r="T214" s="207">
        <f>_xlfn.XLOOKUP(F214,[1]Fx!$A$4:$A$10,[1]Fx!$B$4:$B$10)</f>
        <v/>
      </c>
      <c r="U214" s="207">
        <f>_xlfn.XLOOKUP(F214,[1]Fx!$A$4:$A$10,[1]Fx!$C$4:$C$10)</f>
        <v/>
      </c>
      <c r="V214" s="207">
        <f>_xlfn.XLOOKUP(F214,[1]Fx!$A$4:$A$10,[1]Fx!$D$4:$D$10)</f>
        <v/>
      </c>
      <c r="W214" s="207">
        <f>$V$2</f>
        <v/>
      </c>
      <c r="X214" s="207">
        <f>_xlfn.XLOOKUP(F214,[1]Fx!$A$4:$A$10,[1]Fx!$E$4:$E$10)</f>
        <v/>
      </c>
      <c r="Y214" s="215">
        <f>T214*R214</f>
        <v/>
      </c>
      <c r="Z214" s="215">
        <f>U214*O214</f>
        <v/>
      </c>
      <c r="AA214" s="215">
        <f>V214*O214</f>
        <v/>
      </c>
      <c r="AB214" s="215">
        <f>W214*O214</f>
        <v/>
      </c>
      <c r="AC214" s="197">
        <f>X214*O214</f>
        <v/>
      </c>
      <c r="AD214" s="215" t="n">
        <v>0</v>
      </c>
      <c r="AE214" s="215" t="n">
        <v>0</v>
      </c>
      <c r="AF214" s="207">
        <f>SUM(Y214:AE214)</f>
        <v/>
      </c>
      <c r="AG214" s="254">
        <f>_xlfn.XLOOKUP(F214,[1]Fx!$A$16:$A$22,[1]Fx!$B$16:$B$22)</f>
        <v/>
      </c>
      <c r="AH214" s="207">
        <f>AG214*R214</f>
        <v/>
      </c>
      <c r="AI214" s="207">
        <f>$AH$3*Z214</f>
        <v/>
      </c>
      <c r="AJ214" s="207">
        <f>$AI$3*AA214</f>
        <v/>
      </c>
      <c r="AK214" s="207">
        <f>$AJ$3*AB214</f>
        <v/>
      </c>
      <c r="AL214" s="207">
        <f>$AK$3*AC214</f>
        <v/>
      </c>
      <c r="AM214" s="220">
        <f>SUM(AH214:AL214)</f>
        <v/>
      </c>
      <c r="AN214" s="220" t="n">
        <v>0</v>
      </c>
      <c r="AO214" s="220">
        <f>AN214*AH214</f>
        <v/>
      </c>
      <c r="AP214" s="220">
        <f>AD214</f>
        <v/>
      </c>
      <c r="AQ214" s="220">
        <f>AE214</f>
        <v/>
      </c>
      <c r="AR214" s="208">
        <f>AM214-AO214</f>
        <v/>
      </c>
      <c r="AS214" s="220">
        <f>AR214-AK214</f>
        <v/>
      </c>
      <c r="AT214" s="208">
        <f>AS214*1.075</f>
        <v/>
      </c>
      <c r="AU214" s="208">
        <f>AT214+AK214</f>
        <v/>
      </c>
      <c r="AV214" s="195" t="n">
        <v>141581.78011258</v>
      </c>
      <c r="AW214" s="220" t="n"/>
      <c r="AX214" s="220">
        <f>AV214-AR214</f>
        <v/>
      </c>
      <c r="AY214" s="35">
        <f>AX214/AR214</f>
        <v/>
      </c>
      <c r="AZ214" s="220">
        <f>AV214-AF214</f>
        <v/>
      </c>
      <c r="BA214" s="215">
        <f>AV214-SUM(Z214:AC214)</f>
        <v/>
      </c>
      <c r="BB214" s="215">
        <f>BA214-Y214</f>
        <v/>
      </c>
      <c r="BC214" s="35">
        <f>BB214/BA214</f>
        <v/>
      </c>
      <c r="BD214" s="35">
        <f>IFERROR(AZ214/AV214,)</f>
        <v/>
      </c>
      <c r="BE214" s="255">
        <f>AV214-SUM(Z214:AC214)</f>
        <v/>
      </c>
      <c r="BF214" s="255">
        <f>AV214-BE214-AC214-AB214</f>
        <v/>
      </c>
      <c r="BG214" s="255">
        <f>AV214-BE214-BF214-AB214</f>
        <v/>
      </c>
      <c r="BH214" s="255">
        <f>AB214</f>
        <v/>
      </c>
      <c r="BI214" s="263" t="inlineStr">
        <is>
          <t>Approved</t>
        </is>
      </c>
    </row>
    <row r="215" ht="41.4" customHeight="1">
      <c r="C215" s="96" t="inlineStr">
        <is>
          <t>YEKENE</t>
        </is>
      </c>
      <c r="D215" s="49">
        <f>CONCATENATE(G215,"-",H215,"-",F215)</f>
        <v/>
      </c>
      <c r="E215" s="95" t="inlineStr">
        <is>
          <t>Jamara-8T-25CBM</t>
        </is>
      </c>
      <c r="F215" s="24" t="inlineStr">
        <is>
          <t>25CBM</t>
        </is>
      </c>
      <c r="G215" s="25" t="inlineStr">
        <is>
          <t>Closed Body Logistics</t>
        </is>
      </c>
      <c r="H215" s="101" t="inlineStr">
        <is>
          <t>8T</t>
        </is>
      </c>
      <c r="I215" s="102" t="inlineStr">
        <is>
          <t>Jamara</t>
        </is>
      </c>
      <c r="J215" s="103" t="inlineStr">
        <is>
          <t>Lagos</t>
        </is>
      </c>
      <c r="K215" s="105" t="inlineStr">
        <is>
          <t>Abule Egba-Ijaiye-Moshalasi-Kola-Sango</t>
        </is>
      </c>
      <c r="L215" s="57" t="inlineStr">
        <is>
          <t>Lagos</t>
        </is>
      </c>
      <c r="M215" s="58" t="inlineStr">
        <is>
          <t>Agbado</t>
        </is>
      </c>
      <c r="N215" s="196" t="n">
        <v>22.5</v>
      </c>
      <c r="O215" s="194">
        <f>N215*2</f>
        <v/>
      </c>
      <c r="P215" s="215">
        <f>ROUNDUP(O215/300,)</f>
        <v/>
      </c>
      <c r="Q215" s="215" t="n">
        <v>0.2</v>
      </c>
      <c r="R215" s="215">
        <f>Q215+P215</f>
        <v/>
      </c>
      <c r="S215" s="197">
        <f>ROUNDDOWN(O215*0.51,)+60</f>
        <v/>
      </c>
      <c r="T215" s="207">
        <f>_xlfn.XLOOKUP(F215,[1]Fx!$A$4:$A$10,[1]Fx!$B$4:$B$10)</f>
        <v/>
      </c>
      <c r="U215" s="207">
        <f>_xlfn.XLOOKUP(F215,[1]Fx!$A$4:$A$10,[1]Fx!$C$4:$C$10)</f>
        <v/>
      </c>
      <c r="V215" s="207">
        <f>_xlfn.XLOOKUP(F215,[1]Fx!$A$4:$A$10,[1]Fx!$D$4:$D$10)</f>
        <v/>
      </c>
      <c r="W215" s="207">
        <f>$V$2</f>
        <v/>
      </c>
      <c r="X215" s="207">
        <f>_xlfn.XLOOKUP(F215,[1]Fx!$A$4:$A$10,[1]Fx!$E$4:$E$10)</f>
        <v/>
      </c>
      <c r="Y215" s="215">
        <f>T215*R215</f>
        <v/>
      </c>
      <c r="Z215" s="215">
        <f>U215*O215</f>
        <v/>
      </c>
      <c r="AA215" s="215">
        <f>V215*O215</f>
        <v/>
      </c>
      <c r="AB215" s="215">
        <f>W215*O215</f>
        <v/>
      </c>
      <c r="AC215" s="197">
        <f>X215*O215</f>
        <v/>
      </c>
      <c r="AD215" s="215" t="n">
        <v>0</v>
      </c>
      <c r="AE215" s="215" t="n">
        <v>0</v>
      </c>
      <c r="AF215" s="207">
        <f>SUM(Y215:AE215)</f>
        <v/>
      </c>
      <c r="AG215" s="254">
        <f>_xlfn.XLOOKUP(F215,[1]Fx!$A$16:$A$22,[1]Fx!$B$16:$B$22)</f>
        <v/>
      </c>
      <c r="AH215" s="207">
        <f>AG215*R215</f>
        <v/>
      </c>
      <c r="AI215" s="207">
        <f>$AH$3*Z215</f>
        <v/>
      </c>
      <c r="AJ215" s="207">
        <f>$AI$3*AA215</f>
        <v/>
      </c>
      <c r="AK215" s="207">
        <f>$AJ$3*AB215</f>
        <v/>
      </c>
      <c r="AL215" s="207">
        <f>$AK$3*AC215</f>
        <v/>
      </c>
      <c r="AM215" s="220">
        <f>SUM(AH215:AL215)</f>
        <v/>
      </c>
      <c r="AN215" s="220" t="n">
        <v>0</v>
      </c>
      <c r="AO215" s="220">
        <f>AN215*AH215</f>
        <v/>
      </c>
      <c r="AP215" s="220">
        <f>AD215</f>
        <v/>
      </c>
      <c r="AQ215" s="220">
        <f>AE215</f>
        <v/>
      </c>
      <c r="AR215" s="208">
        <f>AM215-AO215</f>
        <v/>
      </c>
      <c r="AS215" s="220">
        <f>AR215-AK215</f>
        <v/>
      </c>
      <c r="AT215" s="208">
        <f>AS215*1.075</f>
        <v/>
      </c>
      <c r="AU215" s="208">
        <f>AT215+AK215</f>
        <v/>
      </c>
      <c r="AV215" s="195" t="n">
        <v>141581.78011258</v>
      </c>
      <c r="AW215" s="220" t="n"/>
      <c r="AX215" s="220">
        <f>AV215-AR215</f>
        <v/>
      </c>
      <c r="AY215" s="35">
        <f>AX215/AR215</f>
        <v/>
      </c>
      <c r="AZ215" s="220">
        <f>AV215-AF215</f>
        <v/>
      </c>
      <c r="BA215" s="215">
        <f>AV215-SUM(Z215:AC215)</f>
        <v/>
      </c>
      <c r="BB215" s="215">
        <f>BA215-Y215</f>
        <v/>
      </c>
      <c r="BC215" s="35">
        <f>BB215/BA215</f>
        <v/>
      </c>
      <c r="BD215" s="35">
        <f>IFERROR(AZ215/AV215,)</f>
        <v/>
      </c>
      <c r="BE215" s="255">
        <f>AV215-SUM(Z215:AC215)</f>
        <v/>
      </c>
      <c r="BF215" s="255">
        <f>AV215-BE215-AC215-AB215</f>
        <v/>
      </c>
      <c r="BG215" s="255">
        <f>AV215-BE215-BF215-AB215</f>
        <v/>
      </c>
      <c r="BH215" s="255">
        <f>AB215</f>
        <v/>
      </c>
      <c r="BI215" s="263" t="inlineStr">
        <is>
          <t>Worst Case Approved</t>
        </is>
      </c>
    </row>
    <row r="216" ht="43.2" customHeight="1">
      <c r="C216" s="96" t="inlineStr">
        <is>
          <t>YEKENE</t>
        </is>
      </c>
      <c r="D216" s="49">
        <f>CONCATENATE(G216,"-",H216,"-",F216)</f>
        <v/>
      </c>
      <c r="E216" s="95" t="inlineStr">
        <is>
          <t>Jamara-8T-25CBM</t>
        </is>
      </c>
      <c r="F216" s="24" t="inlineStr">
        <is>
          <t>25CBM</t>
        </is>
      </c>
      <c r="G216" s="25" t="inlineStr">
        <is>
          <t>Closed Body Logistics</t>
        </is>
      </c>
      <c r="H216" s="101" t="inlineStr">
        <is>
          <t>8T</t>
        </is>
      </c>
      <c r="I216" s="102" t="inlineStr">
        <is>
          <t>Jamara</t>
        </is>
      </c>
      <c r="J216" s="103" t="inlineStr">
        <is>
          <t>Lagos</t>
        </is>
      </c>
      <c r="K216" s="104" t="inlineStr">
        <is>
          <t>Abule Egba-Ijaiye-Moshalasi-Kola-Sango</t>
        </is>
      </c>
      <c r="L216" s="57" t="inlineStr">
        <is>
          <t>Lagos</t>
        </is>
      </c>
      <c r="M216" s="58" t="inlineStr">
        <is>
          <t>Ijaiye</t>
        </is>
      </c>
      <c r="N216" s="196" t="n">
        <v>14</v>
      </c>
      <c r="O216" s="194">
        <f>N216*2</f>
        <v/>
      </c>
      <c r="P216" s="215">
        <f>ROUNDUP(O216/300,)</f>
        <v/>
      </c>
      <c r="Q216" s="215" t="n">
        <v>0.2</v>
      </c>
      <c r="R216" s="215">
        <f>Q216+P216</f>
        <v/>
      </c>
      <c r="S216" s="197">
        <f>ROUNDDOWN(O216*0.51,)+60</f>
        <v/>
      </c>
      <c r="T216" s="207">
        <f>_xlfn.XLOOKUP(F216,[1]Fx!$A$4:$A$10,[1]Fx!$B$4:$B$10)</f>
        <v/>
      </c>
      <c r="U216" s="207">
        <f>_xlfn.XLOOKUP(F216,[1]Fx!$A$4:$A$10,[1]Fx!$C$4:$C$10)</f>
        <v/>
      </c>
      <c r="V216" s="207">
        <f>_xlfn.XLOOKUP(F216,[1]Fx!$A$4:$A$10,[1]Fx!$D$4:$D$10)</f>
        <v/>
      </c>
      <c r="W216" s="207">
        <f>$V$2</f>
        <v/>
      </c>
      <c r="X216" s="207">
        <f>_xlfn.XLOOKUP(F216,[1]Fx!$A$4:$A$10,[1]Fx!$E$4:$E$10)</f>
        <v/>
      </c>
      <c r="Y216" s="215">
        <f>T216*R216</f>
        <v/>
      </c>
      <c r="Z216" s="215">
        <f>U216*O216</f>
        <v/>
      </c>
      <c r="AA216" s="215">
        <f>V216*O216</f>
        <v/>
      </c>
      <c r="AB216" s="215">
        <f>W216*O216</f>
        <v/>
      </c>
      <c r="AC216" s="197">
        <f>X216*O216</f>
        <v/>
      </c>
      <c r="AD216" s="215" t="n">
        <v>0</v>
      </c>
      <c r="AE216" s="215" t="n">
        <v>0</v>
      </c>
      <c r="AF216" s="207">
        <f>SUM(Y216:AE216)</f>
        <v/>
      </c>
      <c r="AG216" s="254">
        <f>_xlfn.XLOOKUP(F216,[1]Fx!$A$16:$A$22,[1]Fx!$B$16:$B$22)</f>
        <v/>
      </c>
      <c r="AH216" s="207">
        <f>AG216*R216</f>
        <v/>
      </c>
      <c r="AI216" s="207">
        <f>$AH$3*Z216</f>
        <v/>
      </c>
      <c r="AJ216" s="207">
        <f>$AI$3*AA216</f>
        <v/>
      </c>
      <c r="AK216" s="207">
        <f>$AJ$3*AB216</f>
        <v/>
      </c>
      <c r="AL216" s="207">
        <f>$AK$3*AC216</f>
        <v/>
      </c>
      <c r="AM216" s="220">
        <f>SUM(AH216:AL216)</f>
        <v/>
      </c>
      <c r="AN216" s="220" t="n">
        <v>0</v>
      </c>
      <c r="AO216" s="220">
        <f>AN216*AH216</f>
        <v/>
      </c>
      <c r="AP216" s="220">
        <f>AD216</f>
        <v/>
      </c>
      <c r="AQ216" s="220">
        <f>AE216</f>
        <v/>
      </c>
      <c r="AR216" s="208">
        <f>AM216-AO216</f>
        <v/>
      </c>
      <c r="AS216" s="220">
        <f>AR216-AK216</f>
        <v/>
      </c>
      <c r="AT216" s="208">
        <f>AS216*1.075</f>
        <v/>
      </c>
      <c r="AU216" s="208">
        <f>AT216+AK216</f>
        <v/>
      </c>
      <c r="AV216" s="195" t="n">
        <v>141581.78011258</v>
      </c>
      <c r="AW216" s="220" t="n"/>
      <c r="AX216" s="220">
        <f>AV216-AR216</f>
        <v/>
      </c>
      <c r="AY216" s="35">
        <f>AX216/AR216</f>
        <v/>
      </c>
      <c r="AZ216" s="220">
        <f>AV216-AF216</f>
        <v/>
      </c>
      <c r="BA216" s="215">
        <f>AV216-SUM(Z216:AC216)</f>
        <v/>
      </c>
      <c r="BB216" s="215">
        <f>BA216-Y216</f>
        <v/>
      </c>
      <c r="BC216" s="35">
        <f>BB216/BA216</f>
        <v/>
      </c>
      <c r="BD216" s="35">
        <f>IFERROR(AZ216/AV216,)</f>
        <v/>
      </c>
      <c r="BE216" s="255">
        <f>AV216-SUM(Z216:AC216)</f>
        <v/>
      </c>
      <c r="BF216" s="255">
        <f>AV216-BE216-AC216-AB216</f>
        <v/>
      </c>
      <c r="BG216" s="255">
        <f>AV216-BE216-BF216-AB216</f>
        <v/>
      </c>
      <c r="BH216" s="255">
        <f>AB216</f>
        <v/>
      </c>
      <c r="BI216" s="263" t="inlineStr">
        <is>
          <t xml:space="preserve">To Check </t>
        </is>
      </c>
    </row>
    <row r="217">
      <c r="C217" s="96" t="inlineStr">
        <is>
          <t>YEKENE</t>
        </is>
      </c>
      <c r="D217" s="49">
        <f>CONCATENATE(G217,"-",H217,"-",F217)</f>
        <v/>
      </c>
      <c r="E217" s="95" t="inlineStr">
        <is>
          <t>Jamara-8T-25CBM</t>
        </is>
      </c>
      <c r="F217" s="24" t="inlineStr">
        <is>
          <t>25CBM</t>
        </is>
      </c>
      <c r="G217" s="25" t="inlineStr">
        <is>
          <t>Closed Body Logistics</t>
        </is>
      </c>
      <c r="H217" s="101" t="inlineStr">
        <is>
          <t>8T</t>
        </is>
      </c>
      <c r="I217" s="102" t="inlineStr">
        <is>
          <t>Jamara</t>
        </is>
      </c>
      <c r="J217" s="103" t="inlineStr">
        <is>
          <t>Lagos</t>
        </is>
      </c>
      <c r="K217" s="106" t="inlineStr">
        <is>
          <t>Agbara-Badagry-Festac-Mile 2-Amuwo</t>
        </is>
      </c>
      <c r="L217" s="57" t="inlineStr">
        <is>
          <t>Ogun</t>
        </is>
      </c>
      <c r="M217" s="58" t="inlineStr">
        <is>
          <t>Agbara</t>
        </is>
      </c>
      <c r="N217" s="196" t="n">
        <v>47</v>
      </c>
      <c r="O217" s="194">
        <f>N217*2</f>
        <v/>
      </c>
      <c r="P217" s="215">
        <f>ROUNDUP(O217/300,)</f>
        <v/>
      </c>
      <c r="Q217" s="215" t="n">
        <v>0.2</v>
      </c>
      <c r="R217" s="215">
        <f>Q217+P217</f>
        <v/>
      </c>
      <c r="S217" s="197">
        <f>ROUNDDOWN(O217*0.51,)+60</f>
        <v/>
      </c>
      <c r="T217" s="207">
        <f>_xlfn.XLOOKUP(F217,[1]Fx!$A$4:$A$10,[1]Fx!$B$4:$B$10)</f>
        <v/>
      </c>
      <c r="U217" s="207">
        <f>_xlfn.XLOOKUP(F217,[1]Fx!$A$4:$A$10,[1]Fx!$C$4:$C$10)</f>
        <v/>
      </c>
      <c r="V217" s="207">
        <f>_xlfn.XLOOKUP(F217,[1]Fx!$A$4:$A$10,[1]Fx!$D$4:$D$10)</f>
        <v/>
      </c>
      <c r="W217" s="207">
        <f>$V$2</f>
        <v/>
      </c>
      <c r="X217" s="207">
        <f>_xlfn.XLOOKUP(F217,[1]Fx!$A$4:$A$10,[1]Fx!$E$4:$E$10)</f>
        <v/>
      </c>
      <c r="Y217" s="215">
        <f>T217*R217</f>
        <v/>
      </c>
      <c r="Z217" s="215">
        <f>U217*O217</f>
        <v/>
      </c>
      <c r="AA217" s="215">
        <f>V217*O217</f>
        <v/>
      </c>
      <c r="AB217" s="215">
        <f>W217*O217</f>
        <v/>
      </c>
      <c r="AC217" s="197">
        <f>X217*O217</f>
        <v/>
      </c>
      <c r="AD217" s="215" t="n">
        <v>0</v>
      </c>
      <c r="AE217" s="215" t="n">
        <v>0</v>
      </c>
      <c r="AF217" s="207">
        <f>SUM(Y217:AE217)</f>
        <v/>
      </c>
      <c r="AG217" s="254">
        <f>_xlfn.XLOOKUP(F217,[1]Fx!$A$16:$A$22,[1]Fx!$B$16:$B$22)</f>
        <v/>
      </c>
      <c r="AH217" s="207">
        <f>AG217*R217</f>
        <v/>
      </c>
      <c r="AI217" s="207">
        <f>$AH$3*Z217</f>
        <v/>
      </c>
      <c r="AJ217" s="207">
        <f>$AI$3*AA217</f>
        <v/>
      </c>
      <c r="AK217" s="207">
        <f>$AJ$3*AB217</f>
        <v/>
      </c>
      <c r="AL217" s="207">
        <f>$AK$3*AC217</f>
        <v/>
      </c>
      <c r="AM217" s="220">
        <f>SUM(AH217:AL217)</f>
        <v/>
      </c>
      <c r="AN217" s="220" t="n">
        <v>0</v>
      </c>
      <c r="AO217" s="220">
        <f>AN217*AH217</f>
        <v/>
      </c>
      <c r="AP217" s="220">
        <f>AD217</f>
        <v/>
      </c>
      <c r="AQ217" s="220">
        <f>AE217</f>
        <v/>
      </c>
      <c r="AR217" s="208">
        <f>AM217-AO217</f>
        <v/>
      </c>
      <c r="AS217" s="220">
        <f>AR217-AK217</f>
        <v/>
      </c>
      <c r="AT217" s="208">
        <f>AS217*1.075</f>
        <v/>
      </c>
      <c r="AU217" s="208">
        <f>AT217+AK217</f>
        <v/>
      </c>
      <c r="AV217" s="195" t="n">
        <v>141581.78011258</v>
      </c>
      <c r="AW217" s="220" t="n"/>
      <c r="AX217" s="220">
        <f>AV217-AR217</f>
        <v/>
      </c>
      <c r="AY217" s="35">
        <f>AX217/AR217</f>
        <v/>
      </c>
      <c r="AZ217" s="220">
        <f>AV217-AF217</f>
        <v/>
      </c>
      <c r="BA217" s="215">
        <f>AV217-SUM(Z217:AC217)</f>
        <v/>
      </c>
      <c r="BB217" s="215">
        <f>BA217-Y217</f>
        <v/>
      </c>
      <c r="BC217" s="35">
        <f>BB217/BA217</f>
        <v/>
      </c>
      <c r="BD217" s="35">
        <f>IFERROR(AZ217/AV217,)</f>
        <v/>
      </c>
      <c r="BE217" s="255">
        <f>AV217-SUM(Z217:AC217)</f>
        <v/>
      </c>
      <c r="BF217" s="255">
        <f>AV217-BE217-AC217-AB217</f>
        <v/>
      </c>
      <c r="BG217" s="255">
        <f>AV217-BE217-BF217-AB217</f>
        <v/>
      </c>
      <c r="BH217" s="255">
        <f>AB217</f>
        <v/>
      </c>
      <c r="BI217" s="263" t="inlineStr">
        <is>
          <t>Approved</t>
        </is>
      </c>
    </row>
    <row r="218" ht="41.4" customHeight="1">
      <c r="C218" s="96" t="inlineStr">
        <is>
          <t>YEKENE</t>
        </is>
      </c>
      <c r="D218" s="49">
        <f>CONCATENATE(G218,"-",H218,"-",F218)</f>
        <v/>
      </c>
      <c r="E218" s="95" t="inlineStr">
        <is>
          <t>Jamara-8T-25CBM</t>
        </is>
      </c>
      <c r="F218" s="24" t="inlineStr">
        <is>
          <t>25CBM</t>
        </is>
      </c>
      <c r="G218" s="25" t="inlineStr">
        <is>
          <t>Closed Body Logistics</t>
        </is>
      </c>
      <c r="H218" s="101" t="inlineStr">
        <is>
          <t>8T</t>
        </is>
      </c>
      <c r="I218" s="102" t="inlineStr">
        <is>
          <t>Jamara</t>
        </is>
      </c>
      <c r="J218" s="103" t="inlineStr">
        <is>
          <t>Lagos</t>
        </is>
      </c>
      <c r="K218" s="105" t="inlineStr">
        <is>
          <t>Agbara-Badagry-Festac-Mile 2-Amuwo</t>
        </is>
      </c>
      <c r="L218" s="57" t="inlineStr">
        <is>
          <t>Lagos</t>
        </is>
      </c>
      <c r="M218" s="58" t="inlineStr">
        <is>
          <t>Festac</t>
        </is>
      </c>
      <c r="N218" s="196" t="n">
        <v>23.5</v>
      </c>
      <c r="O218" s="194">
        <f>N218*2</f>
        <v/>
      </c>
      <c r="P218" s="215">
        <f>ROUNDUP(O218/300,)</f>
        <v/>
      </c>
      <c r="Q218" s="215" t="n">
        <v>0.2</v>
      </c>
      <c r="R218" s="215">
        <f>Q218+P218</f>
        <v/>
      </c>
      <c r="S218" s="197">
        <f>ROUNDDOWN(O218*0.51,)+60</f>
        <v/>
      </c>
      <c r="T218" s="207">
        <f>_xlfn.XLOOKUP(F218,[1]Fx!$A$4:$A$10,[1]Fx!$B$4:$B$10)</f>
        <v/>
      </c>
      <c r="U218" s="207">
        <f>_xlfn.XLOOKUP(F218,[1]Fx!$A$4:$A$10,[1]Fx!$C$4:$C$10)</f>
        <v/>
      </c>
      <c r="V218" s="207">
        <f>_xlfn.XLOOKUP(F218,[1]Fx!$A$4:$A$10,[1]Fx!$D$4:$D$10)</f>
        <v/>
      </c>
      <c r="W218" s="207">
        <f>$V$2</f>
        <v/>
      </c>
      <c r="X218" s="207">
        <f>_xlfn.XLOOKUP(F218,[1]Fx!$A$4:$A$10,[1]Fx!$E$4:$E$10)</f>
        <v/>
      </c>
      <c r="Y218" s="215">
        <f>T218*R218</f>
        <v/>
      </c>
      <c r="Z218" s="215">
        <f>U218*O218</f>
        <v/>
      </c>
      <c r="AA218" s="215">
        <f>V218*O218</f>
        <v/>
      </c>
      <c r="AB218" s="215">
        <f>W218*O218</f>
        <v/>
      </c>
      <c r="AC218" s="197">
        <f>X218*O218</f>
        <v/>
      </c>
      <c r="AD218" s="215" t="n">
        <v>0</v>
      </c>
      <c r="AE218" s="215" t="n">
        <v>0</v>
      </c>
      <c r="AF218" s="207">
        <f>SUM(Y218:AE218)</f>
        <v/>
      </c>
      <c r="AG218" s="254">
        <f>_xlfn.XLOOKUP(F218,[1]Fx!$A$16:$A$22,[1]Fx!$B$16:$B$22)</f>
        <v/>
      </c>
      <c r="AH218" s="207">
        <f>AG218*R218</f>
        <v/>
      </c>
      <c r="AI218" s="207">
        <f>$AH$3*Z218</f>
        <v/>
      </c>
      <c r="AJ218" s="207">
        <f>$AI$3*AA218</f>
        <v/>
      </c>
      <c r="AK218" s="207">
        <f>$AJ$3*AB218</f>
        <v/>
      </c>
      <c r="AL218" s="207">
        <f>$AK$3*AC218</f>
        <v/>
      </c>
      <c r="AM218" s="220">
        <f>SUM(AH218:AL218)</f>
        <v/>
      </c>
      <c r="AN218" s="220" t="n">
        <v>0</v>
      </c>
      <c r="AO218" s="220">
        <f>AN218*AH218</f>
        <v/>
      </c>
      <c r="AP218" s="220">
        <f>AD218</f>
        <v/>
      </c>
      <c r="AQ218" s="220">
        <f>AE218</f>
        <v/>
      </c>
      <c r="AR218" s="208">
        <f>AM218-AO218</f>
        <v/>
      </c>
      <c r="AS218" s="220">
        <f>AR218-AK218</f>
        <v/>
      </c>
      <c r="AT218" s="208">
        <f>AS218*1.075</f>
        <v/>
      </c>
      <c r="AU218" s="208">
        <f>AT218+AK218</f>
        <v/>
      </c>
      <c r="AV218" s="195" t="n">
        <v>141581.78011258</v>
      </c>
      <c r="AW218" s="220" t="n"/>
      <c r="AX218" s="220">
        <f>AV218-AR218</f>
        <v/>
      </c>
      <c r="AY218" s="35">
        <f>AX218/AR218</f>
        <v/>
      </c>
      <c r="AZ218" s="220">
        <f>AV218-AF218</f>
        <v/>
      </c>
      <c r="BA218" s="215">
        <f>AV218-SUM(Z218:AC218)</f>
        <v/>
      </c>
      <c r="BB218" s="215">
        <f>BA218-Y218</f>
        <v/>
      </c>
      <c r="BC218" s="35">
        <f>BB218/BA218</f>
        <v/>
      </c>
      <c r="BD218" s="35">
        <f>IFERROR(AZ218/AV218,)</f>
        <v/>
      </c>
      <c r="BE218" s="255">
        <f>AV218-SUM(Z218:AC218)</f>
        <v/>
      </c>
      <c r="BF218" s="255">
        <f>AV218-BE218-AC218-AB218</f>
        <v/>
      </c>
      <c r="BG218" s="255">
        <f>AV218-BE218-BF218-AB218</f>
        <v/>
      </c>
      <c r="BH218" s="255">
        <f>AB218</f>
        <v/>
      </c>
      <c r="BI218" s="263" t="inlineStr">
        <is>
          <t>Approved</t>
        </is>
      </c>
    </row>
    <row r="219" ht="41.4" customHeight="1">
      <c r="C219" s="96" t="inlineStr">
        <is>
          <t>YEKENE</t>
        </is>
      </c>
      <c r="D219" s="49">
        <f>CONCATENATE(G219,"-",H219,"-",F219)</f>
        <v/>
      </c>
      <c r="E219" s="95" t="inlineStr">
        <is>
          <t>Jamara-8T-25CBM</t>
        </is>
      </c>
      <c r="F219" s="24" t="inlineStr">
        <is>
          <t>25CBM</t>
        </is>
      </c>
      <c r="G219" s="25" t="inlineStr">
        <is>
          <t>Closed Body Logistics</t>
        </is>
      </c>
      <c r="H219" s="101" t="inlineStr">
        <is>
          <t>8T</t>
        </is>
      </c>
      <c r="I219" s="102" t="inlineStr">
        <is>
          <t>Jamara</t>
        </is>
      </c>
      <c r="J219" s="103" t="inlineStr">
        <is>
          <t>Lagos</t>
        </is>
      </c>
      <c r="K219" s="105" t="inlineStr">
        <is>
          <t>Agbara-Badagry-Festac-Mile 2-Amuwo</t>
        </is>
      </c>
      <c r="L219" s="57" t="inlineStr">
        <is>
          <t>Lagos</t>
        </is>
      </c>
      <c r="M219" s="58" t="inlineStr">
        <is>
          <t>Mile 2</t>
        </is>
      </c>
      <c r="N219" s="196" t="n">
        <v>18</v>
      </c>
      <c r="O219" s="194">
        <f>N219*2</f>
        <v/>
      </c>
      <c r="P219" s="215">
        <f>ROUNDUP(O219/300,)</f>
        <v/>
      </c>
      <c r="Q219" s="215" t="n">
        <v>0.2</v>
      </c>
      <c r="R219" s="215">
        <f>Q219+P219</f>
        <v/>
      </c>
      <c r="S219" s="197">
        <f>ROUNDDOWN(O219*0.51,)+60</f>
        <v/>
      </c>
      <c r="T219" s="207">
        <f>_xlfn.XLOOKUP(F219,[1]Fx!$A$4:$A$10,[1]Fx!$B$4:$B$10)</f>
        <v/>
      </c>
      <c r="U219" s="207">
        <f>_xlfn.XLOOKUP(F219,[1]Fx!$A$4:$A$10,[1]Fx!$C$4:$C$10)</f>
        <v/>
      </c>
      <c r="V219" s="207">
        <f>_xlfn.XLOOKUP(F219,[1]Fx!$A$4:$A$10,[1]Fx!$D$4:$D$10)</f>
        <v/>
      </c>
      <c r="W219" s="207">
        <f>$V$2</f>
        <v/>
      </c>
      <c r="X219" s="207">
        <f>_xlfn.XLOOKUP(F219,[1]Fx!$A$4:$A$10,[1]Fx!$E$4:$E$10)</f>
        <v/>
      </c>
      <c r="Y219" s="215">
        <f>T219*R219</f>
        <v/>
      </c>
      <c r="Z219" s="215">
        <f>U219*O219</f>
        <v/>
      </c>
      <c r="AA219" s="215">
        <f>V219*O219</f>
        <v/>
      </c>
      <c r="AB219" s="215">
        <f>W219*O219</f>
        <v/>
      </c>
      <c r="AC219" s="197">
        <f>X219*O219</f>
        <v/>
      </c>
      <c r="AD219" s="215" t="n">
        <v>0</v>
      </c>
      <c r="AE219" s="215" t="n">
        <v>0</v>
      </c>
      <c r="AF219" s="207">
        <f>SUM(Y219:AE219)</f>
        <v/>
      </c>
      <c r="AG219" s="254">
        <f>_xlfn.XLOOKUP(F219,[1]Fx!$A$16:$A$22,[1]Fx!$B$16:$B$22)</f>
        <v/>
      </c>
      <c r="AH219" s="207">
        <f>AG219*R219</f>
        <v/>
      </c>
      <c r="AI219" s="207">
        <f>$AH$3*Z219</f>
        <v/>
      </c>
      <c r="AJ219" s="207">
        <f>$AI$3*AA219</f>
        <v/>
      </c>
      <c r="AK219" s="207">
        <f>$AJ$3*AB219</f>
        <v/>
      </c>
      <c r="AL219" s="207">
        <f>$AK$3*AC219</f>
        <v/>
      </c>
      <c r="AM219" s="220">
        <f>SUM(AH219:AL219)</f>
        <v/>
      </c>
      <c r="AN219" s="220" t="n">
        <v>0</v>
      </c>
      <c r="AO219" s="220">
        <f>AN219*AH219</f>
        <v/>
      </c>
      <c r="AP219" s="220">
        <f>AD219</f>
        <v/>
      </c>
      <c r="AQ219" s="220">
        <f>AE219</f>
        <v/>
      </c>
      <c r="AR219" s="208">
        <f>AM219-AO219</f>
        <v/>
      </c>
      <c r="AS219" s="220">
        <f>AR219-AK219</f>
        <v/>
      </c>
      <c r="AT219" s="208">
        <f>AS219*1.075</f>
        <v/>
      </c>
      <c r="AU219" s="208">
        <f>AT219+AK219</f>
        <v/>
      </c>
      <c r="AV219" s="195" t="n">
        <v>141581.78011258</v>
      </c>
      <c r="AW219" s="220" t="n"/>
      <c r="AX219" s="220">
        <f>AV219-AR219</f>
        <v/>
      </c>
      <c r="AY219" s="35">
        <f>AX219/AR219</f>
        <v/>
      </c>
      <c r="AZ219" s="220">
        <f>AV219-AF219</f>
        <v/>
      </c>
      <c r="BA219" s="215">
        <f>AV219-SUM(Z219:AC219)</f>
        <v/>
      </c>
      <c r="BB219" s="215">
        <f>BA219-Y219</f>
        <v/>
      </c>
      <c r="BC219" s="35">
        <f>BB219/BA219</f>
        <v/>
      </c>
      <c r="BD219" s="35">
        <f>IFERROR(AZ219/AV219,)</f>
        <v/>
      </c>
      <c r="BE219" s="255">
        <f>AV219-SUM(Z219:AC219)</f>
        <v/>
      </c>
      <c r="BF219" s="255">
        <f>AV219-BE219-AC219-AB219</f>
        <v/>
      </c>
      <c r="BG219" s="255">
        <f>AV219-BE219-BF219-AB219</f>
        <v/>
      </c>
      <c r="BH219" s="255">
        <f>AB219</f>
        <v/>
      </c>
      <c r="BI219" s="263" t="inlineStr">
        <is>
          <t>Approved</t>
        </is>
      </c>
    </row>
    <row r="220">
      <c r="C220" s="96" t="inlineStr">
        <is>
          <t>YEKENE</t>
        </is>
      </c>
      <c r="D220" s="49">
        <f>CONCATENATE(G220,"-",H220,"-",F220)</f>
        <v/>
      </c>
      <c r="E220" s="95" t="inlineStr">
        <is>
          <t>Jamara-8T-25CBM</t>
        </is>
      </c>
      <c r="F220" s="24" t="inlineStr">
        <is>
          <t>25CBM</t>
        </is>
      </c>
      <c r="G220" s="25" t="inlineStr">
        <is>
          <t>Closed Body Logistics</t>
        </is>
      </c>
      <c r="H220" s="101" t="inlineStr">
        <is>
          <t>8T</t>
        </is>
      </c>
      <c r="I220" s="102" t="inlineStr">
        <is>
          <t>Jamara</t>
        </is>
      </c>
      <c r="J220" s="103" t="inlineStr">
        <is>
          <t>Lagos</t>
        </is>
      </c>
      <c r="K220" s="107" t="inlineStr">
        <is>
          <t>Alaba</t>
        </is>
      </c>
      <c r="L220" s="57" t="inlineStr">
        <is>
          <t>Lagos</t>
        </is>
      </c>
      <c r="M220" s="58" t="inlineStr">
        <is>
          <t>Ojo</t>
        </is>
      </c>
      <c r="N220" s="196" t="n">
        <v>18</v>
      </c>
      <c r="O220" s="194">
        <f>N220*2</f>
        <v/>
      </c>
      <c r="P220" s="215">
        <f>ROUNDUP(O220/300,)</f>
        <v/>
      </c>
      <c r="Q220" s="215" t="n">
        <v>0.2</v>
      </c>
      <c r="R220" s="215">
        <f>Q220+P220</f>
        <v/>
      </c>
      <c r="S220" s="197">
        <f>ROUNDDOWN(O220*0.51,)+60</f>
        <v/>
      </c>
      <c r="T220" s="207">
        <f>_xlfn.XLOOKUP(F220,[1]Fx!$A$4:$A$10,[1]Fx!$B$4:$B$10)</f>
        <v/>
      </c>
      <c r="U220" s="207">
        <f>_xlfn.XLOOKUP(F220,[1]Fx!$A$4:$A$10,[1]Fx!$C$4:$C$10)</f>
        <v/>
      </c>
      <c r="V220" s="207">
        <f>_xlfn.XLOOKUP(F220,[1]Fx!$A$4:$A$10,[1]Fx!$D$4:$D$10)</f>
        <v/>
      </c>
      <c r="W220" s="207">
        <f>$V$2</f>
        <v/>
      </c>
      <c r="X220" s="207">
        <f>_xlfn.XLOOKUP(F220,[1]Fx!$A$4:$A$10,[1]Fx!$E$4:$E$10)</f>
        <v/>
      </c>
      <c r="Y220" s="215">
        <f>T220*R220</f>
        <v/>
      </c>
      <c r="Z220" s="215">
        <f>U220*O220</f>
        <v/>
      </c>
      <c r="AA220" s="215">
        <f>V220*O220</f>
        <v/>
      </c>
      <c r="AB220" s="215">
        <f>W220*O220</f>
        <v/>
      </c>
      <c r="AC220" s="197">
        <f>X220*O220</f>
        <v/>
      </c>
      <c r="AD220" s="215" t="n">
        <v>0</v>
      </c>
      <c r="AE220" s="215" t="n">
        <v>0</v>
      </c>
      <c r="AF220" s="207">
        <f>SUM(Y220:AE220)</f>
        <v/>
      </c>
      <c r="AG220" s="254">
        <f>_xlfn.XLOOKUP(F220,[1]Fx!$A$16:$A$22,[1]Fx!$B$16:$B$22)</f>
        <v/>
      </c>
      <c r="AH220" s="207">
        <f>AG220*R220</f>
        <v/>
      </c>
      <c r="AI220" s="207">
        <f>$AH$3*Z220</f>
        <v/>
      </c>
      <c r="AJ220" s="207">
        <f>$AI$3*AA220</f>
        <v/>
      </c>
      <c r="AK220" s="207">
        <f>$AJ$3*AB220</f>
        <v/>
      </c>
      <c r="AL220" s="207">
        <f>$AK$3*AC220</f>
        <v/>
      </c>
      <c r="AM220" s="220">
        <f>SUM(AH220:AL220)</f>
        <v/>
      </c>
      <c r="AN220" s="220" t="n">
        <v>0</v>
      </c>
      <c r="AO220" s="220">
        <f>AN220*AH220</f>
        <v/>
      </c>
      <c r="AP220" s="220">
        <f>AD220</f>
        <v/>
      </c>
      <c r="AQ220" s="220">
        <f>AE220</f>
        <v/>
      </c>
      <c r="AR220" s="208">
        <f>AM220-AO220</f>
        <v/>
      </c>
      <c r="AS220" s="220">
        <f>AR220-AK220</f>
        <v/>
      </c>
      <c r="AT220" s="208">
        <f>AS220*1.075</f>
        <v/>
      </c>
      <c r="AU220" s="208">
        <f>AT220+AK220</f>
        <v/>
      </c>
      <c r="AV220" s="195" t="n">
        <v>141581.78011258</v>
      </c>
      <c r="AW220" s="220" t="n"/>
      <c r="AX220" s="220">
        <f>AV220-AR220</f>
        <v/>
      </c>
      <c r="AY220" s="35">
        <f>AX220/AR220</f>
        <v/>
      </c>
      <c r="AZ220" s="220">
        <f>AV220-AF220</f>
        <v/>
      </c>
      <c r="BA220" s="215">
        <f>AV220-SUM(Z220:AC220)</f>
        <v/>
      </c>
      <c r="BB220" s="215">
        <f>BA220-Y220</f>
        <v/>
      </c>
      <c r="BC220" s="35">
        <f>BB220/BA220</f>
        <v/>
      </c>
      <c r="BD220" s="35">
        <f>IFERROR(AZ220/AV220,)</f>
        <v/>
      </c>
      <c r="BE220" s="255">
        <f>AV220-SUM(Z220:AC220)</f>
        <v/>
      </c>
      <c r="BF220" s="255">
        <f>AV220-BE220-AC220-AB220</f>
        <v/>
      </c>
      <c r="BG220" s="255">
        <f>AV220-BE220-BF220-AB220</f>
        <v/>
      </c>
      <c r="BH220" s="255">
        <f>AB220</f>
        <v/>
      </c>
      <c r="BI220" s="263" t="inlineStr">
        <is>
          <t>Worst Case Approved</t>
        </is>
      </c>
    </row>
    <row r="221" ht="27.6" customHeight="1">
      <c r="C221" s="96" t="inlineStr">
        <is>
          <t>YEKENE</t>
        </is>
      </c>
      <c r="D221" s="49">
        <f>CONCATENATE(G221,"-",H221,"-",F221)</f>
        <v/>
      </c>
      <c r="E221" s="95" t="inlineStr">
        <is>
          <t>Jamara-8T-25CBM</t>
        </is>
      </c>
      <c r="F221" s="24" t="inlineStr">
        <is>
          <t>25CBM</t>
        </is>
      </c>
      <c r="G221" s="25" t="inlineStr">
        <is>
          <t>Closed Body Logistics</t>
        </is>
      </c>
      <c r="H221" s="101" t="inlineStr">
        <is>
          <t>8T</t>
        </is>
      </c>
      <c r="I221" s="102" t="inlineStr">
        <is>
          <t>Jamara</t>
        </is>
      </c>
      <c r="J221" s="103" t="inlineStr">
        <is>
          <t>Lagos</t>
        </is>
      </c>
      <c r="K221" s="105" t="inlineStr">
        <is>
          <t>Ikeja-Agege-Dopemu-Magodo</t>
        </is>
      </c>
      <c r="L221" s="57" t="inlineStr">
        <is>
          <t>Lagos</t>
        </is>
      </c>
      <c r="M221" s="59" t="inlineStr">
        <is>
          <t>Magodo</t>
        </is>
      </c>
      <c r="N221" s="196" t="n">
        <v>12</v>
      </c>
      <c r="O221" s="194">
        <f>N221*2</f>
        <v/>
      </c>
      <c r="P221" s="215">
        <f>ROUNDUP(O221/300,)</f>
        <v/>
      </c>
      <c r="Q221" s="215" t="n">
        <v>0.2</v>
      </c>
      <c r="R221" s="215">
        <f>Q221+P221</f>
        <v/>
      </c>
      <c r="S221" s="197">
        <f>ROUNDDOWN(O221*0.51,)+60</f>
        <v/>
      </c>
      <c r="T221" s="207">
        <f>_xlfn.XLOOKUP(F221,[1]Fx!$A$4:$A$10,[1]Fx!$B$4:$B$10)</f>
        <v/>
      </c>
      <c r="U221" s="207">
        <f>_xlfn.XLOOKUP(F221,[1]Fx!$A$4:$A$10,[1]Fx!$C$4:$C$10)</f>
        <v/>
      </c>
      <c r="V221" s="207">
        <f>_xlfn.XLOOKUP(F221,[1]Fx!$A$4:$A$10,[1]Fx!$D$4:$D$10)</f>
        <v/>
      </c>
      <c r="W221" s="207">
        <f>$V$2</f>
        <v/>
      </c>
      <c r="X221" s="207">
        <f>_xlfn.XLOOKUP(F221,[1]Fx!$A$4:$A$10,[1]Fx!$E$4:$E$10)</f>
        <v/>
      </c>
      <c r="Y221" s="215">
        <f>T221*R221</f>
        <v/>
      </c>
      <c r="Z221" s="215">
        <f>U221*O221</f>
        <v/>
      </c>
      <c r="AA221" s="215">
        <f>V221*O221</f>
        <v/>
      </c>
      <c r="AB221" s="215">
        <f>W221*O221</f>
        <v/>
      </c>
      <c r="AC221" s="197">
        <f>X221*O221</f>
        <v/>
      </c>
      <c r="AD221" s="215" t="n">
        <v>0</v>
      </c>
      <c r="AE221" s="215" t="n">
        <v>0</v>
      </c>
      <c r="AF221" s="207">
        <f>SUM(Y221:AE221)</f>
        <v/>
      </c>
      <c r="AG221" s="254">
        <f>_xlfn.XLOOKUP(F221,[1]Fx!$A$16:$A$22,[1]Fx!$B$16:$B$22)</f>
        <v/>
      </c>
      <c r="AH221" s="207">
        <f>AG221*R221</f>
        <v/>
      </c>
      <c r="AI221" s="207">
        <f>$AH$3*Z221</f>
        <v/>
      </c>
      <c r="AJ221" s="207">
        <f>$AI$3*AA221</f>
        <v/>
      </c>
      <c r="AK221" s="207">
        <f>$AJ$3*AB221</f>
        <v/>
      </c>
      <c r="AL221" s="207">
        <f>$AK$3*AC221</f>
        <v/>
      </c>
      <c r="AM221" s="220">
        <f>SUM(AH221:AL221)</f>
        <v/>
      </c>
      <c r="AN221" s="220" t="n">
        <v>0</v>
      </c>
      <c r="AO221" s="220">
        <f>AN221*AH221</f>
        <v/>
      </c>
      <c r="AP221" s="220">
        <f>AD221</f>
        <v/>
      </c>
      <c r="AQ221" s="220">
        <f>AE221</f>
        <v/>
      </c>
      <c r="AR221" s="208">
        <f>AM221-AO221</f>
        <v/>
      </c>
      <c r="AS221" s="220">
        <f>AR221-AK221</f>
        <v/>
      </c>
      <c r="AT221" s="208">
        <f>AS221*1.075</f>
        <v/>
      </c>
      <c r="AU221" s="208">
        <f>AT221+AK221</f>
        <v/>
      </c>
      <c r="AV221" s="195" t="n">
        <v>141581.78011258</v>
      </c>
      <c r="AW221" s="220" t="n"/>
      <c r="AX221" s="220">
        <f>AV221-AR221</f>
        <v/>
      </c>
      <c r="AY221" s="35">
        <f>AX221/AR221</f>
        <v/>
      </c>
      <c r="AZ221" s="220">
        <f>AV221-AF221</f>
        <v/>
      </c>
      <c r="BA221" s="215">
        <f>AV221-SUM(Z221:AC221)</f>
        <v/>
      </c>
      <c r="BB221" s="215">
        <f>BA221-Y221</f>
        <v/>
      </c>
      <c r="BC221" s="35">
        <f>BB221/BA221</f>
        <v/>
      </c>
      <c r="BD221" s="35">
        <f>IFERROR(AZ221/AV221,)</f>
        <v/>
      </c>
      <c r="BE221" s="255">
        <f>AV221-SUM(Z221:AC221)</f>
        <v/>
      </c>
      <c r="BF221" s="255">
        <f>AV221-BE221-AC221-AB221</f>
        <v/>
      </c>
      <c r="BG221" s="255">
        <f>AV221-BE221-BF221-AB221</f>
        <v/>
      </c>
      <c r="BH221" s="255">
        <f>AB221</f>
        <v/>
      </c>
      <c r="BI221" s="263" t="inlineStr">
        <is>
          <t>Approved</t>
        </is>
      </c>
    </row>
    <row r="222" ht="27.6" customHeight="1">
      <c r="C222" s="96" t="inlineStr">
        <is>
          <t>YEKENE</t>
        </is>
      </c>
      <c r="D222" s="49">
        <f>CONCATENATE(G222,"-",H222,"-",F222)</f>
        <v/>
      </c>
      <c r="E222" s="95" t="inlineStr">
        <is>
          <t>Jamara-8T-25CBM</t>
        </is>
      </c>
      <c r="F222" s="24" t="inlineStr">
        <is>
          <t>25CBM</t>
        </is>
      </c>
      <c r="G222" s="25" t="inlineStr">
        <is>
          <t>Closed Body Logistics</t>
        </is>
      </c>
      <c r="H222" s="101" t="inlineStr">
        <is>
          <t>8T</t>
        </is>
      </c>
      <c r="I222" s="102" t="inlineStr">
        <is>
          <t>Jamara</t>
        </is>
      </c>
      <c r="J222" s="103" t="inlineStr">
        <is>
          <t>Lagos</t>
        </is>
      </c>
      <c r="K222" s="105" t="inlineStr">
        <is>
          <t>Ikeja-Agege-Dopemu-Magodo</t>
        </is>
      </c>
      <c r="L222" s="57" t="inlineStr">
        <is>
          <t>Lagos</t>
        </is>
      </c>
      <c r="M222" s="58" t="inlineStr">
        <is>
          <t>Agege</t>
        </is>
      </c>
      <c r="N222" s="196" t="n">
        <v>14</v>
      </c>
      <c r="O222" s="194">
        <f>N222*2</f>
        <v/>
      </c>
      <c r="P222" s="215">
        <f>ROUNDUP(O222/300,)</f>
        <v/>
      </c>
      <c r="Q222" s="215" t="n">
        <v>0.2</v>
      </c>
      <c r="R222" s="215">
        <f>Q222+P222</f>
        <v/>
      </c>
      <c r="S222" s="197">
        <f>ROUNDDOWN(O222*0.51,)+60</f>
        <v/>
      </c>
      <c r="T222" s="207">
        <f>_xlfn.XLOOKUP(F222,[1]Fx!$A$4:$A$10,[1]Fx!$B$4:$B$10)</f>
        <v/>
      </c>
      <c r="U222" s="207">
        <f>_xlfn.XLOOKUP(F222,[1]Fx!$A$4:$A$10,[1]Fx!$C$4:$C$10)</f>
        <v/>
      </c>
      <c r="V222" s="207">
        <f>_xlfn.XLOOKUP(F222,[1]Fx!$A$4:$A$10,[1]Fx!$D$4:$D$10)</f>
        <v/>
      </c>
      <c r="W222" s="207">
        <f>$V$2</f>
        <v/>
      </c>
      <c r="X222" s="207">
        <f>_xlfn.XLOOKUP(F222,[1]Fx!$A$4:$A$10,[1]Fx!$E$4:$E$10)</f>
        <v/>
      </c>
      <c r="Y222" s="215">
        <f>T222*R222</f>
        <v/>
      </c>
      <c r="Z222" s="215">
        <f>U222*O222</f>
        <v/>
      </c>
      <c r="AA222" s="215">
        <f>V222*O222</f>
        <v/>
      </c>
      <c r="AB222" s="215">
        <f>W222*O222</f>
        <v/>
      </c>
      <c r="AC222" s="197">
        <f>X222*O222</f>
        <v/>
      </c>
      <c r="AD222" s="215" t="n">
        <v>0</v>
      </c>
      <c r="AE222" s="215" t="n">
        <v>0</v>
      </c>
      <c r="AF222" s="207">
        <f>SUM(Y222:AE222)</f>
        <v/>
      </c>
      <c r="AG222" s="254">
        <f>_xlfn.XLOOKUP(F222,[1]Fx!$A$16:$A$22,[1]Fx!$B$16:$B$22)</f>
        <v/>
      </c>
      <c r="AH222" s="207">
        <f>AG222*R222</f>
        <v/>
      </c>
      <c r="AI222" s="207">
        <f>$AH$3*Z222</f>
        <v/>
      </c>
      <c r="AJ222" s="207">
        <f>$AI$3*AA222</f>
        <v/>
      </c>
      <c r="AK222" s="207">
        <f>$AJ$3*AB222</f>
        <v/>
      </c>
      <c r="AL222" s="207">
        <f>$AK$3*AC222</f>
        <v/>
      </c>
      <c r="AM222" s="220">
        <f>SUM(AH222:AL222)</f>
        <v/>
      </c>
      <c r="AN222" s="220" t="n">
        <v>0</v>
      </c>
      <c r="AO222" s="220">
        <f>AN222*AH222</f>
        <v/>
      </c>
      <c r="AP222" s="220">
        <f>AD222</f>
        <v/>
      </c>
      <c r="AQ222" s="220">
        <f>AE222</f>
        <v/>
      </c>
      <c r="AR222" s="208">
        <f>AM222-AO222</f>
        <v/>
      </c>
      <c r="AS222" s="220">
        <f>AR222-AK222</f>
        <v/>
      </c>
      <c r="AT222" s="208">
        <f>AS222*1.075</f>
        <v/>
      </c>
      <c r="AU222" s="208">
        <f>AT222+AK222</f>
        <v/>
      </c>
      <c r="AV222" s="195" t="n">
        <v>141581.78011258</v>
      </c>
      <c r="AW222" s="220" t="n"/>
      <c r="AX222" s="220">
        <f>AV222-AR222</f>
        <v/>
      </c>
      <c r="AY222" s="35">
        <f>AX222/AR222</f>
        <v/>
      </c>
      <c r="AZ222" s="220">
        <f>AV222-AF222</f>
        <v/>
      </c>
      <c r="BA222" s="215">
        <f>AV222-SUM(Z222:AC222)</f>
        <v/>
      </c>
      <c r="BB222" s="215">
        <f>BA222-Y222</f>
        <v/>
      </c>
      <c r="BC222" s="35">
        <f>BB222/BA222</f>
        <v/>
      </c>
      <c r="BD222" s="35">
        <f>IFERROR(AZ222/AV222,)</f>
        <v/>
      </c>
      <c r="BE222" s="255">
        <f>AV222-SUM(Z222:AC222)</f>
        <v/>
      </c>
      <c r="BF222" s="255">
        <f>AV222-BE222-AC222-AB222</f>
        <v/>
      </c>
      <c r="BG222" s="255">
        <f>AV222-BE222-BF222-AB222</f>
        <v/>
      </c>
      <c r="BH222" s="255">
        <f>AB222</f>
        <v/>
      </c>
      <c r="BI222" s="263" t="inlineStr">
        <is>
          <t>Approved</t>
        </is>
      </c>
    </row>
    <row r="223" ht="27.6" customHeight="1">
      <c r="C223" s="96" t="inlineStr">
        <is>
          <t>YEKENE</t>
        </is>
      </c>
      <c r="D223" s="49">
        <f>CONCATENATE(G223,"-",H223,"-",F223)</f>
        <v/>
      </c>
      <c r="E223" s="95" t="inlineStr">
        <is>
          <t>Jamara-8T-25CBM</t>
        </is>
      </c>
      <c r="F223" s="24" t="inlineStr">
        <is>
          <t>25CBM</t>
        </is>
      </c>
      <c r="G223" s="25" t="inlineStr">
        <is>
          <t>Closed Body Logistics</t>
        </is>
      </c>
      <c r="H223" s="101" t="inlineStr">
        <is>
          <t>8T</t>
        </is>
      </c>
      <c r="I223" s="102" t="inlineStr">
        <is>
          <t>Jamara</t>
        </is>
      </c>
      <c r="J223" s="103" t="inlineStr">
        <is>
          <t>Lagos</t>
        </is>
      </c>
      <c r="K223" s="105" t="inlineStr">
        <is>
          <t>Ikeja-Agege-Dopemu-Magodo</t>
        </is>
      </c>
      <c r="L223" s="57" t="inlineStr">
        <is>
          <t>Lagos</t>
        </is>
      </c>
      <c r="M223" s="58" t="inlineStr">
        <is>
          <t>Ikeja</t>
        </is>
      </c>
      <c r="N223" s="196" t="n">
        <v>11</v>
      </c>
      <c r="O223" s="194">
        <f>N223*2</f>
        <v/>
      </c>
      <c r="P223" s="215">
        <f>ROUNDUP(O223/300,)</f>
        <v/>
      </c>
      <c r="Q223" s="215" t="n">
        <v>0.2</v>
      </c>
      <c r="R223" s="215">
        <f>Q223+P223</f>
        <v/>
      </c>
      <c r="S223" s="197">
        <f>ROUNDDOWN(O223*0.51,)+60</f>
        <v/>
      </c>
      <c r="T223" s="207">
        <f>_xlfn.XLOOKUP(F223,[1]Fx!$A$4:$A$10,[1]Fx!$B$4:$B$10)</f>
        <v/>
      </c>
      <c r="U223" s="207">
        <f>_xlfn.XLOOKUP(F223,[1]Fx!$A$4:$A$10,[1]Fx!$C$4:$C$10)</f>
        <v/>
      </c>
      <c r="V223" s="207">
        <f>_xlfn.XLOOKUP(F223,[1]Fx!$A$4:$A$10,[1]Fx!$D$4:$D$10)</f>
        <v/>
      </c>
      <c r="W223" s="207">
        <f>$V$2</f>
        <v/>
      </c>
      <c r="X223" s="207">
        <f>_xlfn.XLOOKUP(F223,[1]Fx!$A$4:$A$10,[1]Fx!$E$4:$E$10)</f>
        <v/>
      </c>
      <c r="Y223" s="215">
        <f>T223*R223</f>
        <v/>
      </c>
      <c r="Z223" s="215">
        <f>U223*O223</f>
        <v/>
      </c>
      <c r="AA223" s="215">
        <f>V223*O223</f>
        <v/>
      </c>
      <c r="AB223" s="215">
        <f>W223*O223</f>
        <v/>
      </c>
      <c r="AC223" s="197">
        <f>X223*O223</f>
        <v/>
      </c>
      <c r="AD223" s="215" t="n">
        <v>0</v>
      </c>
      <c r="AE223" s="215" t="n">
        <v>0</v>
      </c>
      <c r="AF223" s="207">
        <f>SUM(Y223:AE223)</f>
        <v/>
      </c>
      <c r="AG223" s="254">
        <f>_xlfn.XLOOKUP(F223,[1]Fx!$A$16:$A$22,[1]Fx!$B$16:$B$22)</f>
        <v/>
      </c>
      <c r="AH223" s="207">
        <f>AG223*R223</f>
        <v/>
      </c>
      <c r="AI223" s="207">
        <f>$AH$3*Z223</f>
        <v/>
      </c>
      <c r="AJ223" s="207">
        <f>$AI$3*AA223</f>
        <v/>
      </c>
      <c r="AK223" s="207">
        <f>$AJ$3*AB223</f>
        <v/>
      </c>
      <c r="AL223" s="207">
        <f>$AK$3*AC223</f>
        <v/>
      </c>
      <c r="AM223" s="220">
        <f>SUM(AH223:AL223)</f>
        <v/>
      </c>
      <c r="AN223" s="220" t="n">
        <v>0</v>
      </c>
      <c r="AO223" s="220">
        <f>AN223*AH223</f>
        <v/>
      </c>
      <c r="AP223" s="220">
        <f>AD223</f>
        <v/>
      </c>
      <c r="AQ223" s="220">
        <f>AE223</f>
        <v/>
      </c>
      <c r="AR223" s="208">
        <f>AM223-AO223</f>
        <v/>
      </c>
      <c r="AS223" s="220">
        <f>AR223-AK223</f>
        <v/>
      </c>
      <c r="AT223" s="208">
        <f>AS223*1.075</f>
        <v/>
      </c>
      <c r="AU223" s="208">
        <f>AT223+AK223</f>
        <v/>
      </c>
      <c r="AV223" s="195" t="n">
        <v>141581.78011258</v>
      </c>
      <c r="AW223" s="220" t="n"/>
      <c r="AX223" s="220">
        <f>AV223-AR223</f>
        <v/>
      </c>
      <c r="AY223" s="35">
        <f>AX223/AR223</f>
        <v/>
      </c>
      <c r="AZ223" s="220">
        <f>AV223-AF223</f>
        <v/>
      </c>
      <c r="BA223" s="215">
        <f>AV223-SUM(Z223:AC223)</f>
        <v/>
      </c>
      <c r="BB223" s="215">
        <f>BA223-Y223</f>
        <v/>
      </c>
      <c r="BC223" s="35">
        <f>BB223/BA223</f>
        <v/>
      </c>
      <c r="BD223" s="35">
        <f>IFERROR(AZ223/AV223,)</f>
        <v/>
      </c>
      <c r="BE223" s="255">
        <f>AV223-SUM(Z223:AC223)</f>
        <v/>
      </c>
      <c r="BF223" s="255">
        <f>AV223-BE223-AC223-AB223</f>
        <v/>
      </c>
      <c r="BG223" s="255">
        <f>AV223-BE223-BF223-AB223</f>
        <v/>
      </c>
      <c r="BH223" s="255">
        <f>AB223</f>
        <v/>
      </c>
      <c r="BI223" s="263" t="inlineStr">
        <is>
          <t>Worst Case Approved</t>
        </is>
      </c>
    </row>
    <row r="224">
      <c r="C224" s="96" t="inlineStr">
        <is>
          <t>YEKENE</t>
        </is>
      </c>
      <c r="D224" s="49">
        <f>CONCATENATE(G224,"-",H224,"-",F224)</f>
        <v/>
      </c>
      <c r="E224" s="95" t="inlineStr">
        <is>
          <t>Jamara-8T-25CBM</t>
        </is>
      </c>
      <c r="F224" s="24" t="inlineStr">
        <is>
          <t>25CBM</t>
        </is>
      </c>
      <c r="G224" s="25" t="inlineStr">
        <is>
          <t>Closed Body Logistics</t>
        </is>
      </c>
      <c r="H224" s="101" t="inlineStr">
        <is>
          <t>8T</t>
        </is>
      </c>
      <c r="I224" s="102" t="inlineStr">
        <is>
          <t>Jamara</t>
        </is>
      </c>
      <c r="J224" s="103" t="inlineStr">
        <is>
          <t>Lagos</t>
        </is>
      </c>
      <c r="K224" s="108" t="inlineStr">
        <is>
          <t>IKM-Shagari-Ejigbo-Ipaja-Ayobo-Okokomaiko-Oshodi-Isolo</t>
        </is>
      </c>
      <c r="L224" s="57" t="inlineStr">
        <is>
          <t>Lagos</t>
        </is>
      </c>
      <c r="M224" s="58" t="inlineStr">
        <is>
          <t>Ikotun</t>
        </is>
      </c>
      <c r="N224" s="196" t="n">
        <v>24.5</v>
      </c>
      <c r="O224" s="194">
        <f>N224*2</f>
        <v/>
      </c>
      <c r="P224" s="215">
        <f>ROUNDUP(O224/300,)</f>
        <v/>
      </c>
      <c r="Q224" s="215" t="n">
        <v>0.2</v>
      </c>
      <c r="R224" s="215">
        <f>Q224+P224</f>
        <v/>
      </c>
      <c r="S224" s="197">
        <f>ROUNDDOWN(O224*0.51,)+60</f>
        <v/>
      </c>
      <c r="T224" s="207">
        <f>_xlfn.XLOOKUP(F224,[1]Fx!$A$4:$A$10,[1]Fx!$B$4:$B$10)</f>
        <v/>
      </c>
      <c r="U224" s="207">
        <f>_xlfn.XLOOKUP(F224,[1]Fx!$A$4:$A$10,[1]Fx!$C$4:$C$10)</f>
        <v/>
      </c>
      <c r="V224" s="207">
        <f>_xlfn.XLOOKUP(F224,[1]Fx!$A$4:$A$10,[1]Fx!$D$4:$D$10)</f>
        <v/>
      </c>
      <c r="W224" s="207">
        <f>$V$2</f>
        <v/>
      </c>
      <c r="X224" s="207">
        <f>_xlfn.XLOOKUP(F224,[1]Fx!$A$4:$A$10,[1]Fx!$E$4:$E$10)</f>
        <v/>
      </c>
      <c r="Y224" s="215">
        <f>T224*R224</f>
        <v/>
      </c>
      <c r="Z224" s="215">
        <f>U224*O224</f>
        <v/>
      </c>
      <c r="AA224" s="215">
        <f>V224*O224</f>
        <v/>
      </c>
      <c r="AB224" s="215">
        <f>W224*O224</f>
        <v/>
      </c>
      <c r="AC224" s="197">
        <f>X224*O224</f>
        <v/>
      </c>
      <c r="AD224" s="215" t="n">
        <v>0</v>
      </c>
      <c r="AE224" s="215" t="n">
        <v>0</v>
      </c>
      <c r="AF224" s="207">
        <f>SUM(Y224:AE224)</f>
        <v/>
      </c>
      <c r="AG224" s="254">
        <f>_xlfn.XLOOKUP(F224,[1]Fx!$A$16:$A$22,[1]Fx!$B$16:$B$22)</f>
        <v/>
      </c>
      <c r="AH224" s="207">
        <f>AG224*R224</f>
        <v/>
      </c>
      <c r="AI224" s="207">
        <f>$AH$3*Z224</f>
        <v/>
      </c>
      <c r="AJ224" s="207">
        <f>$AI$3*AA224</f>
        <v/>
      </c>
      <c r="AK224" s="207">
        <f>$AJ$3*AB224</f>
        <v/>
      </c>
      <c r="AL224" s="207">
        <f>$AK$3*AC224</f>
        <v/>
      </c>
      <c r="AM224" s="220">
        <f>SUM(AH224:AL224)</f>
        <v/>
      </c>
      <c r="AN224" s="220" t="n">
        <v>0</v>
      </c>
      <c r="AO224" s="220">
        <f>AN224*AH224</f>
        <v/>
      </c>
      <c r="AP224" s="220">
        <f>AD224</f>
        <v/>
      </c>
      <c r="AQ224" s="220">
        <f>AE224</f>
        <v/>
      </c>
      <c r="AR224" s="208">
        <f>AM224-AO224</f>
        <v/>
      </c>
      <c r="AS224" s="220">
        <f>AR224-AK224</f>
        <v/>
      </c>
      <c r="AT224" s="208">
        <f>AS224*1.075</f>
        <v/>
      </c>
      <c r="AU224" s="208">
        <f>AT224+AK224</f>
        <v/>
      </c>
      <c r="AV224" s="195" t="n">
        <v>141581.78011258</v>
      </c>
      <c r="AW224" s="220" t="n"/>
      <c r="AX224" s="220">
        <f>AV224-AR224</f>
        <v/>
      </c>
      <c r="AY224" s="35">
        <f>AX224/AR224</f>
        <v/>
      </c>
      <c r="AZ224" s="220">
        <f>AV224-AF224</f>
        <v/>
      </c>
      <c r="BA224" s="215">
        <f>AV224-SUM(Z224:AC224)</f>
        <v/>
      </c>
      <c r="BB224" s="215">
        <f>BA224-Y224</f>
        <v/>
      </c>
      <c r="BC224" s="35">
        <f>BB224/BA224</f>
        <v/>
      </c>
      <c r="BD224" s="35">
        <f>IFERROR(AZ224/AV224,)</f>
        <v/>
      </c>
      <c r="BE224" s="255">
        <f>AV224-SUM(Z224:AC224)</f>
        <v/>
      </c>
      <c r="BF224" s="255">
        <f>AV224-BE224-AC224-AB224</f>
        <v/>
      </c>
      <c r="BG224" s="255">
        <f>AV224-BE224-BF224-AB224</f>
        <v/>
      </c>
      <c r="BH224" s="255">
        <f>AB224</f>
        <v/>
      </c>
      <c r="BI224" s="263" t="inlineStr">
        <is>
          <t>Worst Case Approved</t>
        </is>
      </c>
    </row>
    <row r="225">
      <c r="C225" s="96" t="inlineStr">
        <is>
          <t>YEKENE</t>
        </is>
      </c>
      <c r="D225" s="49">
        <f>CONCATENATE(G225,"-",H225,"-",F225)</f>
        <v/>
      </c>
      <c r="E225" s="95" t="inlineStr">
        <is>
          <t>Jamara-8T-25CBM</t>
        </is>
      </c>
      <c r="F225" s="24" t="inlineStr">
        <is>
          <t>25CBM</t>
        </is>
      </c>
      <c r="G225" s="25" t="inlineStr">
        <is>
          <t>Closed Body Logistics</t>
        </is>
      </c>
      <c r="H225" s="101" t="inlineStr">
        <is>
          <t>8T</t>
        </is>
      </c>
      <c r="I225" s="102" t="inlineStr">
        <is>
          <t>Jamara</t>
        </is>
      </c>
      <c r="J225" s="103" t="inlineStr">
        <is>
          <t>Lagos</t>
        </is>
      </c>
      <c r="K225" s="108" t="inlineStr">
        <is>
          <t>IKM-Shagari-Ejigbo-Ipaja-Ayobo-Okokomaiko-Oshodi-Isolo</t>
        </is>
      </c>
      <c r="L225" s="57" t="inlineStr">
        <is>
          <t>Lagos</t>
        </is>
      </c>
      <c r="M225" s="58" t="inlineStr">
        <is>
          <t>Ipaja</t>
        </is>
      </c>
      <c r="N225" s="196" t="n">
        <v>22</v>
      </c>
      <c r="O225" s="194">
        <f>N225*2</f>
        <v/>
      </c>
      <c r="P225" s="215">
        <f>ROUNDUP(O225/300,)</f>
        <v/>
      </c>
      <c r="Q225" s="215" t="n">
        <v>0.2</v>
      </c>
      <c r="R225" s="215">
        <f>Q225+P225</f>
        <v/>
      </c>
      <c r="S225" s="197">
        <f>ROUNDDOWN(O225*0.51,)+60</f>
        <v/>
      </c>
      <c r="T225" s="207">
        <f>_xlfn.XLOOKUP(F225,[1]Fx!$A$4:$A$10,[1]Fx!$B$4:$B$10)</f>
        <v/>
      </c>
      <c r="U225" s="207">
        <f>_xlfn.XLOOKUP(F225,[1]Fx!$A$4:$A$10,[1]Fx!$C$4:$C$10)</f>
        <v/>
      </c>
      <c r="V225" s="207">
        <f>_xlfn.XLOOKUP(F225,[1]Fx!$A$4:$A$10,[1]Fx!$D$4:$D$10)</f>
        <v/>
      </c>
      <c r="W225" s="207">
        <f>$V$2</f>
        <v/>
      </c>
      <c r="X225" s="207">
        <f>_xlfn.XLOOKUP(F225,[1]Fx!$A$4:$A$10,[1]Fx!$E$4:$E$10)</f>
        <v/>
      </c>
      <c r="Y225" s="215">
        <f>T225*R225</f>
        <v/>
      </c>
      <c r="Z225" s="215">
        <f>U225*O225</f>
        <v/>
      </c>
      <c r="AA225" s="215">
        <f>V225*O225</f>
        <v/>
      </c>
      <c r="AB225" s="215">
        <f>W225*O225</f>
        <v/>
      </c>
      <c r="AC225" s="197">
        <f>X225*O225</f>
        <v/>
      </c>
      <c r="AD225" s="215" t="n">
        <v>0</v>
      </c>
      <c r="AE225" s="215" t="n">
        <v>0</v>
      </c>
      <c r="AF225" s="207">
        <f>SUM(Y225:AE225)</f>
        <v/>
      </c>
      <c r="AG225" s="254">
        <f>_xlfn.XLOOKUP(F225,[1]Fx!$A$16:$A$22,[1]Fx!$B$16:$B$22)</f>
        <v/>
      </c>
      <c r="AH225" s="207">
        <f>AG225*R225</f>
        <v/>
      </c>
      <c r="AI225" s="207">
        <f>$AH$3*Z225</f>
        <v/>
      </c>
      <c r="AJ225" s="207">
        <f>$AI$3*AA225</f>
        <v/>
      </c>
      <c r="AK225" s="207">
        <f>$AJ$3*AB225</f>
        <v/>
      </c>
      <c r="AL225" s="207">
        <f>$AK$3*AC225</f>
        <v/>
      </c>
      <c r="AM225" s="220">
        <f>SUM(AH225:AL225)</f>
        <v/>
      </c>
      <c r="AN225" s="220" t="n">
        <v>0</v>
      </c>
      <c r="AO225" s="220">
        <f>AN225*AH225</f>
        <v/>
      </c>
      <c r="AP225" s="220">
        <f>AD225</f>
        <v/>
      </c>
      <c r="AQ225" s="220">
        <f>AE225</f>
        <v/>
      </c>
      <c r="AR225" s="208">
        <f>AM225-AO225</f>
        <v/>
      </c>
      <c r="AS225" s="220">
        <f>AR225-AK225</f>
        <v/>
      </c>
      <c r="AT225" s="208">
        <f>AS225*1.075</f>
        <v/>
      </c>
      <c r="AU225" s="208">
        <f>AT225+AK225</f>
        <v/>
      </c>
      <c r="AV225" s="195" t="n">
        <v>141581.78011258</v>
      </c>
      <c r="AW225" s="220" t="n"/>
      <c r="AX225" s="220">
        <f>AV225-AR225</f>
        <v/>
      </c>
      <c r="AY225" s="35">
        <f>AX225/AR225</f>
        <v/>
      </c>
      <c r="AZ225" s="220">
        <f>AV225-AF225</f>
        <v/>
      </c>
      <c r="BA225" s="215">
        <f>AV225-SUM(Z225:AC225)</f>
        <v/>
      </c>
      <c r="BB225" s="215">
        <f>BA225-Y225</f>
        <v/>
      </c>
      <c r="BC225" s="35">
        <f>BB225/BA225</f>
        <v/>
      </c>
      <c r="BD225" s="35">
        <f>IFERROR(AZ225/AV225,)</f>
        <v/>
      </c>
      <c r="BE225" s="255">
        <f>AV225-SUM(Z225:AC225)</f>
        <v/>
      </c>
      <c r="BF225" s="255">
        <f>AV225-BE225-AC225-AB225</f>
        <v/>
      </c>
      <c r="BG225" s="255">
        <f>AV225-BE225-BF225-AB225</f>
        <v/>
      </c>
      <c r="BH225" s="255">
        <f>AB225</f>
        <v/>
      </c>
      <c r="BI225" s="263" t="inlineStr">
        <is>
          <t>Approved</t>
        </is>
      </c>
    </row>
    <row r="226">
      <c r="C226" s="96" t="inlineStr">
        <is>
          <t>YEKENE</t>
        </is>
      </c>
      <c r="D226" s="49">
        <f>CONCATENATE(G226,"-",H226,"-",F226)</f>
        <v/>
      </c>
      <c r="E226" s="95" t="inlineStr">
        <is>
          <t>Jamara-8T-25CBM</t>
        </is>
      </c>
      <c r="F226" s="24" t="inlineStr">
        <is>
          <t>25CBM</t>
        </is>
      </c>
      <c r="G226" s="25" t="inlineStr">
        <is>
          <t>Closed Body Logistics</t>
        </is>
      </c>
      <c r="H226" s="101" t="inlineStr">
        <is>
          <t>8T</t>
        </is>
      </c>
      <c r="I226" s="102" t="inlineStr">
        <is>
          <t>Jamara</t>
        </is>
      </c>
      <c r="J226" s="103" t="inlineStr">
        <is>
          <t>Lagos</t>
        </is>
      </c>
      <c r="K226" s="108" t="inlineStr">
        <is>
          <t>IKM-Shagari-Ejigbo-Ipaja-Ayobo-Okokomaiko-Oshodi-Isolo</t>
        </is>
      </c>
      <c r="L226" s="57" t="inlineStr">
        <is>
          <t>Lagos</t>
        </is>
      </c>
      <c r="M226" s="58" t="inlineStr">
        <is>
          <t>Ejigbo</t>
        </is>
      </c>
      <c r="N226" s="196" t="n">
        <v>15</v>
      </c>
      <c r="O226" s="194">
        <f>N226*2</f>
        <v/>
      </c>
      <c r="P226" s="215">
        <f>ROUNDUP(O226/300,)</f>
        <v/>
      </c>
      <c r="Q226" s="215" t="n">
        <v>0.2</v>
      </c>
      <c r="R226" s="215">
        <f>Q226+P226</f>
        <v/>
      </c>
      <c r="S226" s="197">
        <f>ROUNDDOWN(O226*0.51,)+60</f>
        <v/>
      </c>
      <c r="T226" s="207">
        <f>_xlfn.XLOOKUP(F226,[1]Fx!$A$4:$A$10,[1]Fx!$B$4:$B$10)</f>
        <v/>
      </c>
      <c r="U226" s="207">
        <f>_xlfn.XLOOKUP(F226,[1]Fx!$A$4:$A$10,[1]Fx!$C$4:$C$10)</f>
        <v/>
      </c>
      <c r="V226" s="207">
        <f>_xlfn.XLOOKUP(F226,[1]Fx!$A$4:$A$10,[1]Fx!$D$4:$D$10)</f>
        <v/>
      </c>
      <c r="W226" s="207">
        <f>$V$2</f>
        <v/>
      </c>
      <c r="X226" s="207">
        <f>_xlfn.XLOOKUP(F226,[1]Fx!$A$4:$A$10,[1]Fx!$E$4:$E$10)</f>
        <v/>
      </c>
      <c r="Y226" s="215">
        <f>T226*R226</f>
        <v/>
      </c>
      <c r="Z226" s="215">
        <f>U226*O226</f>
        <v/>
      </c>
      <c r="AA226" s="215">
        <f>V226*O226</f>
        <v/>
      </c>
      <c r="AB226" s="215">
        <f>W226*O226</f>
        <v/>
      </c>
      <c r="AC226" s="197">
        <f>X226*O226</f>
        <v/>
      </c>
      <c r="AD226" s="215" t="n">
        <v>0</v>
      </c>
      <c r="AE226" s="215" t="n">
        <v>0</v>
      </c>
      <c r="AF226" s="207">
        <f>SUM(Y226:AE226)</f>
        <v/>
      </c>
      <c r="AG226" s="254">
        <f>_xlfn.XLOOKUP(F226,[1]Fx!$A$16:$A$22,[1]Fx!$B$16:$B$22)</f>
        <v/>
      </c>
      <c r="AH226" s="207">
        <f>AG226*R226</f>
        <v/>
      </c>
      <c r="AI226" s="207">
        <f>$AH$3*Z226</f>
        <v/>
      </c>
      <c r="AJ226" s="207">
        <f>$AI$3*AA226</f>
        <v/>
      </c>
      <c r="AK226" s="207">
        <f>$AJ$3*AB226</f>
        <v/>
      </c>
      <c r="AL226" s="207">
        <f>$AK$3*AC226</f>
        <v/>
      </c>
      <c r="AM226" s="220">
        <f>SUM(AH226:AL226)</f>
        <v/>
      </c>
      <c r="AN226" s="220" t="n">
        <v>0</v>
      </c>
      <c r="AO226" s="220">
        <f>AN226*AH226</f>
        <v/>
      </c>
      <c r="AP226" s="220">
        <f>AD226</f>
        <v/>
      </c>
      <c r="AQ226" s="220">
        <f>AE226</f>
        <v/>
      </c>
      <c r="AR226" s="208">
        <f>AM226-AO226</f>
        <v/>
      </c>
      <c r="AS226" s="220">
        <f>AR226-AK226</f>
        <v/>
      </c>
      <c r="AT226" s="208">
        <f>AS226*1.075</f>
        <v/>
      </c>
      <c r="AU226" s="208">
        <f>AT226+AK226</f>
        <v/>
      </c>
      <c r="AV226" s="195" t="n">
        <v>141581.78011258</v>
      </c>
      <c r="AW226" s="220" t="n"/>
      <c r="AX226" s="220">
        <f>AV226-AR226</f>
        <v/>
      </c>
      <c r="AY226" s="35">
        <f>AX226/AR226</f>
        <v/>
      </c>
      <c r="AZ226" s="220">
        <f>AV226-AF226</f>
        <v/>
      </c>
      <c r="BA226" s="215">
        <f>AV226-SUM(Z226:AC226)</f>
        <v/>
      </c>
      <c r="BB226" s="215">
        <f>BA226-Y226</f>
        <v/>
      </c>
      <c r="BC226" s="35">
        <f>BB226/BA226</f>
        <v/>
      </c>
      <c r="BD226" s="35">
        <f>IFERROR(AZ226/AV226,)</f>
        <v/>
      </c>
      <c r="BE226" s="255">
        <f>AV226-SUM(Z226:AC226)</f>
        <v/>
      </c>
      <c r="BF226" s="255">
        <f>AV226-BE226-AC226-AB226</f>
        <v/>
      </c>
      <c r="BG226" s="255">
        <f>AV226-BE226-BF226-AB226</f>
        <v/>
      </c>
      <c r="BH226" s="255">
        <f>AB226</f>
        <v/>
      </c>
      <c r="BI226" s="263" t="inlineStr">
        <is>
          <t>Approved</t>
        </is>
      </c>
    </row>
    <row r="227">
      <c r="C227" s="96" t="inlineStr">
        <is>
          <t>YEKENE</t>
        </is>
      </c>
      <c r="D227" s="49">
        <f>CONCATENATE(G227,"-",H227,"-",F227)</f>
        <v/>
      </c>
      <c r="E227" s="95" t="inlineStr">
        <is>
          <t>Jamara-8T-25CBM</t>
        </is>
      </c>
      <c r="F227" s="24" t="inlineStr">
        <is>
          <t>25CBM</t>
        </is>
      </c>
      <c r="G227" s="25" t="inlineStr">
        <is>
          <t>Closed Body Logistics</t>
        </is>
      </c>
      <c r="H227" s="101" t="inlineStr">
        <is>
          <t>8T</t>
        </is>
      </c>
      <c r="I227" s="102" t="inlineStr">
        <is>
          <t>Jamara</t>
        </is>
      </c>
      <c r="J227" s="103" t="inlineStr">
        <is>
          <t>Lagos</t>
        </is>
      </c>
      <c r="K227" s="108" t="inlineStr">
        <is>
          <t>IKM-Shagari-Ejigbo-Ipaja-Ayobo-Okokomaiko-Oshodi-Isolo</t>
        </is>
      </c>
      <c r="L227" s="57" t="inlineStr">
        <is>
          <t>Lagos</t>
        </is>
      </c>
      <c r="M227" s="58" t="inlineStr">
        <is>
          <t>Isolo</t>
        </is>
      </c>
      <c r="N227" s="196" t="n">
        <v>11</v>
      </c>
      <c r="O227" s="194">
        <f>N227*2</f>
        <v/>
      </c>
      <c r="P227" s="215">
        <f>ROUNDUP(O227/300,)</f>
        <v/>
      </c>
      <c r="Q227" s="215" t="n">
        <v>0.2</v>
      </c>
      <c r="R227" s="215">
        <f>Q227+P227</f>
        <v/>
      </c>
      <c r="S227" s="197">
        <f>ROUNDDOWN(O227*0.51,)+60</f>
        <v/>
      </c>
      <c r="T227" s="207">
        <f>_xlfn.XLOOKUP(F227,[1]Fx!$A$4:$A$10,[1]Fx!$B$4:$B$10)</f>
        <v/>
      </c>
      <c r="U227" s="207">
        <f>_xlfn.XLOOKUP(F227,[1]Fx!$A$4:$A$10,[1]Fx!$C$4:$C$10)</f>
        <v/>
      </c>
      <c r="V227" s="207">
        <f>_xlfn.XLOOKUP(F227,[1]Fx!$A$4:$A$10,[1]Fx!$D$4:$D$10)</f>
        <v/>
      </c>
      <c r="W227" s="207">
        <f>$V$2</f>
        <v/>
      </c>
      <c r="X227" s="207">
        <f>_xlfn.XLOOKUP(F227,[1]Fx!$A$4:$A$10,[1]Fx!$E$4:$E$10)</f>
        <v/>
      </c>
      <c r="Y227" s="215">
        <f>T227*R227</f>
        <v/>
      </c>
      <c r="Z227" s="215">
        <f>U227*O227</f>
        <v/>
      </c>
      <c r="AA227" s="215">
        <f>V227*O227</f>
        <v/>
      </c>
      <c r="AB227" s="215">
        <f>W227*O227</f>
        <v/>
      </c>
      <c r="AC227" s="197">
        <f>X227*O227</f>
        <v/>
      </c>
      <c r="AD227" s="215" t="n">
        <v>0</v>
      </c>
      <c r="AE227" s="215" t="n">
        <v>0</v>
      </c>
      <c r="AF227" s="207">
        <f>SUM(Y227:AE227)</f>
        <v/>
      </c>
      <c r="AG227" s="254">
        <f>_xlfn.XLOOKUP(F227,[1]Fx!$A$16:$A$22,[1]Fx!$B$16:$B$22)</f>
        <v/>
      </c>
      <c r="AH227" s="207">
        <f>AG227*R227</f>
        <v/>
      </c>
      <c r="AI227" s="207">
        <f>$AH$3*Z227</f>
        <v/>
      </c>
      <c r="AJ227" s="207">
        <f>$AI$3*AA227</f>
        <v/>
      </c>
      <c r="AK227" s="207">
        <f>$AJ$3*AB227</f>
        <v/>
      </c>
      <c r="AL227" s="207">
        <f>$AK$3*AC227</f>
        <v/>
      </c>
      <c r="AM227" s="220">
        <f>SUM(AH227:AL227)</f>
        <v/>
      </c>
      <c r="AN227" s="220" t="n">
        <v>0</v>
      </c>
      <c r="AO227" s="220">
        <f>AN227*AH227</f>
        <v/>
      </c>
      <c r="AP227" s="220">
        <f>AD227</f>
        <v/>
      </c>
      <c r="AQ227" s="220">
        <f>AE227</f>
        <v/>
      </c>
      <c r="AR227" s="208">
        <f>AM227-AO227</f>
        <v/>
      </c>
      <c r="AS227" s="220">
        <f>AR227-AK227</f>
        <v/>
      </c>
      <c r="AT227" s="208">
        <f>AS227*1.075</f>
        <v/>
      </c>
      <c r="AU227" s="208">
        <f>AT227+AK227</f>
        <v/>
      </c>
      <c r="AV227" s="195" t="n">
        <v>141581.78011258</v>
      </c>
      <c r="AW227" s="220" t="n"/>
      <c r="AX227" s="220">
        <f>AV227-AR227</f>
        <v/>
      </c>
      <c r="AY227" s="35">
        <f>AX227/AR227</f>
        <v/>
      </c>
      <c r="AZ227" s="220">
        <f>AV227-AF227</f>
        <v/>
      </c>
      <c r="BA227" s="215">
        <f>AV227-SUM(Z227:AC227)</f>
        <v/>
      </c>
      <c r="BB227" s="215">
        <f>BA227-Y227</f>
        <v/>
      </c>
      <c r="BC227" s="35">
        <f>BB227/BA227</f>
        <v/>
      </c>
      <c r="BD227" s="35">
        <f>IFERROR(AZ227/AV227,)</f>
        <v/>
      </c>
      <c r="BE227" s="255">
        <f>AV227-SUM(Z227:AC227)</f>
        <v/>
      </c>
      <c r="BF227" s="255">
        <f>AV227-BE227-AC227-AB227</f>
        <v/>
      </c>
      <c r="BG227" s="255">
        <f>AV227-BE227-BF227-AB227</f>
        <v/>
      </c>
      <c r="BH227" s="255">
        <f>AB227</f>
        <v/>
      </c>
      <c r="BI227" s="263" t="inlineStr">
        <is>
          <t xml:space="preserve">To Check </t>
        </is>
      </c>
    </row>
    <row r="228">
      <c r="C228" s="96" t="inlineStr">
        <is>
          <t>YEKENE</t>
        </is>
      </c>
      <c r="D228" s="49">
        <f>CONCATENATE(G228,"-",H228,"-",F228)</f>
        <v/>
      </c>
      <c r="E228" s="95" t="inlineStr">
        <is>
          <t>Jamara-8T-25CBM</t>
        </is>
      </c>
      <c r="F228" s="24" t="inlineStr">
        <is>
          <t>25CBM</t>
        </is>
      </c>
      <c r="G228" s="25" t="inlineStr">
        <is>
          <t>Closed Body Logistics</t>
        </is>
      </c>
      <c r="H228" s="101" t="inlineStr">
        <is>
          <t>8T</t>
        </is>
      </c>
      <c r="I228" s="102" t="inlineStr">
        <is>
          <t>Jamara</t>
        </is>
      </c>
      <c r="J228" s="103" t="inlineStr">
        <is>
          <t>Lagos</t>
        </is>
      </c>
      <c r="K228" s="108" t="inlineStr">
        <is>
          <t>IKM-Shagari-Ejigbo-Ipaja-Ayobo-Okokomaiko-Oshodi-Isolo</t>
        </is>
      </c>
      <c r="L228" s="57" t="inlineStr">
        <is>
          <t>Lagos</t>
        </is>
      </c>
      <c r="M228" s="58" t="inlineStr">
        <is>
          <t>Oshodi</t>
        </is>
      </c>
      <c r="N228" s="196" t="n">
        <v>8</v>
      </c>
      <c r="O228" s="194">
        <f>N228*2</f>
        <v/>
      </c>
      <c r="P228" s="215">
        <f>ROUNDUP(O228/300,)</f>
        <v/>
      </c>
      <c r="Q228" s="215" t="n">
        <v>0.2</v>
      </c>
      <c r="R228" s="215">
        <f>Q228+P228</f>
        <v/>
      </c>
      <c r="S228" s="197">
        <f>ROUNDDOWN(O228*0.51,)+60</f>
        <v/>
      </c>
      <c r="T228" s="207">
        <f>_xlfn.XLOOKUP(F228,[1]Fx!$A$4:$A$10,[1]Fx!$B$4:$B$10)</f>
        <v/>
      </c>
      <c r="U228" s="207">
        <f>_xlfn.XLOOKUP(F228,[1]Fx!$A$4:$A$10,[1]Fx!$C$4:$C$10)</f>
        <v/>
      </c>
      <c r="V228" s="207">
        <f>_xlfn.XLOOKUP(F228,[1]Fx!$A$4:$A$10,[1]Fx!$D$4:$D$10)</f>
        <v/>
      </c>
      <c r="W228" s="207">
        <f>$V$2</f>
        <v/>
      </c>
      <c r="X228" s="207">
        <f>_xlfn.XLOOKUP(F228,[1]Fx!$A$4:$A$10,[1]Fx!$E$4:$E$10)</f>
        <v/>
      </c>
      <c r="Y228" s="215">
        <f>T228*R228</f>
        <v/>
      </c>
      <c r="Z228" s="215">
        <f>U228*O228</f>
        <v/>
      </c>
      <c r="AA228" s="215">
        <f>V228*O228</f>
        <v/>
      </c>
      <c r="AB228" s="215">
        <f>W228*O228</f>
        <v/>
      </c>
      <c r="AC228" s="197">
        <f>X228*O228</f>
        <v/>
      </c>
      <c r="AD228" s="215" t="n">
        <v>0</v>
      </c>
      <c r="AE228" s="215" t="n">
        <v>0</v>
      </c>
      <c r="AF228" s="207">
        <f>SUM(Y228:AE228)</f>
        <v/>
      </c>
      <c r="AG228" s="254">
        <f>_xlfn.XLOOKUP(F228,[1]Fx!$A$16:$A$22,[1]Fx!$B$16:$B$22)</f>
        <v/>
      </c>
      <c r="AH228" s="207">
        <f>AG228*R228</f>
        <v/>
      </c>
      <c r="AI228" s="207">
        <f>$AH$3*Z228</f>
        <v/>
      </c>
      <c r="AJ228" s="207">
        <f>$AI$3*AA228</f>
        <v/>
      </c>
      <c r="AK228" s="207">
        <f>$AJ$3*AB228</f>
        <v/>
      </c>
      <c r="AL228" s="207">
        <f>$AK$3*AC228</f>
        <v/>
      </c>
      <c r="AM228" s="220">
        <f>SUM(AH228:AL228)</f>
        <v/>
      </c>
      <c r="AN228" s="220" t="n">
        <v>0</v>
      </c>
      <c r="AO228" s="220">
        <f>AN228*AH228</f>
        <v/>
      </c>
      <c r="AP228" s="220">
        <f>AD228</f>
        <v/>
      </c>
      <c r="AQ228" s="220">
        <f>AE228</f>
        <v/>
      </c>
      <c r="AR228" s="208">
        <f>AM228-AO228</f>
        <v/>
      </c>
      <c r="AS228" s="220">
        <f>AR228-AK228</f>
        <v/>
      </c>
      <c r="AT228" s="208">
        <f>AS228*1.075</f>
        <v/>
      </c>
      <c r="AU228" s="208">
        <f>AT228+AK228</f>
        <v/>
      </c>
      <c r="AV228" s="195" t="n">
        <v>141581.78011258</v>
      </c>
      <c r="AW228" s="220" t="n"/>
      <c r="AX228" s="220">
        <f>AV228-AR228</f>
        <v/>
      </c>
      <c r="AY228" s="35">
        <f>AX228/AR228</f>
        <v/>
      </c>
      <c r="AZ228" s="220">
        <f>AV228-AF228</f>
        <v/>
      </c>
      <c r="BA228" s="215">
        <f>AV228-SUM(Z228:AC228)</f>
        <v/>
      </c>
      <c r="BB228" s="215">
        <f>BA228-Y228</f>
        <v/>
      </c>
      <c r="BC228" s="35">
        <f>BB228/BA228</f>
        <v/>
      </c>
      <c r="BD228" s="35">
        <f>IFERROR(AZ228/AV228,)</f>
        <v/>
      </c>
      <c r="BE228" s="255">
        <f>AV228-SUM(Z228:AC228)</f>
        <v/>
      </c>
      <c r="BF228" s="255">
        <f>AV228-BE228-AC228-AB228</f>
        <v/>
      </c>
      <c r="BG228" s="255">
        <f>AV228-BE228-BF228-AB228</f>
        <v/>
      </c>
      <c r="BH228" s="255">
        <f>AB228</f>
        <v/>
      </c>
      <c r="BI228" s="263" t="inlineStr">
        <is>
          <t>Approved</t>
        </is>
      </c>
    </row>
    <row r="229">
      <c r="C229" s="96" t="inlineStr">
        <is>
          <t>YEKENE</t>
        </is>
      </c>
      <c r="D229" s="49">
        <f>CONCATENATE(G229,"-",H229,"-",F229)</f>
        <v/>
      </c>
      <c r="E229" s="95" t="inlineStr">
        <is>
          <t>Jamara-8T-25CBM</t>
        </is>
      </c>
      <c r="F229" s="24" t="inlineStr">
        <is>
          <t>25CBM</t>
        </is>
      </c>
      <c r="G229" s="25" t="inlineStr">
        <is>
          <t>Closed Body Logistics</t>
        </is>
      </c>
      <c r="H229" s="101" t="inlineStr">
        <is>
          <t>8T</t>
        </is>
      </c>
      <c r="I229" s="102" t="inlineStr">
        <is>
          <t>Jamara</t>
        </is>
      </c>
      <c r="J229" s="103" t="inlineStr">
        <is>
          <t>Lagos</t>
        </is>
      </c>
      <c r="K229" s="109" t="inlineStr">
        <is>
          <t>Ilupeju-Gbagada-Apapa-Mushin-Okota-Fadeyi</t>
        </is>
      </c>
      <c r="L229" s="57" t="inlineStr">
        <is>
          <t>Lagos</t>
        </is>
      </c>
      <c r="M229" s="58" t="inlineStr">
        <is>
          <t>Mushin</t>
        </is>
      </c>
      <c r="N229" s="196" t="n">
        <v>8</v>
      </c>
      <c r="O229" s="194">
        <f>N229*2</f>
        <v/>
      </c>
      <c r="P229" s="215">
        <f>ROUNDUP(O229/300,)</f>
        <v/>
      </c>
      <c r="Q229" s="215" t="n">
        <v>0.2</v>
      </c>
      <c r="R229" s="215">
        <f>Q229+P229</f>
        <v/>
      </c>
      <c r="S229" s="197">
        <f>ROUNDDOWN(O229*0.51,)+60</f>
        <v/>
      </c>
      <c r="T229" s="207">
        <f>_xlfn.XLOOKUP(F229,[1]Fx!$A$4:$A$10,[1]Fx!$B$4:$B$10)</f>
        <v/>
      </c>
      <c r="U229" s="207">
        <f>_xlfn.XLOOKUP(F229,[1]Fx!$A$4:$A$10,[1]Fx!$C$4:$C$10)</f>
        <v/>
      </c>
      <c r="V229" s="207">
        <f>_xlfn.XLOOKUP(F229,[1]Fx!$A$4:$A$10,[1]Fx!$D$4:$D$10)</f>
        <v/>
      </c>
      <c r="W229" s="207">
        <f>$V$2</f>
        <v/>
      </c>
      <c r="X229" s="207">
        <f>_xlfn.XLOOKUP(F229,[1]Fx!$A$4:$A$10,[1]Fx!$E$4:$E$10)</f>
        <v/>
      </c>
      <c r="Y229" s="215">
        <f>T229*R229</f>
        <v/>
      </c>
      <c r="Z229" s="215">
        <f>U229*O229</f>
        <v/>
      </c>
      <c r="AA229" s="215">
        <f>V229*O229</f>
        <v/>
      </c>
      <c r="AB229" s="215">
        <f>W229*O229</f>
        <v/>
      </c>
      <c r="AC229" s="197">
        <f>X229*O229</f>
        <v/>
      </c>
      <c r="AD229" s="215" t="n">
        <v>0</v>
      </c>
      <c r="AE229" s="215" t="n">
        <v>0</v>
      </c>
      <c r="AF229" s="207">
        <f>SUM(Y229:AE229)</f>
        <v/>
      </c>
      <c r="AG229" s="254">
        <f>_xlfn.XLOOKUP(F229,[1]Fx!$A$16:$A$22,[1]Fx!$B$16:$B$22)</f>
        <v/>
      </c>
      <c r="AH229" s="207">
        <f>AG229*R229</f>
        <v/>
      </c>
      <c r="AI229" s="207">
        <f>$AH$3*Z229</f>
        <v/>
      </c>
      <c r="AJ229" s="207">
        <f>$AI$3*AA229</f>
        <v/>
      </c>
      <c r="AK229" s="207">
        <f>$AJ$3*AB229</f>
        <v/>
      </c>
      <c r="AL229" s="207">
        <f>$AK$3*AC229</f>
        <v/>
      </c>
      <c r="AM229" s="220">
        <f>SUM(AH229:AL229)</f>
        <v/>
      </c>
      <c r="AN229" s="220" t="n">
        <v>0</v>
      </c>
      <c r="AO229" s="220">
        <f>AN229*AH229</f>
        <v/>
      </c>
      <c r="AP229" s="220">
        <f>AD229</f>
        <v/>
      </c>
      <c r="AQ229" s="220">
        <f>AE229</f>
        <v/>
      </c>
      <c r="AR229" s="208">
        <f>AM229-AO229</f>
        <v/>
      </c>
      <c r="AS229" s="220">
        <f>AR229-AK229</f>
        <v/>
      </c>
      <c r="AT229" s="208">
        <f>AS229*1.075</f>
        <v/>
      </c>
      <c r="AU229" s="208">
        <f>AT229+AK229</f>
        <v/>
      </c>
      <c r="AV229" s="195" t="n">
        <v>141581.78011258</v>
      </c>
      <c r="AW229" s="220" t="n"/>
      <c r="AX229" s="220">
        <f>AV229-AR229</f>
        <v/>
      </c>
      <c r="AY229" s="35">
        <f>AX229/AR229</f>
        <v/>
      </c>
      <c r="AZ229" s="220">
        <f>AV229-AF229</f>
        <v/>
      </c>
      <c r="BA229" s="215">
        <f>AV229-SUM(Z229:AC229)</f>
        <v/>
      </c>
      <c r="BB229" s="215">
        <f>BA229-Y229</f>
        <v/>
      </c>
      <c r="BC229" s="35">
        <f>BB229/BA229</f>
        <v/>
      </c>
      <c r="BD229" s="35">
        <f>IFERROR(AZ229/AV229,)</f>
        <v/>
      </c>
      <c r="BE229" s="255">
        <f>AV229-SUM(Z229:AC229)</f>
        <v/>
      </c>
      <c r="BF229" s="255">
        <f>AV229-BE229-AC229-AB229</f>
        <v/>
      </c>
      <c r="BG229" s="255">
        <f>AV229-BE229-BF229-AB229</f>
        <v/>
      </c>
      <c r="BH229" s="255">
        <f>AB229</f>
        <v/>
      </c>
      <c r="BI229" s="263" t="inlineStr">
        <is>
          <t>Approved</t>
        </is>
      </c>
    </row>
    <row r="230">
      <c r="C230" s="96" t="inlineStr">
        <is>
          <t>YEKENE</t>
        </is>
      </c>
      <c r="D230" s="49">
        <f>CONCATENATE(G230,"-",H230,"-",F230)</f>
        <v/>
      </c>
      <c r="E230" s="95" t="inlineStr">
        <is>
          <t>Jamara-8T-25CBM</t>
        </is>
      </c>
      <c r="F230" s="24" t="inlineStr">
        <is>
          <t>25CBM</t>
        </is>
      </c>
      <c r="G230" s="25" t="inlineStr">
        <is>
          <t>Closed Body Logistics</t>
        </is>
      </c>
      <c r="H230" s="101" t="inlineStr">
        <is>
          <t>8T</t>
        </is>
      </c>
      <c r="I230" s="102" t="inlineStr">
        <is>
          <t>Jamara</t>
        </is>
      </c>
      <c r="J230" s="103" t="inlineStr">
        <is>
          <t>Lagos</t>
        </is>
      </c>
      <c r="K230" s="109" t="inlineStr">
        <is>
          <t>Ilupeju-Gbagada-Apapa-Mushin-Okota-Fadeyi</t>
        </is>
      </c>
      <c r="L230" s="57" t="inlineStr">
        <is>
          <t>Lagos</t>
        </is>
      </c>
      <c r="M230" s="60" t="inlineStr">
        <is>
          <t>Fadeyi</t>
        </is>
      </c>
      <c r="N230" s="196" t="n">
        <v>8</v>
      </c>
      <c r="O230" s="194">
        <f>N230*2</f>
        <v/>
      </c>
      <c r="P230" s="215">
        <f>ROUNDUP(O230/300,)</f>
        <v/>
      </c>
      <c r="Q230" s="215" t="n">
        <v>0.2</v>
      </c>
      <c r="R230" s="215">
        <f>Q230+P230</f>
        <v/>
      </c>
      <c r="S230" s="197">
        <f>ROUNDDOWN(O230*0.51,)+60</f>
        <v/>
      </c>
      <c r="T230" s="207">
        <f>_xlfn.XLOOKUP(F230,[1]Fx!$A$4:$A$10,[1]Fx!$B$4:$B$10)</f>
        <v/>
      </c>
      <c r="U230" s="207">
        <f>_xlfn.XLOOKUP(F230,[1]Fx!$A$4:$A$10,[1]Fx!$C$4:$C$10)</f>
        <v/>
      </c>
      <c r="V230" s="207">
        <f>_xlfn.XLOOKUP(F230,[1]Fx!$A$4:$A$10,[1]Fx!$D$4:$D$10)</f>
        <v/>
      </c>
      <c r="W230" s="207">
        <f>$V$2</f>
        <v/>
      </c>
      <c r="X230" s="207">
        <f>_xlfn.XLOOKUP(F230,[1]Fx!$A$4:$A$10,[1]Fx!$E$4:$E$10)</f>
        <v/>
      </c>
      <c r="Y230" s="215">
        <f>T230*R230</f>
        <v/>
      </c>
      <c r="Z230" s="215">
        <f>U230*O230</f>
        <v/>
      </c>
      <c r="AA230" s="215">
        <f>V230*O230</f>
        <v/>
      </c>
      <c r="AB230" s="215">
        <f>W230*O230</f>
        <v/>
      </c>
      <c r="AC230" s="197">
        <f>X230*O230</f>
        <v/>
      </c>
      <c r="AD230" s="215" t="n">
        <v>0</v>
      </c>
      <c r="AE230" s="215" t="n">
        <v>0</v>
      </c>
      <c r="AF230" s="207">
        <f>SUM(Y230:AE230)</f>
        <v/>
      </c>
      <c r="AG230" s="254">
        <f>_xlfn.XLOOKUP(F230,[1]Fx!$A$16:$A$22,[1]Fx!$B$16:$B$22)</f>
        <v/>
      </c>
      <c r="AH230" s="207">
        <f>AG230*R230</f>
        <v/>
      </c>
      <c r="AI230" s="207">
        <f>$AH$3*Z230</f>
        <v/>
      </c>
      <c r="AJ230" s="207">
        <f>$AI$3*AA230</f>
        <v/>
      </c>
      <c r="AK230" s="207">
        <f>$AJ$3*AB230</f>
        <v/>
      </c>
      <c r="AL230" s="207">
        <f>$AK$3*AC230</f>
        <v/>
      </c>
      <c r="AM230" s="220">
        <f>SUM(AH230:AL230)</f>
        <v/>
      </c>
      <c r="AN230" s="220" t="n">
        <v>0</v>
      </c>
      <c r="AO230" s="220">
        <f>AN230*AH230</f>
        <v/>
      </c>
      <c r="AP230" s="220">
        <f>AD230</f>
        <v/>
      </c>
      <c r="AQ230" s="220">
        <f>AE230</f>
        <v/>
      </c>
      <c r="AR230" s="208">
        <f>AM230-AO230</f>
        <v/>
      </c>
      <c r="AS230" s="220">
        <f>AR230-AK230</f>
        <v/>
      </c>
      <c r="AT230" s="208">
        <f>AS230*1.075</f>
        <v/>
      </c>
      <c r="AU230" s="208">
        <f>AT230+AK230</f>
        <v/>
      </c>
      <c r="AV230" s="195" t="n">
        <v>141581.78011258</v>
      </c>
      <c r="AW230" s="220" t="n"/>
      <c r="AX230" s="220">
        <f>AV230-AR230</f>
        <v/>
      </c>
      <c r="AY230" s="35">
        <f>AX230/AR230</f>
        <v/>
      </c>
      <c r="AZ230" s="220">
        <f>AV230-AF230</f>
        <v/>
      </c>
      <c r="BA230" s="215">
        <f>AV230-SUM(Z230:AC230)</f>
        <v/>
      </c>
      <c r="BB230" s="215">
        <f>BA230-Y230</f>
        <v/>
      </c>
      <c r="BC230" s="35">
        <f>BB230/BA230</f>
        <v/>
      </c>
      <c r="BD230" s="35">
        <f>IFERROR(AZ230/AV230,)</f>
        <v/>
      </c>
      <c r="BE230" s="255">
        <f>AV230-SUM(Z230:AC230)</f>
        <v/>
      </c>
      <c r="BF230" s="255">
        <f>AV230-BE230-AC230-AB230</f>
        <v/>
      </c>
      <c r="BG230" s="255">
        <f>AV230-BE230-BF230-AB230</f>
        <v/>
      </c>
      <c r="BH230" s="255">
        <f>AB230</f>
        <v/>
      </c>
      <c r="BI230" s="263" t="inlineStr">
        <is>
          <t>Approved</t>
        </is>
      </c>
    </row>
    <row r="231">
      <c r="C231" s="96" t="inlineStr">
        <is>
          <t>YEKENE</t>
        </is>
      </c>
      <c r="D231" s="49">
        <f>CONCATENATE(G231,"-",H231,"-",F231)</f>
        <v/>
      </c>
      <c r="E231" s="95" t="inlineStr">
        <is>
          <t>Jamara-8T-25CBM</t>
        </is>
      </c>
      <c r="F231" s="24" t="inlineStr">
        <is>
          <t>25CBM</t>
        </is>
      </c>
      <c r="G231" s="25" t="inlineStr">
        <is>
          <t>Closed Body Logistics</t>
        </is>
      </c>
      <c r="H231" s="101" t="inlineStr">
        <is>
          <t>8T</t>
        </is>
      </c>
      <c r="I231" s="102" t="inlineStr">
        <is>
          <t>Jamara</t>
        </is>
      </c>
      <c r="J231" s="103" t="inlineStr">
        <is>
          <t>Lagos</t>
        </is>
      </c>
      <c r="K231" s="109" t="inlineStr">
        <is>
          <t>Ilupeju-Gbagada-Apapa-Mushin-Okota-Fadeyi</t>
        </is>
      </c>
      <c r="L231" s="57" t="inlineStr">
        <is>
          <t>Lagos</t>
        </is>
      </c>
      <c r="M231" s="58" t="inlineStr">
        <is>
          <t>Okota</t>
        </is>
      </c>
      <c r="N231" s="196" t="n">
        <v>16</v>
      </c>
      <c r="O231" s="194">
        <f>N231*2</f>
        <v/>
      </c>
      <c r="P231" s="215">
        <f>ROUNDUP(O231/300,)</f>
        <v/>
      </c>
      <c r="Q231" s="215" t="n">
        <v>0.2</v>
      </c>
      <c r="R231" s="215">
        <f>Q231+P231</f>
        <v/>
      </c>
      <c r="S231" s="197">
        <f>ROUNDDOWN(O231*0.51,)+60</f>
        <v/>
      </c>
      <c r="T231" s="207">
        <f>_xlfn.XLOOKUP(F231,[1]Fx!$A$4:$A$10,[1]Fx!$B$4:$B$10)</f>
        <v/>
      </c>
      <c r="U231" s="207">
        <f>_xlfn.XLOOKUP(F231,[1]Fx!$A$4:$A$10,[1]Fx!$C$4:$C$10)</f>
        <v/>
      </c>
      <c r="V231" s="207">
        <f>_xlfn.XLOOKUP(F231,[1]Fx!$A$4:$A$10,[1]Fx!$D$4:$D$10)</f>
        <v/>
      </c>
      <c r="W231" s="207">
        <f>$V$2</f>
        <v/>
      </c>
      <c r="X231" s="207">
        <f>_xlfn.XLOOKUP(F231,[1]Fx!$A$4:$A$10,[1]Fx!$E$4:$E$10)</f>
        <v/>
      </c>
      <c r="Y231" s="215">
        <f>T231*R231</f>
        <v/>
      </c>
      <c r="Z231" s="215">
        <f>U231*O231</f>
        <v/>
      </c>
      <c r="AA231" s="215">
        <f>V231*O231</f>
        <v/>
      </c>
      <c r="AB231" s="215">
        <f>W231*O231</f>
        <v/>
      </c>
      <c r="AC231" s="197">
        <f>X231*O231</f>
        <v/>
      </c>
      <c r="AD231" s="215" t="n">
        <v>0</v>
      </c>
      <c r="AE231" s="215" t="n">
        <v>0</v>
      </c>
      <c r="AF231" s="207">
        <f>SUM(Y231:AE231)</f>
        <v/>
      </c>
      <c r="AG231" s="254">
        <f>_xlfn.XLOOKUP(F231,[1]Fx!$A$16:$A$22,[1]Fx!$B$16:$B$22)</f>
        <v/>
      </c>
      <c r="AH231" s="207">
        <f>AG231*R231</f>
        <v/>
      </c>
      <c r="AI231" s="207">
        <f>$AH$3*Z231</f>
        <v/>
      </c>
      <c r="AJ231" s="207">
        <f>$AI$3*AA231</f>
        <v/>
      </c>
      <c r="AK231" s="207">
        <f>$AJ$3*AB231</f>
        <v/>
      </c>
      <c r="AL231" s="207">
        <f>$AK$3*AC231</f>
        <v/>
      </c>
      <c r="AM231" s="220">
        <f>SUM(AH231:AL231)</f>
        <v/>
      </c>
      <c r="AN231" s="220" t="n">
        <v>0</v>
      </c>
      <c r="AO231" s="220">
        <f>AN231*AH231</f>
        <v/>
      </c>
      <c r="AP231" s="220">
        <f>AD231</f>
        <v/>
      </c>
      <c r="AQ231" s="220">
        <f>AE231</f>
        <v/>
      </c>
      <c r="AR231" s="208">
        <f>AM231-AO231</f>
        <v/>
      </c>
      <c r="AS231" s="220">
        <f>AR231-AK231</f>
        <v/>
      </c>
      <c r="AT231" s="208">
        <f>AS231*1.075</f>
        <v/>
      </c>
      <c r="AU231" s="208">
        <f>AT231+AK231</f>
        <v/>
      </c>
      <c r="AV231" s="195" t="n">
        <v>141581.78011258</v>
      </c>
      <c r="AW231" s="220" t="n"/>
      <c r="AX231" s="220">
        <f>AV231-AR231</f>
        <v/>
      </c>
      <c r="AY231" s="35">
        <f>AX231/AR231</f>
        <v/>
      </c>
      <c r="AZ231" s="220">
        <f>AV231-AF231</f>
        <v/>
      </c>
      <c r="BA231" s="215">
        <f>AV231-SUM(Z231:AC231)</f>
        <v/>
      </c>
      <c r="BB231" s="215">
        <f>BA231-Y231</f>
        <v/>
      </c>
      <c r="BC231" s="35">
        <f>BB231/BA231</f>
        <v/>
      </c>
      <c r="BD231" s="35">
        <f>IFERROR(AZ231/AV231,)</f>
        <v/>
      </c>
      <c r="BE231" s="255">
        <f>AV231-SUM(Z231:AC231)</f>
        <v/>
      </c>
      <c r="BF231" s="255">
        <f>AV231-BE231-AC231-AB231</f>
        <v/>
      </c>
      <c r="BG231" s="255">
        <f>AV231-BE231-BF231-AB231</f>
        <v/>
      </c>
      <c r="BH231" s="255">
        <f>AB231</f>
        <v/>
      </c>
      <c r="BI231" s="263" t="inlineStr">
        <is>
          <t>Approved</t>
        </is>
      </c>
    </row>
    <row r="232">
      <c r="C232" s="96" t="inlineStr">
        <is>
          <t>YEKENE</t>
        </is>
      </c>
      <c r="D232" s="49">
        <f>CONCATENATE(G232,"-",H232,"-",F232)</f>
        <v/>
      </c>
      <c r="E232" s="95" t="inlineStr">
        <is>
          <t>Jamara-8T-25CBM</t>
        </is>
      </c>
      <c r="F232" s="24" t="inlineStr">
        <is>
          <t>25CBM</t>
        </is>
      </c>
      <c r="G232" s="25" t="inlineStr">
        <is>
          <t>Closed Body Logistics</t>
        </is>
      </c>
      <c r="H232" s="101" t="inlineStr">
        <is>
          <t>8T</t>
        </is>
      </c>
      <c r="I232" s="102" t="inlineStr">
        <is>
          <t>Jamara</t>
        </is>
      </c>
      <c r="J232" s="103" t="inlineStr">
        <is>
          <t>Lagos</t>
        </is>
      </c>
      <c r="K232" s="109" t="inlineStr">
        <is>
          <t>Ilupeju-Gbagada-Apapa-Mushin-Okota-Fadeyi</t>
        </is>
      </c>
      <c r="L232" s="57" t="inlineStr">
        <is>
          <t>Lagos</t>
        </is>
      </c>
      <c r="M232" s="58" t="inlineStr">
        <is>
          <t>Apapa</t>
        </is>
      </c>
      <c r="N232" s="196" t="n">
        <v>27</v>
      </c>
      <c r="O232" s="194">
        <f>N232*2</f>
        <v/>
      </c>
      <c r="P232" s="215">
        <f>ROUNDUP(O232/300,)</f>
        <v/>
      </c>
      <c r="Q232" s="215" t="n">
        <v>0.2</v>
      </c>
      <c r="R232" s="215">
        <f>Q232+P232</f>
        <v/>
      </c>
      <c r="S232" s="197">
        <f>ROUNDDOWN(O232*0.51,)+60</f>
        <v/>
      </c>
      <c r="T232" s="207">
        <f>_xlfn.XLOOKUP(F232,[1]Fx!$A$4:$A$10,[1]Fx!$B$4:$B$10)</f>
        <v/>
      </c>
      <c r="U232" s="207">
        <f>_xlfn.XLOOKUP(F232,[1]Fx!$A$4:$A$10,[1]Fx!$C$4:$C$10)</f>
        <v/>
      </c>
      <c r="V232" s="207">
        <f>_xlfn.XLOOKUP(F232,[1]Fx!$A$4:$A$10,[1]Fx!$D$4:$D$10)</f>
        <v/>
      </c>
      <c r="W232" s="207">
        <f>$V$2</f>
        <v/>
      </c>
      <c r="X232" s="207">
        <f>_xlfn.XLOOKUP(F232,[1]Fx!$A$4:$A$10,[1]Fx!$E$4:$E$10)</f>
        <v/>
      </c>
      <c r="Y232" s="215">
        <f>T232*R232</f>
        <v/>
      </c>
      <c r="Z232" s="215">
        <f>U232*O232</f>
        <v/>
      </c>
      <c r="AA232" s="215">
        <f>V232*O232</f>
        <v/>
      </c>
      <c r="AB232" s="215">
        <f>W232*O232</f>
        <v/>
      </c>
      <c r="AC232" s="197">
        <f>X232*O232</f>
        <v/>
      </c>
      <c r="AD232" s="215" t="n">
        <v>0</v>
      </c>
      <c r="AE232" s="215" t="n">
        <v>0</v>
      </c>
      <c r="AF232" s="207">
        <f>SUM(Y232:AE232)</f>
        <v/>
      </c>
      <c r="AG232" s="254">
        <f>_xlfn.XLOOKUP(F232,[1]Fx!$A$16:$A$22,[1]Fx!$B$16:$B$22)</f>
        <v/>
      </c>
      <c r="AH232" s="207">
        <f>AG232*R232</f>
        <v/>
      </c>
      <c r="AI232" s="207">
        <f>$AH$3*Z232</f>
        <v/>
      </c>
      <c r="AJ232" s="207">
        <f>$AI$3*AA232</f>
        <v/>
      </c>
      <c r="AK232" s="207">
        <f>$AJ$3*AB232</f>
        <v/>
      </c>
      <c r="AL232" s="207">
        <f>$AK$3*AC232</f>
        <v/>
      </c>
      <c r="AM232" s="220">
        <f>SUM(AH232:AL232)</f>
        <v/>
      </c>
      <c r="AN232" s="220" t="n">
        <v>0</v>
      </c>
      <c r="AO232" s="220">
        <f>AN232*AH232</f>
        <v/>
      </c>
      <c r="AP232" s="220">
        <f>AD232</f>
        <v/>
      </c>
      <c r="AQ232" s="220">
        <f>AE232</f>
        <v/>
      </c>
      <c r="AR232" s="208">
        <f>AM232-AO232</f>
        <v/>
      </c>
      <c r="AS232" s="220">
        <f>AR232-AK232</f>
        <v/>
      </c>
      <c r="AT232" s="208">
        <f>AS232*1.075</f>
        <v/>
      </c>
      <c r="AU232" s="208">
        <f>AT232+AK232</f>
        <v/>
      </c>
      <c r="AV232" s="195" t="n">
        <v>141581.78011258</v>
      </c>
      <c r="AW232" s="220" t="n"/>
      <c r="AX232" s="220">
        <f>AV232-AR232</f>
        <v/>
      </c>
      <c r="AY232" s="35">
        <f>AX232/AR232</f>
        <v/>
      </c>
      <c r="AZ232" s="220">
        <f>AV232-AF232</f>
        <v/>
      </c>
      <c r="BA232" s="215">
        <f>AV232-SUM(Z232:AC232)</f>
        <v/>
      </c>
      <c r="BB232" s="215">
        <f>BA232-Y232</f>
        <v/>
      </c>
      <c r="BC232" s="35">
        <f>BB232/BA232</f>
        <v/>
      </c>
      <c r="BD232" s="35">
        <f>IFERROR(AZ232/AV232,)</f>
        <v/>
      </c>
      <c r="BE232" s="255">
        <f>AV232-SUM(Z232:AC232)</f>
        <v/>
      </c>
      <c r="BF232" s="255">
        <f>AV232-BE232-AC232-AB232</f>
        <v/>
      </c>
      <c r="BG232" s="255">
        <f>AV232-BE232-BF232-AB232</f>
        <v/>
      </c>
      <c r="BH232" s="255">
        <f>AB232</f>
        <v/>
      </c>
      <c r="BI232" s="263" t="inlineStr">
        <is>
          <t>Worst Case Approved</t>
        </is>
      </c>
    </row>
    <row r="233">
      <c r="C233" s="96" t="inlineStr">
        <is>
          <t>YEKENE</t>
        </is>
      </c>
      <c r="D233" s="49">
        <f>CONCATENATE(G233,"-",H233,"-",F233)</f>
        <v/>
      </c>
      <c r="E233" s="95" t="inlineStr">
        <is>
          <t>Jamara-8T-25CBM</t>
        </is>
      </c>
      <c r="F233" s="24" t="inlineStr">
        <is>
          <t>25CBM</t>
        </is>
      </c>
      <c r="G233" s="25" t="inlineStr">
        <is>
          <t>Closed Body Logistics</t>
        </is>
      </c>
      <c r="H233" s="101" t="inlineStr">
        <is>
          <t>8T</t>
        </is>
      </c>
      <c r="I233" s="102" t="inlineStr">
        <is>
          <t>Jamara</t>
        </is>
      </c>
      <c r="J233" s="103" t="inlineStr">
        <is>
          <t>Lagos</t>
        </is>
      </c>
      <c r="K233" s="109" t="inlineStr">
        <is>
          <t>Ilupeju-Gbagada-Apapa-Mushin-Okota-Fadeyi</t>
        </is>
      </c>
      <c r="L233" s="57" t="inlineStr">
        <is>
          <t>Lagos</t>
        </is>
      </c>
      <c r="M233" s="58" t="inlineStr">
        <is>
          <t>Matori</t>
        </is>
      </c>
      <c r="N233" s="196" t="n">
        <v>8</v>
      </c>
      <c r="O233" s="194">
        <f>N233*2</f>
        <v/>
      </c>
      <c r="P233" s="215">
        <f>ROUNDUP(O233/300,)</f>
        <v/>
      </c>
      <c r="Q233" s="215" t="n">
        <v>0.2</v>
      </c>
      <c r="R233" s="215">
        <f>Q233+P233</f>
        <v/>
      </c>
      <c r="S233" s="197">
        <f>ROUNDDOWN(O233*0.51,)+60</f>
        <v/>
      </c>
      <c r="T233" s="207">
        <f>_xlfn.XLOOKUP(F233,[1]Fx!$A$4:$A$10,[1]Fx!$B$4:$B$10)</f>
        <v/>
      </c>
      <c r="U233" s="207">
        <f>_xlfn.XLOOKUP(F233,[1]Fx!$A$4:$A$10,[1]Fx!$C$4:$C$10)</f>
        <v/>
      </c>
      <c r="V233" s="207">
        <f>_xlfn.XLOOKUP(F233,[1]Fx!$A$4:$A$10,[1]Fx!$D$4:$D$10)</f>
        <v/>
      </c>
      <c r="W233" s="207">
        <f>$V$2</f>
        <v/>
      </c>
      <c r="X233" s="207">
        <f>_xlfn.XLOOKUP(F233,[1]Fx!$A$4:$A$10,[1]Fx!$E$4:$E$10)</f>
        <v/>
      </c>
      <c r="Y233" s="215">
        <f>T233*R233</f>
        <v/>
      </c>
      <c r="Z233" s="215">
        <f>U233*O233</f>
        <v/>
      </c>
      <c r="AA233" s="215">
        <f>V233*O233</f>
        <v/>
      </c>
      <c r="AB233" s="215">
        <f>W233*O233</f>
        <v/>
      </c>
      <c r="AC233" s="197">
        <f>X233*O233</f>
        <v/>
      </c>
      <c r="AD233" s="215" t="n">
        <v>0</v>
      </c>
      <c r="AE233" s="215" t="n">
        <v>0</v>
      </c>
      <c r="AF233" s="207">
        <f>SUM(Y233:AE233)</f>
        <v/>
      </c>
      <c r="AG233" s="254">
        <f>_xlfn.XLOOKUP(F233,[1]Fx!$A$16:$A$22,[1]Fx!$B$16:$B$22)</f>
        <v/>
      </c>
      <c r="AH233" s="207">
        <f>AG233*R233</f>
        <v/>
      </c>
      <c r="AI233" s="207">
        <f>$AH$3*Z233</f>
        <v/>
      </c>
      <c r="AJ233" s="207">
        <f>$AI$3*AA233</f>
        <v/>
      </c>
      <c r="AK233" s="207">
        <f>$AJ$3*AB233</f>
        <v/>
      </c>
      <c r="AL233" s="207">
        <f>$AK$3*AC233</f>
        <v/>
      </c>
      <c r="AM233" s="220">
        <f>SUM(AH233:AL233)</f>
        <v/>
      </c>
      <c r="AN233" s="220" t="n">
        <v>0</v>
      </c>
      <c r="AO233" s="220">
        <f>AN233*AH233</f>
        <v/>
      </c>
      <c r="AP233" s="220">
        <f>AD233</f>
        <v/>
      </c>
      <c r="AQ233" s="220">
        <f>AE233</f>
        <v/>
      </c>
      <c r="AR233" s="208">
        <f>AM233-AO233</f>
        <v/>
      </c>
      <c r="AS233" s="220">
        <f>AR233-AK233</f>
        <v/>
      </c>
      <c r="AT233" s="208">
        <f>AS233*1.075</f>
        <v/>
      </c>
      <c r="AU233" s="208">
        <f>AT233+AK233</f>
        <v/>
      </c>
      <c r="AV233" s="195" t="n">
        <v>141581.78011258</v>
      </c>
      <c r="AW233" s="220" t="n"/>
      <c r="AX233" s="220">
        <f>AV233-AR233</f>
        <v/>
      </c>
      <c r="AY233" s="35">
        <f>AX233/AR233</f>
        <v/>
      </c>
      <c r="AZ233" s="220">
        <f>AV233-AF233</f>
        <v/>
      </c>
      <c r="BA233" s="215">
        <f>AV233-SUM(Z233:AC233)</f>
        <v/>
      </c>
      <c r="BB233" s="215">
        <f>BA233-Y233</f>
        <v/>
      </c>
      <c r="BC233" s="35">
        <f>BB233/BA233</f>
        <v/>
      </c>
      <c r="BD233" s="35">
        <f>IFERROR(AZ233/AV233,)</f>
        <v/>
      </c>
      <c r="BE233" s="255">
        <f>AV233-SUM(Z233:AC233)</f>
        <v/>
      </c>
      <c r="BF233" s="255">
        <f>AV233-BE233-AC233-AB233</f>
        <v/>
      </c>
      <c r="BG233" s="255">
        <f>AV233-BE233-BF233-AB233</f>
        <v/>
      </c>
      <c r="BH233" s="255">
        <f>AB233</f>
        <v/>
      </c>
      <c r="BI233" s="263" t="inlineStr">
        <is>
          <t>Approved</t>
        </is>
      </c>
    </row>
    <row r="234">
      <c r="C234" s="96" t="inlineStr">
        <is>
          <t>YEKENE</t>
        </is>
      </c>
      <c r="D234" s="49">
        <f>CONCATENATE(G234,"-",H234,"-",F234)</f>
        <v/>
      </c>
      <c r="E234" s="95" t="inlineStr">
        <is>
          <t>Jamara-8T-25CBM</t>
        </is>
      </c>
      <c r="F234" s="24" t="inlineStr">
        <is>
          <t>25CBM</t>
        </is>
      </c>
      <c r="G234" s="25" t="inlineStr">
        <is>
          <t>Closed Body Logistics</t>
        </is>
      </c>
      <c r="H234" s="101" t="inlineStr">
        <is>
          <t>8T</t>
        </is>
      </c>
      <c r="I234" s="102" t="inlineStr">
        <is>
          <t>Jamara</t>
        </is>
      </c>
      <c r="J234" s="103" t="inlineStr">
        <is>
          <t>Lagos</t>
        </is>
      </c>
      <c r="K234" s="109" t="inlineStr">
        <is>
          <t>Ilupeju-Gbagada-Apapa-Mushin-Okota-Fadeyi</t>
        </is>
      </c>
      <c r="L234" s="57" t="inlineStr">
        <is>
          <t>Lagos</t>
        </is>
      </c>
      <c r="M234" s="58" t="inlineStr">
        <is>
          <t>Gbagada</t>
        </is>
      </c>
      <c r="N234" s="196" t="n">
        <v>8</v>
      </c>
      <c r="O234" s="194">
        <f>N234*2</f>
        <v/>
      </c>
      <c r="P234" s="215">
        <f>ROUNDUP(O234/300,)</f>
        <v/>
      </c>
      <c r="Q234" s="215" t="n">
        <v>0.2</v>
      </c>
      <c r="R234" s="215">
        <f>Q234+P234</f>
        <v/>
      </c>
      <c r="S234" s="197">
        <f>ROUNDDOWN(O234*0.51,)+60</f>
        <v/>
      </c>
      <c r="T234" s="207">
        <f>_xlfn.XLOOKUP(F234,[1]Fx!$A$4:$A$10,[1]Fx!$B$4:$B$10)</f>
        <v/>
      </c>
      <c r="U234" s="207">
        <f>_xlfn.XLOOKUP(F234,[1]Fx!$A$4:$A$10,[1]Fx!$C$4:$C$10)</f>
        <v/>
      </c>
      <c r="V234" s="207">
        <f>_xlfn.XLOOKUP(F234,[1]Fx!$A$4:$A$10,[1]Fx!$D$4:$D$10)</f>
        <v/>
      </c>
      <c r="W234" s="207">
        <f>$V$2</f>
        <v/>
      </c>
      <c r="X234" s="207">
        <f>_xlfn.XLOOKUP(F234,[1]Fx!$A$4:$A$10,[1]Fx!$E$4:$E$10)</f>
        <v/>
      </c>
      <c r="Y234" s="215">
        <f>T234*R234</f>
        <v/>
      </c>
      <c r="Z234" s="215">
        <f>U234*O234</f>
        <v/>
      </c>
      <c r="AA234" s="215">
        <f>V234*O234</f>
        <v/>
      </c>
      <c r="AB234" s="215">
        <f>W234*O234</f>
        <v/>
      </c>
      <c r="AC234" s="197">
        <f>X234*O234</f>
        <v/>
      </c>
      <c r="AD234" s="215" t="n">
        <v>0</v>
      </c>
      <c r="AE234" s="215" t="n">
        <v>0</v>
      </c>
      <c r="AF234" s="207">
        <f>SUM(Y234:AE234)</f>
        <v/>
      </c>
      <c r="AG234" s="254">
        <f>_xlfn.XLOOKUP(F234,[1]Fx!$A$16:$A$22,[1]Fx!$B$16:$B$22)</f>
        <v/>
      </c>
      <c r="AH234" s="207">
        <f>AG234*R234</f>
        <v/>
      </c>
      <c r="AI234" s="207">
        <f>$AH$3*Z234</f>
        <v/>
      </c>
      <c r="AJ234" s="207">
        <f>$AI$3*AA234</f>
        <v/>
      </c>
      <c r="AK234" s="207">
        <f>$AJ$3*AB234</f>
        <v/>
      </c>
      <c r="AL234" s="207">
        <f>$AK$3*AC234</f>
        <v/>
      </c>
      <c r="AM234" s="220">
        <f>SUM(AH234:AL234)</f>
        <v/>
      </c>
      <c r="AN234" s="220" t="n">
        <v>0</v>
      </c>
      <c r="AO234" s="220">
        <f>AN234*AH234</f>
        <v/>
      </c>
      <c r="AP234" s="220">
        <f>AD234</f>
        <v/>
      </c>
      <c r="AQ234" s="220">
        <f>AE234</f>
        <v/>
      </c>
      <c r="AR234" s="208">
        <f>AM234-AO234</f>
        <v/>
      </c>
      <c r="AS234" s="220">
        <f>AR234-AK234</f>
        <v/>
      </c>
      <c r="AT234" s="208">
        <f>AS234*1.075</f>
        <v/>
      </c>
      <c r="AU234" s="208">
        <f>AT234+AK234</f>
        <v/>
      </c>
      <c r="AV234" s="195" t="n">
        <v>141581.78011258</v>
      </c>
      <c r="AW234" s="220" t="n"/>
      <c r="AX234" s="220">
        <f>AV234-AR234</f>
        <v/>
      </c>
      <c r="AY234" s="35">
        <f>AX234/AR234</f>
        <v/>
      </c>
      <c r="AZ234" s="220">
        <f>AV234-AF234</f>
        <v/>
      </c>
      <c r="BA234" s="215">
        <f>AV234-SUM(Z234:AC234)</f>
        <v/>
      </c>
      <c r="BB234" s="215">
        <f>BA234-Y234</f>
        <v/>
      </c>
      <c r="BC234" s="35">
        <f>BB234/BA234</f>
        <v/>
      </c>
      <c r="BD234" s="35">
        <f>IFERROR(AZ234/AV234,)</f>
        <v/>
      </c>
      <c r="BE234" s="255">
        <f>AV234-SUM(Z234:AC234)</f>
        <v/>
      </c>
      <c r="BF234" s="255">
        <f>AV234-BE234-AC234-AB234</f>
        <v/>
      </c>
      <c r="BG234" s="255">
        <f>AV234-BE234-BF234-AB234</f>
        <v/>
      </c>
      <c r="BH234" s="255">
        <f>AB234</f>
        <v/>
      </c>
      <c r="BI234" s="263" t="inlineStr">
        <is>
          <t>Approved</t>
        </is>
      </c>
    </row>
    <row r="235">
      <c r="C235" s="96" t="inlineStr">
        <is>
          <t>YEKENE</t>
        </is>
      </c>
      <c r="D235" s="49">
        <f>CONCATENATE(G235,"-",H235,"-",F235)</f>
        <v/>
      </c>
      <c r="E235" s="95" t="inlineStr">
        <is>
          <t>Jamara-8T-25CBM</t>
        </is>
      </c>
      <c r="F235" s="24" t="inlineStr">
        <is>
          <t>25CBM</t>
        </is>
      </c>
      <c r="G235" s="25" t="inlineStr">
        <is>
          <t>Closed Body Logistics</t>
        </is>
      </c>
      <c r="H235" s="101" t="inlineStr">
        <is>
          <t>8T</t>
        </is>
      </c>
      <c r="I235" s="102" t="inlineStr">
        <is>
          <t>Jamara</t>
        </is>
      </c>
      <c r="J235" s="103" t="inlineStr">
        <is>
          <t>Lagos</t>
        </is>
      </c>
      <c r="K235" s="109" t="inlineStr">
        <is>
          <t>Ilupeju-Gbagada-Apapa-Mushin-Okota-Fadeyi</t>
        </is>
      </c>
      <c r="L235" s="57" t="inlineStr">
        <is>
          <t>Lagos</t>
        </is>
      </c>
      <c r="M235" s="58" t="inlineStr">
        <is>
          <t>Ilupeju</t>
        </is>
      </c>
      <c r="N235" s="196" t="n">
        <v>8</v>
      </c>
      <c r="O235" s="194">
        <f>N235*2</f>
        <v/>
      </c>
      <c r="P235" s="215">
        <f>ROUNDUP(O235/300,)</f>
        <v/>
      </c>
      <c r="Q235" s="215" t="n">
        <v>0.2</v>
      </c>
      <c r="R235" s="215">
        <f>Q235+P235</f>
        <v/>
      </c>
      <c r="S235" s="197">
        <f>ROUNDDOWN(O235*0.51,)+60</f>
        <v/>
      </c>
      <c r="T235" s="207">
        <f>_xlfn.XLOOKUP(F235,[1]Fx!$A$4:$A$10,[1]Fx!$B$4:$B$10)</f>
        <v/>
      </c>
      <c r="U235" s="207">
        <f>_xlfn.XLOOKUP(F235,[1]Fx!$A$4:$A$10,[1]Fx!$C$4:$C$10)</f>
        <v/>
      </c>
      <c r="V235" s="207">
        <f>_xlfn.XLOOKUP(F235,[1]Fx!$A$4:$A$10,[1]Fx!$D$4:$D$10)</f>
        <v/>
      </c>
      <c r="W235" s="207">
        <f>$V$2</f>
        <v/>
      </c>
      <c r="X235" s="207">
        <f>_xlfn.XLOOKUP(F235,[1]Fx!$A$4:$A$10,[1]Fx!$E$4:$E$10)</f>
        <v/>
      </c>
      <c r="Y235" s="215">
        <f>T235*R235</f>
        <v/>
      </c>
      <c r="Z235" s="215">
        <f>U235*O235</f>
        <v/>
      </c>
      <c r="AA235" s="215">
        <f>V235*O235</f>
        <v/>
      </c>
      <c r="AB235" s="215">
        <f>W235*O235</f>
        <v/>
      </c>
      <c r="AC235" s="197">
        <f>X235*O235</f>
        <v/>
      </c>
      <c r="AD235" s="215" t="n">
        <v>0</v>
      </c>
      <c r="AE235" s="215" t="n">
        <v>0</v>
      </c>
      <c r="AF235" s="207">
        <f>SUM(Y235:AE235)</f>
        <v/>
      </c>
      <c r="AG235" s="254">
        <f>_xlfn.XLOOKUP(F235,[1]Fx!$A$16:$A$22,[1]Fx!$B$16:$B$22)</f>
        <v/>
      </c>
      <c r="AH235" s="207">
        <f>AG235*R235</f>
        <v/>
      </c>
      <c r="AI235" s="207">
        <f>$AH$3*Z235</f>
        <v/>
      </c>
      <c r="AJ235" s="207">
        <f>$AI$3*AA235</f>
        <v/>
      </c>
      <c r="AK235" s="207">
        <f>$AJ$3*AB235</f>
        <v/>
      </c>
      <c r="AL235" s="207">
        <f>$AK$3*AC235</f>
        <v/>
      </c>
      <c r="AM235" s="220">
        <f>SUM(AH235:AL235)</f>
        <v/>
      </c>
      <c r="AN235" s="220" t="n">
        <v>0</v>
      </c>
      <c r="AO235" s="220">
        <f>AN235*AH235</f>
        <v/>
      </c>
      <c r="AP235" s="220">
        <f>AD235</f>
        <v/>
      </c>
      <c r="AQ235" s="220">
        <f>AE235</f>
        <v/>
      </c>
      <c r="AR235" s="208">
        <f>AM235-AO235</f>
        <v/>
      </c>
      <c r="AS235" s="220">
        <f>AR235-AK235</f>
        <v/>
      </c>
      <c r="AT235" s="208">
        <f>AS235*1.075</f>
        <v/>
      </c>
      <c r="AU235" s="208">
        <f>AT235+AK235</f>
        <v/>
      </c>
      <c r="AV235" s="195" t="n">
        <v>141581.78011258</v>
      </c>
      <c r="AW235" s="220" t="n"/>
      <c r="AX235" s="220">
        <f>AV235-AR235</f>
        <v/>
      </c>
      <c r="AY235" s="35">
        <f>AX235/AR235</f>
        <v/>
      </c>
      <c r="AZ235" s="220">
        <f>AV235-AF235</f>
        <v/>
      </c>
      <c r="BA235" s="215">
        <f>AV235-SUM(Z235:AC235)</f>
        <v/>
      </c>
      <c r="BB235" s="215">
        <f>BA235-Y235</f>
        <v/>
      </c>
      <c r="BC235" s="35">
        <f>BB235/BA235</f>
        <v/>
      </c>
      <c r="BD235" s="35">
        <f>IFERROR(AZ235/AV235,)</f>
        <v/>
      </c>
      <c r="BE235" s="255">
        <f>AV235-SUM(Z235:AC235)</f>
        <v/>
      </c>
      <c r="BF235" s="255">
        <f>AV235-BE235-AC235-AB235</f>
        <v/>
      </c>
      <c r="BG235" s="255">
        <f>AV235-BE235-BF235-AB235</f>
        <v/>
      </c>
      <c r="BH235" s="255">
        <f>AB235</f>
        <v/>
      </c>
      <c r="BI235" s="263" t="inlineStr">
        <is>
          <t>Worst Case Approved</t>
        </is>
      </c>
    </row>
    <row r="236">
      <c r="C236" s="96" t="inlineStr">
        <is>
          <t>YEKENE</t>
        </is>
      </c>
      <c r="D236" s="49">
        <f>CONCATENATE(G236,"-",H236,"-",F236)</f>
        <v/>
      </c>
      <c r="E236" s="95" t="inlineStr">
        <is>
          <t>Jamara-8T-25CBM</t>
        </is>
      </c>
      <c r="F236" s="24" t="inlineStr">
        <is>
          <t>25CBM</t>
        </is>
      </c>
      <c r="G236" s="25" t="inlineStr">
        <is>
          <t>Closed Body Logistics</t>
        </is>
      </c>
      <c r="H236" s="101" t="inlineStr">
        <is>
          <t>8T</t>
        </is>
      </c>
      <c r="I236" s="102" t="inlineStr">
        <is>
          <t>Jamara</t>
        </is>
      </c>
      <c r="J236" s="103" t="inlineStr">
        <is>
          <t>Lagos</t>
        </is>
      </c>
      <c r="K236" s="108" t="inlineStr">
        <is>
          <t>Ketu-Ikorodu</t>
        </is>
      </c>
      <c r="L236" s="57" t="inlineStr">
        <is>
          <t>Lagos</t>
        </is>
      </c>
      <c r="M236" s="58" t="inlineStr">
        <is>
          <t>Ikorodu</t>
        </is>
      </c>
      <c r="N236" s="196" t="n">
        <v>35</v>
      </c>
      <c r="O236" s="194">
        <f>N236*2</f>
        <v/>
      </c>
      <c r="P236" s="215">
        <f>ROUNDUP(O236/300,)</f>
        <v/>
      </c>
      <c r="Q236" s="215" t="n">
        <v>0.2</v>
      </c>
      <c r="R236" s="215">
        <f>Q236+P236</f>
        <v/>
      </c>
      <c r="S236" s="197">
        <f>ROUNDDOWN(O236*0.51,)+60</f>
        <v/>
      </c>
      <c r="T236" s="207">
        <f>_xlfn.XLOOKUP(F236,[1]Fx!$A$4:$A$10,[1]Fx!$B$4:$B$10)</f>
        <v/>
      </c>
      <c r="U236" s="207">
        <f>_xlfn.XLOOKUP(F236,[1]Fx!$A$4:$A$10,[1]Fx!$C$4:$C$10)</f>
        <v/>
      </c>
      <c r="V236" s="207">
        <f>_xlfn.XLOOKUP(F236,[1]Fx!$A$4:$A$10,[1]Fx!$D$4:$D$10)</f>
        <v/>
      </c>
      <c r="W236" s="207">
        <f>$V$2</f>
        <v/>
      </c>
      <c r="X236" s="207">
        <f>_xlfn.XLOOKUP(F236,[1]Fx!$A$4:$A$10,[1]Fx!$E$4:$E$10)</f>
        <v/>
      </c>
      <c r="Y236" s="215">
        <f>T236*R236</f>
        <v/>
      </c>
      <c r="Z236" s="215">
        <f>U236*O236</f>
        <v/>
      </c>
      <c r="AA236" s="215">
        <f>V236*O236</f>
        <v/>
      </c>
      <c r="AB236" s="215">
        <f>W236*O236</f>
        <v/>
      </c>
      <c r="AC236" s="197">
        <f>X236*O236</f>
        <v/>
      </c>
      <c r="AD236" s="215" t="n">
        <v>0</v>
      </c>
      <c r="AE236" s="215" t="n">
        <v>0</v>
      </c>
      <c r="AF236" s="207">
        <f>SUM(Y236:AE236)</f>
        <v/>
      </c>
      <c r="AG236" s="254">
        <f>_xlfn.XLOOKUP(F236,[1]Fx!$A$16:$A$22,[1]Fx!$B$16:$B$22)</f>
        <v/>
      </c>
      <c r="AH236" s="207">
        <f>AG236*R236</f>
        <v/>
      </c>
      <c r="AI236" s="207">
        <f>$AH$3*Z236</f>
        <v/>
      </c>
      <c r="AJ236" s="207">
        <f>$AI$3*AA236</f>
        <v/>
      </c>
      <c r="AK236" s="207">
        <f>$AJ$3*AB236</f>
        <v/>
      </c>
      <c r="AL236" s="207">
        <f>$AK$3*AC236</f>
        <v/>
      </c>
      <c r="AM236" s="220">
        <f>SUM(AH236:AL236)</f>
        <v/>
      </c>
      <c r="AN236" s="35" t="n">
        <v>0.1</v>
      </c>
      <c r="AO236" s="220">
        <f>AN236*AH236</f>
        <v/>
      </c>
      <c r="AP236" s="220">
        <f>AD236</f>
        <v/>
      </c>
      <c r="AQ236" s="220">
        <f>AE236</f>
        <v/>
      </c>
      <c r="AR236" s="208">
        <f>AM236-AO236</f>
        <v/>
      </c>
      <c r="AS236" s="220">
        <f>AR236-AK236</f>
        <v/>
      </c>
      <c r="AT236" s="208">
        <f>AS236*1.075</f>
        <v/>
      </c>
      <c r="AU236" s="208">
        <f>AT236+AK236</f>
        <v/>
      </c>
      <c r="AV236" s="195" t="n">
        <v>127423.602101322</v>
      </c>
      <c r="AW236" s="220" t="n">
        <v>145000</v>
      </c>
      <c r="AX236" s="220">
        <f>AV236-AR236</f>
        <v/>
      </c>
      <c r="AY236" s="35">
        <f>AX236/AR236</f>
        <v/>
      </c>
      <c r="AZ236" s="220">
        <f>AV236-AF236</f>
        <v/>
      </c>
      <c r="BA236" s="215">
        <f>AV236-SUM(Z236:AC236)</f>
        <v/>
      </c>
      <c r="BB236" s="215">
        <f>BA236-Y236</f>
        <v/>
      </c>
      <c r="BC236" s="35">
        <f>BB236/BA236</f>
        <v/>
      </c>
      <c r="BD236" s="35">
        <f>IFERROR(AZ236/AV236,)</f>
        <v/>
      </c>
      <c r="BE236" s="255">
        <f>AV236-SUM(Z236:AC236)</f>
        <v/>
      </c>
      <c r="BF236" s="255">
        <f>AV236-BE236-AC236-AB236</f>
        <v/>
      </c>
      <c r="BG236" s="255">
        <f>AV236-BE236-BF236-AB236</f>
        <v/>
      </c>
      <c r="BH236" s="255">
        <f>AB236</f>
        <v/>
      </c>
      <c r="BI236" s="263" t="inlineStr">
        <is>
          <t>Worst Case Approved</t>
        </is>
      </c>
    </row>
    <row r="237">
      <c r="C237" s="96" t="inlineStr">
        <is>
          <t>YEKENE</t>
        </is>
      </c>
      <c r="D237" s="49">
        <f>CONCATENATE(G237,"-",H237,"-",F237)</f>
        <v/>
      </c>
      <c r="E237" s="95" t="inlineStr">
        <is>
          <t>Jamara-8T-25CBM</t>
        </is>
      </c>
      <c r="F237" s="24" t="inlineStr">
        <is>
          <t>25CBM</t>
        </is>
      </c>
      <c r="G237" s="25" t="inlineStr">
        <is>
          <t>Closed Body Logistics</t>
        </is>
      </c>
      <c r="H237" s="101" t="inlineStr">
        <is>
          <t>8T</t>
        </is>
      </c>
      <c r="I237" s="102" t="inlineStr">
        <is>
          <t>Jamara</t>
        </is>
      </c>
      <c r="J237" s="103" t="inlineStr">
        <is>
          <t>Lagos</t>
        </is>
      </c>
      <c r="K237" s="108" t="inlineStr">
        <is>
          <t>Ketu-Ikorodu</t>
        </is>
      </c>
      <c r="L237" s="57" t="inlineStr">
        <is>
          <t>Lagos</t>
        </is>
      </c>
      <c r="M237" s="58" t="inlineStr">
        <is>
          <t>Ketu</t>
        </is>
      </c>
      <c r="N237" s="196" t="n">
        <v>10</v>
      </c>
      <c r="O237" s="194">
        <f>N237*2</f>
        <v/>
      </c>
      <c r="P237" s="215">
        <f>ROUNDUP(O237/300,)</f>
        <v/>
      </c>
      <c r="Q237" s="215" t="n">
        <v>0.2</v>
      </c>
      <c r="R237" s="215">
        <f>Q237+P237</f>
        <v/>
      </c>
      <c r="S237" s="197">
        <f>ROUNDDOWN(O237*0.51,)+60</f>
        <v/>
      </c>
      <c r="T237" s="207">
        <f>_xlfn.XLOOKUP(F237,[1]Fx!$A$4:$A$10,[1]Fx!$B$4:$B$10)</f>
        <v/>
      </c>
      <c r="U237" s="207">
        <f>_xlfn.XLOOKUP(F237,[1]Fx!$A$4:$A$10,[1]Fx!$C$4:$C$10)</f>
        <v/>
      </c>
      <c r="V237" s="207">
        <f>_xlfn.XLOOKUP(F237,[1]Fx!$A$4:$A$10,[1]Fx!$D$4:$D$10)</f>
        <v/>
      </c>
      <c r="W237" s="207">
        <f>$V$2</f>
        <v/>
      </c>
      <c r="X237" s="207">
        <f>_xlfn.XLOOKUP(F237,[1]Fx!$A$4:$A$10,[1]Fx!$E$4:$E$10)</f>
        <v/>
      </c>
      <c r="Y237" s="215">
        <f>T237*R237</f>
        <v/>
      </c>
      <c r="Z237" s="215">
        <f>U237*O237</f>
        <v/>
      </c>
      <c r="AA237" s="215">
        <f>V237*O237</f>
        <v/>
      </c>
      <c r="AB237" s="215">
        <f>W237*O237</f>
        <v/>
      </c>
      <c r="AC237" s="197">
        <f>X237*O237</f>
        <v/>
      </c>
      <c r="AD237" s="215" t="n">
        <v>0</v>
      </c>
      <c r="AE237" s="215" t="n">
        <v>0</v>
      </c>
      <c r="AF237" s="207">
        <f>SUM(Y237:AE237)</f>
        <v/>
      </c>
      <c r="AG237" s="254">
        <f>_xlfn.XLOOKUP(F237,[1]Fx!$A$16:$A$22,[1]Fx!$B$16:$B$22)</f>
        <v/>
      </c>
      <c r="AH237" s="207">
        <f>AG237*R237</f>
        <v/>
      </c>
      <c r="AI237" s="207">
        <f>$AH$3*Z237</f>
        <v/>
      </c>
      <c r="AJ237" s="207">
        <f>$AI$3*AA237</f>
        <v/>
      </c>
      <c r="AK237" s="207">
        <f>$AJ$3*AB237</f>
        <v/>
      </c>
      <c r="AL237" s="207">
        <f>$AK$3*AC237</f>
        <v/>
      </c>
      <c r="AM237" s="220">
        <f>SUM(AH237:AL237)</f>
        <v/>
      </c>
      <c r="AN237" s="35" t="n">
        <v>0</v>
      </c>
      <c r="AO237" s="220">
        <f>AN237*AH237</f>
        <v/>
      </c>
      <c r="AP237" s="220">
        <f>AD237</f>
        <v/>
      </c>
      <c r="AQ237" s="220">
        <f>AE237</f>
        <v/>
      </c>
      <c r="AR237" s="208">
        <f>AM237-AO237</f>
        <v/>
      </c>
      <c r="AS237" s="220">
        <f>AR237-AK237</f>
        <v/>
      </c>
      <c r="AT237" s="208">
        <f>AS237*1.075</f>
        <v/>
      </c>
      <c r="AU237" s="208">
        <f>AT237+AK237</f>
        <v/>
      </c>
      <c r="AV237" s="195" t="n">
        <v>141581.78011258</v>
      </c>
      <c r="AW237" s="220" t="n">
        <v>145000</v>
      </c>
      <c r="AX237" s="220">
        <f>AV237-AR237</f>
        <v/>
      </c>
      <c r="AY237" s="35">
        <f>AX237/AR237</f>
        <v/>
      </c>
      <c r="AZ237" s="220">
        <f>AV237-AF237</f>
        <v/>
      </c>
      <c r="BA237" s="215">
        <f>AV237-SUM(Z237:AC237)</f>
        <v/>
      </c>
      <c r="BB237" s="215">
        <f>BA237-Y237</f>
        <v/>
      </c>
      <c r="BC237" s="35">
        <f>BB237/BA237</f>
        <v/>
      </c>
      <c r="BD237" s="35">
        <f>IFERROR(AZ237/AV237,)</f>
        <v/>
      </c>
      <c r="BE237" s="255">
        <f>AV237-SUM(Z237:AC237)</f>
        <v/>
      </c>
      <c r="BF237" s="255">
        <f>AV237-BE237-AC237-AB237</f>
        <v/>
      </c>
      <c r="BG237" s="255">
        <f>AV237-BE237-BF237-AB237</f>
        <v/>
      </c>
      <c r="BH237" s="255">
        <f>AB237</f>
        <v/>
      </c>
      <c r="BI237" s="263" t="inlineStr">
        <is>
          <t>Worst Case Approved</t>
        </is>
      </c>
    </row>
    <row r="238">
      <c r="C238" s="96" t="inlineStr">
        <is>
          <t>YEKENE</t>
        </is>
      </c>
      <c r="D238" s="49">
        <f>CONCATENATE(G238,"-",H238,"-",F238)</f>
        <v/>
      </c>
      <c r="E238" s="95" t="inlineStr">
        <is>
          <t>Jamara-8T-25CBM</t>
        </is>
      </c>
      <c r="F238" s="24" t="inlineStr">
        <is>
          <t>25CBM</t>
        </is>
      </c>
      <c r="G238" s="25" t="inlineStr">
        <is>
          <t>Closed Body Logistics</t>
        </is>
      </c>
      <c r="H238" s="101" t="inlineStr">
        <is>
          <t>8T</t>
        </is>
      </c>
      <c r="I238" s="102" t="inlineStr">
        <is>
          <t>Jamara</t>
        </is>
      </c>
      <c r="J238" s="103" t="inlineStr">
        <is>
          <t>Lagos</t>
        </is>
      </c>
      <c r="K238" s="107" t="inlineStr">
        <is>
          <t>Lagos Island-Marina</t>
        </is>
      </c>
      <c r="L238" s="57" t="inlineStr">
        <is>
          <t>Lagos</t>
        </is>
      </c>
      <c r="M238" s="25" t="inlineStr">
        <is>
          <t>Lagos Island</t>
        </is>
      </c>
      <c r="N238" s="196" t="n">
        <v>18</v>
      </c>
      <c r="O238" s="194">
        <f>N238*2</f>
        <v/>
      </c>
      <c r="P238" s="215">
        <f>ROUNDUP(O238/300,)</f>
        <v/>
      </c>
      <c r="Q238" s="215" t="n">
        <v>0.2</v>
      </c>
      <c r="R238" s="215">
        <f>Q238+P238</f>
        <v/>
      </c>
      <c r="S238" s="197">
        <f>ROUNDDOWN(O238*0.51,)+60</f>
        <v/>
      </c>
      <c r="T238" s="207">
        <f>_xlfn.XLOOKUP(F238,[1]Fx!$A$4:$A$10,[1]Fx!$B$4:$B$10)</f>
        <v/>
      </c>
      <c r="U238" s="207">
        <f>_xlfn.XLOOKUP(F238,[1]Fx!$A$4:$A$10,[1]Fx!$C$4:$C$10)</f>
        <v/>
      </c>
      <c r="V238" s="207">
        <f>_xlfn.XLOOKUP(F238,[1]Fx!$A$4:$A$10,[1]Fx!$D$4:$D$10)</f>
        <v/>
      </c>
      <c r="W238" s="207">
        <f>$V$2</f>
        <v/>
      </c>
      <c r="X238" s="207">
        <f>_xlfn.XLOOKUP(F238,[1]Fx!$A$4:$A$10,[1]Fx!$E$4:$E$10)</f>
        <v/>
      </c>
      <c r="Y238" s="215">
        <f>T238*R238</f>
        <v/>
      </c>
      <c r="Z238" s="215">
        <f>U238*O238</f>
        <v/>
      </c>
      <c r="AA238" s="215">
        <f>V238*O238</f>
        <v/>
      </c>
      <c r="AB238" s="215">
        <f>W238*O238</f>
        <v/>
      </c>
      <c r="AC238" s="197">
        <f>X238*O238</f>
        <v/>
      </c>
      <c r="AD238" s="215" t="n">
        <v>0</v>
      </c>
      <c r="AE238" s="215" t="n">
        <v>0</v>
      </c>
      <c r="AF238" s="207">
        <f>SUM(Y238:AE238)</f>
        <v/>
      </c>
      <c r="AG238" s="254">
        <f>_xlfn.XLOOKUP(F238,[1]Fx!$A$16:$A$22,[1]Fx!$B$16:$B$22)</f>
        <v/>
      </c>
      <c r="AH238" s="207">
        <f>AG238*R238</f>
        <v/>
      </c>
      <c r="AI238" s="207">
        <f>$AH$3*Z238</f>
        <v/>
      </c>
      <c r="AJ238" s="207">
        <f>$AI$3*AA238</f>
        <v/>
      </c>
      <c r="AK238" s="207">
        <f>$AJ$3*AB238</f>
        <v/>
      </c>
      <c r="AL238" s="207">
        <f>$AK$3*AC238</f>
        <v/>
      </c>
      <c r="AM238" s="220">
        <f>SUM(AH238:AL238)</f>
        <v/>
      </c>
      <c r="AN238" s="220" t="n">
        <v>0</v>
      </c>
      <c r="AO238" s="220">
        <f>AN238*AH238</f>
        <v/>
      </c>
      <c r="AP238" s="220">
        <f>AD238</f>
        <v/>
      </c>
      <c r="AQ238" s="220">
        <f>AE238</f>
        <v/>
      </c>
      <c r="AR238" s="208">
        <f>AM238-AO238</f>
        <v/>
      </c>
      <c r="AS238" s="220">
        <f>AR238-AK238</f>
        <v/>
      </c>
      <c r="AT238" s="208">
        <f>AS238*1.075</f>
        <v/>
      </c>
      <c r="AU238" s="208">
        <f>AT238+AK238</f>
        <v/>
      </c>
      <c r="AV238" s="195" t="n">
        <v>141581.78011258</v>
      </c>
      <c r="AW238" s="220" t="n"/>
      <c r="AX238" s="220">
        <f>AV238-AR238</f>
        <v/>
      </c>
      <c r="AY238" s="35">
        <f>AX238/AR238</f>
        <v/>
      </c>
      <c r="AZ238" s="220">
        <f>AV238-AF238</f>
        <v/>
      </c>
      <c r="BA238" s="215">
        <f>AV238-SUM(Z238:AC238)</f>
        <v/>
      </c>
      <c r="BB238" s="215">
        <f>BA238-Y238</f>
        <v/>
      </c>
      <c r="BC238" s="35">
        <f>BB238/BA238</f>
        <v/>
      </c>
      <c r="BD238" s="35">
        <f>IFERROR(AZ238/AV238,)</f>
        <v/>
      </c>
      <c r="BE238" s="255">
        <f>AV238-SUM(Z238:AC238)</f>
        <v/>
      </c>
      <c r="BF238" s="255">
        <f>AV238-BE238-AC238-AB238</f>
        <v/>
      </c>
      <c r="BG238" s="255">
        <f>AV238-BE238-BF238-AB238</f>
        <v/>
      </c>
      <c r="BH238" s="255">
        <f>AB238</f>
        <v/>
      </c>
      <c r="BI238" s="263" t="inlineStr">
        <is>
          <t>Worst Case Approved</t>
        </is>
      </c>
    </row>
    <row r="239">
      <c r="C239" s="96" t="inlineStr">
        <is>
          <t>YEKENE</t>
        </is>
      </c>
      <c r="D239" s="49">
        <f>CONCATENATE(G239,"-",H239,"-",F239)</f>
        <v/>
      </c>
      <c r="E239" s="95" t="inlineStr">
        <is>
          <t>Jamara-8T-25CBM</t>
        </is>
      </c>
      <c r="F239" s="24" t="inlineStr">
        <is>
          <t>25CBM</t>
        </is>
      </c>
      <c r="G239" s="25" t="inlineStr">
        <is>
          <t>Closed Body Logistics</t>
        </is>
      </c>
      <c r="H239" s="101" t="inlineStr">
        <is>
          <t>8T</t>
        </is>
      </c>
      <c r="I239" s="102" t="inlineStr">
        <is>
          <t>Jamara</t>
        </is>
      </c>
      <c r="J239" s="103" t="inlineStr">
        <is>
          <t>Lagos</t>
        </is>
      </c>
      <c r="K239" s="107" t="inlineStr">
        <is>
          <t>Lagos Island-Marina</t>
        </is>
      </c>
      <c r="L239" s="57" t="inlineStr">
        <is>
          <t>Lagos</t>
        </is>
      </c>
      <c r="M239" s="58" t="inlineStr">
        <is>
          <t>Marina</t>
        </is>
      </c>
      <c r="N239" s="196" t="n">
        <v>23</v>
      </c>
      <c r="O239" s="194">
        <f>N239*2</f>
        <v/>
      </c>
      <c r="P239" s="215">
        <f>ROUNDUP(O239/300,)</f>
        <v/>
      </c>
      <c r="Q239" s="215" t="n">
        <v>0.2</v>
      </c>
      <c r="R239" s="215">
        <f>Q239+P239</f>
        <v/>
      </c>
      <c r="S239" s="197">
        <f>ROUNDDOWN(O239*0.51,)+60</f>
        <v/>
      </c>
      <c r="T239" s="207">
        <f>_xlfn.XLOOKUP(F239,[1]Fx!$A$4:$A$10,[1]Fx!$B$4:$B$10)</f>
        <v/>
      </c>
      <c r="U239" s="207">
        <f>_xlfn.XLOOKUP(F239,[1]Fx!$A$4:$A$10,[1]Fx!$C$4:$C$10)</f>
        <v/>
      </c>
      <c r="V239" s="207">
        <f>_xlfn.XLOOKUP(F239,[1]Fx!$A$4:$A$10,[1]Fx!$D$4:$D$10)</f>
        <v/>
      </c>
      <c r="W239" s="207">
        <f>$V$2</f>
        <v/>
      </c>
      <c r="X239" s="207">
        <f>_xlfn.XLOOKUP(F239,[1]Fx!$A$4:$A$10,[1]Fx!$E$4:$E$10)</f>
        <v/>
      </c>
      <c r="Y239" s="215">
        <f>T239*R239</f>
        <v/>
      </c>
      <c r="Z239" s="215">
        <f>U239*O239</f>
        <v/>
      </c>
      <c r="AA239" s="215">
        <f>V239*O239</f>
        <v/>
      </c>
      <c r="AB239" s="215">
        <f>W239*O239</f>
        <v/>
      </c>
      <c r="AC239" s="197">
        <f>X239*O239</f>
        <v/>
      </c>
      <c r="AD239" s="215" t="n">
        <v>0</v>
      </c>
      <c r="AE239" s="215" t="n">
        <v>0</v>
      </c>
      <c r="AF239" s="207">
        <f>SUM(Y239:AE239)</f>
        <v/>
      </c>
      <c r="AG239" s="254">
        <f>_xlfn.XLOOKUP(F239,[1]Fx!$A$16:$A$22,[1]Fx!$B$16:$B$22)</f>
        <v/>
      </c>
      <c r="AH239" s="207">
        <f>AG239*R239</f>
        <v/>
      </c>
      <c r="AI239" s="207">
        <f>$AH$3*Z239</f>
        <v/>
      </c>
      <c r="AJ239" s="207">
        <f>$AI$3*AA239</f>
        <v/>
      </c>
      <c r="AK239" s="207">
        <f>$AJ$3*AB239</f>
        <v/>
      </c>
      <c r="AL239" s="207">
        <f>$AK$3*AC239</f>
        <v/>
      </c>
      <c r="AM239" s="220">
        <f>SUM(AH239:AL239)</f>
        <v/>
      </c>
      <c r="AN239" s="220" t="n">
        <v>0</v>
      </c>
      <c r="AO239" s="220">
        <f>AN239*AH239</f>
        <v/>
      </c>
      <c r="AP239" s="220">
        <f>AD239</f>
        <v/>
      </c>
      <c r="AQ239" s="220">
        <f>AE239</f>
        <v/>
      </c>
      <c r="AR239" s="208">
        <f>AM239-AO239</f>
        <v/>
      </c>
      <c r="AS239" s="220">
        <f>AR239-AK239</f>
        <v/>
      </c>
      <c r="AT239" s="208">
        <f>AS239*1.075</f>
        <v/>
      </c>
      <c r="AU239" s="208">
        <f>AT239+AK239</f>
        <v/>
      </c>
      <c r="AV239" s="195" t="n">
        <v>141581.78011258</v>
      </c>
      <c r="AW239" s="220" t="n"/>
      <c r="AX239" s="220">
        <f>AV239-AR239</f>
        <v/>
      </c>
      <c r="AY239" s="35">
        <f>AX239/AR239</f>
        <v/>
      </c>
      <c r="AZ239" s="220">
        <f>AV239-AF239</f>
        <v/>
      </c>
      <c r="BA239" s="215">
        <f>AV239-SUM(Z239:AC239)</f>
        <v/>
      </c>
      <c r="BB239" s="215">
        <f>BA239-Y239</f>
        <v/>
      </c>
      <c r="BC239" s="35">
        <f>BB239/BA239</f>
        <v/>
      </c>
      <c r="BD239" s="35">
        <f>IFERROR(AZ239/AV239,)</f>
        <v/>
      </c>
      <c r="BE239" s="255">
        <f>AV239-SUM(Z239:AC239)</f>
        <v/>
      </c>
      <c r="BF239" s="255">
        <f>AV239-BE239-AC239-AB239</f>
        <v/>
      </c>
      <c r="BG239" s="255">
        <f>AV239-BE239-BF239-AB239</f>
        <v/>
      </c>
      <c r="BH239" s="255">
        <f>AB239</f>
        <v/>
      </c>
      <c r="BI239" s="263" t="inlineStr">
        <is>
          <t>Worst Case Approved</t>
        </is>
      </c>
    </row>
    <row r="240">
      <c r="C240" s="96" t="inlineStr">
        <is>
          <t>YEKENE</t>
        </is>
      </c>
      <c r="D240" s="49">
        <f>CONCATENATE(G240,"-",H240,"-",F240)</f>
        <v/>
      </c>
      <c r="E240" s="95" t="inlineStr">
        <is>
          <t>Jamara-8T-25CBM</t>
        </is>
      </c>
      <c r="F240" s="24" t="inlineStr">
        <is>
          <t>25CBM</t>
        </is>
      </c>
      <c r="G240" s="25" t="inlineStr">
        <is>
          <t>Closed Body Logistics</t>
        </is>
      </c>
      <c r="H240" s="101" t="inlineStr">
        <is>
          <t>8T</t>
        </is>
      </c>
      <c r="I240" s="102" t="inlineStr">
        <is>
          <t>Jamara</t>
        </is>
      </c>
      <c r="J240" s="103" t="inlineStr">
        <is>
          <t>Lagos</t>
        </is>
      </c>
      <c r="K240" s="110" t="inlineStr">
        <is>
          <t>Abeokuta</t>
        </is>
      </c>
      <c r="L240" s="57" t="inlineStr">
        <is>
          <t>Ogun</t>
        </is>
      </c>
      <c r="M240" s="58" t="inlineStr">
        <is>
          <t>Abeokuta</t>
        </is>
      </c>
      <c r="N240" s="196" t="n">
        <v>99.5</v>
      </c>
      <c r="O240" s="194">
        <f>N240*2</f>
        <v/>
      </c>
      <c r="P240" s="215">
        <f>ROUNDUP(O240/300,)</f>
        <v/>
      </c>
      <c r="Q240" s="215" t="n">
        <v>0.2</v>
      </c>
      <c r="R240" s="215">
        <f>Q240+P240</f>
        <v/>
      </c>
      <c r="S240" s="197">
        <f>ROUNDDOWN(O240*0.51,)+60</f>
        <v/>
      </c>
      <c r="T240" s="207">
        <f>_xlfn.XLOOKUP(F240,[1]Fx!$A$4:$A$10,[1]Fx!$B$4:$B$10)</f>
        <v/>
      </c>
      <c r="U240" s="207">
        <f>_xlfn.XLOOKUP(F240,[1]Fx!$A$4:$A$10,[1]Fx!$C$4:$C$10)</f>
        <v/>
      </c>
      <c r="V240" s="207">
        <f>_xlfn.XLOOKUP(F240,[1]Fx!$A$4:$A$10,[1]Fx!$D$4:$D$10)</f>
        <v/>
      </c>
      <c r="W240" s="207">
        <f>$V$2</f>
        <v/>
      </c>
      <c r="X240" s="207">
        <f>_xlfn.XLOOKUP(F240,[1]Fx!$A$4:$A$10,[1]Fx!$E$4:$E$10)</f>
        <v/>
      </c>
      <c r="Y240" s="215">
        <f>T240*R240</f>
        <v/>
      </c>
      <c r="Z240" s="215">
        <f>U240*O240</f>
        <v/>
      </c>
      <c r="AA240" s="215">
        <f>V240*O240</f>
        <v/>
      </c>
      <c r="AB240" s="215">
        <f>W240*O240</f>
        <v/>
      </c>
      <c r="AC240" s="197">
        <f>X240*O240</f>
        <v/>
      </c>
      <c r="AD240" s="215" t="n">
        <v>0</v>
      </c>
      <c r="AE240" s="215" t="n">
        <v>0</v>
      </c>
      <c r="AF240" s="207">
        <f>SUM(Y240:AE240)</f>
        <v/>
      </c>
      <c r="AG240" s="254">
        <f>_xlfn.XLOOKUP(F240,[1]Fx!$A$16:$A$22,[1]Fx!$B$16:$B$22)</f>
        <v/>
      </c>
      <c r="AH240" s="207">
        <f>AG240*R240</f>
        <v/>
      </c>
      <c r="AI240" s="207">
        <f>$AH$3*Z240</f>
        <v/>
      </c>
      <c r="AJ240" s="207">
        <f>$AI$3*AA240</f>
        <v/>
      </c>
      <c r="AK240" s="207">
        <f>$AJ$3*AB240</f>
        <v/>
      </c>
      <c r="AL240" s="207">
        <f>$AK$3*AC240</f>
        <v/>
      </c>
      <c r="AM240" s="220">
        <f>SUM(AH240:AL240)</f>
        <v/>
      </c>
      <c r="AN240" s="220" t="n">
        <v>0</v>
      </c>
      <c r="AO240" s="220">
        <f>AN240*AH240</f>
        <v/>
      </c>
      <c r="AP240" s="220">
        <f>AD240</f>
        <v/>
      </c>
      <c r="AQ240" s="220">
        <f>AE240</f>
        <v/>
      </c>
      <c r="AR240" s="208">
        <f>AM240-AO240</f>
        <v/>
      </c>
      <c r="AS240" s="220">
        <f>AR240-AK240</f>
        <v/>
      </c>
      <c r="AT240" s="208">
        <f>AS240*1.075</f>
        <v/>
      </c>
      <c r="AU240" s="208">
        <f>AT240+AK240</f>
        <v/>
      </c>
      <c r="AV240" s="195" t="n">
        <v>141581.78011258</v>
      </c>
      <c r="AW240" s="220" t="n"/>
      <c r="AX240" s="220">
        <f>AV240-AR240</f>
        <v/>
      </c>
      <c r="AY240" s="35">
        <f>AX240/AR240</f>
        <v/>
      </c>
      <c r="AZ240" s="220">
        <f>AV240-AF240</f>
        <v/>
      </c>
      <c r="BA240" s="215">
        <f>AV240-SUM(Z240:AC240)</f>
        <v/>
      </c>
      <c r="BB240" s="215">
        <f>BA240-Y240</f>
        <v/>
      </c>
      <c r="BC240" s="35">
        <f>BB240/BA240</f>
        <v/>
      </c>
      <c r="BD240" s="35">
        <f>IFERROR(AZ240/AV240,)</f>
        <v/>
      </c>
      <c r="BE240" s="255">
        <f>AV240-SUM(Z240:AC240)</f>
        <v/>
      </c>
      <c r="BF240" s="255">
        <f>AV240-BE240-AC240-AB240</f>
        <v/>
      </c>
      <c r="BG240" s="255">
        <f>AV240-BE240-BF240-AB240</f>
        <v/>
      </c>
      <c r="BH240" s="255">
        <f>AB240</f>
        <v/>
      </c>
      <c r="BI240" s="263" t="inlineStr">
        <is>
          <t>Worst Case Approved</t>
        </is>
      </c>
    </row>
    <row r="241">
      <c r="C241" s="96" t="inlineStr">
        <is>
          <t>YEKENE</t>
        </is>
      </c>
      <c r="D241" s="49">
        <f>CONCATENATE(G241,"-",H241,"-",F241)</f>
        <v/>
      </c>
      <c r="E241" s="95" t="inlineStr">
        <is>
          <t>Jamara-8T-25CBM</t>
        </is>
      </c>
      <c r="F241" s="24" t="inlineStr">
        <is>
          <t>25CBM</t>
        </is>
      </c>
      <c r="G241" s="25" t="inlineStr">
        <is>
          <t>Closed Body Logistics</t>
        </is>
      </c>
      <c r="H241" s="101" t="inlineStr">
        <is>
          <t>8T</t>
        </is>
      </c>
      <c r="I241" s="102" t="inlineStr">
        <is>
          <t>Jamara</t>
        </is>
      </c>
      <c r="J241" s="103" t="inlineStr">
        <is>
          <t>Lagos</t>
        </is>
      </c>
      <c r="K241" s="107" t="inlineStr">
        <is>
          <t>Sagamu-Ijebu-Ode</t>
        </is>
      </c>
      <c r="L241" s="57" t="inlineStr">
        <is>
          <t>Ogun</t>
        </is>
      </c>
      <c r="M241" s="58" t="inlineStr">
        <is>
          <t>Ijebu-Ode</t>
        </is>
      </c>
      <c r="N241" s="196" t="n">
        <v>100</v>
      </c>
      <c r="O241" s="194">
        <f>N241*2</f>
        <v/>
      </c>
      <c r="P241" s="215">
        <f>ROUNDUP(O241/300,)</f>
        <v/>
      </c>
      <c r="Q241" s="215" t="n">
        <v>0.2</v>
      </c>
      <c r="R241" s="215">
        <f>Q241+P241</f>
        <v/>
      </c>
      <c r="S241" s="197">
        <f>ROUNDDOWN(O241*0.51,)+60</f>
        <v/>
      </c>
      <c r="T241" s="207">
        <f>_xlfn.XLOOKUP(F241,[1]Fx!$A$4:$A$10,[1]Fx!$B$4:$B$10)</f>
        <v/>
      </c>
      <c r="U241" s="207">
        <f>_xlfn.XLOOKUP(F241,[1]Fx!$A$4:$A$10,[1]Fx!$C$4:$C$10)</f>
        <v/>
      </c>
      <c r="V241" s="207">
        <f>_xlfn.XLOOKUP(F241,[1]Fx!$A$4:$A$10,[1]Fx!$D$4:$D$10)</f>
        <v/>
      </c>
      <c r="W241" s="207">
        <f>$V$2</f>
        <v/>
      </c>
      <c r="X241" s="207">
        <f>_xlfn.XLOOKUP(F241,[1]Fx!$A$4:$A$10,[1]Fx!$E$4:$E$10)</f>
        <v/>
      </c>
      <c r="Y241" s="215">
        <f>T241*R241</f>
        <v/>
      </c>
      <c r="Z241" s="215">
        <f>U241*O241</f>
        <v/>
      </c>
      <c r="AA241" s="215">
        <f>V241*O241</f>
        <v/>
      </c>
      <c r="AB241" s="215">
        <f>W241*O241</f>
        <v/>
      </c>
      <c r="AC241" s="197">
        <f>X241*O241</f>
        <v/>
      </c>
      <c r="AD241" s="215" t="n">
        <v>0</v>
      </c>
      <c r="AE241" s="215" t="n">
        <v>0</v>
      </c>
      <c r="AF241" s="207">
        <f>SUM(Y241:AE241)</f>
        <v/>
      </c>
      <c r="AG241" s="254">
        <f>_xlfn.XLOOKUP(F241,[1]Fx!$A$16:$A$22,[1]Fx!$B$16:$B$22)</f>
        <v/>
      </c>
      <c r="AH241" s="207">
        <f>AG241*R241</f>
        <v/>
      </c>
      <c r="AI241" s="207">
        <f>$AH$3*Z241</f>
        <v/>
      </c>
      <c r="AJ241" s="207">
        <f>$AI$3*AA241</f>
        <v/>
      </c>
      <c r="AK241" s="207">
        <f>$AJ$3*AB241</f>
        <v/>
      </c>
      <c r="AL241" s="207">
        <f>$AK$3*AC241</f>
        <v/>
      </c>
      <c r="AM241" s="220">
        <f>SUM(AH241:AL241)</f>
        <v/>
      </c>
      <c r="AN241" s="220" t="n">
        <v>0</v>
      </c>
      <c r="AO241" s="220">
        <f>AN241*AH241</f>
        <v/>
      </c>
      <c r="AP241" s="220">
        <f>AD241</f>
        <v/>
      </c>
      <c r="AQ241" s="220">
        <f>AE241</f>
        <v/>
      </c>
      <c r="AR241" s="208">
        <f>AM241-AO241</f>
        <v/>
      </c>
      <c r="AS241" s="220">
        <f>AR241-AK241</f>
        <v/>
      </c>
      <c r="AT241" s="208">
        <f>AS241*1.075</f>
        <v/>
      </c>
      <c r="AU241" s="208">
        <f>AT241+AK241</f>
        <v/>
      </c>
      <c r="AV241" s="195" t="n">
        <v>141581.78011258</v>
      </c>
      <c r="AW241" s="220" t="n"/>
      <c r="AX241" s="220">
        <f>AV241-AR241</f>
        <v/>
      </c>
      <c r="AY241" s="35">
        <f>AX241/AR241</f>
        <v/>
      </c>
      <c r="AZ241" s="220">
        <f>AV241-AF241</f>
        <v/>
      </c>
      <c r="BA241" s="215">
        <f>AV241-SUM(Z241:AC241)</f>
        <v/>
      </c>
      <c r="BB241" s="215">
        <f>BA241-Y241</f>
        <v/>
      </c>
      <c r="BC241" s="35">
        <f>BB241/BA241</f>
        <v/>
      </c>
      <c r="BD241" s="35">
        <f>IFERROR(AZ241/AV241,)</f>
        <v/>
      </c>
      <c r="BE241" s="255">
        <f>AV241-SUM(Z241:AC241)</f>
        <v/>
      </c>
      <c r="BF241" s="255">
        <f>AV241-BE241-AC241-AB241</f>
        <v/>
      </c>
      <c r="BG241" s="255">
        <f>AV241-BE241-BF241-AB241</f>
        <v/>
      </c>
      <c r="BH241" s="255">
        <f>AB241</f>
        <v/>
      </c>
      <c r="BI241" s="263" t="inlineStr">
        <is>
          <t>Worst Case Approved</t>
        </is>
      </c>
    </row>
    <row r="242">
      <c r="C242" s="96" t="inlineStr">
        <is>
          <t>YEKENE</t>
        </is>
      </c>
      <c r="D242" s="49">
        <f>CONCATENATE(G242,"-",H242,"-",F242)</f>
        <v/>
      </c>
      <c r="E242" s="95" t="inlineStr">
        <is>
          <t>Jamara-8T-25CBM</t>
        </is>
      </c>
      <c r="F242" s="24" t="inlineStr">
        <is>
          <t>25CBM</t>
        </is>
      </c>
      <c r="G242" s="25" t="inlineStr">
        <is>
          <t>Closed Body Logistics</t>
        </is>
      </c>
      <c r="H242" s="101" t="inlineStr">
        <is>
          <t>8T</t>
        </is>
      </c>
      <c r="I242" s="102" t="inlineStr">
        <is>
          <t>Jamara</t>
        </is>
      </c>
      <c r="J242" s="103" t="inlineStr">
        <is>
          <t>Lagos</t>
        </is>
      </c>
      <c r="K242" s="107" t="inlineStr">
        <is>
          <t>Sagamu-Ijebu-Ode</t>
        </is>
      </c>
      <c r="L242" s="57" t="inlineStr">
        <is>
          <t>Ogun</t>
        </is>
      </c>
      <c r="M242" s="58" t="inlineStr">
        <is>
          <t>Sagamu</t>
        </is>
      </c>
      <c r="N242" s="196" t="n">
        <v>70</v>
      </c>
      <c r="O242" s="194">
        <f>N242*2</f>
        <v/>
      </c>
      <c r="P242" s="215">
        <f>ROUNDUP(O242/300,)</f>
        <v/>
      </c>
      <c r="Q242" s="215" t="n">
        <v>0.2</v>
      </c>
      <c r="R242" s="215">
        <f>Q242+P242</f>
        <v/>
      </c>
      <c r="S242" s="197">
        <f>ROUNDDOWN(O242*0.51,)+60</f>
        <v/>
      </c>
      <c r="T242" s="207">
        <f>_xlfn.XLOOKUP(F242,[1]Fx!$A$4:$A$10,[1]Fx!$B$4:$B$10)</f>
        <v/>
      </c>
      <c r="U242" s="207">
        <f>_xlfn.XLOOKUP(F242,[1]Fx!$A$4:$A$10,[1]Fx!$C$4:$C$10)</f>
        <v/>
      </c>
      <c r="V242" s="207">
        <f>_xlfn.XLOOKUP(F242,[1]Fx!$A$4:$A$10,[1]Fx!$D$4:$D$10)</f>
        <v/>
      </c>
      <c r="W242" s="207">
        <f>$V$2</f>
        <v/>
      </c>
      <c r="X242" s="207">
        <f>_xlfn.XLOOKUP(F242,[1]Fx!$A$4:$A$10,[1]Fx!$E$4:$E$10)</f>
        <v/>
      </c>
      <c r="Y242" s="215">
        <f>T242*R242</f>
        <v/>
      </c>
      <c r="Z242" s="215">
        <f>U242*O242</f>
        <v/>
      </c>
      <c r="AA242" s="215">
        <f>V242*O242</f>
        <v/>
      </c>
      <c r="AB242" s="215">
        <f>W242*O242</f>
        <v/>
      </c>
      <c r="AC242" s="197">
        <f>X242*O242</f>
        <v/>
      </c>
      <c r="AD242" s="215" t="n">
        <v>0</v>
      </c>
      <c r="AE242" s="215" t="n">
        <v>0</v>
      </c>
      <c r="AF242" s="207">
        <f>SUM(Y242:AE242)</f>
        <v/>
      </c>
      <c r="AG242" s="254">
        <f>_xlfn.XLOOKUP(F242,[1]Fx!$A$16:$A$22,[1]Fx!$B$16:$B$22)</f>
        <v/>
      </c>
      <c r="AH242" s="207">
        <f>AG242*R242</f>
        <v/>
      </c>
      <c r="AI242" s="207">
        <f>$AH$3*Z242</f>
        <v/>
      </c>
      <c r="AJ242" s="207">
        <f>$AI$3*AA242</f>
        <v/>
      </c>
      <c r="AK242" s="207">
        <f>$AJ$3*AB242</f>
        <v/>
      </c>
      <c r="AL242" s="207">
        <f>$AK$3*AC242</f>
        <v/>
      </c>
      <c r="AM242" s="220">
        <f>SUM(AH242:AL242)</f>
        <v/>
      </c>
      <c r="AN242" s="220" t="n">
        <v>0</v>
      </c>
      <c r="AO242" s="220">
        <f>AN242*AH242</f>
        <v/>
      </c>
      <c r="AP242" s="220">
        <f>AD242</f>
        <v/>
      </c>
      <c r="AQ242" s="220">
        <f>AE242</f>
        <v/>
      </c>
      <c r="AR242" s="208">
        <f>AM242-AO242</f>
        <v/>
      </c>
      <c r="AS242" s="220">
        <f>AR242-AK242</f>
        <v/>
      </c>
      <c r="AT242" s="208">
        <f>AS242*1.075</f>
        <v/>
      </c>
      <c r="AU242" s="208">
        <f>AT242+AK242</f>
        <v/>
      </c>
      <c r="AV242" s="195" t="n">
        <v>141581.78011258</v>
      </c>
      <c r="AW242" s="220" t="n"/>
      <c r="AX242" s="220">
        <f>AV242-AR242</f>
        <v/>
      </c>
      <c r="AY242" s="35">
        <f>AX242/AR242</f>
        <v/>
      </c>
      <c r="AZ242" s="220">
        <f>AV242-AF242</f>
        <v/>
      </c>
      <c r="BA242" s="215">
        <f>AV242-SUM(Z242:AC242)</f>
        <v/>
      </c>
      <c r="BB242" s="215">
        <f>BA242-Y242</f>
        <v/>
      </c>
      <c r="BC242" s="35">
        <f>BB242/BA242</f>
        <v/>
      </c>
      <c r="BD242" s="35">
        <f>IFERROR(AZ242/AV242,)</f>
        <v/>
      </c>
      <c r="BE242" s="255">
        <f>AV242-SUM(Z242:AC242)</f>
        <v/>
      </c>
      <c r="BF242" s="255">
        <f>AV242-BE242-AC242-AB242</f>
        <v/>
      </c>
      <c r="BG242" s="255">
        <f>AV242-BE242-BF242-AB242</f>
        <v/>
      </c>
      <c r="BH242" s="255">
        <f>AB242</f>
        <v/>
      </c>
      <c r="BI242" s="263" t="inlineStr">
        <is>
          <t>Worst Case Approved</t>
        </is>
      </c>
    </row>
    <row r="243">
      <c r="C243" s="96" t="inlineStr">
        <is>
          <t>YEKENE</t>
        </is>
      </c>
      <c r="D243" s="49">
        <f>CONCATENATE(G243,"-",H243,"-",F243)</f>
        <v/>
      </c>
      <c r="E243" s="95" t="inlineStr">
        <is>
          <t>Jamara-8T-25CBM</t>
        </is>
      </c>
      <c r="F243" s="24" t="inlineStr">
        <is>
          <t>25CBM</t>
        </is>
      </c>
      <c r="G243" s="25" t="inlineStr">
        <is>
          <t>Closed Body Logistics</t>
        </is>
      </c>
      <c r="H243" s="101" t="inlineStr">
        <is>
          <t>8T</t>
        </is>
      </c>
      <c r="I243" s="102" t="inlineStr">
        <is>
          <t>Jamara</t>
        </is>
      </c>
      <c r="J243" s="103" t="inlineStr">
        <is>
          <t>Lagos</t>
        </is>
      </c>
      <c r="K243" s="107" t="inlineStr">
        <is>
          <t>Ojodu-Akute-Mowe</t>
        </is>
      </c>
      <c r="L243" s="57" t="inlineStr">
        <is>
          <t>Ogun</t>
        </is>
      </c>
      <c r="M243" s="58" t="inlineStr">
        <is>
          <t>Magboro</t>
        </is>
      </c>
      <c r="N243" s="196" t="n">
        <v>37.6</v>
      </c>
      <c r="O243" s="194">
        <f>N243*2</f>
        <v/>
      </c>
      <c r="P243" s="215">
        <f>ROUNDUP(O243/300,)</f>
        <v/>
      </c>
      <c r="Q243" s="215" t="n">
        <v>0.2</v>
      </c>
      <c r="R243" s="215">
        <f>Q243+P243</f>
        <v/>
      </c>
      <c r="S243" s="197">
        <f>ROUNDDOWN(O243*0.51,)+60</f>
        <v/>
      </c>
      <c r="T243" s="207">
        <f>_xlfn.XLOOKUP(F243,[1]Fx!$A$4:$A$10,[1]Fx!$B$4:$B$10)</f>
        <v/>
      </c>
      <c r="U243" s="207">
        <f>_xlfn.XLOOKUP(F243,[1]Fx!$A$4:$A$10,[1]Fx!$C$4:$C$10)</f>
        <v/>
      </c>
      <c r="V243" s="207">
        <f>_xlfn.XLOOKUP(F243,[1]Fx!$A$4:$A$10,[1]Fx!$D$4:$D$10)</f>
        <v/>
      </c>
      <c r="W243" s="207">
        <f>$V$2</f>
        <v/>
      </c>
      <c r="X243" s="207">
        <f>_xlfn.XLOOKUP(F243,[1]Fx!$A$4:$A$10,[1]Fx!$E$4:$E$10)</f>
        <v/>
      </c>
      <c r="Y243" s="215">
        <f>T243*R243</f>
        <v/>
      </c>
      <c r="Z243" s="215">
        <f>U243*O243</f>
        <v/>
      </c>
      <c r="AA243" s="215">
        <f>V243*O243</f>
        <v/>
      </c>
      <c r="AB243" s="215">
        <f>W243*O243</f>
        <v/>
      </c>
      <c r="AC243" s="197">
        <f>X243*O243</f>
        <v/>
      </c>
      <c r="AD243" s="215" t="n">
        <v>0</v>
      </c>
      <c r="AE243" s="215" t="n">
        <v>0</v>
      </c>
      <c r="AF243" s="207">
        <f>SUM(Y243:AE243)</f>
        <v/>
      </c>
      <c r="AG243" s="254">
        <f>_xlfn.XLOOKUP(F243,[1]Fx!$A$16:$A$22,[1]Fx!$B$16:$B$22)</f>
        <v/>
      </c>
      <c r="AH243" s="207">
        <f>AG243*R243</f>
        <v/>
      </c>
      <c r="AI243" s="207">
        <f>$AH$3*Z243</f>
        <v/>
      </c>
      <c r="AJ243" s="207">
        <f>$AI$3*AA243</f>
        <v/>
      </c>
      <c r="AK243" s="207">
        <f>$AJ$3*AB243</f>
        <v/>
      </c>
      <c r="AL243" s="207">
        <f>$AK$3*AC243</f>
        <v/>
      </c>
      <c r="AM243" s="220">
        <f>SUM(AH243:AL243)</f>
        <v/>
      </c>
      <c r="AN243" s="220" t="n">
        <v>0</v>
      </c>
      <c r="AO243" s="220">
        <f>AN243*AH243</f>
        <v/>
      </c>
      <c r="AP243" s="220">
        <f>AD243</f>
        <v/>
      </c>
      <c r="AQ243" s="220">
        <f>AE243</f>
        <v/>
      </c>
      <c r="AR243" s="208">
        <f>AM243-AO243</f>
        <v/>
      </c>
      <c r="AS243" s="220">
        <f>AR243-AK243</f>
        <v/>
      </c>
      <c r="AT243" s="208">
        <f>AS243*1.075</f>
        <v/>
      </c>
      <c r="AU243" s="208">
        <f>AT243+AK243</f>
        <v/>
      </c>
      <c r="AV243" s="195" t="n">
        <v>141581.78011258</v>
      </c>
      <c r="AW243" s="220" t="n"/>
      <c r="AX243" s="220">
        <f>AV243-AR243</f>
        <v/>
      </c>
      <c r="AY243" s="35">
        <f>AX243/AR243</f>
        <v/>
      </c>
      <c r="AZ243" s="220">
        <f>AV243-AF243</f>
        <v/>
      </c>
      <c r="BA243" s="215">
        <f>AV243-SUM(Z243:AC243)</f>
        <v/>
      </c>
      <c r="BB243" s="215">
        <f>BA243-Y243</f>
        <v/>
      </c>
      <c r="BC243" s="35">
        <f>BB243/BA243</f>
        <v/>
      </c>
      <c r="BD243" s="35">
        <f>IFERROR(AZ243/AV243,)</f>
        <v/>
      </c>
      <c r="BE243" s="255">
        <f>AV243-SUM(Z243:AC243)</f>
        <v/>
      </c>
      <c r="BF243" s="255">
        <f>AV243-BE243-AC243-AB243</f>
        <v/>
      </c>
      <c r="BG243" s="255">
        <f>AV243-BE243-BF243-AB243</f>
        <v/>
      </c>
      <c r="BH243" s="255">
        <f>AB243</f>
        <v/>
      </c>
      <c r="BI243" s="263" t="inlineStr">
        <is>
          <t>Worst Case Approved</t>
        </is>
      </c>
    </row>
    <row r="244">
      <c r="C244" s="96" t="inlineStr">
        <is>
          <t>YEKENE</t>
        </is>
      </c>
      <c r="D244" s="49">
        <f>CONCATENATE(G244,"-",H244,"-",F244)</f>
        <v/>
      </c>
      <c r="E244" s="95" t="inlineStr">
        <is>
          <t>Jamara-8T-25CBM</t>
        </is>
      </c>
      <c r="F244" s="24" t="inlineStr">
        <is>
          <t>25CBM</t>
        </is>
      </c>
      <c r="G244" s="25" t="inlineStr">
        <is>
          <t>Closed Body Logistics</t>
        </is>
      </c>
      <c r="H244" s="101" t="inlineStr">
        <is>
          <t>8T</t>
        </is>
      </c>
      <c r="I244" s="102" t="inlineStr">
        <is>
          <t>Jamara</t>
        </is>
      </c>
      <c r="J244" s="103" t="inlineStr">
        <is>
          <t>Lagos</t>
        </is>
      </c>
      <c r="K244" s="107" t="inlineStr">
        <is>
          <t>Ojodu-Akute-Mowe</t>
        </is>
      </c>
      <c r="L244" s="57" t="inlineStr">
        <is>
          <t>Ogun</t>
        </is>
      </c>
      <c r="M244" s="58" t="inlineStr">
        <is>
          <t>Akute</t>
        </is>
      </c>
      <c r="N244" s="196" t="n">
        <v>25</v>
      </c>
      <c r="O244" s="194">
        <f>N244*2</f>
        <v/>
      </c>
      <c r="P244" s="215">
        <f>ROUNDUP(O244/300,)</f>
        <v/>
      </c>
      <c r="Q244" s="215" t="n">
        <v>0.2</v>
      </c>
      <c r="R244" s="215">
        <f>Q244+P244</f>
        <v/>
      </c>
      <c r="S244" s="197">
        <f>ROUNDDOWN(O244*0.51,)+60</f>
        <v/>
      </c>
      <c r="T244" s="207">
        <f>_xlfn.XLOOKUP(F244,[1]Fx!$A$4:$A$10,[1]Fx!$B$4:$B$10)</f>
        <v/>
      </c>
      <c r="U244" s="207">
        <f>_xlfn.XLOOKUP(F244,[1]Fx!$A$4:$A$10,[1]Fx!$C$4:$C$10)</f>
        <v/>
      </c>
      <c r="V244" s="207">
        <f>_xlfn.XLOOKUP(F244,[1]Fx!$A$4:$A$10,[1]Fx!$D$4:$D$10)</f>
        <v/>
      </c>
      <c r="W244" s="207">
        <f>$V$2</f>
        <v/>
      </c>
      <c r="X244" s="207">
        <f>_xlfn.XLOOKUP(F244,[1]Fx!$A$4:$A$10,[1]Fx!$E$4:$E$10)</f>
        <v/>
      </c>
      <c r="Y244" s="215">
        <f>T244*R244</f>
        <v/>
      </c>
      <c r="Z244" s="215">
        <f>U244*O244</f>
        <v/>
      </c>
      <c r="AA244" s="215">
        <f>V244*O244</f>
        <v/>
      </c>
      <c r="AB244" s="215">
        <f>W244*O244</f>
        <v/>
      </c>
      <c r="AC244" s="197">
        <f>X244*O244</f>
        <v/>
      </c>
      <c r="AD244" s="215" t="n">
        <v>0</v>
      </c>
      <c r="AE244" s="215" t="n">
        <v>0</v>
      </c>
      <c r="AF244" s="207">
        <f>SUM(Y244:AE244)</f>
        <v/>
      </c>
      <c r="AG244" s="254">
        <f>_xlfn.XLOOKUP(F244,[1]Fx!$A$16:$A$22,[1]Fx!$B$16:$B$22)</f>
        <v/>
      </c>
      <c r="AH244" s="207">
        <f>AG244*R244</f>
        <v/>
      </c>
      <c r="AI244" s="207">
        <f>$AH$3*Z244</f>
        <v/>
      </c>
      <c r="AJ244" s="207">
        <f>$AI$3*AA244</f>
        <v/>
      </c>
      <c r="AK244" s="207">
        <f>$AJ$3*AB244</f>
        <v/>
      </c>
      <c r="AL244" s="207">
        <f>$AK$3*AC244</f>
        <v/>
      </c>
      <c r="AM244" s="220">
        <f>SUM(AH244:AL244)</f>
        <v/>
      </c>
      <c r="AN244" s="220" t="n">
        <v>0</v>
      </c>
      <c r="AO244" s="220">
        <f>AN244*AH244</f>
        <v/>
      </c>
      <c r="AP244" s="220">
        <f>AD244</f>
        <v/>
      </c>
      <c r="AQ244" s="220">
        <f>AE244</f>
        <v/>
      </c>
      <c r="AR244" s="208">
        <f>AM244-AO244</f>
        <v/>
      </c>
      <c r="AS244" s="220">
        <f>AR244-AK244</f>
        <v/>
      </c>
      <c r="AT244" s="208">
        <f>AS244*1.075</f>
        <v/>
      </c>
      <c r="AU244" s="208">
        <f>AT244+AK244</f>
        <v/>
      </c>
      <c r="AV244" s="195" t="n">
        <v>141581.78011258</v>
      </c>
      <c r="AW244" s="220" t="n"/>
      <c r="AX244" s="220">
        <f>AV244-AR244</f>
        <v/>
      </c>
      <c r="AY244" s="35">
        <f>AX244/AR244</f>
        <v/>
      </c>
      <c r="AZ244" s="220">
        <f>AV244-AF244</f>
        <v/>
      </c>
      <c r="BA244" s="215">
        <f>AV244-SUM(Z244:AC244)</f>
        <v/>
      </c>
      <c r="BB244" s="215">
        <f>BA244-Y244</f>
        <v/>
      </c>
      <c r="BC244" s="35">
        <f>BB244/BA244</f>
        <v/>
      </c>
      <c r="BD244" s="35">
        <f>IFERROR(AZ244/AV244,)</f>
        <v/>
      </c>
      <c r="BE244" s="255">
        <f>AV244-SUM(Z244:AC244)</f>
        <v/>
      </c>
      <c r="BF244" s="255">
        <f>AV244-BE244-AC244-AB244</f>
        <v/>
      </c>
      <c r="BG244" s="255">
        <f>AV244-BE244-BF244-AB244</f>
        <v/>
      </c>
      <c r="BH244" s="255">
        <f>AB244</f>
        <v/>
      </c>
      <c r="BI244" s="263" t="inlineStr">
        <is>
          <t>Worst Case Approved</t>
        </is>
      </c>
    </row>
    <row r="245">
      <c r="C245" s="96" t="inlineStr">
        <is>
          <t>YEKENE</t>
        </is>
      </c>
      <c r="D245" s="49">
        <f>CONCATENATE(G245,"-",H245,"-",F245)</f>
        <v/>
      </c>
      <c r="E245" s="95" t="inlineStr">
        <is>
          <t>Jamara-8T-25CBM</t>
        </is>
      </c>
      <c r="F245" s="24" t="inlineStr">
        <is>
          <t>25CBM</t>
        </is>
      </c>
      <c r="G245" s="25" t="inlineStr">
        <is>
          <t>Closed Body Logistics</t>
        </is>
      </c>
      <c r="H245" s="101" t="inlineStr">
        <is>
          <t>8T</t>
        </is>
      </c>
      <c r="I245" s="102" t="inlineStr">
        <is>
          <t>Jamara</t>
        </is>
      </c>
      <c r="J245" s="103" t="inlineStr">
        <is>
          <t>Lagos</t>
        </is>
      </c>
      <c r="K245" s="107" t="inlineStr">
        <is>
          <t>Ojodu-Akute-Mowe</t>
        </is>
      </c>
      <c r="L245" s="57" t="inlineStr">
        <is>
          <t>Lagos</t>
        </is>
      </c>
      <c r="M245" s="58" t="inlineStr">
        <is>
          <t>Ojodu</t>
        </is>
      </c>
      <c r="N245" s="196" t="n">
        <v>25</v>
      </c>
      <c r="O245" s="194">
        <f>N245*2</f>
        <v/>
      </c>
      <c r="P245" s="215">
        <f>ROUNDUP(O245/300,)</f>
        <v/>
      </c>
      <c r="Q245" s="215" t="n">
        <v>0.2</v>
      </c>
      <c r="R245" s="215">
        <f>Q245+P245</f>
        <v/>
      </c>
      <c r="S245" s="197">
        <f>ROUNDDOWN(O245*0.51,)+60</f>
        <v/>
      </c>
      <c r="T245" s="207">
        <f>_xlfn.XLOOKUP(F245,[1]Fx!$A$4:$A$10,[1]Fx!$B$4:$B$10)</f>
        <v/>
      </c>
      <c r="U245" s="207">
        <f>_xlfn.XLOOKUP(F245,[1]Fx!$A$4:$A$10,[1]Fx!$C$4:$C$10)</f>
        <v/>
      </c>
      <c r="V245" s="207">
        <f>_xlfn.XLOOKUP(F245,[1]Fx!$A$4:$A$10,[1]Fx!$D$4:$D$10)</f>
        <v/>
      </c>
      <c r="W245" s="207">
        <f>$V$2</f>
        <v/>
      </c>
      <c r="X245" s="207">
        <f>_xlfn.XLOOKUP(F245,[1]Fx!$A$4:$A$10,[1]Fx!$E$4:$E$10)</f>
        <v/>
      </c>
      <c r="Y245" s="215">
        <f>T245*R245</f>
        <v/>
      </c>
      <c r="Z245" s="215">
        <f>U245*O245</f>
        <v/>
      </c>
      <c r="AA245" s="215">
        <f>V245*O245</f>
        <v/>
      </c>
      <c r="AB245" s="215">
        <f>W245*O245</f>
        <v/>
      </c>
      <c r="AC245" s="197">
        <f>X245*O245</f>
        <v/>
      </c>
      <c r="AD245" s="215" t="n">
        <v>0</v>
      </c>
      <c r="AE245" s="215" t="n">
        <v>0</v>
      </c>
      <c r="AF245" s="207">
        <f>SUM(Y245:AE245)</f>
        <v/>
      </c>
      <c r="AG245" s="254">
        <f>_xlfn.XLOOKUP(F245,[1]Fx!$A$16:$A$22,[1]Fx!$B$16:$B$22)</f>
        <v/>
      </c>
      <c r="AH245" s="207">
        <f>AG245*R245</f>
        <v/>
      </c>
      <c r="AI245" s="207">
        <f>$AH$3*Z245</f>
        <v/>
      </c>
      <c r="AJ245" s="207">
        <f>$AI$3*AA245</f>
        <v/>
      </c>
      <c r="AK245" s="207">
        <f>$AJ$3*AB245</f>
        <v/>
      </c>
      <c r="AL245" s="207">
        <f>$AK$3*AC245</f>
        <v/>
      </c>
      <c r="AM245" s="220">
        <f>SUM(AH245:AL245)</f>
        <v/>
      </c>
      <c r="AN245" s="220" t="n">
        <v>0</v>
      </c>
      <c r="AO245" s="220">
        <f>AN245*AH245</f>
        <v/>
      </c>
      <c r="AP245" s="220">
        <f>AD245</f>
        <v/>
      </c>
      <c r="AQ245" s="220">
        <f>AE245</f>
        <v/>
      </c>
      <c r="AR245" s="208">
        <f>AM245-AO245</f>
        <v/>
      </c>
      <c r="AS245" s="220">
        <f>AR245-AK245</f>
        <v/>
      </c>
      <c r="AT245" s="208">
        <f>AS245*1.075</f>
        <v/>
      </c>
      <c r="AU245" s="208">
        <f>AT245+AK245</f>
        <v/>
      </c>
      <c r="AV245" s="195" t="n">
        <v>141581.78011258</v>
      </c>
      <c r="AW245" s="220" t="n"/>
      <c r="AX245" s="220">
        <f>AV245-AR245</f>
        <v/>
      </c>
      <c r="AY245" s="35">
        <f>AX245/AR245</f>
        <v/>
      </c>
      <c r="AZ245" s="220">
        <f>AV245-AF245</f>
        <v/>
      </c>
      <c r="BA245" s="215">
        <f>AV245-SUM(Z245:AC245)</f>
        <v/>
      </c>
      <c r="BB245" s="215">
        <f>BA245-Y245</f>
        <v/>
      </c>
      <c r="BC245" s="35">
        <f>BB245/BA245</f>
        <v/>
      </c>
      <c r="BD245" s="35">
        <f>IFERROR(AZ245/AV245,)</f>
        <v/>
      </c>
      <c r="BE245" s="255">
        <f>AV245-SUM(Z245:AC245)</f>
        <v/>
      </c>
      <c r="BF245" s="255">
        <f>AV245-BE245-AC245-AB245</f>
        <v/>
      </c>
      <c r="BG245" s="255">
        <f>AV245-BE245-BF245-AB245</f>
        <v/>
      </c>
      <c r="BH245" s="255">
        <f>AB245</f>
        <v/>
      </c>
      <c r="BI245" s="263" t="inlineStr">
        <is>
          <t>Worst Case Approved</t>
        </is>
      </c>
    </row>
    <row r="246">
      <c r="C246" s="96" t="inlineStr">
        <is>
          <t>YEKENE</t>
        </is>
      </c>
      <c r="D246" s="49">
        <f>CONCATENATE(G246,"-",H246,"-",F246)</f>
        <v/>
      </c>
      <c r="E246" s="95" t="inlineStr">
        <is>
          <t>Jamara-8T-25CBM</t>
        </is>
      </c>
      <c r="F246" s="24" t="inlineStr">
        <is>
          <t>25CBM</t>
        </is>
      </c>
      <c r="G246" s="25" t="inlineStr">
        <is>
          <t>Closed Body Logistics</t>
        </is>
      </c>
      <c r="H246" s="101" t="inlineStr">
        <is>
          <t>8T</t>
        </is>
      </c>
      <c r="I246" s="102" t="inlineStr">
        <is>
          <t>Jamara</t>
        </is>
      </c>
      <c r="J246" s="103" t="inlineStr">
        <is>
          <t>Lagos</t>
        </is>
      </c>
      <c r="K246" s="107" t="inlineStr">
        <is>
          <t>Surulere-Tejuosho-Yaba-Ebute Metta-Oyingbo</t>
        </is>
      </c>
      <c r="L246" s="57" t="inlineStr">
        <is>
          <t>Lagos</t>
        </is>
      </c>
      <c r="M246" s="58" t="inlineStr">
        <is>
          <t>Yaba</t>
        </is>
      </c>
      <c r="N246" s="196" t="n">
        <v>15</v>
      </c>
      <c r="O246" s="194">
        <f>N246*2</f>
        <v/>
      </c>
      <c r="P246" s="215">
        <f>ROUNDUP(O246/300,)</f>
        <v/>
      </c>
      <c r="Q246" s="215" t="n">
        <v>0.2</v>
      </c>
      <c r="R246" s="215">
        <f>Q246+P246</f>
        <v/>
      </c>
      <c r="S246" s="197">
        <f>ROUNDDOWN(O246*0.51,)+60</f>
        <v/>
      </c>
      <c r="T246" s="207">
        <f>_xlfn.XLOOKUP(F246,[1]Fx!$A$4:$A$10,[1]Fx!$B$4:$B$10)</f>
        <v/>
      </c>
      <c r="U246" s="207">
        <f>_xlfn.XLOOKUP(F246,[1]Fx!$A$4:$A$10,[1]Fx!$C$4:$C$10)</f>
        <v/>
      </c>
      <c r="V246" s="207">
        <f>_xlfn.XLOOKUP(F246,[1]Fx!$A$4:$A$10,[1]Fx!$D$4:$D$10)</f>
        <v/>
      </c>
      <c r="W246" s="207">
        <f>$V$2</f>
        <v/>
      </c>
      <c r="X246" s="207">
        <f>_xlfn.XLOOKUP(F246,[1]Fx!$A$4:$A$10,[1]Fx!$E$4:$E$10)</f>
        <v/>
      </c>
      <c r="Y246" s="215">
        <f>T246*R246</f>
        <v/>
      </c>
      <c r="Z246" s="215">
        <f>U246*O246</f>
        <v/>
      </c>
      <c r="AA246" s="215">
        <f>V246*O246</f>
        <v/>
      </c>
      <c r="AB246" s="215">
        <f>W246*O246</f>
        <v/>
      </c>
      <c r="AC246" s="197">
        <f>X246*O246</f>
        <v/>
      </c>
      <c r="AD246" s="215" t="n">
        <v>0</v>
      </c>
      <c r="AE246" s="215" t="n">
        <v>0</v>
      </c>
      <c r="AF246" s="207">
        <f>SUM(Y246:AE246)</f>
        <v/>
      </c>
      <c r="AG246" s="254">
        <f>_xlfn.XLOOKUP(F246,[1]Fx!$A$16:$A$22,[1]Fx!$B$16:$B$22)</f>
        <v/>
      </c>
      <c r="AH246" s="207">
        <f>AG246*R246</f>
        <v/>
      </c>
      <c r="AI246" s="207">
        <f>$AH$3*Z246</f>
        <v/>
      </c>
      <c r="AJ246" s="207">
        <f>$AI$3*AA246</f>
        <v/>
      </c>
      <c r="AK246" s="207">
        <f>$AJ$3*AB246</f>
        <v/>
      </c>
      <c r="AL246" s="207">
        <f>$AK$3*AC246</f>
        <v/>
      </c>
      <c r="AM246" s="220">
        <f>SUM(AH246:AL246)</f>
        <v/>
      </c>
      <c r="AN246" s="220" t="n">
        <v>0</v>
      </c>
      <c r="AO246" s="220">
        <f>AN246*AH246</f>
        <v/>
      </c>
      <c r="AP246" s="220">
        <f>AD246</f>
        <v/>
      </c>
      <c r="AQ246" s="220">
        <f>AE246</f>
        <v/>
      </c>
      <c r="AR246" s="208">
        <f>AM246-AO246</f>
        <v/>
      </c>
      <c r="AS246" s="220">
        <f>AR246-AK246</f>
        <v/>
      </c>
      <c r="AT246" s="208">
        <f>AS246*1.075</f>
        <v/>
      </c>
      <c r="AU246" s="208">
        <f>AT246+AK246</f>
        <v/>
      </c>
      <c r="AV246" s="195" t="n">
        <v>141581.78011258</v>
      </c>
      <c r="AW246" s="220" t="n"/>
      <c r="AX246" s="220">
        <f>AV246-AR246</f>
        <v/>
      </c>
      <c r="AY246" s="35">
        <f>AX246/AR246</f>
        <v/>
      </c>
      <c r="AZ246" s="220">
        <f>AV246-AF246</f>
        <v/>
      </c>
      <c r="BA246" s="215">
        <f>AV246-SUM(Z246:AC246)</f>
        <v/>
      </c>
      <c r="BB246" s="215">
        <f>BA246-Y246</f>
        <v/>
      </c>
      <c r="BC246" s="35">
        <f>BB246/BA246</f>
        <v/>
      </c>
      <c r="BD246" s="35">
        <f>IFERROR(AZ246/AV246,)</f>
        <v/>
      </c>
      <c r="BE246" s="255">
        <f>AV246-SUM(Z246:AC246)</f>
        <v/>
      </c>
      <c r="BF246" s="255">
        <f>AV246-BE246-AC246-AB246</f>
        <v/>
      </c>
      <c r="BG246" s="255">
        <f>AV246-BE246-BF246-AB246</f>
        <v/>
      </c>
      <c r="BH246" s="255">
        <f>AB246</f>
        <v/>
      </c>
      <c r="BI246" s="263" t="inlineStr">
        <is>
          <t>Worst Case Approved</t>
        </is>
      </c>
    </row>
    <row r="247">
      <c r="C247" s="96" t="inlineStr">
        <is>
          <t>YEKENE</t>
        </is>
      </c>
      <c r="D247" s="49">
        <f>CONCATENATE(G247,"-",H247,"-",F247)</f>
        <v/>
      </c>
      <c r="E247" s="95" t="inlineStr">
        <is>
          <t>Jamara-8T-25CBM</t>
        </is>
      </c>
      <c r="F247" s="24" t="inlineStr">
        <is>
          <t>25CBM</t>
        </is>
      </c>
      <c r="G247" s="25" t="inlineStr">
        <is>
          <t>Closed Body Logistics</t>
        </is>
      </c>
      <c r="H247" s="101" t="inlineStr">
        <is>
          <t>8T</t>
        </is>
      </c>
      <c r="I247" s="102" t="inlineStr">
        <is>
          <t>Jamara</t>
        </is>
      </c>
      <c r="J247" s="103" t="inlineStr">
        <is>
          <t>Lagos</t>
        </is>
      </c>
      <c r="K247" s="107" t="inlineStr">
        <is>
          <t>Surulere-Tejuosho-Yaba-Ebute Metta-Oyingbo</t>
        </is>
      </c>
      <c r="L247" s="57" t="inlineStr">
        <is>
          <t>Lagos</t>
        </is>
      </c>
      <c r="M247" s="58" t="inlineStr">
        <is>
          <t>Surulere</t>
        </is>
      </c>
      <c r="N247" s="196" t="n">
        <v>14</v>
      </c>
      <c r="O247" s="194">
        <f>N247*2</f>
        <v/>
      </c>
      <c r="P247" s="215">
        <f>ROUNDUP(O247/300,)</f>
        <v/>
      </c>
      <c r="Q247" s="215" t="n">
        <v>0.2</v>
      </c>
      <c r="R247" s="215">
        <f>Q247+P247</f>
        <v/>
      </c>
      <c r="S247" s="197">
        <f>ROUNDDOWN(O247*0.51,)+60</f>
        <v/>
      </c>
      <c r="T247" s="207">
        <f>_xlfn.XLOOKUP(F247,[1]Fx!$A$4:$A$10,[1]Fx!$B$4:$B$10)</f>
        <v/>
      </c>
      <c r="U247" s="207">
        <f>_xlfn.XLOOKUP(F247,[1]Fx!$A$4:$A$10,[1]Fx!$C$4:$C$10)</f>
        <v/>
      </c>
      <c r="V247" s="207">
        <f>_xlfn.XLOOKUP(F247,[1]Fx!$A$4:$A$10,[1]Fx!$D$4:$D$10)</f>
        <v/>
      </c>
      <c r="W247" s="207">
        <f>$V$2</f>
        <v/>
      </c>
      <c r="X247" s="207">
        <f>_xlfn.XLOOKUP(F247,[1]Fx!$A$4:$A$10,[1]Fx!$E$4:$E$10)</f>
        <v/>
      </c>
      <c r="Y247" s="215">
        <f>T247*R247</f>
        <v/>
      </c>
      <c r="Z247" s="215">
        <f>U247*O247</f>
        <v/>
      </c>
      <c r="AA247" s="215">
        <f>V247*O247</f>
        <v/>
      </c>
      <c r="AB247" s="215">
        <f>W247*O247</f>
        <v/>
      </c>
      <c r="AC247" s="197">
        <f>X247*O247</f>
        <v/>
      </c>
      <c r="AD247" s="215" t="n">
        <v>0</v>
      </c>
      <c r="AE247" s="215" t="n">
        <v>0</v>
      </c>
      <c r="AF247" s="207">
        <f>SUM(Y247:AE247)</f>
        <v/>
      </c>
      <c r="AG247" s="254">
        <f>_xlfn.XLOOKUP(F247,[1]Fx!$A$16:$A$22,[1]Fx!$B$16:$B$22)</f>
        <v/>
      </c>
      <c r="AH247" s="207">
        <f>AG247*R247</f>
        <v/>
      </c>
      <c r="AI247" s="207">
        <f>$AH$3*Z247</f>
        <v/>
      </c>
      <c r="AJ247" s="207">
        <f>$AI$3*AA247</f>
        <v/>
      </c>
      <c r="AK247" s="207">
        <f>$AJ$3*AB247</f>
        <v/>
      </c>
      <c r="AL247" s="207">
        <f>$AK$3*AC247</f>
        <v/>
      </c>
      <c r="AM247" s="220">
        <f>SUM(AH247:AL247)</f>
        <v/>
      </c>
      <c r="AN247" s="220" t="n">
        <v>0</v>
      </c>
      <c r="AO247" s="220">
        <f>AN247*AH247</f>
        <v/>
      </c>
      <c r="AP247" s="220">
        <f>AD247</f>
        <v/>
      </c>
      <c r="AQ247" s="220">
        <f>AE247</f>
        <v/>
      </c>
      <c r="AR247" s="208">
        <f>AM247-AO247</f>
        <v/>
      </c>
      <c r="AS247" s="220">
        <f>AR247-AK247</f>
        <v/>
      </c>
      <c r="AT247" s="208">
        <f>AS247*1.075</f>
        <v/>
      </c>
      <c r="AU247" s="208">
        <f>AT247+AK247</f>
        <v/>
      </c>
      <c r="AV247" s="195" t="n">
        <v>141581.78011258</v>
      </c>
      <c r="AW247" s="220" t="n"/>
      <c r="AX247" s="220">
        <f>AV247-AR247</f>
        <v/>
      </c>
      <c r="AY247" s="35">
        <f>AX247/AR247</f>
        <v/>
      </c>
      <c r="AZ247" s="220">
        <f>AV247-AF247</f>
        <v/>
      </c>
      <c r="BA247" s="215">
        <f>AV247-SUM(Z247:AC247)</f>
        <v/>
      </c>
      <c r="BB247" s="215">
        <f>BA247-Y247</f>
        <v/>
      </c>
      <c r="BC247" s="35">
        <f>BB247/BA247</f>
        <v/>
      </c>
      <c r="BD247" s="35">
        <f>IFERROR(AZ247/AV247,)</f>
        <v/>
      </c>
      <c r="BE247" s="255">
        <f>AV247-SUM(Z247:AC247)</f>
        <v/>
      </c>
      <c r="BF247" s="255">
        <f>AV247-BE247-AC247-AB247</f>
        <v/>
      </c>
      <c r="BG247" s="255">
        <f>AV247-BE247-BF247-AB247</f>
        <v/>
      </c>
      <c r="BH247" s="255">
        <f>AB247</f>
        <v/>
      </c>
      <c r="BI247" s="263" t="inlineStr">
        <is>
          <t xml:space="preserve">To Check </t>
        </is>
      </c>
    </row>
    <row r="248">
      <c r="C248" s="96" t="inlineStr">
        <is>
          <t>YEKENE</t>
        </is>
      </c>
      <c r="D248" s="49">
        <f>CONCATENATE(G248,"-",H248,"-",F248)</f>
        <v/>
      </c>
      <c r="E248" s="95" t="inlineStr">
        <is>
          <t>Jamara-8T-25CBM</t>
        </is>
      </c>
      <c r="F248" s="24" t="inlineStr">
        <is>
          <t>25CBM</t>
        </is>
      </c>
      <c r="G248" s="25" t="inlineStr">
        <is>
          <t>Closed Body Logistics</t>
        </is>
      </c>
      <c r="H248" s="101" t="inlineStr">
        <is>
          <t>8T</t>
        </is>
      </c>
      <c r="I248" s="102" t="inlineStr">
        <is>
          <t>Jamara</t>
        </is>
      </c>
      <c r="J248" s="103" t="inlineStr">
        <is>
          <t>Lagos</t>
        </is>
      </c>
      <c r="K248" s="107" t="inlineStr">
        <is>
          <t>Surulere-Tejuosho-Yaba-Ebute Metta-Oyingbo</t>
        </is>
      </c>
      <c r="L248" s="57" t="inlineStr">
        <is>
          <t>Lagos</t>
        </is>
      </c>
      <c r="M248" s="58" t="inlineStr">
        <is>
          <t>Tejuosho</t>
        </is>
      </c>
      <c r="N248" s="196" t="n">
        <v>19</v>
      </c>
      <c r="O248" s="194">
        <f>N248*2</f>
        <v/>
      </c>
      <c r="P248" s="215">
        <f>ROUNDUP(O248/300,)</f>
        <v/>
      </c>
      <c r="Q248" s="215" t="n">
        <v>0.2</v>
      </c>
      <c r="R248" s="215">
        <f>Q248+P248</f>
        <v/>
      </c>
      <c r="S248" s="197">
        <f>ROUNDDOWN(O248*0.51,)+60</f>
        <v/>
      </c>
      <c r="T248" s="207">
        <f>_xlfn.XLOOKUP(F248,[1]Fx!$A$4:$A$10,[1]Fx!$B$4:$B$10)</f>
        <v/>
      </c>
      <c r="U248" s="207">
        <f>_xlfn.XLOOKUP(F248,[1]Fx!$A$4:$A$10,[1]Fx!$C$4:$C$10)</f>
        <v/>
      </c>
      <c r="V248" s="207">
        <f>_xlfn.XLOOKUP(F248,[1]Fx!$A$4:$A$10,[1]Fx!$D$4:$D$10)</f>
        <v/>
      </c>
      <c r="W248" s="207">
        <f>$V$2</f>
        <v/>
      </c>
      <c r="X248" s="207">
        <f>_xlfn.XLOOKUP(F248,[1]Fx!$A$4:$A$10,[1]Fx!$E$4:$E$10)</f>
        <v/>
      </c>
      <c r="Y248" s="215">
        <f>T248*R248</f>
        <v/>
      </c>
      <c r="Z248" s="215">
        <f>U248*O248</f>
        <v/>
      </c>
      <c r="AA248" s="215">
        <f>V248*O248</f>
        <v/>
      </c>
      <c r="AB248" s="215">
        <f>W248*O248</f>
        <v/>
      </c>
      <c r="AC248" s="197">
        <f>X248*O248</f>
        <v/>
      </c>
      <c r="AD248" s="215" t="n">
        <v>0</v>
      </c>
      <c r="AE248" s="215" t="n">
        <v>0</v>
      </c>
      <c r="AF248" s="207">
        <f>SUM(Y248:AE248)</f>
        <v/>
      </c>
      <c r="AG248" s="254">
        <f>_xlfn.XLOOKUP(F248,[1]Fx!$A$16:$A$22,[1]Fx!$B$16:$B$22)</f>
        <v/>
      </c>
      <c r="AH248" s="207">
        <f>AG248*R248</f>
        <v/>
      </c>
      <c r="AI248" s="207">
        <f>$AH$3*Z248</f>
        <v/>
      </c>
      <c r="AJ248" s="207">
        <f>$AI$3*AA248</f>
        <v/>
      </c>
      <c r="AK248" s="207">
        <f>$AJ$3*AB248</f>
        <v/>
      </c>
      <c r="AL248" s="207">
        <f>$AK$3*AC248</f>
        <v/>
      </c>
      <c r="AM248" s="220">
        <f>SUM(AH248:AL248)</f>
        <v/>
      </c>
      <c r="AN248" s="220" t="n">
        <v>0</v>
      </c>
      <c r="AO248" s="220">
        <f>AN248*AH248</f>
        <v/>
      </c>
      <c r="AP248" s="220">
        <f>AD248</f>
        <v/>
      </c>
      <c r="AQ248" s="220">
        <f>AE248</f>
        <v/>
      </c>
      <c r="AR248" s="208">
        <f>AM248-AO248</f>
        <v/>
      </c>
      <c r="AS248" s="220">
        <f>AR248-AK248</f>
        <v/>
      </c>
      <c r="AT248" s="208">
        <f>AS248*1.075</f>
        <v/>
      </c>
      <c r="AU248" s="208">
        <f>AT248+AK248</f>
        <v/>
      </c>
      <c r="AV248" s="195" t="n">
        <v>141581.78011258</v>
      </c>
      <c r="AW248" s="220" t="n"/>
      <c r="AX248" s="220">
        <f>AV248-AR248</f>
        <v/>
      </c>
      <c r="AY248" s="35">
        <f>AX248/AR248</f>
        <v/>
      </c>
      <c r="AZ248" s="220">
        <f>AV248-AF248</f>
        <v/>
      </c>
      <c r="BA248" s="215">
        <f>AV248-SUM(Z248:AC248)</f>
        <v/>
      </c>
      <c r="BB248" s="215">
        <f>BA248-Y248</f>
        <v/>
      </c>
      <c r="BC248" s="35">
        <f>BB248/BA248</f>
        <v/>
      </c>
      <c r="BD248" s="35">
        <f>IFERROR(AZ248/AV248,)</f>
        <v/>
      </c>
      <c r="BE248" s="255">
        <f>AV248-SUM(Z248:AC248)</f>
        <v/>
      </c>
      <c r="BF248" s="255">
        <f>AV248-BE248-AC248-AB248</f>
        <v/>
      </c>
      <c r="BG248" s="255">
        <f>AV248-BE248-BF248-AB248</f>
        <v/>
      </c>
      <c r="BH248" s="255">
        <f>AB248</f>
        <v/>
      </c>
      <c r="BI248" s="263" t="inlineStr">
        <is>
          <t>Worst Case Approved</t>
        </is>
      </c>
    </row>
    <row r="249">
      <c r="C249" s="96" t="inlineStr">
        <is>
          <t>YEKENE</t>
        </is>
      </c>
      <c r="D249" s="49">
        <f>CONCATENATE(G249,"-",H249,"-",F249)</f>
        <v/>
      </c>
      <c r="E249" s="95" t="inlineStr">
        <is>
          <t>Jamara-8T-25CBM</t>
        </is>
      </c>
      <c r="F249" s="24" t="inlineStr">
        <is>
          <t>25CBM</t>
        </is>
      </c>
      <c r="G249" s="25" t="inlineStr">
        <is>
          <t>Closed Body Logistics</t>
        </is>
      </c>
      <c r="H249" s="101" t="inlineStr">
        <is>
          <t>8T</t>
        </is>
      </c>
      <c r="I249" s="102" t="inlineStr">
        <is>
          <t>Jamara</t>
        </is>
      </c>
      <c r="J249" s="103" t="inlineStr">
        <is>
          <t>Lagos</t>
        </is>
      </c>
      <c r="K249" s="104" t="inlineStr">
        <is>
          <t>Victoria Island-Lekki-Ajah</t>
        </is>
      </c>
      <c r="L249" s="57" t="inlineStr">
        <is>
          <t>Lagos</t>
        </is>
      </c>
      <c r="M249" s="58" t="inlineStr">
        <is>
          <t>Ibeju-Lekki</t>
        </is>
      </c>
      <c r="N249" s="196" t="n">
        <v>75</v>
      </c>
      <c r="O249" s="194">
        <f>N249*2</f>
        <v/>
      </c>
      <c r="P249" s="215">
        <f>ROUNDUP(O249/300,)</f>
        <v/>
      </c>
      <c r="Q249" s="215" t="n">
        <v>0.2</v>
      </c>
      <c r="R249" s="215">
        <f>Q249+P249</f>
        <v/>
      </c>
      <c r="S249" s="197">
        <f>ROUNDDOWN(O249*0.51,)+60</f>
        <v/>
      </c>
      <c r="T249" s="207">
        <f>_xlfn.XLOOKUP(F249,[1]Fx!$A$4:$A$10,[1]Fx!$B$4:$B$10)</f>
        <v/>
      </c>
      <c r="U249" s="207">
        <f>_xlfn.XLOOKUP(F249,[1]Fx!$A$4:$A$10,[1]Fx!$C$4:$C$10)</f>
        <v/>
      </c>
      <c r="V249" s="207">
        <f>_xlfn.XLOOKUP(F249,[1]Fx!$A$4:$A$10,[1]Fx!$D$4:$D$10)</f>
        <v/>
      </c>
      <c r="W249" s="207">
        <f>$V$2</f>
        <v/>
      </c>
      <c r="X249" s="207">
        <f>_xlfn.XLOOKUP(F249,[1]Fx!$A$4:$A$10,[1]Fx!$E$4:$E$10)</f>
        <v/>
      </c>
      <c r="Y249" s="215">
        <f>T249*R249</f>
        <v/>
      </c>
      <c r="Z249" s="215">
        <f>U249*O249</f>
        <v/>
      </c>
      <c r="AA249" s="215">
        <f>V249*O249</f>
        <v/>
      </c>
      <c r="AB249" s="215">
        <f>W249*O249</f>
        <v/>
      </c>
      <c r="AC249" s="197">
        <f>X249*O249</f>
        <v/>
      </c>
      <c r="AD249" s="215" t="n">
        <v>0</v>
      </c>
      <c r="AE249" s="215" t="n">
        <v>0</v>
      </c>
      <c r="AF249" s="207">
        <f>SUM(Y249:AE249)</f>
        <v/>
      </c>
      <c r="AG249" s="254">
        <f>_xlfn.XLOOKUP(F249,[1]Fx!$A$16:$A$22,[1]Fx!$B$16:$B$22)</f>
        <v/>
      </c>
      <c r="AH249" s="207">
        <f>AG249*R249</f>
        <v/>
      </c>
      <c r="AI249" s="207">
        <f>$AH$3*Z249</f>
        <v/>
      </c>
      <c r="AJ249" s="207">
        <f>$AI$3*AA249</f>
        <v/>
      </c>
      <c r="AK249" s="207">
        <f>$AJ$3*AB249</f>
        <v/>
      </c>
      <c r="AL249" s="207">
        <f>$AK$3*AC249</f>
        <v/>
      </c>
      <c r="AM249" s="220">
        <f>SUM(AH249:AL249)</f>
        <v/>
      </c>
      <c r="AN249" s="220" t="n">
        <v>0</v>
      </c>
      <c r="AO249" s="220">
        <f>AN249*AH249</f>
        <v/>
      </c>
      <c r="AP249" s="220">
        <f>AD249</f>
        <v/>
      </c>
      <c r="AQ249" s="220">
        <f>AE249</f>
        <v/>
      </c>
      <c r="AR249" s="208">
        <f>AM249-AO249</f>
        <v/>
      </c>
      <c r="AS249" s="220">
        <f>AR249-AK249</f>
        <v/>
      </c>
      <c r="AT249" s="208">
        <f>AS249*1.075</f>
        <v/>
      </c>
      <c r="AU249" s="208">
        <f>AT249+AK249</f>
        <v/>
      </c>
      <c r="AV249" s="198" t="n">
        <v>141581.78011258</v>
      </c>
      <c r="AW249" s="220" t="n"/>
      <c r="AX249" s="220">
        <f>AV249-AR249</f>
        <v/>
      </c>
      <c r="AY249" s="35">
        <f>AX249/AR249</f>
        <v/>
      </c>
      <c r="AZ249" s="220">
        <f>AV249-AF249</f>
        <v/>
      </c>
      <c r="BA249" s="215">
        <f>AV249-SUM(Z249:AC249)</f>
        <v/>
      </c>
      <c r="BB249" s="215">
        <f>BA249-Y249</f>
        <v/>
      </c>
      <c r="BC249" s="35">
        <f>BB249/BA249</f>
        <v/>
      </c>
      <c r="BD249" s="35">
        <f>IFERROR(AZ249/AV249,)</f>
        <v/>
      </c>
      <c r="BE249" s="255">
        <f>AV249-SUM(Z249:AC249)</f>
        <v/>
      </c>
      <c r="BF249" s="255">
        <f>AV249-BE249-AC249-AB249</f>
        <v/>
      </c>
      <c r="BG249" s="255">
        <f>AV249-BE249-BF249-AB249</f>
        <v/>
      </c>
      <c r="BH249" s="255">
        <f>AB249</f>
        <v/>
      </c>
      <c r="BI249" s="263" t="inlineStr">
        <is>
          <t>Worst Case Approved</t>
        </is>
      </c>
    </row>
    <row r="250">
      <c r="C250" s="96" t="inlineStr">
        <is>
          <t>YEKENE</t>
        </is>
      </c>
      <c r="D250" s="49">
        <f>CONCATENATE(G250,"-",H250,"-",F250)</f>
        <v/>
      </c>
      <c r="E250" s="95" t="inlineStr">
        <is>
          <t>Jamara-8T-25CBM</t>
        </is>
      </c>
      <c r="F250" s="24" t="inlineStr">
        <is>
          <t>25CBM</t>
        </is>
      </c>
      <c r="G250" s="25" t="inlineStr">
        <is>
          <t>Closed Body Logistics</t>
        </is>
      </c>
      <c r="H250" s="101" t="inlineStr">
        <is>
          <t>8T</t>
        </is>
      </c>
      <c r="I250" s="102" t="inlineStr">
        <is>
          <t>Jamara</t>
        </is>
      </c>
      <c r="J250" s="103" t="inlineStr">
        <is>
          <t>Lagos</t>
        </is>
      </c>
      <c r="K250" s="104" t="inlineStr">
        <is>
          <t>Victoria Island-Lekki-Ajah</t>
        </is>
      </c>
      <c r="L250" s="57" t="inlineStr">
        <is>
          <t>Lagos</t>
        </is>
      </c>
      <c r="M250" s="58" t="inlineStr">
        <is>
          <t>Ajah</t>
        </is>
      </c>
      <c r="N250" s="196" t="n">
        <v>40</v>
      </c>
      <c r="O250" s="194">
        <f>N250*2</f>
        <v/>
      </c>
      <c r="P250" s="215">
        <f>ROUNDUP(O250/300,)</f>
        <v/>
      </c>
      <c r="Q250" s="215" t="n">
        <v>0.2</v>
      </c>
      <c r="R250" s="215">
        <f>Q250+P250</f>
        <v/>
      </c>
      <c r="S250" s="197">
        <f>ROUNDDOWN(O250*0.51,)+60</f>
        <v/>
      </c>
      <c r="T250" s="207">
        <f>_xlfn.XLOOKUP(F250,[1]Fx!$A$4:$A$10,[1]Fx!$B$4:$B$10)</f>
        <v/>
      </c>
      <c r="U250" s="207">
        <f>_xlfn.XLOOKUP(F250,[1]Fx!$A$4:$A$10,[1]Fx!$C$4:$C$10)</f>
        <v/>
      </c>
      <c r="V250" s="207">
        <f>_xlfn.XLOOKUP(F250,[1]Fx!$A$4:$A$10,[1]Fx!$D$4:$D$10)</f>
        <v/>
      </c>
      <c r="W250" s="207">
        <f>$V$2</f>
        <v/>
      </c>
      <c r="X250" s="207">
        <f>_xlfn.XLOOKUP(F250,[1]Fx!$A$4:$A$10,[1]Fx!$E$4:$E$10)</f>
        <v/>
      </c>
      <c r="Y250" s="215">
        <f>T250*R250</f>
        <v/>
      </c>
      <c r="Z250" s="215">
        <f>U250*O250</f>
        <v/>
      </c>
      <c r="AA250" s="215">
        <f>V250*O250</f>
        <v/>
      </c>
      <c r="AB250" s="215">
        <f>W250*O250</f>
        <v/>
      </c>
      <c r="AC250" s="197">
        <f>X250*O250</f>
        <v/>
      </c>
      <c r="AD250" s="215" t="n">
        <v>0</v>
      </c>
      <c r="AE250" s="215" t="n">
        <v>0</v>
      </c>
      <c r="AF250" s="207">
        <f>SUM(Y250:AE250)</f>
        <v/>
      </c>
      <c r="AG250" s="254">
        <f>_xlfn.XLOOKUP(F250,[1]Fx!$A$16:$A$22,[1]Fx!$B$16:$B$22)</f>
        <v/>
      </c>
      <c r="AH250" s="207">
        <f>AG250*R250</f>
        <v/>
      </c>
      <c r="AI250" s="207">
        <f>$AH$3*Z250</f>
        <v/>
      </c>
      <c r="AJ250" s="207">
        <f>$AI$3*AA250</f>
        <v/>
      </c>
      <c r="AK250" s="207">
        <f>$AJ$3*AB250</f>
        <v/>
      </c>
      <c r="AL250" s="207">
        <f>$AK$3*AC250</f>
        <v/>
      </c>
      <c r="AM250" s="220">
        <f>SUM(AH250:AL250)</f>
        <v/>
      </c>
      <c r="AN250" s="220" t="n">
        <v>0</v>
      </c>
      <c r="AO250" s="220">
        <f>AN250*AH250</f>
        <v/>
      </c>
      <c r="AP250" s="220">
        <f>AD250</f>
        <v/>
      </c>
      <c r="AQ250" s="220">
        <f>AE250</f>
        <v/>
      </c>
      <c r="AR250" s="208">
        <f>AM250-AO250</f>
        <v/>
      </c>
      <c r="AS250" s="220">
        <f>AR250-AK250</f>
        <v/>
      </c>
      <c r="AT250" s="208">
        <f>AS250*1.075</f>
        <v/>
      </c>
      <c r="AU250" s="208">
        <f>AT250+AK250</f>
        <v/>
      </c>
      <c r="AV250" s="198" t="n">
        <v>141581.78011258</v>
      </c>
      <c r="AW250" s="220" t="n"/>
      <c r="AX250" s="220">
        <f>AV250-AR250</f>
        <v/>
      </c>
      <c r="AY250" s="35">
        <f>AX250/AR250</f>
        <v/>
      </c>
      <c r="AZ250" s="220">
        <f>AV250-AF250</f>
        <v/>
      </c>
      <c r="BA250" s="215">
        <f>AV250-SUM(Z250:AC250)</f>
        <v/>
      </c>
      <c r="BB250" s="215">
        <f>BA250-Y250</f>
        <v/>
      </c>
      <c r="BC250" s="35">
        <f>BB250/BA250</f>
        <v/>
      </c>
      <c r="BD250" s="35">
        <f>IFERROR(AZ250/AV250,)</f>
        <v/>
      </c>
      <c r="BE250" s="255">
        <f>AV250-SUM(Z250:AC250)</f>
        <v/>
      </c>
      <c r="BF250" s="255">
        <f>AV250-BE250-AC250-AB250</f>
        <v/>
      </c>
      <c r="BG250" s="255">
        <f>AV250-BE250-BF250-AB250</f>
        <v/>
      </c>
      <c r="BH250" s="255">
        <f>AB250</f>
        <v/>
      </c>
      <c r="BI250" s="263" t="inlineStr">
        <is>
          <t>Approved</t>
        </is>
      </c>
    </row>
    <row r="251">
      <c r="C251" s="96" t="inlineStr">
        <is>
          <t>YEKENE</t>
        </is>
      </c>
      <c r="D251" s="49">
        <f>CONCATENATE(G251,"-",H251,"-",F251)</f>
        <v/>
      </c>
      <c r="E251" s="95" t="inlineStr">
        <is>
          <t>Jamara-8T-25CBM</t>
        </is>
      </c>
      <c r="F251" s="24" t="inlineStr">
        <is>
          <t>25CBM</t>
        </is>
      </c>
      <c r="G251" s="25" t="inlineStr">
        <is>
          <t>Closed Body Logistics</t>
        </is>
      </c>
      <c r="H251" s="101" t="inlineStr">
        <is>
          <t>8T</t>
        </is>
      </c>
      <c r="I251" s="102" t="inlineStr">
        <is>
          <t>Jamara</t>
        </is>
      </c>
      <c r="J251" s="103" t="inlineStr">
        <is>
          <t>Lagos</t>
        </is>
      </c>
      <c r="K251" s="111" t="inlineStr">
        <is>
          <t>Victoria Island-Lekki-Ajah</t>
        </is>
      </c>
      <c r="L251" s="57" t="inlineStr">
        <is>
          <t>Lagos</t>
        </is>
      </c>
      <c r="M251" s="58" t="inlineStr">
        <is>
          <t>Lekki</t>
        </is>
      </c>
      <c r="N251" s="196" t="n">
        <v>35</v>
      </c>
      <c r="O251" s="194">
        <f>N251*2</f>
        <v/>
      </c>
      <c r="P251" s="215">
        <f>ROUNDUP(O251/300,)</f>
        <v/>
      </c>
      <c r="Q251" s="215" t="n">
        <v>0.2</v>
      </c>
      <c r="R251" s="215">
        <f>Q251+P251</f>
        <v/>
      </c>
      <c r="S251" s="197">
        <f>ROUNDDOWN(O251*0.51,)+60</f>
        <v/>
      </c>
      <c r="T251" s="207">
        <f>_xlfn.XLOOKUP(F251,[1]Fx!$A$4:$A$10,[1]Fx!$B$4:$B$10)</f>
        <v/>
      </c>
      <c r="U251" s="207">
        <f>_xlfn.XLOOKUP(F251,[1]Fx!$A$4:$A$10,[1]Fx!$C$4:$C$10)</f>
        <v/>
      </c>
      <c r="V251" s="207">
        <f>_xlfn.XLOOKUP(F251,[1]Fx!$A$4:$A$10,[1]Fx!$D$4:$D$10)</f>
        <v/>
      </c>
      <c r="W251" s="207">
        <f>$V$2</f>
        <v/>
      </c>
      <c r="X251" s="207">
        <f>_xlfn.XLOOKUP(F251,[1]Fx!$A$4:$A$10,[1]Fx!$E$4:$E$10)</f>
        <v/>
      </c>
      <c r="Y251" s="215">
        <f>T251*R251</f>
        <v/>
      </c>
      <c r="Z251" s="215">
        <f>U251*O251</f>
        <v/>
      </c>
      <c r="AA251" s="215">
        <f>V251*O251</f>
        <v/>
      </c>
      <c r="AB251" s="215">
        <f>W251*O251</f>
        <v/>
      </c>
      <c r="AC251" s="197">
        <f>X251*O251</f>
        <v/>
      </c>
      <c r="AD251" s="215" t="n">
        <v>0</v>
      </c>
      <c r="AE251" s="215" t="n">
        <v>0</v>
      </c>
      <c r="AF251" s="207">
        <f>SUM(Y251:AE251)</f>
        <v/>
      </c>
      <c r="AG251" s="254">
        <f>_xlfn.XLOOKUP(F251,[1]Fx!$A$16:$A$22,[1]Fx!$B$16:$B$22)</f>
        <v/>
      </c>
      <c r="AH251" s="207">
        <f>AG251*R251</f>
        <v/>
      </c>
      <c r="AI251" s="207">
        <f>$AH$3*Z251</f>
        <v/>
      </c>
      <c r="AJ251" s="207">
        <f>$AI$3*AA251</f>
        <v/>
      </c>
      <c r="AK251" s="207">
        <f>$AJ$3*AB251</f>
        <v/>
      </c>
      <c r="AL251" s="207">
        <f>$AK$3*AC251</f>
        <v/>
      </c>
      <c r="AM251" s="220">
        <f>SUM(AH251:AL251)</f>
        <v/>
      </c>
      <c r="AN251" s="220" t="n">
        <v>0</v>
      </c>
      <c r="AO251" s="220">
        <f>AN251*AH251</f>
        <v/>
      </c>
      <c r="AP251" s="220">
        <f>AD251</f>
        <v/>
      </c>
      <c r="AQ251" s="220">
        <f>AE251</f>
        <v/>
      </c>
      <c r="AR251" s="208">
        <f>AM251-AO251</f>
        <v/>
      </c>
      <c r="AS251" s="220">
        <f>AR251-AK251</f>
        <v/>
      </c>
      <c r="AT251" s="208">
        <f>AS251*1.075</f>
        <v/>
      </c>
      <c r="AU251" s="208">
        <f>AT251+AK251</f>
        <v/>
      </c>
      <c r="AV251" s="198" t="n">
        <v>141581.78011258</v>
      </c>
      <c r="AW251" s="220" t="n">
        <v>175000</v>
      </c>
      <c r="AX251" s="220">
        <f>AV251-AR251</f>
        <v/>
      </c>
      <c r="AY251" s="35">
        <f>AX251/AR251</f>
        <v/>
      </c>
      <c r="AZ251" s="220">
        <f>AV251-AF251</f>
        <v/>
      </c>
      <c r="BA251" s="215">
        <f>AV251-SUM(Z251:AC251)</f>
        <v/>
      </c>
      <c r="BB251" s="215">
        <f>BA251-Y251</f>
        <v/>
      </c>
      <c r="BC251" s="35">
        <f>BB251/BA251</f>
        <v/>
      </c>
      <c r="BD251" s="35">
        <f>IFERROR(AZ251/AV251,)</f>
        <v/>
      </c>
      <c r="BE251" s="255">
        <f>AV251-SUM(Z251:AC251)</f>
        <v/>
      </c>
      <c r="BF251" s="255">
        <f>AV251-BE251-AC251-AB251</f>
        <v/>
      </c>
      <c r="BG251" s="255">
        <f>AV251-BE251-BF251-AB251</f>
        <v/>
      </c>
      <c r="BH251" s="255">
        <f>AB251</f>
        <v/>
      </c>
      <c r="BI251" s="263" t="inlineStr">
        <is>
          <t>Worst Case Approved</t>
        </is>
      </c>
    </row>
    <row r="252">
      <c r="C252" s="96" t="inlineStr">
        <is>
          <t>YEKENE</t>
        </is>
      </c>
      <c r="D252" s="49">
        <f>CONCATENATE(G252,"-",H252,"-",F252)</f>
        <v/>
      </c>
      <c r="E252" s="95" t="inlineStr">
        <is>
          <t>Jamara-8T-25CBM</t>
        </is>
      </c>
      <c r="F252" s="24" t="inlineStr">
        <is>
          <t>25CBM</t>
        </is>
      </c>
      <c r="G252" s="25" t="inlineStr">
        <is>
          <t>Closed Body Logistics</t>
        </is>
      </c>
      <c r="H252" s="101" t="inlineStr">
        <is>
          <t>8T</t>
        </is>
      </c>
      <c r="I252" s="102" t="inlineStr">
        <is>
          <t>Jamara</t>
        </is>
      </c>
      <c r="J252" s="103" t="inlineStr">
        <is>
          <t>Lagos</t>
        </is>
      </c>
      <c r="K252" s="111" t="inlineStr">
        <is>
          <t>Victoria Island-Lekki-Ajah</t>
        </is>
      </c>
      <c r="L252" s="57" t="inlineStr">
        <is>
          <t>Lagos</t>
        </is>
      </c>
      <c r="M252" s="58" t="inlineStr">
        <is>
          <t>Victoria Island</t>
        </is>
      </c>
      <c r="N252" s="196" t="n">
        <v>25</v>
      </c>
      <c r="O252" s="194">
        <f>N252*2</f>
        <v/>
      </c>
      <c r="P252" s="215">
        <f>ROUNDUP(O252/300,)</f>
        <v/>
      </c>
      <c r="Q252" s="215" t="n">
        <v>0.2</v>
      </c>
      <c r="R252" s="215">
        <f>Q252+P252</f>
        <v/>
      </c>
      <c r="S252" s="197">
        <f>ROUNDDOWN(O252*0.51,)+60</f>
        <v/>
      </c>
      <c r="T252" s="207">
        <f>_xlfn.XLOOKUP(F252,[1]Fx!$A$4:$A$10,[1]Fx!$B$4:$B$10)</f>
        <v/>
      </c>
      <c r="U252" s="207">
        <f>_xlfn.XLOOKUP(F252,[1]Fx!$A$4:$A$10,[1]Fx!$C$4:$C$10)</f>
        <v/>
      </c>
      <c r="V252" s="207">
        <f>_xlfn.XLOOKUP(F252,[1]Fx!$A$4:$A$10,[1]Fx!$D$4:$D$10)</f>
        <v/>
      </c>
      <c r="W252" s="207">
        <f>$V$2</f>
        <v/>
      </c>
      <c r="X252" s="207">
        <f>_xlfn.XLOOKUP(F252,[1]Fx!$A$4:$A$10,[1]Fx!$E$4:$E$10)</f>
        <v/>
      </c>
      <c r="Y252" s="215">
        <f>T252*R252</f>
        <v/>
      </c>
      <c r="Z252" s="215">
        <f>U252*O252</f>
        <v/>
      </c>
      <c r="AA252" s="215">
        <f>V252*O252</f>
        <v/>
      </c>
      <c r="AB252" s="215">
        <f>W252*O252</f>
        <v/>
      </c>
      <c r="AC252" s="197">
        <f>X252*O252</f>
        <v/>
      </c>
      <c r="AD252" s="215" t="n">
        <v>0</v>
      </c>
      <c r="AE252" s="215" t="n">
        <v>0</v>
      </c>
      <c r="AF252" s="207">
        <f>SUM(Y252:AE252)</f>
        <v/>
      </c>
      <c r="AG252" s="254">
        <f>_xlfn.XLOOKUP(F252,[1]Fx!$A$16:$A$22,[1]Fx!$B$16:$B$22)</f>
        <v/>
      </c>
      <c r="AH252" s="207">
        <f>AG252*R252</f>
        <v/>
      </c>
      <c r="AI252" s="207">
        <f>$AH$3*Z252</f>
        <v/>
      </c>
      <c r="AJ252" s="207">
        <f>$AI$3*AA252</f>
        <v/>
      </c>
      <c r="AK252" s="207">
        <f>$AJ$3*AB252</f>
        <v/>
      </c>
      <c r="AL252" s="207">
        <f>$AK$3*AC252</f>
        <v/>
      </c>
      <c r="AM252" s="220">
        <f>SUM(AH252:AL252)</f>
        <v/>
      </c>
      <c r="AN252" s="220" t="n">
        <v>0</v>
      </c>
      <c r="AO252" s="220">
        <f>AN252*AH252</f>
        <v/>
      </c>
      <c r="AP252" s="220">
        <f>AD252</f>
        <v/>
      </c>
      <c r="AQ252" s="220">
        <f>AE252</f>
        <v/>
      </c>
      <c r="AR252" s="208">
        <f>AM252-AO252</f>
        <v/>
      </c>
      <c r="AS252" s="220">
        <f>AR252-AK252</f>
        <v/>
      </c>
      <c r="AT252" s="208">
        <f>AS252*1.075</f>
        <v/>
      </c>
      <c r="AU252" s="208">
        <f>AT252+AK252</f>
        <v/>
      </c>
      <c r="AV252" s="198" t="n">
        <v>141581.78011258</v>
      </c>
      <c r="AW252" s="220" t="n">
        <v>150000</v>
      </c>
      <c r="AX252" s="220">
        <f>AV252-AR252</f>
        <v/>
      </c>
      <c r="AY252" s="35">
        <f>AX252/AR252</f>
        <v/>
      </c>
      <c r="AZ252" s="220">
        <f>AV252-AF252</f>
        <v/>
      </c>
      <c r="BA252" s="215">
        <f>AV252-SUM(Z252:AC252)</f>
        <v/>
      </c>
      <c r="BB252" s="215">
        <f>BA252-Y252</f>
        <v/>
      </c>
      <c r="BC252" s="35">
        <f>BB252/BA252</f>
        <v/>
      </c>
      <c r="BD252" s="35">
        <f>IFERROR(AZ252/AV252,)</f>
        <v/>
      </c>
      <c r="BE252" s="255">
        <f>AV252-SUM(Z252:AC252)</f>
        <v/>
      </c>
      <c r="BF252" s="255">
        <f>AV252-BE252-AC252-AB252</f>
        <v/>
      </c>
      <c r="BG252" s="255">
        <f>AV252-BE252-BF252-AB252</f>
        <v/>
      </c>
      <c r="BH252" s="255">
        <f>AB252</f>
        <v/>
      </c>
      <c r="BI252" s="263" t="inlineStr">
        <is>
          <t>Worst Case Approved</t>
        </is>
      </c>
    </row>
    <row r="253">
      <c r="C253" s="96" t="inlineStr">
        <is>
          <t>YEKENE</t>
        </is>
      </c>
      <c r="D253" s="49">
        <f>CONCATENATE(G253,"-",H253,"-",F253)</f>
        <v/>
      </c>
      <c r="E253" s="95" t="inlineStr">
        <is>
          <t>Jamara-8T-25CBM</t>
        </is>
      </c>
      <c r="F253" s="24" t="inlineStr">
        <is>
          <t>25CBM</t>
        </is>
      </c>
      <c r="G253" s="25" t="inlineStr">
        <is>
          <t>Closed Body Logistics</t>
        </is>
      </c>
      <c r="H253" s="101" t="inlineStr">
        <is>
          <t>8T</t>
        </is>
      </c>
      <c r="I253" s="102" t="inlineStr">
        <is>
          <t>Jamara</t>
        </is>
      </c>
      <c r="J253" s="103" t="inlineStr">
        <is>
          <t>Lagos</t>
        </is>
      </c>
      <c r="K253" s="111" t="inlineStr">
        <is>
          <t>Victoria Island-Lekki-Ajah</t>
        </is>
      </c>
      <c r="L253" s="57" t="inlineStr">
        <is>
          <t>Lagos</t>
        </is>
      </c>
      <c r="M253" s="58" t="inlineStr">
        <is>
          <t>Oniru</t>
        </is>
      </c>
      <c r="N253" s="196" t="n">
        <v>28</v>
      </c>
      <c r="O253" s="194">
        <f>N253*2</f>
        <v/>
      </c>
      <c r="P253" s="215">
        <f>ROUNDUP(O253/300,)</f>
        <v/>
      </c>
      <c r="Q253" s="215" t="n">
        <v>0.2</v>
      </c>
      <c r="R253" s="215">
        <f>Q253+P253</f>
        <v/>
      </c>
      <c r="S253" s="197">
        <f>ROUNDDOWN(O253*0.51,)+60</f>
        <v/>
      </c>
      <c r="T253" s="207">
        <f>_xlfn.XLOOKUP(F253,[1]Fx!$A$4:$A$10,[1]Fx!$B$4:$B$10)</f>
        <v/>
      </c>
      <c r="U253" s="207">
        <f>_xlfn.XLOOKUP(F253,[1]Fx!$A$4:$A$10,[1]Fx!$C$4:$C$10)</f>
        <v/>
      </c>
      <c r="V253" s="207">
        <f>_xlfn.XLOOKUP(F253,[1]Fx!$A$4:$A$10,[1]Fx!$D$4:$D$10)</f>
        <v/>
      </c>
      <c r="W253" s="207">
        <f>$V$2</f>
        <v/>
      </c>
      <c r="X253" s="207">
        <f>_xlfn.XLOOKUP(F253,[1]Fx!$A$4:$A$10,[1]Fx!$E$4:$E$10)</f>
        <v/>
      </c>
      <c r="Y253" s="215">
        <f>T253*R253</f>
        <v/>
      </c>
      <c r="Z253" s="215">
        <f>U253*O253</f>
        <v/>
      </c>
      <c r="AA253" s="215">
        <f>V253*O253</f>
        <v/>
      </c>
      <c r="AB253" s="215">
        <f>W253*O253</f>
        <v/>
      </c>
      <c r="AC253" s="197">
        <f>X253*O253</f>
        <v/>
      </c>
      <c r="AD253" s="215" t="n">
        <v>0</v>
      </c>
      <c r="AE253" s="215" t="n">
        <v>0</v>
      </c>
      <c r="AF253" s="207">
        <f>SUM(Y253:AE253)</f>
        <v/>
      </c>
      <c r="AG253" s="254">
        <f>_xlfn.XLOOKUP(F253,[1]Fx!$A$16:$A$22,[1]Fx!$B$16:$B$22)</f>
        <v/>
      </c>
      <c r="AH253" s="207">
        <f>AG253*R253</f>
        <v/>
      </c>
      <c r="AI253" s="207">
        <f>$AH$3*Z253</f>
        <v/>
      </c>
      <c r="AJ253" s="207">
        <f>$AI$3*AA253</f>
        <v/>
      </c>
      <c r="AK253" s="207">
        <f>$AJ$3*AB253</f>
        <v/>
      </c>
      <c r="AL253" s="207">
        <f>$AK$3*AC253</f>
        <v/>
      </c>
      <c r="AM253" s="220">
        <f>SUM(AH253:AL253)</f>
        <v/>
      </c>
      <c r="AN253" s="35" t="n">
        <v>0.1</v>
      </c>
      <c r="AO253" s="220">
        <f>AN253*AH253</f>
        <v/>
      </c>
      <c r="AP253" s="220">
        <f>AD253</f>
        <v/>
      </c>
      <c r="AQ253" s="220">
        <f>AE253</f>
        <v/>
      </c>
      <c r="AR253" s="208">
        <f>AM253-AO253</f>
        <v/>
      </c>
      <c r="AS253" s="220">
        <f>AR253-AK253</f>
        <v/>
      </c>
      <c r="AT253" s="208">
        <f>AS253*1.075</f>
        <v/>
      </c>
      <c r="AU253" s="208">
        <f>AT253+AK253</f>
        <v/>
      </c>
      <c r="AV253" s="198" t="n">
        <v>127423.602101322</v>
      </c>
      <c r="AW253" s="220" t="n">
        <v>145000</v>
      </c>
      <c r="AX253" s="220">
        <f>AV253-AR253</f>
        <v/>
      </c>
      <c r="AY253" s="35">
        <f>AX253/AR253</f>
        <v/>
      </c>
      <c r="AZ253" s="220">
        <f>AV253-AF253</f>
        <v/>
      </c>
      <c r="BA253" s="215">
        <f>AV253-SUM(Z253:AC253)</f>
        <v/>
      </c>
      <c r="BB253" s="215">
        <f>BA253-Y253</f>
        <v/>
      </c>
      <c r="BC253" s="35">
        <f>BB253/BA253</f>
        <v/>
      </c>
      <c r="BD253" s="35">
        <f>IFERROR(AZ253/AV253,)</f>
        <v/>
      </c>
      <c r="BE253" s="255">
        <f>AV253-SUM(Z253:AC253)</f>
        <v/>
      </c>
      <c r="BF253" s="255">
        <f>AV253-BE253-AC253-AB253</f>
        <v/>
      </c>
      <c r="BG253" s="255">
        <f>AV253-BE253-BF253-AB253</f>
        <v/>
      </c>
      <c r="BH253" s="255">
        <f>AB253</f>
        <v/>
      </c>
      <c r="BI253" s="263" t="inlineStr">
        <is>
          <t>Worst Case Approved</t>
        </is>
      </c>
    </row>
    <row r="254">
      <c r="C254" s="96" t="inlineStr">
        <is>
          <t>YEKENE</t>
        </is>
      </c>
      <c r="D254" s="49">
        <f>CONCATENATE(G254,"-",H254,"-",F254)</f>
        <v/>
      </c>
      <c r="E254" s="95" t="inlineStr">
        <is>
          <t>Jamara-8T-25CBM</t>
        </is>
      </c>
      <c r="F254" s="24" t="inlineStr">
        <is>
          <t>25CBM</t>
        </is>
      </c>
      <c r="G254" s="25" t="inlineStr">
        <is>
          <t>Closed Body Logistics</t>
        </is>
      </c>
      <c r="H254" s="101" t="inlineStr">
        <is>
          <t>8T</t>
        </is>
      </c>
      <c r="I254" s="102" t="inlineStr">
        <is>
          <t>Jamara</t>
        </is>
      </c>
      <c r="J254" s="103" t="inlineStr">
        <is>
          <t>Lagos</t>
        </is>
      </c>
      <c r="K254" s="112" t="inlineStr">
        <is>
          <t>Ibadan</t>
        </is>
      </c>
      <c r="L254" s="57" t="inlineStr">
        <is>
          <t>Oyo</t>
        </is>
      </c>
      <c r="M254" s="61" t="inlineStr">
        <is>
          <t>Ibadan</t>
        </is>
      </c>
      <c r="N254" s="196" t="n">
        <v>120.5</v>
      </c>
      <c r="O254" s="194">
        <f>N254*2</f>
        <v/>
      </c>
      <c r="P254" s="215">
        <f>ROUNDUP(O254/300,)</f>
        <v/>
      </c>
      <c r="Q254" s="215" t="n">
        <v>1</v>
      </c>
      <c r="R254" s="215">
        <f>Q254+P254</f>
        <v/>
      </c>
      <c r="S254" s="197">
        <f>ROUNDDOWN(O254*0.51,)+60</f>
        <v/>
      </c>
      <c r="T254" s="207">
        <f>_xlfn.XLOOKUP(F254,[1]Fx!$A$4:$A$10,[1]Fx!$B$4:$B$10)</f>
        <v/>
      </c>
      <c r="U254" s="207">
        <f>_xlfn.XLOOKUP(F254,[1]Fx!$A$4:$A$10,[1]Fx!$C$4:$C$10)</f>
        <v/>
      </c>
      <c r="V254" s="207">
        <f>_xlfn.XLOOKUP(F254,[1]Fx!$A$4:$A$10,[1]Fx!$D$4:$D$10)</f>
        <v/>
      </c>
      <c r="W254" s="207">
        <f>$V$2</f>
        <v/>
      </c>
      <c r="X254" s="207">
        <f>_xlfn.XLOOKUP(F254,[1]Fx!$A$4:$A$10,[1]Fx!$E$4:$E$10)</f>
        <v/>
      </c>
      <c r="Y254" s="215">
        <f>T254*R254</f>
        <v/>
      </c>
      <c r="Z254" s="215">
        <f>U254*O254</f>
        <v/>
      </c>
      <c r="AA254" s="215">
        <f>V254*O254</f>
        <v/>
      </c>
      <c r="AB254" s="215">
        <f>W254*O254</f>
        <v/>
      </c>
      <c r="AC254" s="197">
        <f>X254*O254</f>
        <v/>
      </c>
      <c r="AD254" s="215" t="n">
        <v>0</v>
      </c>
      <c r="AE254" s="215" t="n">
        <v>0</v>
      </c>
      <c r="AF254" s="207">
        <f>SUM(Y254:AE254)</f>
        <v/>
      </c>
      <c r="AG254" s="254">
        <f>_xlfn.XLOOKUP(F254,[1]Fx!$A$16:$A$22,[1]Fx!$B$16:$B$22)</f>
        <v/>
      </c>
      <c r="AH254" s="207">
        <f>AG254*R254</f>
        <v/>
      </c>
      <c r="AI254" s="207">
        <f>$AH$3*Z254</f>
        <v/>
      </c>
      <c r="AJ254" s="207">
        <f>$AI$3*AA254</f>
        <v/>
      </c>
      <c r="AK254" s="207">
        <f>$AJ$3*AB254</f>
        <v/>
      </c>
      <c r="AL254" s="207">
        <f>$AK$3*AC254</f>
        <v/>
      </c>
      <c r="AM254" s="220">
        <f>SUM(AH254:AL254)</f>
        <v/>
      </c>
      <c r="AN254" s="35" t="n">
        <v>0</v>
      </c>
      <c r="AO254" s="220">
        <f>AN254*AH254</f>
        <v/>
      </c>
      <c r="AP254" s="220">
        <f>AD254</f>
        <v/>
      </c>
      <c r="AQ254" s="220">
        <f>AE254</f>
        <v/>
      </c>
      <c r="AR254" s="208">
        <f>AM254-AO254</f>
        <v/>
      </c>
      <c r="AS254" s="220">
        <f>AR254-AK254</f>
        <v/>
      </c>
      <c r="AT254" s="208">
        <f>AS254*1.075</f>
        <v/>
      </c>
      <c r="AU254" s="208">
        <f>AT254+AK254</f>
        <v/>
      </c>
      <c r="AV254" s="198" t="n">
        <v>235969.6335209667</v>
      </c>
      <c r="AW254" s="220" t="n">
        <v>0</v>
      </c>
      <c r="AX254" s="220">
        <f>AV254-AR254</f>
        <v/>
      </c>
      <c r="AY254" s="35">
        <f>AX254/AR254</f>
        <v/>
      </c>
      <c r="AZ254" s="220">
        <f>AV254-AF254</f>
        <v/>
      </c>
      <c r="BA254" s="215">
        <f>AV254-SUM(Z254:AC254)</f>
        <v/>
      </c>
      <c r="BB254" s="215">
        <f>BA254-Y254</f>
        <v/>
      </c>
      <c r="BC254" s="35">
        <f>BB254/BA254</f>
        <v/>
      </c>
      <c r="BD254" s="35">
        <f>IFERROR(AZ254/AV254,)</f>
        <v/>
      </c>
      <c r="BE254" s="255">
        <f>AV254-SUM(Z254:AC254)</f>
        <v/>
      </c>
      <c r="BF254" s="255">
        <f>AV254-BE254-AC254-AB254</f>
        <v/>
      </c>
      <c r="BG254" s="255">
        <f>AV254-BE254-BF254-AB254</f>
        <v/>
      </c>
      <c r="BH254" s="255">
        <f>AB254</f>
        <v/>
      </c>
      <c r="BI254" s="263" t="inlineStr">
        <is>
          <t xml:space="preserve">To Check </t>
        </is>
      </c>
    </row>
    <row r="255">
      <c r="C255" s="96" t="inlineStr">
        <is>
          <t>YEKENE</t>
        </is>
      </c>
      <c r="D255" s="49">
        <f>CONCATENATE(G255,"-",H255,"-",F255)</f>
        <v/>
      </c>
      <c r="E255" s="95" t="inlineStr">
        <is>
          <t>Jamara-8T-25CBM</t>
        </is>
      </c>
      <c r="F255" s="24" t="inlineStr">
        <is>
          <t>25CBM</t>
        </is>
      </c>
      <c r="G255" s="25" t="inlineStr">
        <is>
          <t>Closed Body Logistics</t>
        </is>
      </c>
      <c r="H255" s="101" t="inlineStr">
        <is>
          <t>8T</t>
        </is>
      </c>
      <c r="I255" s="102" t="inlineStr">
        <is>
          <t>Jamara</t>
        </is>
      </c>
      <c r="J255" s="103" t="inlineStr">
        <is>
          <t>Lagos</t>
        </is>
      </c>
      <c r="K255" s="112" t="inlineStr">
        <is>
          <t>Benin City (Direct)</t>
        </is>
      </c>
      <c r="L255" s="57" t="inlineStr">
        <is>
          <t>Edo</t>
        </is>
      </c>
      <c r="M255" s="61" t="inlineStr">
        <is>
          <t>Benin City (Direct)</t>
        </is>
      </c>
      <c r="N255" s="196" t="n">
        <v>312</v>
      </c>
      <c r="O255" s="194">
        <f>N255*2</f>
        <v/>
      </c>
      <c r="P255" s="215" t="n">
        <v>2</v>
      </c>
      <c r="Q255" s="215" t="n">
        <v>1</v>
      </c>
      <c r="R255" s="215">
        <f>Q255+P255</f>
        <v/>
      </c>
      <c r="S255" s="197">
        <f>ROUNDDOWN(O255*0.51,)+60</f>
        <v/>
      </c>
      <c r="T255" s="207">
        <f>_xlfn.XLOOKUP(F255,[1]Fx!$A$4:$A$10,[1]Fx!$B$4:$B$10)</f>
        <v/>
      </c>
      <c r="U255" s="207">
        <f>_xlfn.XLOOKUP(F255,[1]Fx!$A$4:$A$10,[1]Fx!$C$4:$C$10)</f>
        <v/>
      </c>
      <c r="V255" s="207">
        <f>_xlfn.XLOOKUP(F255,[1]Fx!$A$4:$A$10,[1]Fx!$D$4:$D$10)</f>
        <v/>
      </c>
      <c r="W255" s="207">
        <f>0.35*1900</f>
        <v/>
      </c>
      <c r="X255" s="207">
        <f>_xlfn.XLOOKUP(F255,[1]Fx!$A$4:$A$10,[1]Fx!$E$4:$E$10)</f>
        <v/>
      </c>
      <c r="Y255" s="215">
        <f>T255*R255</f>
        <v/>
      </c>
      <c r="Z255" s="215">
        <f>U255*O255</f>
        <v/>
      </c>
      <c r="AA255" s="215">
        <f>V255*O255</f>
        <v/>
      </c>
      <c r="AB255" s="215">
        <f>W255*O255</f>
        <v/>
      </c>
      <c r="AC255" s="197">
        <f>X255*O255</f>
        <v/>
      </c>
      <c r="AD255" s="215" t="n">
        <v>0</v>
      </c>
      <c r="AE255" s="215" t="n">
        <v>0</v>
      </c>
      <c r="AF255" s="207">
        <f>SUM(Y255:AE255)</f>
        <v/>
      </c>
      <c r="AG255" s="254">
        <f>_xlfn.XLOOKUP(F255,[1]Fx!$A$16:$A$22,[1]Fx!$B$16:$B$22)</f>
        <v/>
      </c>
      <c r="AH255" s="207">
        <f>AG255*R255</f>
        <v/>
      </c>
      <c r="AI255" s="207">
        <f>$AH$3*Z255</f>
        <v/>
      </c>
      <c r="AJ255" s="207">
        <f>$AI$3*AA255</f>
        <v/>
      </c>
      <c r="AK255" s="207">
        <f>$AJ$3*AB255</f>
        <v/>
      </c>
      <c r="AL255" s="207">
        <f>$AK$3*AC255</f>
        <v/>
      </c>
      <c r="AM255" s="220">
        <f>SUM(AH255:AL255)</f>
        <v/>
      </c>
      <c r="AN255" s="35" t="n">
        <v>0</v>
      </c>
      <c r="AO255" s="220">
        <f>AN255*AH255</f>
        <v/>
      </c>
      <c r="AP255" s="220">
        <f>AD255</f>
        <v/>
      </c>
      <c r="AQ255" s="220">
        <f>AE255</f>
        <v/>
      </c>
      <c r="AR255" s="208">
        <f>AM255-AO255</f>
        <v/>
      </c>
      <c r="AS255" s="220">
        <f>AR255-AK255</f>
        <v/>
      </c>
      <c r="AT255" s="208">
        <f>AS255*1.075</f>
        <v/>
      </c>
      <c r="AU255" s="208">
        <f>AT255+AK255</f>
        <v/>
      </c>
      <c r="AV255" s="198" t="n">
        <v>353954.4502814501</v>
      </c>
      <c r="AW255" s="220" t="n">
        <v>0</v>
      </c>
      <c r="AX255" s="220">
        <f>AV255-AR255</f>
        <v/>
      </c>
      <c r="AY255" s="35">
        <f>AX255/AR255</f>
        <v/>
      </c>
      <c r="AZ255" s="220">
        <f>AV255-AF255</f>
        <v/>
      </c>
      <c r="BA255" s="215">
        <f>AV255-SUM(Z255:AC255)</f>
        <v/>
      </c>
      <c r="BB255" s="215">
        <f>BA255-Y255</f>
        <v/>
      </c>
      <c r="BC255" s="35">
        <f>BB255/BA255</f>
        <v/>
      </c>
      <c r="BD255" s="35">
        <f>IFERROR(AZ255/AV255,)</f>
        <v/>
      </c>
      <c r="BE255" s="255">
        <f>AV255-SUM(Z255:AC255)</f>
        <v/>
      </c>
      <c r="BF255" s="255">
        <f>AV255-BE255-AC255-AB255</f>
        <v/>
      </c>
      <c r="BG255" s="255">
        <f>AV255-BE255-BF255-AB255</f>
        <v/>
      </c>
      <c r="BH255" s="255">
        <f>AB255</f>
        <v/>
      </c>
      <c r="BI255" s="263" t="inlineStr">
        <is>
          <t>Worst Case Approved</t>
        </is>
      </c>
    </row>
    <row r="256">
      <c r="C256" s="96" t="inlineStr">
        <is>
          <t>YEKENE</t>
        </is>
      </c>
      <c r="D256" s="49">
        <f>CONCATENATE(G256,"-",H256,"-",F256)</f>
        <v/>
      </c>
      <c r="E256" s="95" t="inlineStr">
        <is>
          <t>Jamara-8T-25CBM</t>
        </is>
      </c>
      <c r="F256" s="24" t="inlineStr">
        <is>
          <t>25CBM</t>
        </is>
      </c>
      <c r="G256" s="25" t="inlineStr">
        <is>
          <t>Closed Body Logistics</t>
        </is>
      </c>
      <c r="H256" s="101" t="inlineStr">
        <is>
          <t>8T</t>
        </is>
      </c>
      <c r="I256" s="102" t="inlineStr">
        <is>
          <t>Jamara</t>
        </is>
      </c>
      <c r="J256" s="103" t="inlineStr">
        <is>
          <t>Lagos</t>
        </is>
      </c>
      <c r="K256" s="112" t="inlineStr">
        <is>
          <t>Asaba (Direct)</t>
        </is>
      </c>
      <c r="L256" s="57" t="inlineStr">
        <is>
          <t>Delta</t>
        </is>
      </c>
      <c r="M256" s="61" t="inlineStr">
        <is>
          <t>Asaba (Direct)</t>
        </is>
      </c>
      <c r="N256" s="196" t="n">
        <v>410</v>
      </c>
      <c r="O256" s="194">
        <f>N256*2</f>
        <v/>
      </c>
      <c r="P256" s="215">
        <f>ROUNDUP(O256/300,)</f>
        <v/>
      </c>
      <c r="Q256" s="215" t="n">
        <v>0.2</v>
      </c>
      <c r="R256" s="215">
        <f>Q256+P256</f>
        <v/>
      </c>
      <c r="S256" s="197">
        <f>ROUNDDOWN(O256*0.51,)+60</f>
        <v/>
      </c>
      <c r="T256" s="207">
        <f>_xlfn.XLOOKUP(F256,[1]Fx!$A$4:$A$10,[1]Fx!$B$4:$B$10)</f>
        <v/>
      </c>
      <c r="U256" s="207">
        <f>_xlfn.XLOOKUP(F256,[1]Fx!$A$4:$A$10,[1]Fx!$C$4:$C$10)</f>
        <v/>
      </c>
      <c r="V256" s="207">
        <f>_xlfn.XLOOKUP(F256,[1]Fx!$A$4:$A$10,[1]Fx!$D$4:$D$10)</f>
        <v/>
      </c>
      <c r="W256" s="207">
        <f>$V$2</f>
        <v/>
      </c>
      <c r="X256" s="207">
        <f>_xlfn.XLOOKUP(F256,[1]Fx!$A$4:$A$10,[1]Fx!$E$4:$E$10)</f>
        <v/>
      </c>
      <c r="Y256" s="215">
        <f>T256*R256</f>
        <v/>
      </c>
      <c r="Z256" s="215">
        <f>U256*O256</f>
        <v/>
      </c>
      <c r="AA256" s="215">
        <f>V256*O256</f>
        <v/>
      </c>
      <c r="AB256" s="215">
        <f>W256*O256</f>
        <v/>
      </c>
      <c r="AC256" s="197">
        <f>X256*O256</f>
        <v/>
      </c>
      <c r="AD256" s="215" t="n">
        <v>0</v>
      </c>
      <c r="AE256" s="215" t="n">
        <v>0</v>
      </c>
      <c r="AF256" s="207">
        <f>SUM(Y256:AE256)</f>
        <v/>
      </c>
      <c r="AG256" s="254">
        <f>_xlfn.XLOOKUP(F256,[1]Fx!$A$16:$A$22,[1]Fx!$B$16:$B$22)</f>
        <v/>
      </c>
      <c r="AH256" s="207">
        <f>AG256*R256</f>
        <v/>
      </c>
      <c r="AI256" s="207">
        <f>$AH$3*Z256</f>
        <v/>
      </c>
      <c r="AJ256" s="207">
        <f>$AI$3*AA256</f>
        <v/>
      </c>
      <c r="AK256" s="207">
        <f>$AJ$3*AB256</f>
        <v/>
      </c>
      <c r="AL256" s="207">
        <f>$AK$3*AC256</f>
        <v/>
      </c>
      <c r="AM256" s="220">
        <f>SUM(AH256:AL256)</f>
        <v/>
      </c>
      <c r="AN256" s="35" t="n">
        <v>0</v>
      </c>
      <c r="AO256" s="220">
        <f>AN256*AH256</f>
        <v/>
      </c>
      <c r="AP256" s="220">
        <f>AD256</f>
        <v/>
      </c>
      <c r="AQ256" s="220">
        <f>AE256</f>
        <v/>
      </c>
      <c r="AR256" s="208">
        <f>AM256-AO256</f>
        <v/>
      </c>
      <c r="AS256" s="220">
        <f>AR256-AK256</f>
        <v/>
      </c>
      <c r="AT256" s="208">
        <f>AS256*1.075</f>
        <v/>
      </c>
      <c r="AU256" s="208">
        <f>AT256+AK256</f>
        <v/>
      </c>
      <c r="AV256" s="198" t="n">
        <v>377551.4136335467</v>
      </c>
      <c r="AW256" s="220" t="n">
        <v>0</v>
      </c>
      <c r="AX256" s="220">
        <f>AV256-AR256</f>
        <v/>
      </c>
      <c r="AY256" s="35">
        <f>AX256/AR256</f>
        <v/>
      </c>
      <c r="AZ256" s="220">
        <f>AV256-AF256</f>
        <v/>
      </c>
      <c r="BA256" s="215">
        <f>AV256-SUM(Z256:AC256)</f>
        <v/>
      </c>
      <c r="BB256" s="215">
        <f>BA256-Y256</f>
        <v/>
      </c>
      <c r="BC256" s="35">
        <f>BB256/BA256</f>
        <v/>
      </c>
      <c r="BD256" s="35">
        <f>IFERROR(AZ256/AV256,)</f>
        <v/>
      </c>
      <c r="BE256" s="255">
        <f>AV256-SUM(Z256:AC256)</f>
        <v/>
      </c>
      <c r="BF256" s="255">
        <f>AV256-BE256-AC256-AB256</f>
        <v/>
      </c>
      <c r="BG256" s="255">
        <f>AV256-BE256-BF256-AB256</f>
        <v/>
      </c>
      <c r="BH256" s="255">
        <f>AB256</f>
        <v/>
      </c>
      <c r="BI256" s="263" t="inlineStr">
        <is>
          <t>Approved</t>
        </is>
      </c>
    </row>
    <row r="257" ht="43.2" customHeight="1">
      <c r="C257" s="96" t="inlineStr">
        <is>
          <t>YEKENE</t>
        </is>
      </c>
      <c r="D257" s="49">
        <f>CONCATENATE(G257,"-",H257,"-",F257)</f>
        <v/>
      </c>
      <c r="E257" s="95" t="inlineStr">
        <is>
          <t>Jamara-8T-25CBM</t>
        </is>
      </c>
      <c r="F257" s="24" t="inlineStr">
        <is>
          <t>25CBM</t>
        </is>
      </c>
      <c r="G257" s="25" t="inlineStr">
        <is>
          <t>Closed Body Logistics</t>
        </is>
      </c>
      <c r="H257" s="101" t="inlineStr">
        <is>
          <t>8T</t>
        </is>
      </c>
      <c r="I257" s="102" t="inlineStr">
        <is>
          <t>Jamara</t>
        </is>
      </c>
      <c r="J257" s="103" t="inlineStr">
        <is>
          <t>Lagos</t>
        </is>
      </c>
      <c r="K257" s="104" t="inlineStr">
        <is>
          <t>Abule Egba-Ijaiye-Moshalasi-Kola-Sango</t>
        </is>
      </c>
      <c r="L257" s="57" t="inlineStr">
        <is>
          <t>Ogun</t>
        </is>
      </c>
      <c r="M257" s="58" t="inlineStr">
        <is>
          <t>Sango-Ota</t>
        </is>
      </c>
      <c r="N257" s="196" t="n">
        <v>28.4</v>
      </c>
      <c r="O257" s="194">
        <f>N257*2</f>
        <v/>
      </c>
      <c r="P257" s="207">
        <f>ROUNDUP(O257/300,)</f>
        <v/>
      </c>
      <c r="Q257" s="215" t="n">
        <v>0.2</v>
      </c>
      <c r="R257" s="207">
        <f>Q257+P257</f>
        <v/>
      </c>
      <c r="S257" s="194">
        <f>ROUNDDOWN(O257*0.51,)+60</f>
        <v/>
      </c>
      <c r="T257" s="207">
        <f>_xlfn.XLOOKUP(F257,[1]Fx!$A$4:$A$10,[1]Fx!$B$4:$B$10)</f>
        <v/>
      </c>
      <c r="U257" s="207">
        <f>_xlfn.XLOOKUP(F257,[1]Fx!$A$4:$A$10,[1]Fx!$C$4:$C$10)</f>
        <v/>
      </c>
      <c r="V257" s="207">
        <f>_xlfn.XLOOKUP(F257,[1]Fx!$A$4:$A$10,[1]Fx!$D$4:$D$10)</f>
        <v/>
      </c>
      <c r="W257" s="207">
        <f>$V$2</f>
        <v/>
      </c>
      <c r="X257" s="207">
        <f>_xlfn.XLOOKUP(F257,[1]Fx!$A$4:$A$10,[1]Fx!$E$4:$E$10)</f>
        <v/>
      </c>
      <c r="Y257" s="207">
        <f>T257*R257</f>
        <v/>
      </c>
      <c r="Z257" s="207">
        <f>U257*O257</f>
        <v/>
      </c>
      <c r="AA257" s="207">
        <f>V257*O257</f>
        <v/>
      </c>
      <c r="AB257" s="207">
        <f>W257*O257</f>
        <v/>
      </c>
      <c r="AC257" s="194">
        <f>X257*O257</f>
        <v/>
      </c>
      <c r="AD257" s="207" t="n">
        <v>0</v>
      </c>
      <c r="AE257" s="207" t="n">
        <v>0</v>
      </c>
      <c r="AF257" s="207">
        <f>SUM(Y257:AE257)</f>
        <v/>
      </c>
      <c r="AG257" s="254">
        <f>_xlfn.XLOOKUP(F257,[1]Fx!$A$16:$A$22,[1]Fx!$B$16:$B$22)</f>
        <v/>
      </c>
      <c r="AH257" s="207">
        <f>AG257*R257</f>
        <v/>
      </c>
      <c r="AI257" s="207">
        <f>$AH$3*Z257</f>
        <v/>
      </c>
      <c r="AJ257" s="207">
        <f>$AI$3*AA257</f>
        <v/>
      </c>
      <c r="AK257" s="207">
        <f>$AJ$3*AB257</f>
        <v/>
      </c>
      <c r="AL257" s="207">
        <f>$AK$3*AC257</f>
        <v/>
      </c>
      <c r="AM257" s="208">
        <f>SUM(AH257:AL257)</f>
        <v/>
      </c>
      <c r="AN257" s="208" t="n">
        <v>0</v>
      </c>
      <c r="AO257" s="220">
        <f>AN257*AH257</f>
        <v/>
      </c>
      <c r="AP257" s="208">
        <f>AD257</f>
        <v/>
      </c>
      <c r="AQ257" s="208">
        <f>AE257</f>
        <v/>
      </c>
      <c r="AR257" s="208">
        <f>AM257-AO257</f>
        <v/>
      </c>
      <c r="AS257" s="220">
        <f>AR257-AK257</f>
        <v/>
      </c>
      <c r="AT257" s="208">
        <f>AS257*1.075</f>
        <v/>
      </c>
      <c r="AU257" s="208">
        <f>AT257+AK257</f>
        <v/>
      </c>
      <c r="AV257" s="198" t="n">
        <v>141581.78011258</v>
      </c>
      <c r="AW257" s="208" t="n">
        <v>2000000</v>
      </c>
      <c r="AX257" s="208">
        <f>AV257-AR257</f>
        <v/>
      </c>
      <c r="AY257" s="54">
        <f>AX257/AR257</f>
        <v/>
      </c>
      <c r="AZ257" s="208">
        <f>AV257-AF257</f>
        <v/>
      </c>
      <c r="BA257" s="207">
        <f>AV257-SUM(Z257:AC257)</f>
        <v/>
      </c>
      <c r="BB257" s="207">
        <f>BA257-Y257</f>
        <v/>
      </c>
      <c r="BC257" s="54">
        <f>BB257/BA257</f>
        <v/>
      </c>
      <c r="BD257" s="54">
        <f>IFERROR(AZ257/AV257,)</f>
        <v/>
      </c>
      <c r="BE257" s="255">
        <f>AV257-SUM(Z257:AC257)</f>
        <v/>
      </c>
      <c r="BF257" s="255">
        <f>AV257-BE257-AC257-AB257</f>
        <v/>
      </c>
      <c r="BG257" s="255">
        <f>AV257-BE257-BF257-AB257</f>
        <v/>
      </c>
      <c r="BH257" s="255">
        <f>AB257</f>
        <v/>
      </c>
      <c r="BI257" s="263" t="inlineStr">
        <is>
          <t>Approved</t>
        </is>
      </c>
    </row>
    <row r="258">
      <c r="C258" s="96" t="inlineStr">
        <is>
          <t>YEKENE</t>
        </is>
      </c>
      <c r="D258" s="49">
        <f>CONCATENATE(G258,"-",H258,"-",F258)</f>
        <v/>
      </c>
      <c r="E258" s="95" t="inlineStr">
        <is>
          <t>Jamara-8T-25CBM</t>
        </is>
      </c>
      <c r="F258" s="24" t="inlineStr">
        <is>
          <t>25CBM</t>
        </is>
      </c>
      <c r="G258" s="25" t="inlineStr">
        <is>
          <t>Closed Body Logistics</t>
        </is>
      </c>
      <c r="H258" s="101" t="inlineStr">
        <is>
          <t>8T</t>
        </is>
      </c>
      <c r="I258" s="102" t="inlineStr">
        <is>
          <t>Jamara</t>
        </is>
      </c>
      <c r="J258" s="103" t="inlineStr">
        <is>
          <t>Lagos</t>
        </is>
      </c>
      <c r="K258" s="110" t="inlineStr">
        <is>
          <t>Abeokuta</t>
        </is>
      </c>
      <c r="L258" s="57" t="inlineStr">
        <is>
          <t>Ogun</t>
        </is>
      </c>
      <c r="M258" s="58" t="inlineStr">
        <is>
          <t>Abeokuta</t>
        </is>
      </c>
      <c r="N258" s="196" t="n">
        <v>99.5</v>
      </c>
      <c r="O258" s="194">
        <f>N258*2</f>
        <v/>
      </c>
      <c r="P258" s="215">
        <f>ROUNDUP(O258/300,)</f>
        <v/>
      </c>
      <c r="Q258" s="215" t="n">
        <v>0.2</v>
      </c>
      <c r="R258" s="215">
        <f>Q258+P258</f>
        <v/>
      </c>
      <c r="S258" s="197">
        <f>ROUNDDOWN(O258*0.51,)+60</f>
        <v/>
      </c>
      <c r="T258" s="207">
        <f>_xlfn.XLOOKUP(F258,[1]Fx!$A$4:$A$10,[1]Fx!$B$4:$B$10)</f>
        <v/>
      </c>
      <c r="U258" s="207">
        <f>_xlfn.XLOOKUP(F258,[1]Fx!$A$4:$A$10,[1]Fx!$C$4:$C$10)</f>
        <v/>
      </c>
      <c r="V258" s="207">
        <f>_xlfn.XLOOKUP(F258,[1]Fx!$A$4:$A$10,[1]Fx!$D$4:$D$10)</f>
        <v/>
      </c>
      <c r="W258" s="207">
        <f>$V$2</f>
        <v/>
      </c>
      <c r="X258" s="207">
        <f>_xlfn.XLOOKUP(F258,[1]Fx!$A$4:$A$10,[1]Fx!$E$4:$E$10)</f>
        <v/>
      </c>
      <c r="Y258" s="215">
        <f>T258*R258</f>
        <v/>
      </c>
      <c r="Z258" s="215">
        <f>U258*O258</f>
        <v/>
      </c>
      <c r="AA258" s="215">
        <f>V258*O258</f>
        <v/>
      </c>
      <c r="AB258" s="215">
        <f>W258*O258</f>
        <v/>
      </c>
      <c r="AC258" s="197">
        <f>X258*O258</f>
        <v/>
      </c>
      <c r="AD258" s="215" t="n">
        <v>0</v>
      </c>
      <c r="AE258" s="215" t="n">
        <v>0</v>
      </c>
      <c r="AF258" s="207">
        <f>SUM(Y258:AE258)</f>
        <v/>
      </c>
      <c r="AG258" s="254">
        <f>_xlfn.XLOOKUP(F258,[1]Fx!$A$16:$A$22,[1]Fx!$B$16:$B$22)</f>
        <v/>
      </c>
      <c r="AH258" s="207">
        <f>AG258*R258</f>
        <v/>
      </c>
      <c r="AI258" s="207">
        <f>$AH$3*Z258</f>
        <v/>
      </c>
      <c r="AJ258" s="207">
        <f>$AI$3*AA258</f>
        <v/>
      </c>
      <c r="AK258" s="207">
        <f>$AJ$3*AB258</f>
        <v/>
      </c>
      <c r="AL258" s="207">
        <f>$AK$3*AC258</f>
        <v/>
      </c>
      <c r="AM258" s="220">
        <f>SUM(AH258:AL258)</f>
        <v/>
      </c>
      <c r="AN258" s="220" t="n">
        <v>0</v>
      </c>
      <c r="AO258" s="220">
        <f>AN258*AH258</f>
        <v/>
      </c>
      <c r="AP258" s="220">
        <f>AD258</f>
        <v/>
      </c>
      <c r="AQ258" s="220">
        <f>AE258</f>
        <v/>
      </c>
      <c r="AR258" s="208">
        <f>AM258-AO258</f>
        <v/>
      </c>
      <c r="AS258" s="220">
        <f>AR258-AK258</f>
        <v/>
      </c>
      <c r="AT258" s="208">
        <f>AS258*1.075</f>
        <v/>
      </c>
      <c r="AU258" s="208">
        <f>AT258+AK258</f>
        <v/>
      </c>
      <c r="AV258" s="198" t="n">
        <v>141581.78011258</v>
      </c>
      <c r="AW258" s="220" t="n">
        <v>2300000</v>
      </c>
      <c r="AX258" s="220">
        <f>AV258-AR258</f>
        <v/>
      </c>
      <c r="AY258" s="35">
        <f>AX258/AR258</f>
        <v/>
      </c>
      <c r="AZ258" s="220">
        <f>AV258-AF258</f>
        <v/>
      </c>
      <c r="BA258" s="215">
        <f>AV258-SUM(Z258:AC258)</f>
        <v/>
      </c>
      <c r="BB258" s="215">
        <f>BA258-Y258</f>
        <v/>
      </c>
      <c r="BC258" s="35">
        <f>BB258/BA258</f>
        <v/>
      </c>
      <c r="BD258" s="35">
        <f>IFERROR(AZ258/AV258,)</f>
        <v/>
      </c>
      <c r="BE258" s="255">
        <f>AV258-SUM(Z258:AC258)</f>
        <v/>
      </c>
      <c r="BF258" s="255">
        <f>AV258-BE258-AC258-AB258</f>
        <v/>
      </c>
      <c r="BG258" s="255">
        <f>AV258-BE258-BF258-AB258</f>
        <v/>
      </c>
      <c r="BH258" s="255">
        <f>AB258</f>
        <v/>
      </c>
      <c r="BI258" s="263" t="inlineStr">
        <is>
          <t>Approved</t>
        </is>
      </c>
    </row>
    <row r="259">
      <c r="C259" s="96" t="inlineStr">
        <is>
          <t>YEKENE</t>
        </is>
      </c>
      <c r="D259" s="49">
        <f>CONCATENATE(G259,"-",H259,"-",F259)</f>
        <v/>
      </c>
      <c r="E259" s="95" t="inlineStr">
        <is>
          <t>Jamara-8T-25CBM</t>
        </is>
      </c>
      <c r="F259" s="24" t="inlineStr">
        <is>
          <t>25CBM</t>
        </is>
      </c>
      <c r="G259" s="25" t="inlineStr">
        <is>
          <t>Closed Body Logistics</t>
        </is>
      </c>
      <c r="H259" s="101" t="inlineStr">
        <is>
          <t>8T</t>
        </is>
      </c>
      <c r="I259" s="102" t="inlineStr">
        <is>
          <t>Jamara</t>
        </is>
      </c>
      <c r="J259" s="103" t="inlineStr">
        <is>
          <t>Lagos</t>
        </is>
      </c>
      <c r="K259" s="107" t="inlineStr">
        <is>
          <t>Sagamu-Ijebu-Ode</t>
        </is>
      </c>
      <c r="L259" s="57" t="inlineStr">
        <is>
          <t>Ogun</t>
        </is>
      </c>
      <c r="M259" s="58" t="inlineStr">
        <is>
          <t>Ijebu-Ode</t>
        </is>
      </c>
      <c r="N259" s="196" t="n">
        <v>100</v>
      </c>
      <c r="O259" s="194">
        <f>N259*2</f>
        <v/>
      </c>
      <c r="P259" s="215">
        <f>ROUNDUP(O259/300,)</f>
        <v/>
      </c>
      <c r="Q259" s="215" t="n">
        <v>0.2</v>
      </c>
      <c r="R259" s="215">
        <f>Q259+P259</f>
        <v/>
      </c>
      <c r="S259" s="197">
        <f>ROUNDDOWN(O259*0.51,)+60</f>
        <v/>
      </c>
      <c r="T259" s="207">
        <f>_xlfn.XLOOKUP(F259,[1]Fx!$A$4:$A$10,[1]Fx!$B$4:$B$10)</f>
        <v/>
      </c>
      <c r="U259" s="207">
        <f>_xlfn.XLOOKUP(F259,[1]Fx!$A$4:$A$10,[1]Fx!$C$4:$C$10)</f>
        <v/>
      </c>
      <c r="V259" s="207">
        <f>_xlfn.XLOOKUP(F259,[1]Fx!$A$4:$A$10,[1]Fx!$D$4:$D$10)</f>
        <v/>
      </c>
      <c r="W259" s="207">
        <f>$V$2</f>
        <v/>
      </c>
      <c r="X259" s="207">
        <f>_xlfn.XLOOKUP(F259,[1]Fx!$A$4:$A$10,[1]Fx!$E$4:$E$10)</f>
        <v/>
      </c>
      <c r="Y259" s="215">
        <f>T259*R259</f>
        <v/>
      </c>
      <c r="Z259" s="215">
        <f>U259*O259</f>
        <v/>
      </c>
      <c r="AA259" s="215">
        <f>V259*O259</f>
        <v/>
      </c>
      <c r="AB259" s="215">
        <f>W259*O259</f>
        <v/>
      </c>
      <c r="AC259" s="197">
        <f>X259*O259</f>
        <v/>
      </c>
      <c r="AD259" s="215" t="n">
        <v>0</v>
      </c>
      <c r="AE259" s="215" t="n">
        <v>0</v>
      </c>
      <c r="AF259" s="207">
        <f>SUM(Y259:AE259)</f>
        <v/>
      </c>
      <c r="AG259" s="254">
        <f>_xlfn.XLOOKUP(F259,[1]Fx!$A$16:$A$22,[1]Fx!$B$16:$B$22)</f>
        <v/>
      </c>
      <c r="AH259" s="207">
        <f>AG259*R259</f>
        <v/>
      </c>
      <c r="AI259" s="207">
        <f>$AH$3*Z259</f>
        <v/>
      </c>
      <c r="AJ259" s="207">
        <f>$AI$3*AA259</f>
        <v/>
      </c>
      <c r="AK259" s="207">
        <f>$AJ$3*AB259</f>
        <v/>
      </c>
      <c r="AL259" s="207">
        <f>$AK$3*AC259</f>
        <v/>
      </c>
      <c r="AM259" s="220">
        <f>SUM(AH259:AL259)</f>
        <v/>
      </c>
      <c r="AN259" s="220" t="n">
        <v>0</v>
      </c>
      <c r="AO259" s="220">
        <f>AN259*AH259</f>
        <v/>
      </c>
      <c r="AP259" s="220">
        <f>AD259</f>
        <v/>
      </c>
      <c r="AQ259" s="220">
        <f>AE259</f>
        <v/>
      </c>
      <c r="AR259" s="208">
        <f>AM259-AO259</f>
        <v/>
      </c>
      <c r="AS259" s="220">
        <f>AR259-AK259</f>
        <v/>
      </c>
      <c r="AT259" s="208">
        <f>AS259*1.075</f>
        <v/>
      </c>
      <c r="AU259" s="208">
        <f>AT259+AK259</f>
        <v/>
      </c>
      <c r="AV259" s="198" t="n">
        <v>141581.78011258</v>
      </c>
      <c r="AW259" s="220" t="n">
        <v>3200000</v>
      </c>
      <c r="AX259" s="220">
        <f>AV259-AR259</f>
        <v/>
      </c>
      <c r="AY259" s="35">
        <f>AX259/AR259</f>
        <v/>
      </c>
      <c r="AZ259" s="220">
        <f>AV259-AF259</f>
        <v/>
      </c>
      <c r="BA259" s="215">
        <f>AV259-SUM(Z259:AC259)</f>
        <v/>
      </c>
      <c r="BB259" s="215">
        <f>BA259-Y259</f>
        <v/>
      </c>
      <c r="BC259" s="35">
        <f>BB259/BA259</f>
        <v/>
      </c>
      <c r="BD259" s="35">
        <f>IFERROR(AZ259/AV259,)</f>
        <v/>
      </c>
      <c r="BE259" s="255">
        <f>AV259-SUM(Z259:AC259)</f>
        <v/>
      </c>
      <c r="BF259" s="255">
        <f>AV259-BE259-AC259-AB259</f>
        <v/>
      </c>
      <c r="BG259" s="255">
        <f>AV259-BE259-BF259-AB259</f>
        <v/>
      </c>
      <c r="BH259" s="255">
        <f>AB259</f>
        <v/>
      </c>
      <c r="BI259" s="263" t="inlineStr">
        <is>
          <t>Approved</t>
        </is>
      </c>
    </row>
    <row r="260">
      <c r="C260" s="96" t="inlineStr">
        <is>
          <t>YEKENE</t>
        </is>
      </c>
      <c r="D260" s="49">
        <f>CONCATENATE(G260,"-",H260,"-",F260)</f>
        <v/>
      </c>
      <c r="E260" s="95" t="inlineStr">
        <is>
          <t>Jamara-8T-25CBM</t>
        </is>
      </c>
      <c r="F260" s="24" t="inlineStr">
        <is>
          <t>25CBM</t>
        </is>
      </c>
      <c r="G260" s="25" t="inlineStr">
        <is>
          <t>Closed Body Logistics</t>
        </is>
      </c>
      <c r="H260" s="101" t="inlineStr">
        <is>
          <t>8T</t>
        </is>
      </c>
      <c r="I260" s="102" t="inlineStr">
        <is>
          <t>Jamara</t>
        </is>
      </c>
      <c r="J260" s="103" t="inlineStr">
        <is>
          <t>Lagos</t>
        </is>
      </c>
      <c r="K260" s="107" t="inlineStr">
        <is>
          <t>Sagamu</t>
        </is>
      </c>
      <c r="L260" s="57" t="inlineStr">
        <is>
          <t>Ogun</t>
        </is>
      </c>
      <c r="M260" s="58" t="inlineStr">
        <is>
          <t>Sagamu</t>
        </is>
      </c>
      <c r="N260" s="196" t="n">
        <v>100</v>
      </c>
      <c r="O260" s="194">
        <f>N260*2</f>
        <v/>
      </c>
      <c r="P260" s="215">
        <f>ROUNDUP(O260/300,)</f>
        <v/>
      </c>
      <c r="Q260" s="215" t="n">
        <v>0.2</v>
      </c>
      <c r="R260" s="215">
        <f>Q260+P260</f>
        <v/>
      </c>
      <c r="S260" s="197">
        <f>ROUNDDOWN(O260*0.51,)+60</f>
        <v/>
      </c>
      <c r="T260" s="207">
        <f>_xlfn.XLOOKUP(F260,[1]Fx!$A$4:$A$10,[1]Fx!$B$4:$B$10)</f>
        <v/>
      </c>
      <c r="U260" s="207">
        <f>_xlfn.XLOOKUP(F260,[1]Fx!$A$4:$A$10,[1]Fx!$C$4:$C$10)</f>
        <v/>
      </c>
      <c r="V260" s="207">
        <f>_xlfn.XLOOKUP(F260,[1]Fx!$A$4:$A$10,[1]Fx!$D$4:$D$10)</f>
        <v/>
      </c>
      <c r="W260" s="207">
        <f>$V$2</f>
        <v/>
      </c>
      <c r="X260" s="207">
        <f>_xlfn.XLOOKUP(F260,[1]Fx!$A$4:$A$10,[1]Fx!$E$4:$E$10)</f>
        <v/>
      </c>
      <c r="Y260" s="215">
        <f>T260*R260</f>
        <v/>
      </c>
      <c r="Z260" s="215">
        <f>U260*O260</f>
        <v/>
      </c>
      <c r="AA260" s="215">
        <f>V260*O260</f>
        <v/>
      </c>
      <c r="AB260" s="215">
        <f>W260*O260</f>
        <v/>
      </c>
      <c r="AC260" s="197">
        <f>X260*O260</f>
        <v/>
      </c>
      <c r="AD260" s="215" t="n">
        <v>0</v>
      </c>
      <c r="AE260" s="215" t="n">
        <v>0</v>
      </c>
      <c r="AF260" s="207">
        <f>SUM(Y260:AE260)</f>
        <v/>
      </c>
      <c r="AG260" s="254">
        <f>_xlfn.XLOOKUP(F260,[1]Fx!$A$16:$A$22,[1]Fx!$B$16:$B$22)</f>
        <v/>
      </c>
      <c r="AH260" s="207">
        <f>AG260*R260</f>
        <v/>
      </c>
      <c r="AI260" s="207">
        <f>$AH$3*Z260</f>
        <v/>
      </c>
      <c r="AJ260" s="207">
        <f>$AI$3*AA260</f>
        <v/>
      </c>
      <c r="AK260" s="207">
        <f>$AJ$3*AB260</f>
        <v/>
      </c>
      <c r="AL260" s="207">
        <f>$AK$3*AC260</f>
        <v/>
      </c>
      <c r="AM260" s="220">
        <f>SUM(AH260:AL260)</f>
        <v/>
      </c>
      <c r="AN260" s="220" t="n">
        <v>0</v>
      </c>
      <c r="AO260" s="220">
        <f>AN260*AH260</f>
        <v/>
      </c>
      <c r="AP260" s="220">
        <f>AD260</f>
        <v/>
      </c>
      <c r="AQ260" s="220">
        <f>AE260</f>
        <v/>
      </c>
      <c r="AR260" s="208">
        <f>AM260-AO260</f>
        <v/>
      </c>
      <c r="AS260" s="220">
        <f>AR260-AK260</f>
        <v/>
      </c>
      <c r="AT260" s="208">
        <f>AS260*1.075</f>
        <v/>
      </c>
      <c r="AU260" s="208">
        <f>AT260+AK260</f>
        <v/>
      </c>
      <c r="AV260" s="198" t="n">
        <v>141581.78011258</v>
      </c>
      <c r="AW260" s="220" t="n">
        <v>550000</v>
      </c>
      <c r="AX260" s="220">
        <f>AV260-AR260</f>
        <v/>
      </c>
      <c r="AY260" s="35">
        <f>AX260/AR260</f>
        <v/>
      </c>
      <c r="AZ260" s="220">
        <f>AV260-AF260</f>
        <v/>
      </c>
      <c r="BA260" s="215">
        <f>AV260-SUM(Z260:AC260)</f>
        <v/>
      </c>
      <c r="BB260" s="215">
        <f>BA260-Y260</f>
        <v/>
      </c>
      <c r="BC260" s="35">
        <f>BB260/BA260</f>
        <v/>
      </c>
      <c r="BD260" s="35">
        <f>IFERROR(AZ260/AV260,)</f>
        <v/>
      </c>
      <c r="BE260" s="255">
        <f>AV260-SUM(Z260:AC260)</f>
        <v/>
      </c>
      <c r="BF260" s="255">
        <f>AV260-BE260-AC260-AB260</f>
        <v/>
      </c>
      <c r="BG260" s="255">
        <f>AV260-BE260-BF260-AB260</f>
        <v/>
      </c>
      <c r="BH260" s="255">
        <f>AB260</f>
        <v/>
      </c>
      <c r="BI260" s="263" t="inlineStr">
        <is>
          <t>Approved</t>
        </is>
      </c>
    </row>
    <row r="261">
      <c r="C261" s="96" t="inlineStr">
        <is>
          <t>YEKENE</t>
        </is>
      </c>
      <c r="D261" s="49">
        <f>CONCATENATE(G261,"-",H261,"-",F261)</f>
        <v/>
      </c>
      <c r="E261" s="95" t="inlineStr">
        <is>
          <t>Jamara-8T-25CBM</t>
        </is>
      </c>
      <c r="F261" s="24" t="inlineStr">
        <is>
          <t>25CBM</t>
        </is>
      </c>
      <c r="G261" s="25" t="inlineStr">
        <is>
          <t>Closed Body Logistics</t>
        </is>
      </c>
      <c r="H261" s="101" t="inlineStr">
        <is>
          <t>8T</t>
        </is>
      </c>
      <c r="I261" s="102" t="inlineStr">
        <is>
          <t>Jamara</t>
        </is>
      </c>
      <c r="J261" s="103" t="inlineStr">
        <is>
          <t>Lagos</t>
        </is>
      </c>
      <c r="K261" s="112" t="inlineStr">
        <is>
          <t>Ibadan</t>
        </is>
      </c>
      <c r="L261" s="57" t="inlineStr">
        <is>
          <t>Oyo</t>
        </is>
      </c>
      <c r="M261" s="61" t="inlineStr">
        <is>
          <t>Ibadan</t>
        </is>
      </c>
      <c r="N261" s="196" t="n">
        <v>120.5</v>
      </c>
      <c r="O261" s="194">
        <f>N261*2</f>
        <v/>
      </c>
      <c r="P261" s="215">
        <f>ROUNDUP(O261/300,)</f>
        <v/>
      </c>
      <c r="Q261" s="215" t="n">
        <v>0.2</v>
      </c>
      <c r="R261" s="215">
        <f>Q261+P261</f>
        <v/>
      </c>
      <c r="S261" s="197">
        <f>ROUNDDOWN(O261*0.51,)+60</f>
        <v/>
      </c>
      <c r="T261" s="207">
        <f>_xlfn.XLOOKUP(F261,[1]Fx!$A$4:$A$10,[1]Fx!$B$4:$B$10)</f>
        <v/>
      </c>
      <c r="U261" s="207">
        <f>_xlfn.XLOOKUP(F261,[1]Fx!$A$4:$A$10,[1]Fx!$C$4:$C$10)</f>
        <v/>
      </c>
      <c r="V261" s="207">
        <f>_xlfn.XLOOKUP(F261,[1]Fx!$A$4:$A$10,[1]Fx!$D$4:$D$10)</f>
        <v/>
      </c>
      <c r="W261" s="207">
        <f>$V$2</f>
        <v/>
      </c>
      <c r="X261" s="207">
        <f>_xlfn.XLOOKUP(F261,[1]Fx!$A$4:$A$10,[1]Fx!$E$4:$E$10)</f>
        <v/>
      </c>
      <c r="Y261" s="215">
        <f>T261*R261</f>
        <v/>
      </c>
      <c r="Z261" s="215">
        <f>U261*O261</f>
        <v/>
      </c>
      <c r="AA261" s="215">
        <f>V261*O261</f>
        <v/>
      </c>
      <c r="AB261" s="215">
        <f>W261*O261</f>
        <v/>
      </c>
      <c r="AC261" s="197">
        <f>X261*O261</f>
        <v/>
      </c>
      <c r="AD261" s="215" t="n">
        <v>0</v>
      </c>
      <c r="AE261" s="215" t="n">
        <v>0</v>
      </c>
      <c r="AF261" s="207">
        <f>SUM(Y261:AE261)</f>
        <v/>
      </c>
      <c r="AG261" s="254">
        <f>_xlfn.XLOOKUP(F261,[1]Fx!$A$16:$A$22,[1]Fx!$B$16:$B$22)</f>
        <v/>
      </c>
      <c r="AH261" s="207">
        <f>AG261*R261</f>
        <v/>
      </c>
      <c r="AI261" s="207">
        <f>$AH$3*Z261</f>
        <v/>
      </c>
      <c r="AJ261" s="207">
        <f>$AI$3*AA261</f>
        <v/>
      </c>
      <c r="AK261" s="207">
        <f>$AJ$3*AB261</f>
        <v/>
      </c>
      <c r="AL261" s="207">
        <f>$AK$3*AC261</f>
        <v/>
      </c>
      <c r="AM261" s="220">
        <f>SUM(AH261:AL261)</f>
        <v/>
      </c>
      <c r="AN261" s="220" t="n">
        <v>0</v>
      </c>
      <c r="AO261" s="220">
        <f>AN261*AH261</f>
        <v/>
      </c>
      <c r="AP261" s="220">
        <f>AD261</f>
        <v/>
      </c>
      <c r="AQ261" s="220">
        <f>AE261</f>
        <v/>
      </c>
      <c r="AR261" s="208">
        <f>AM261-AO261</f>
        <v/>
      </c>
      <c r="AS261" s="220">
        <f>AR261-AK261</f>
        <v/>
      </c>
      <c r="AT261" s="208">
        <f>AS261*1.075</f>
        <v/>
      </c>
      <c r="AU261" s="208">
        <f>AT261+AK261</f>
        <v/>
      </c>
      <c r="AV261" s="198" t="n">
        <v>141581.78011258</v>
      </c>
      <c r="AW261" s="220" t="n">
        <v>295000</v>
      </c>
      <c r="AX261" s="220">
        <f>AV261-AR261</f>
        <v/>
      </c>
      <c r="AY261" s="35">
        <f>AX261/AR261</f>
        <v/>
      </c>
      <c r="AZ261" s="220">
        <f>AV261-AF261</f>
        <v/>
      </c>
      <c r="BA261" s="215">
        <f>AV261-SUM(Z261:AC261)</f>
        <v/>
      </c>
      <c r="BB261" s="215">
        <f>BA261-Y261</f>
        <v/>
      </c>
      <c r="BC261" s="35">
        <f>BB261/BA261</f>
        <v/>
      </c>
      <c r="BD261" s="35">
        <f>IFERROR(AZ261/AV261,)</f>
        <v/>
      </c>
      <c r="BE261" s="255">
        <f>AV261-SUM(Z261:AC261)</f>
        <v/>
      </c>
      <c r="BF261" s="255">
        <f>AV261-BE261-AC261-AB261</f>
        <v/>
      </c>
      <c r="BG261" s="255">
        <f>AV261-BE261-BF261-AB261</f>
        <v/>
      </c>
      <c r="BH261" s="255">
        <f>AB261</f>
        <v/>
      </c>
      <c r="BI261" s="263" t="inlineStr">
        <is>
          <t>Approved</t>
        </is>
      </c>
    </row>
    <row r="262">
      <c r="C262" s="96" t="inlineStr">
        <is>
          <t>YEKENE</t>
        </is>
      </c>
      <c r="D262" s="49">
        <f>CONCATENATE(G262,"-",H262,"-",F262)</f>
        <v/>
      </c>
      <c r="E262" s="95" t="inlineStr">
        <is>
          <t>Jamara-8T-25CBM</t>
        </is>
      </c>
      <c r="F262" s="24" t="inlineStr">
        <is>
          <t>25CBM</t>
        </is>
      </c>
      <c r="G262" s="25" t="inlineStr">
        <is>
          <t>Closed Body Logistics</t>
        </is>
      </c>
      <c r="H262" s="101" t="inlineStr">
        <is>
          <t>8T</t>
        </is>
      </c>
      <c r="I262" s="102" t="inlineStr">
        <is>
          <t>Jamara</t>
        </is>
      </c>
      <c r="J262" s="103" t="inlineStr">
        <is>
          <t>Lagos</t>
        </is>
      </c>
      <c r="K262" s="106" t="inlineStr">
        <is>
          <t>Ekiti</t>
        </is>
      </c>
      <c r="L262" s="57" t="inlineStr">
        <is>
          <t>Ekiti</t>
        </is>
      </c>
      <c r="M262" s="61" t="inlineStr">
        <is>
          <t>Ado-Ekiti</t>
        </is>
      </c>
      <c r="N262" s="196" t="n">
        <v>353</v>
      </c>
      <c r="O262" s="194">
        <f>N262*2</f>
        <v/>
      </c>
      <c r="P262" s="215">
        <f>ROUNDUP(O262/300,)</f>
        <v/>
      </c>
      <c r="Q262" s="215" t="n">
        <v>0.2</v>
      </c>
      <c r="R262" s="215">
        <f>Q262+P262</f>
        <v/>
      </c>
      <c r="S262" s="197">
        <f>ROUNDDOWN(O262*0.51,)+60</f>
        <v/>
      </c>
      <c r="T262" s="207">
        <f>_xlfn.XLOOKUP(F262,[1]Fx!$A$4:$A$10,[1]Fx!$B$4:$B$10)</f>
        <v/>
      </c>
      <c r="U262" s="207">
        <f>_xlfn.XLOOKUP(F262,[1]Fx!$A$4:$A$10,[1]Fx!$C$4:$C$10)</f>
        <v/>
      </c>
      <c r="V262" s="207">
        <f>_xlfn.XLOOKUP(F262,[1]Fx!$A$4:$A$10,[1]Fx!$D$4:$D$10)</f>
        <v/>
      </c>
      <c r="W262" s="207">
        <f>$V$2</f>
        <v/>
      </c>
      <c r="X262" s="207">
        <f>_xlfn.XLOOKUP(F262,[1]Fx!$A$4:$A$10,[1]Fx!$E$4:$E$10)</f>
        <v/>
      </c>
      <c r="Y262" s="215">
        <f>T262*R262</f>
        <v/>
      </c>
      <c r="Z262" s="215">
        <f>U262*O262</f>
        <v/>
      </c>
      <c r="AA262" s="215">
        <f>V262*O262</f>
        <v/>
      </c>
      <c r="AB262" s="215">
        <f>W262*O262</f>
        <v/>
      </c>
      <c r="AC262" s="197">
        <f>X262*O262</f>
        <v/>
      </c>
      <c r="AD262" s="215" t="n">
        <v>0</v>
      </c>
      <c r="AE262" s="215" t="n">
        <v>0</v>
      </c>
      <c r="AF262" s="207">
        <f>SUM(Y262:AE262)</f>
        <v/>
      </c>
      <c r="AG262" s="254">
        <f>_xlfn.XLOOKUP(F262,[1]Fx!$A$16:$A$22,[1]Fx!$B$16:$B$22)</f>
        <v/>
      </c>
      <c r="AH262" s="207">
        <f>AG262*R262</f>
        <v/>
      </c>
      <c r="AI262" s="207">
        <f>$AH$3*Z262</f>
        <v/>
      </c>
      <c r="AJ262" s="207">
        <f>$AI$3*AA262</f>
        <v/>
      </c>
      <c r="AK262" s="207">
        <f>$AJ$3*AB262</f>
        <v/>
      </c>
      <c r="AL262" s="207">
        <f>$AK$3*AC262</f>
        <v/>
      </c>
      <c r="AM262" s="220">
        <f>SUM(AH262:AL262)</f>
        <v/>
      </c>
      <c r="AN262" s="220" t="n">
        <v>0</v>
      </c>
      <c r="AO262" s="220">
        <f>AN262*AH262</f>
        <v/>
      </c>
      <c r="AP262" s="220">
        <f>AD262</f>
        <v/>
      </c>
      <c r="AQ262" s="220">
        <f>AE262</f>
        <v/>
      </c>
      <c r="AR262" s="208">
        <f>AM262-AO262</f>
        <v/>
      </c>
      <c r="AS262" s="220">
        <f>AR262-AK262</f>
        <v/>
      </c>
      <c r="AT262" s="208">
        <f>AS262*1.075</f>
        <v/>
      </c>
      <c r="AU262" s="208">
        <f>AT262+AK262</f>
        <v/>
      </c>
      <c r="AV262" s="198" t="n">
        <v>377551.4136335467</v>
      </c>
      <c r="AW262" s="220" t="n">
        <v>295000</v>
      </c>
      <c r="AX262" s="220">
        <f>AV262-AR262</f>
        <v/>
      </c>
      <c r="AY262" s="35">
        <f>AX262/AR262</f>
        <v/>
      </c>
      <c r="AZ262" s="220">
        <f>AV262-AF262</f>
        <v/>
      </c>
      <c r="BA262" s="215">
        <f>AV262-SUM(Z262:AC262)</f>
        <v/>
      </c>
      <c r="BB262" s="215">
        <f>BA262-Y262</f>
        <v/>
      </c>
      <c r="BC262" s="35">
        <f>BB262/BA262</f>
        <v/>
      </c>
      <c r="BD262" s="35">
        <f>IFERROR(AZ262/AV262,)</f>
        <v/>
      </c>
      <c r="BE262" s="255">
        <f>AV262-SUM(Z262:AC262)</f>
        <v/>
      </c>
      <c r="BF262" s="255">
        <f>AV262-BE262-AC262-AB262</f>
        <v/>
      </c>
      <c r="BG262" s="255">
        <f>AV262-BE262-BF262-AB262</f>
        <v/>
      </c>
      <c r="BH262" s="255">
        <f>AB262</f>
        <v/>
      </c>
      <c r="BI262" s="263" t="inlineStr">
        <is>
          <t>Approved</t>
        </is>
      </c>
    </row>
    <row r="263">
      <c r="C263" s="96" t="inlineStr">
        <is>
          <t>YEKENE</t>
        </is>
      </c>
      <c r="D263" s="49">
        <f>CONCATENATE(G263,"-",H263,"-",F263)</f>
        <v/>
      </c>
      <c r="E263" s="95" t="inlineStr">
        <is>
          <t>Jamara-8T-25CBM</t>
        </is>
      </c>
      <c r="F263" s="24" t="inlineStr">
        <is>
          <t>25CBM</t>
        </is>
      </c>
      <c r="G263" s="25" t="inlineStr">
        <is>
          <t>Closed Body Logistics</t>
        </is>
      </c>
      <c r="H263" s="101" t="inlineStr">
        <is>
          <t>8T</t>
        </is>
      </c>
      <c r="I263" s="102" t="inlineStr">
        <is>
          <t>Jamara</t>
        </is>
      </c>
      <c r="J263" s="103" t="inlineStr">
        <is>
          <t>Lagos</t>
        </is>
      </c>
      <c r="K263" s="106" t="inlineStr">
        <is>
          <t>Ondo</t>
        </is>
      </c>
      <c r="L263" s="57" t="inlineStr">
        <is>
          <t>Ondo</t>
        </is>
      </c>
      <c r="M263" s="58" t="inlineStr">
        <is>
          <t>Akure</t>
        </is>
      </c>
      <c r="N263" s="196" t="n">
        <v>304</v>
      </c>
      <c r="O263" s="194">
        <f>N263*2</f>
        <v/>
      </c>
      <c r="P263" s="215">
        <f>ROUNDUP(O263/300,)</f>
        <v/>
      </c>
      <c r="Q263" s="215" t="n">
        <v>0.2</v>
      </c>
      <c r="R263" s="215">
        <f>Q263+P263</f>
        <v/>
      </c>
      <c r="S263" s="197">
        <f>ROUNDDOWN(O263*0.51,)+60</f>
        <v/>
      </c>
      <c r="T263" s="207">
        <f>_xlfn.XLOOKUP(F263,[1]Fx!$A$4:$A$10,[1]Fx!$B$4:$B$10)</f>
        <v/>
      </c>
      <c r="U263" s="207">
        <f>_xlfn.XLOOKUP(F263,[1]Fx!$A$4:$A$10,[1]Fx!$C$4:$C$10)</f>
        <v/>
      </c>
      <c r="V263" s="207">
        <f>_xlfn.XLOOKUP(F263,[1]Fx!$A$4:$A$10,[1]Fx!$D$4:$D$10)</f>
        <v/>
      </c>
      <c r="W263" s="207">
        <f>$V$2</f>
        <v/>
      </c>
      <c r="X263" s="207">
        <f>_xlfn.XLOOKUP(F263,[1]Fx!$A$4:$A$10,[1]Fx!$E$4:$E$10)</f>
        <v/>
      </c>
      <c r="Y263" s="215">
        <f>T263*R263</f>
        <v/>
      </c>
      <c r="Z263" s="215">
        <f>U263*O263</f>
        <v/>
      </c>
      <c r="AA263" s="215">
        <f>V263*O263</f>
        <v/>
      </c>
      <c r="AB263" s="215">
        <f>W263*O263</f>
        <v/>
      </c>
      <c r="AC263" s="197">
        <f>X263*O263</f>
        <v/>
      </c>
      <c r="AD263" s="215" t="n">
        <v>0</v>
      </c>
      <c r="AE263" s="215" t="n">
        <v>0</v>
      </c>
      <c r="AF263" s="207">
        <f>SUM(Y263:AE263)</f>
        <v/>
      </c>
      <c r="AG263" s="254">
        <f>_xlfn.XLOOKUP(F263,[1]Fx!$A$16:$A$22,[1]Fx!$B$16:$B$22)</f>
        <v/>
      </c>
      <c r="AH263" s="207">
        <f>AG263*R263</f>
        <v/>
      </c>
      <c r="AI263" s="207">
        <f>$AH$3*Z263</f>
        <v/>
      </c>
      <c r="AJ263" s="207">
        <f>$AI$3*AA263</f>
        <v/>
      </c>
      <c r="AK263" s="207">
        <f>$AJ$3*AB263</f>
        <v/>
      </c>
      <c r="AL263" s="207">
        <f>$AK$3*AC263</f>
        <v/>
      </c>
      <c r="AM263" s="220">
        <f>SUM(AH263:AL263)</f>
        <v/>
      </c>
      <c r="AN263" s="220" t="n">
        <v>0</v>
      </c>
      <c r="AO263" s="220">
        <f>AN263*AH263</f>
        <v/>
      </c>
      <c r="AP263" s="220">
        <f>AD263</f>
        <v/>
      </c>
      <c r="AQ263" s="220">
        <f>AE263</f>
        <v/>
      </c>
      <c r="AR263" s="208">
        <f>AM263-AO263</f>
        <v/>
      </c>
      <c r="AS263" s="220">
        <f>AR263-AK263</f>
        <v/>
      </c>
      <c r="AT263" s="208">
        <f>AS263*1.075</f>
        <v/>
      </c>
      <c r="AU263" s="208">
        <f>AT263+AK263</f>
        <v/>
      </c>
      <c r="AV263" s="198" t="n">
        <v>377551.4136335467</v>
      </c>
      <c r="AW263" s="220" t="n">
        <v>295000</v>
      </c>
      <c r="AX263" s="220">
        <f>AV263-AR263</f>
        <v/>
      </c>
      <c r="AY263" s="35">
        <f>AX263/AR263</f>
        <v/>
      </c>
      <c r="AZ263" s="220">
        <f>AV263-AF263</f>
        <v/>
      </c>
      <c r="BA263" s="215">
        <f>AV263-SUM(Z263:AC263)</f>
        <v/>
      </c>
      <c r="BB263" s="215">
        <f>BA263-Y263</f>
        <v/>
      </c>
      <c r="BC263" s="35">
        <f>BB263/BA263</f>
        <v/>
      </c>
      <c r="BD263" s="35">
        <f>IFERROR(AZ263/AV263,)</f>
        <v/>
      </c>
      <c r="BE263" s="255">
        <f>AV263-SUM(Z263:AC263)</f>
        <v/>
      </c>
      <c r="BF263" s="255">
        <f>AV263-BE263-AC263-AB263</f>
        <v/>
      </c>
      <c r="BG263" s="255">
        <f>AV263-BE263-BF263-AB263</f>
        <v/>
      </c>
      <c r="BH263" s="255">
        <f>AB263</f>
        <v/>
      </c>
      <c r="BI263" s="263" t="inlineStr">
        <is>
          <t>Approved</t>
        </is>
      </c>
    </row>
    <row r="264">
      <c r="C264" s="96" t="inlineStr">
        <is>
          <t>YEKENE</t>
        </is>
      </c>
      <c r="D264" s="49">
        <f>CONCATENATE(G264,"-",H264,"-",F264)</f>
        <v/>
      </c>
      <c r="E264" s="95" t="inlineStr">
        <is>
          <t>Jamara-8T-25CBM</t>
        </is>
      </c>
      <c r="F264" s="24" t="inlineStr">
        <is>
          <t>25CBM</t>
        </is>
      </c>
      <c r="G264" s="25" t="inlineStr">
        <is>
          <t>Closed Body Logistics</t>
        </is>
      </c>
      <c r="H264" s="101" t="inlineStr">
        <is>
          <t>8T</t>
        </is>
      </c>
      <c r="I264" s="102" t="inlineStr">
        <is>
          <t>Jamara</t>
        </is>
      </c>
      <c r="J264" s="103" t="inlineStr">
        <is>
          <t>Lagos</t>
        </is>
      </c>
      <c r="K264" s="112" t="inlineStr">
        <is>
          <t>Kwara</t>
        </is>
      </c>
      <c r="L264" s="57" t="inlineStr">
        <is>
          <t>Kwara</t>
        </is>
      </c>
      <c r="M264" s="61" t="inlineStr">
        <is>
          <t>Ilorin</t>
        </is>
      </c>
      <c r="N264" s="196" t="n">
        <v>297.5</v>
      </c>
      <c r="O264" s="194">
        <f>N264*2</f>
        <v/>
      </c>
      <c r="P264" s="215">
        <f>ROUNDUP(O264/300,)</f>
        <v/>
      </c>
      <c r="Q264" s="215" t="n">
        <v>0.2</v>
      </c>
      <c r="R264" s="215">
        <f>Q264+P264</f>
        <v/>
      </c>
      <c r="S264" s="197">
        <f>ROUNDDOWN(O264*0.51,)+60</f>
        <v/>
      </c>
      <c r="T264" s="207">
        <f>_xlfn.XLOOKUP(F264,[1]Fx!$A$4:$A$10,[1]Fx!$B$4:$B$10)</f>
        <v/>
      </c>
      <c r="U264" s="207">
        <f>_xlfn.XLOOKUP(F264,[1]Fx!$A$4:$A$10,[1]Fx!$C$4:$C$10)</f>
        <v/>
      </c>
      <c r="V264" s="207">
        <f>_xlfn.XLOOKUP(F264,[1]Fx!$A$4:$A$10,[1]Fx!$D$4:$D$10)</f>
        <v/>
      </c>
      <c r="W264" s="207">
        <f>$V$2</f>
        <v/>
      </c>
      <c r="X264" s="207">
        <f>_xlfn.XLOOKUP(F264,[1]Fx!$A$4:$A$10,[1]Fx!$E$4:$E$10)</f>
        <v/>
      </c>
      <c r="Y264" s="215">
        <f>T264*R264</f>
        <v/>
      </c>
      <c r="Z264" s="215">
        <f>U264*O264</f>
        <v/>
      </c>
      <c r="AA264" s="215">
        <f>V264*O264</f>
        <v/>
      </c>
      <c r="AB264" s="215">
        <f>W264*O264</f>
        <v/>
      </c>
      <c r="AC264" s="197">
        <f>X264*O264</f>
        <v/>
      </c>
      <c r="AD264" s="215" t="n">
        <v>20000</v>
      </c>
      <c r="AE264" s="215" t="n">
        <v>0</v>
      </c>
      <c r="AF264" s="207">
        <f>SUM(Y264:AE264)</f>
        <v/>
      </c>
      <c r="AG264" s="254">
        <f>_xlfn.XLOOKUP(F264,[1]Fx!$A$16:$A$22,[1]Fx!$B$16:$B$22)</f>
        <v/>
      </c>
      <c r="AH264" s="207">
        <f>AG264*R264</f>
        <v/>
      </c>
      <c r="AI264" s="207">
        <f>$AH$3*Z264</f>
        <v/>
      </c>
      <c r="AJ264" s="207">
        <f>$AI$3*AA264</f>
        <v/>
      </c>
      <c r="AK264" s="207">
        <f>$AJ$3*AB264</f>
        <v/>
      </c>
      <c r="AL264" s="207">
        <f>$AK$3*AC264</f>
        <v/>
      </c>
      <c r="AM264" s="220">
        <f>SUM(AH264:AL264)</f>
        <v/>
      </c>
      <c r="AN264" s="220" t="n">
        <v>0</v>
      </c>
      <c r="AO264" s="220">
        <f>AN264*AH264</f>
        <v/>
      </c>
      <c r="AP264" s="220" t="n">
        <v>0</v>
      </c>
      <c r="AQ264" s="220">
        <f>AE264</f>
        <v/>
      </c>
      <c r="AR264" s="208">
        <f>AM264-AO264</f>
        <v/>
      </c>
      <c r="AS264" s="220">
        <f>AR264-AK264</f>
        <v/>
      </c>
      <c r="AT264" s="208">
        <f>AS264*1.075</f>
        <v/>
      </c>
      <c r="AU264" s="208">
        <f>AT264+AK264</f>
        <v/>
      </c>
      <c r="AV264" s="198" t="n">
        <v>259566.5968730634</v>
      </c>
      <c r="AW264" s="220" t="n"/>
      <c r="AX264" s="220">
        <f>AV264-AU264</f>
        <v/>
      </c>
      <c r="AY264" s="35">
        <f>AX264/AR264</f>
        <v/>
      </c>
      <c r="AZ264" s="220">
        <f>AV264-AF264</f>
        <v/>
      </c>
      <c r="BA264" s="215">
        <f>AV264-SUM(Z264:AC264)</f>
        <v/>
      </c>
      <c r="BB264" s="215">
        <f>BA264-Y264</f>
        <v/>
      </c>
      <c r="BC264" s="35">
        <f>BB264/BA264</f>
        <v/>
      </c>
      <c r="BD264" s="35">
        <f>IFERROR(AZ264/AV264,)</f>
        <v/>
      </c>
      <c r="BE264" s="255">
        <f>AV264-SUM(Z264:AC264)</f>
        <v/>
      </c>
      <c r="BF264" s="255">
        <f>AV264-BE264-AC264-AB264</f>
        <v/>
      </c>
      <c r="BG264" s="255">
        <f>AV264-BE264-BF264-AB264</f>
        <v/>
      </c>
      <c r="BH264" s="255">
        <f>AB264</f>
        <v/>
      </c>
      <c r="BI264" s="263" t="inlineStr">
        <is>
          <t xml:space="preserve">To Check </t>
        </is>
      </c>
    </row>
    <row r="265">
      <c r="C265" s="96" t="inlineStr">
        <is>
          <t>YEKENE</t>
        </is>
      </c>
      <c r="D265" s="49">
        <f>CONCATENATE(G265,"-",H265,"-",F265)</f>
        <v/>
      </c>
      <c r="E265" s="95" t="inlineStr">
        <is>
          <t>Jamara-8T-25CBM</t>
        </is>
      </c>
      <c r="F265" s="24" t="inlineStr">
        <is>
          <t>25CBM</t>
        </is>
      </c>
      <c r="G265" s="25" t="inlineStr">
        <is>
          <t>Closed Body Logistics</t>
        </is>
      </c>
      <c r="H265" s="101" t="inlineStr">
        <is>
          <t>8T</t>
        </is>
      </c>
      <c r="I265" s="102" t="inlineStr">
        <is>
          <t>Jamara</t>
        </is>
      </c>
      <c r="J265" s="103" t="inlineStr">
        <is>
          <t>Lagos</t>
        </is>
      </c>
      <c r="K265" s="113" t="inlineStr">
        <is>
          <t>Abuja</t>
        </is>
      </c>
      <c r="L265" s="57" t="inlineStr">
        <is>
          <t>FCT</t>
        </is>
      </c>
      <c r="M265" s="62" t="inlineStr">
        <is>
          <t>Abuja (Direct)</t>
        </is>
      </c>
      <c r="N265" s="196" t="n">
        <v>755</v>
      </c>
      <c r="O265" s="194">
        <f>N265*2</f>
        <v/>
      </c>
      <c r="P265" s="215">
        <f>ROUNDUP(O265/300,)</f>
        <v/>
      </c>
      <c r="Q265" s="215" t="n">
        <v>0</v>
      </c>
      <c r="R265" s="215">
        <f>Q265+P265</f>
        <v/>
      </c>
      <c r="S265" s="197">
        <f>ROUNDDOWN(O265*0.51,)</f>
        <v/>
      </c>
      <c r="T265" s="207">
        <f>_xlfn.XLOOKUP(F265,[1]Fx!$A$4:$A$10,[1]Fx!$B$4:$B$10)</f>
        <v/>
      </c>
      <c r="U265" s="207">
        <f>_xlfn.XLOOKUP(F265,[1]Fx!$A$4:$A$10,[1]Fx!$C$4:$C$10)</f>
        <v/>
      </c>
      <c r="V265" s="207">
        <f>_xlfn.XLOOKUP(F265,[1]Fx!$A$4:$A$10,[1]Fx!$D$4:$D$10)</f>
        <v/>
      </c>
      <c r="W265" s="207">
        <f>$V$2</f>
        <v/>
      </c>
      <c r="X265" s="207">
        <f>_xlfn.XLOOKUP(F265,[1]Fx!$A$4:$A$10,[1]Fx!$E$4:$E$10)</f>
        <v/>
      </c>
      <c r="Y265" s="215">
        <f>T265*R265</f>
        <v/>
      </c>
      <c r="Z265" s="215">
        <f>U265*O265</f>
        <v/>
      </c>
      <c r="AA265" s="215">
        <f>V265*O265</f>
        <v/>
      </c>
      <c r="AB265" s="215">
        <f>W265*O265</f>
        <v/>
      </c>
      <c r="AC265" s="197">
        <f>X265*O265</f>
        <v/>
      </c>
      <c r="AD265" s="215" t="n">
        <v>20000</v>
      </c>
      <c r="AE265" s="215" t="n">
        <v>0</v>
      </c>
      <c r="AF265" s="207">
        <f>SUM(Y265:AE265)</f>
        <v/>
      </c>
      <c r="AG265" s="254">
        <f>_xlfn.XLOOKUP(F265,[1]Fx!$A$16:$A$22,[1]Fx!$B$16:$B$22)</f>
        <v/>
      </c>
      <c r="AH265" s="207">
        <f>AG265*R265</f>
        <v/>
      </c>
      <c r="AI265" s="207">
        <f>$AH$3*Z265</f>
        <v/>
      </c>
      <c r="AJ265" s="207">
        <f>$AI$3*AA265</f>
        <v/>
      </c>
      <c r="AK265" s="207">
        <f>$AJ$3*AB265</f>
        <v/>
      </c>
      <c r="AL265" s="207">
        <f>$AK$3*AC265</f>
        <v/>
      </c>
      <c r="AM265" s="220">
        <f>SUM(AH265:AL265)</f>
        <v/>
      </c>
      <c r="AN265" s="220" t="n">
        <v>0</v>
      </c>
      <c r="AO265" s="220">
        <f>AN265*AH265</f>
        <v/>
      </c>
      <c r="AP265" s="220" t="n">
        <v>0</v>
      </c>
      <c r="AQ265" s="220">
        <f>AE265</f>
        <v/>
      </c>
      <c r="AR265" s="208">
        <f>AM265-AO265</f>
        <v/>
      </c>
      <c r="AS265" s="220">
        <f>AR265-AK265</f>
        <v/>
      </c>
      <c r="AT265" s="208">
        <f>AS265*1.075</f>
        <v/>
      </c>
      <c r="AU265" s="208">
        <f>AT265+AK265</f>
        <v/>
      </c>
      <c r="AV265" s="198" t="n">
        <v>707908.9005629001</v>
      </c>
      <c r="AW265" s="220" t="n"/>
      <c r="AX265" s="220">
        <f>AV265-AU265</f>
        <v/>
      </c>
      <c r="AY265" s="35">
        <f>AX265/AR265</f>
        <v/>
      </c>
      <c r="AZ265" s="220">
        <f>AV265-AF265</f>
        <v/>
      </c>
      <c r="BA265" s="215">
        <f>AV265-SUM(Z265:AC265)</f>
        <v/>
      </c>
      <c r="BB265" s="215">
        <f>BA265-Y265</f>
        <v/>
      </c>
      <c r="BC265" s="35">
        <f>BB265/BA265</f>
        <v/>
      </c>
      <c r="BD265" s="35">
        <f>IFERROR(AZ265/AV265,)</f>
        <v/>
      </c>
      <c r="BE265" s="255">
        <f>AV265-SUM(Z265:AC265)</f>
        <v/>
      </c>
      <c r="BF265" s="255">
        <f>AV265-BE265-AC265-AB265</f>
        <v/>
      </c>
      <c r="BG265" s="255">
        <f>AV265-BE265-BF265-AB265</f>
        <v/>
      </c>
      <c r="BH265" s="255">
        <f>AB265</f>
        <v/>
      </c>
      <c r="BI265" s="263" t="inlineStr">
        <is>
          <t xml:space="preserve">To Check </t>
        </is>
      </c>
    </row>
    <row r="266" ht="43.2" customHeight="1">
      <c r="C266" s="96" t="inlineStr">
        <is>
          <t>YEKENE</t>
        </is>
      </c>
      <c r="D266" s="49">
        <f>CONCATENATE(G266,"-",H266,"-",F266)</f>
        <v/>
      </c>
      <c r="E266" s="93" t="inlineStr">
        <is>
          <t>Jamara-3T-16CBM</t>
        </is>
      </c>
      <c r="F266" s="94" t="inlineStr">
        <is>
          <t>16CBM</t>
        </is>
      </c>
      <c r="G266" s="50" t="inlineStr">
        <is>
          <t>Closed Body Logistics</t>
        </is>
      </c>
      <c r="H266" s="97" t="inlineStr">
        <is>
          <t>3T</t>
        </is>
      </c>
      <c r="I266" s="98" t="inlineStr">
        <is>
          <t>Jamara</t>
        </is>
      </c>
      <c r="J266" s="99" t="inlineStr">
        <is>
          <t>Lagos</t>
        </is>
      </c>
      <c r="K266" s="100" t="inlineStr">
        <is>
          <t>Abule Egba-Ijaiye-Moshalasi-Kola-Sango</t>
        </is>
      </c>
      <c r="L266" s="51" t="inlineStr">
        <is>
          <t>Ogun</t>
        </is>
      </c>
      <c r="M266" s="52" t="inlineStr">
        <is>
          <t>Sango-Ota</t>
        </is>
      </c>
      <c r="N266" s="193" t="n">
        <v>30</v>
      </c>
      <c r="O266" s="194">
        <f>N266*2</f>
        <v/>
      </c>
      <c r="P266" s="207">
        <f>ROUNDUP(O266/300,)</f>
        <v/>
      </c>
      <c r="Q266" s="207" t="n">
        <v>0.2</v>
      </c>
      <c r="R266" s="207">
        <f>Q266+P266</f>
        <v/>
      </c>
      <c r="S266" s="194">
        <f>ROUNDDOWN(O266*0.51,)+60</f>
        <v/>
      </c>
      <c r="T266" s="207">
        <f>_xlfn.XLOOKUP(F266,[1]Fx!$A$4:$A$10,[1]Fx!$B$4:$B$10)</f>
        <v/>
      </c>
      <c r="U266" s="207">
        <f>_xlfn.XLOOKUP(F266,[1]Fx!$A$4:$A$10,[1]Fx!$C$4:$C$10)</f>
        <v/>
      </c>
      <c r="V266" s="207">
        <f>_xlfn.XLOOKUP(F266,[1]Fx!$A$4:$A$10,[1]Fx!$D$4:$D$10)</f>
        <v/>
      </c>
      <c r="W266" s="207">
        <f>$V$2</f>
        <v/>
      </c>
      <c r="X266" s="207">
        <f>_xlfn.XLOOKUP(F266,[1]Fx!$A$4:$A$10,[1]Fx!$E$4:$E$10)</f>
        <v/>
      </c>
      <c r="Y266" s="207">
        <f>T266*R266</f>
        <v/>
      </c>
      <c r="Z266" s="207">
        <f>U266*O266</f>
        <v/>
      </c>
      <c r="AA266" s="207">
        <f>V266*O266</f>
        <v/>
      </c>
      <c r="AB266" s="207">
        <f>W266*O266</f>
        <v/>
      </c>
      <c r="AC266" s="194">
        <f>X266*O266</f>
        <v/>
      </c>
      <c r="AD266" s="207" t="n">
        <v>0</v>
      </c>
      <c r="AE266" s="207" t="n">
        <v>0</v>
      </c>
      <c r="AF266" s="207">
        <f>SUM(Y266:AE266)</f>
        <v/>
      </c>
      <c r="AG266" s="254">
        <f>_xlfn.XLOOKUP(F266,[1]Fx!$A$16:$A$22,[1]Fx!$B$16:$B$22)</f>
        <v/>
      </c>
      <c r="AH266" s="207">
        <f>AG266*R266</f>
        <v/>
      </c>
      <c r="AI266" s="207">
        <f>$AH$3*Z266</f>
        <v/>
      </c>
      <c r="AJ266" s="207">
        <f>$AI$3*AA266</f>
        <v/>
      </c>
      <c r="AK266" s="207">
        <f>$AJ$3*AB266</f>
        <v/>
      </c>
      <c r="AL266" s="207">
        <f>$AK$3*AC266</f>
        <v/>
      </c>
      <c r="AM266" s="208">
        <f>SUM(AH266:AL266)</f>
        <v/>
      </c>
      <c r="AN266" s="208" t="n">
        <v>0</v>
      </c>
      <c r="AO266" s="208">
        <f>AN266*AH266</f>
        <v/>
      </c>
      <c r="AP266" s="208">
        <f>AD266</f>
        <v/>
      </c>
      <c r="AQ266" s="208">
        <f>AE266</f>
        <v/>
      </c>
      <c r="AR266" s="208">
        <f>AM266-AO266</f>
        <v/>
      </c>
      <c r="AS266" s="208">
        <f>AR266-AK266</f>
        <v/>
      </c>
      <c r="AT266" s="208">
        <f>AS266*1.075</f>
        <v/>
      </c>
      <c r="AU266" s="208">
        <f>AT266+AK266</f>
        <v/>
      </c>
      <c r="AV266" s="198" t="n">
        <v>88979.54286905425</v>
      </c>
      <c r="AW266" s="208" t="n"/>
      <c r="AX266" s="208">
        <f>AV266-AR266</f>
        <v/>
      </c>
      <c r="AY266" s="54">
        <f>AX266/AR266</f>
        <v/>
      </c>
      <c r="AZ266" s="208">
        <f>AV266-AF266</f>
        <v/>
      </c>
      <c r="BA266" s="207">
        <f>AV266-SUM(Z266:AC266)</f>
        <v/>
      </c>
      <c r="BB266" s="207">
        <f>BA266-Y266</f>
        <v/>
      </c>
      <c r="BC266" s="54">
        <f>BB266/BA266</f>
        <v/>
      </c>
      <c r="BD266" s="54">
        <f>IFERROR(AZ266/AV266,)</f>
        <v/>
      </c>
      <c r="BE266" s="262">
        <f>AV266-SUM(Z266:AC266)</f>
        <v/>
      </c>
      <c r="BF266" s="262">
        <f>AV266-BE266-AC266-AB266</f>
        <v/>
      </c>
      <c r="BG266" s="262">
        <f>AV266-BE266-BF266-AB266</f>
        <v/>
      </c>
      <c r="BH266" s="262">
        <f>AB266</f>
        <v/>
      </c>
      <c r="BI266" s="263" t="inlineStr">
        <is>
          <t>Approved</t>
        </is>
      </c>
    </row>
    <row r="267" ht="43.2" customHeight="1">
      <c r="C267" s="96" t="inlineStr">
        <is>
          <t>YEKENE</t>
        </is>
      </c>
      <c r="D267" s="49">
        <f>CONCATENATE(G267,"-",H267,"-",F267)</f>
        <v/>
      </c>
      <c r="E267" s="95" t="inlineStr">
        <is>
          <t>Jamara-3T-16CBM</t>
        </is>
      </c>
      <c r="F267" s="94" t="inlineStr">
        <is>
          <t>16CBM</t>
        </is>
      </c>
      <c r="G267" s="25" t="inlineStr">
        <is>
          <t>Closed Body Logistics</t>
        </is>
      </c>
      <c r="H267" s="97" t="inlineStr">
        <is>
          <t>3T</t>
        </is>
      </c>
      <c r="I267" s="102" t="inlineStr">
        <is>
          <t>Jamara</t>
        </is>
      </c>
      <c r="J267" s="103" t="inlineStr">
        <is>
          <t>Lagos</t>
        </is>
      </c>
      <c r="K267" s="104" t="inlineStr">
        <is>
          <t>Abule Egba-Ijaiye-Moshalasi-Kola-Sango</t>
        </is>
      </c>
      <c r="L267" s="57" t="inlineStr">
        <is>
          <t>Lagos</t>
        </is>
      </c>
      <c r="M267" s="58" t="inlineStr">
        <is>
          <t>Abule Egba</t>
        </is>
      </c>
      <c r="N267" s="196" t="n">
        <v>19</v>
      </c>
      <c r="O267" s="194">
        <f>N267*2</f>
        <v/>
      </c>
      <c r="P267" s="215">
        <f>ROUNDUP(O267/300,)</f>
        <v/>
      </c>
      <c r="Q267" s="215" t="n">
        <v>0.2</v>
      </c>
      <c r="R267" s="215">
        <f>Q267+P267</f>
        <v/>
      </c>
      <c r="S267" s="197">
        <f>ROUNDDOWN(O267*0.51,)+60</f>
        <v/>
      </c>
      <c r="T267" s="207">
        <f>_xlfn.XLOOKUP(F267,[1]Fx!$A$4:$A$10,[1]Fx!$B$4:$B$10)</f>
        <v/>
      </c>
      <c r="U267" s="207">
        <f>_xlfn.XLOOKUP(F267,[1]Fx!$A$4:$A$10,[1]Fx!$C$4:$C$10)</f>
        <v/>
      </c>
      <c r="V267" s="207">
        <f>_xlfn.XLOOKUP(F267,[1]Fx!$A$4:$A$10,[1]Fx!$D$4:$D$10)</f>
        <v/>
      </c>
      <c r="W267" s="207">
        <f>$V$2</f>
        <v/>
      </c>
      <c r="X267" s="207">
        <f>_xlfn.XLOOKUP(F267,[1]Fx!$A$4:$A$10,[1]Fx!$E$4:$E$10)</f>
        <v/>
      </c>
      <c r="Y267" s="215">
        <f>T267*R267</f>
        <v/>
      </c>
      <c r="Z267" s="215">
        <f>U267*O267</f>
        <v/>
      </c>
      <c r="AA267" s="215">
        <f>V267*O267</f>
        <v/>
      </c>
      <c r="AB267" s="215">
        <f>W267*O267</f>
        <v/>
      </c>
      <c r="AC267" s="197">
        <f>X267*O267</f>
        <v/>
      </c>
      <c r="AD267" s="215" t="n">
        <v>0</v>
      </c>
      <c r="AE267" s="215" t="n">
        <v>0</v>
      </c>
      <c r="AF267" s="207">
        <f>SUM(Y267:AE267)</f>
        <v/>
      </c>
      <c r="AG267" s="254">
        <f>_xlfn.XLOOKUP(F267,[1]Fx!$A$16:$A$22,[1]Fx!$B$16:$B$22)</f>
        <v/>
      </c>
      <c r="AH267" s="207">
        <f>AG267*R267</f>
        <v/>
      </c>
      <c r="AI267" s="207">
        <f>$AH$3*Z267</f>
        <v/>
      </c>
      <c r="AJ267" s="207">
        <f>$AI$3*AA267</f>
        <v/>
      </c>
      <c r="AK267" s="207">
        <f>$AJ$3*AB267</f>
        <v/>
      </c>
      <c r="AL267" s="207">
        <f>$AK$3*AC267</f>
        <v/>
      </c>
      <c r="AM267" s="220">
        <f>SUM(AH267:AL267)</f>
        <v/>
      </c>
      <c r="AN267" s="220" t="n">
        <v>0</v>
      </c>
      <c r="AO267" s="220">
        <f>AN267*AH267</f>
        <v/>
      </c>
      <c r="AP267" s="220">
        <f>AD267</f>
        <v/>
      </c>
      <c r="AQ267" s="220">
        <f>AE267</f>
        <v/>
      </c>
      <c r="AR267" s="208">
        <f>AM267-AO267</f>
        <v/>
      </c>
      <c r="AS267" s="220">
        <f>AR267-AK267</f>
        <v/>
      </c>
      <c r="AT267" s="208">
        <f>AS267*1.075</f>
        <v/>
      </c>
      <c r="AU267" s="208">
        <f>AT267+AK267</f>
        <v/>
      </c>
      <c r="AV267" s="198" t="n">
        <v>88979.54286905425</v>
      </c>
      <c r="AW267" s="220" t="n"/>
      <c r="AX267" s="220">
        <f>AV267-AR267</f>
        <v/>
      </c>
      <c r="AY267" s="35">
        <f>AX267/AR267</f>
        <v/>
      </c>
      <c r="AZ267" s="220">
        <f>AV267-AF267</f>
        <v/>
      </c>
      <c r="BA267" s="215">
        <f>AV267-SUM(Z267:AC267)</f>
        <v/>
      </c>
      <c r="BB267" s="215">
        <f>BA267-Y267</f>
        <v/>
      </c>
      <c r="BC267" s="35">
        <f>BB267/BA267</f>
        <v/>
      </c>
      <c r="BD267" s="35">
        <f>IFERROR(AZ267/AV267,)</f>
        <v/>
      </c>
      <c r="BE267" s="255">
        <f>AV267-SUM(Z267:AC267)</f>
        <v/>
      </c>
      <c r="BF267" s="255">
        <f>AV267-BE267-AC267-AB267</f>
        <v/>
      </c>
      <c r="BG267" s="255">
        <f>AV267-BE267-BF267-AB267</f>
        <v/>
      </c>
      <c r="BH267" s="255">
        <f>AB267</f>
        <v/>
      </c>
      <c r="BI267" s="263" t="inlineStr">
        <is>
          <t>Approved</t>
        </is>
      </c>
    </row>
    <row r="268" ht="41.4" customHeight="1">
      <c r="C268" s="96" t="inlineStr">
        <is>
          <t>YEKENE</t>
        </is>
      </c>
      <c r="D268" s="49">
        <f>CONCATENATE(G268,"-",H268,"-",F268)</f>
        <v/>
      </c>
      <c r="E268" s="95" t="inlineStr">
        <is>
          <t>Jamara-3T-16CBM</t>
        </is>
      </c>
      <c r="F268" s="94" t="inlineStr">
        <is>
          <t>16CBM</t>
        </is>
      </c>
      <c r="G268" s="25" t="inlineStr">
        <is>
          <t>Closed Body Logistics</t>
        </is>
      </c>
      <c r="H268" s="97" t="inlineStr">
        <is>
          <t>3T</t>
        </is>
      </c>
      <c r="I268" s="102" t="inlineStr">
        <is>
          <t>Jamara</t>
        </is>
      </c>
      <c r="J268" s="103" t="inlineStr">
        <is>
          <t>Lagos</t>
        </is>
      </c>
      <c r="K268" s="105" t="inlineStr">
        <is>
          <t>Abule Egba-Ijaiye-Moshalasi-Kola-Sango</t>
        </is>
      </c>
      <c r="L268" s="57" t="inlineStr">
        <is>
          <t>Lagos</t>
        </is>
      </c>
      <c r="M268" s="58" t="inlineStr">
        <is>
          <t>Agbado</t>
        </is>
      </c>
      <c r="N268" s="196" t="n">
        <v>22.5</v>
      </c>
      <c r="O268" s="194">
        <f>N268*2</f>
        <v/>
      </c>
      <c r="P268" s="215">
        <f>ROUNDUP(O268/300,)</f>
        <v/>
      </c>
      <c r="Q268" s="215" t="n">
        <v>0.2</v>
      </c>
      <c r="R268" s="215">
        <f>Q268+P268</f>
        <v/>
      </c>
      <c r="S268" s="197">
        <f>ROUNDDOWN(O268*0.51,)+60</f>
        <v/>
      </c>
      <c r="T268" s="207">
        <f>_xlfn.XLOOKUP(F268,[1]Fx!$A$4:$A$10,[1]Fx!$B$4:$B$10)</f>
        <v/>
      </c>
      <c r="U268" s="207">
        <f>_xlfn.XLOOKUP(F268,[1]Fx!$A$4:$A$10,[1]Fx!$C$4:$C$10)</f>
        <v/>
      </c>
      <c r="V268" s="207">
        <f>_xlfn.XLOOKUP(F268,[1]Fx!$A$4:$A$10,[1]Fx!$D$4:$D$10)</f>
        <v/>
      </c>
      <c r="W268" s="207">
        <f>$V$2</f>
        <v/>
      </c>
      <c r="X268" s="207">
        <f>_xlfn.XLOOKUP(F268,[1]Fx!$A$4:$A$10,[1]Fx!$E$4:$E$10)</f>
        <v/>
      </c>
      <c r="Y268" s="215">
        <f>T268*R268</f>
        <v/>
      </c>
      <c r="Z268" s="215">
        <f>U268*O268</f>
        <v/>
      </c>
      <c r="AA268" s="215">
        <f>V268*O268</f>
        <v/>
      </c>
      <c r="AB268" s="215">
        <f>W268*O268</f>
        <v/>
      </c>
      <c r="AC268" s="197">
        <f>X268*O268</f>
        <v/>
      </c>
      <c r="AD268" s="215" t="n">
        <v>0</v>
      </c>
      <c r="AE268" s="215" t="n">
        <v>0</v>
      </c>
      <c r="AF268" s="207">
        <f>SUM(Y268:AE268)</f>
        <v/>
      </c>
      <c r="AG268" s="254">
        <f>_xlfn.XLOOKUP(F268,[1]Fx!$A$16:$A$22,[1]Fx!$B$16:$B$22)</f>
        <v/>
      </c>
      <c r="AH268" s="207">
        <f>AG268*R268</f>
        <v/>
      </c>
      <c r="AI268" s="207">
        <f>$AH$3*Z268</f>
        <v/>
      </c>
      <c r="AJ268" s="207">
        <f>$AI$3*AA268</f>
        <v/>
      </c>
      <c r="AK268" s="207">
        <f>$AJ$3*AB268</f>
        <v/>
      </c>
      <c r="AL268" s="207">
        <f>$AK$3*AC268</f>
        <v/>
      </c>
      <c r="AM268" s="220">
        <f>SUM(AH268:AL268)</f>
        <v/>
      </c>
      <c r="AN268" s="220" t="n">
        <v>0</v>
      </c>
      <c r="AO268" s="220">
        <f>AN268*AH268</f>
        <v/>
      </c>
      <c r="AP268" s="220">
        <f>AD268</f>
        <v/>
      </c>
      <c r="AQ268" s="220">
        <f>AE268</f>
        <v/>
      </c>
      <c r="AR268" s="208">
        <f>AM268-AO268</f>
        <v/>
      </c>
      <c r="AS268" s="220">
        <f>AR268-AK268</f>
        <v/>
      </c>
      <c r="AT268" s="208">
        <f>AS268*1.075</f>
        <v/>
      </c>
      <c r="AU268" s="208">
        <f>AT268+AK268</f>
        <v/>
      </c>
      <c r="AV268" s="198" t="n">
        <v>88979.54286905425</v>
      </c>
      <c r="AW268" s="220" t="n"/>
      <c r="AX268" s="220">
        <f>AV268-AR268</f>
        <v/>
      </c>
      <c r="AY268" s="35">
        <f>AX268/AR268</f>
        <v/>
      </c>
      <c r="AZ268" s="220">
        <f>AV268-AF268</f>
        <v/>
      </c>
      <c r="BA268" s="215">
        <f>AV268-SUM(Z268:AC268)</f>
        <v/>
      </c>
      <c r="BB268" s="215">
        <f>BA268-Y268</f>
        <v/>
      </c>
      <c r="BC268" s="35">
        <f>BB268/BA268</f>
        <v/>
      </c>
      <c r="BD268" s="35">
        <f>IFERROR(AZ268/AV268,)</f>
        <v/>
      </c>
      <c r="BE268" s="255">
        <f>AV268-SUM(Z268:AC268)</f>
        <v/>
      </c>
      <c r="BF268" s="255">
        <f>AV268-BE268-AC268-AB268</f>
        <v/>
      </c>
      <c r="BG268" s="255">
        <f>AV268-BE268-BF268-AB268</f>
        <v/>
      </c>
      <c r="BH268" s="255">
        <f>AB268</f>
        <v/>
      </c>
      <c r="BI268" s="263" t="inlineStr">
        <is>
          <t>Worst Case Approved</t>
        </is>
      </c>
    </row>
    <row r="269" ht="43.2" customHeight="1">
      <c r="C269" s="96" t="inlineStr">
        <is>
          <t>YEKENE</t>
        </is>
      </c>
      <c r="D269" s="49">
        <f>CONCATENATE(G269,"-",H269,"-",F269)</f>
        <v/>
      </c>
      <c r="E269" s="95" t="inlineStr">
        <is>
          <t>Jamara-3T-16CBM</t>
        </is>
      </c>
      <c r="F269" s="94" t="inlineStr">
        <is>
          <t>16CBM</t>
        </is>
      </c>
      <c r="G269" s="25" t="inlineStr">
        <is>
          <t>Closed Body Logistics</t>
        </is>
      </c>
      <c r="H269" s="97" t="inlineStr">
        <is>
          <t>3T</t>
        </is>
      </c>
      <c r="I269" s="102" t="inlineStr">
        <is>
          <t>Jamara</t>
        </is>
      </c>
      <c r="J269" s="103" t="inlineStr">
        <is>
          <t>Lagos</t>
        </is>
      </c>
      <c r="K269" s="104" t="inlineStr">
        <is>
          <t>Abule Egba-Ijaiye-Moshalasi-Kola-Sango</t>
        </is>
      </c>
      <c r="L269" s="57" t="inlineStr">
        <is>
          <t>Lagos</t>
        </is>
      </c>
      <c r="M269" s="58" t="inlineStr">
        <is>
          <t>Ijaiye</t>
        </is>
      </c>
      <c r="N269" s="196" t="n">
        <v>14</v>
      </c>
      <c r="O269" s="194">
        <f>N269*2</f>
        <v/>
      </c>
      <c r="P269" s="215">
        <f>ROUNDUP(O269/300,)</f>
        <v/>
      </c>
      <c r="Q269" s="215" t="n">
        <v>0.2</v>
      </c>
      <c r="R269" s="215">
        <f>Q269+P269</f>
        <v/>
      </c>
      <c r="S269" s="197">
        <f>ROUNDDOWN(O269*0.51,)+60</f>
        <v/>
      </c>
      <c r="T269" s="207">
        <f>_xlfn.XLOOKUP(F269,[1]Fx!$A$4:$A$10,[1]Fx!$B$4:$B$10)</f>
        <v/>
      </c>
      <c r="U269" s="207">
        <f>_xlfn.XLOOKUP(F269,[1]Fx!$A$4:$A$10,[1]Fx!$C$4:$C$10)</f>
        <v/>
      </c>
      <c r="V269" s="207">
        <f>_xlfn.XLOOKUP(F269,[1]Fx!$A$4:$A$10,[1]Fx!$D$4:$D$10)</f>
        <v/>
      </c>
      <c r="W269" s="207">
        <f>$V$2</f>
        <v/>
      </c>
      <c r="X269" s="207">
        <f>_xlfn.XLOOKUP(F269,[1]Fx!$A$4:$A$10,[1]Fx!$E$4:$E$10)</f>
        <v/>
      </c>
      <c r="Y269" s="215">
        <f>T269*R269</f>
        <v/>
      </c>
      <c r="Z269" s="215">
        <f>U269*O269</f>
        <v/>
      </c>
      <c r="AA269" s="215">
        <f>V269*O269</f>
        <v/>
      </c>
      <c r="AB269" s="215">
        <f>W269*O269</f>
        <v/>
      </c>
      <c r="AC269" s="197">
        <f>X269*O269</f>
        <v/>
      </c>
      <c r="AD269" s="215" t="n">
        <v>0</v>
      </c>
      <c r="AE269" s="215" t="n">
        <v>0</v>
      </c>
      <c r="AF269" s="207">
        <f>SUM(Y269:AE269)</f>
        <v/>
      </c>
      <c r="AG269" s="254">
        <f>_xlfn.XLOOKUP(F269,[1]Fx!$A$16:$A$22,[1]Fx!$B$16:$B$22)</f>
        <v/>
      </c>
      <c r="AH269" s="207">
        <f>AG269*R269</f>
        <v/>
      </c>
      <c r="AI269" s="207">
        <f>$AH$3*Z269</f>
        <v/>
      </c>
      <c r="AJ269" s="207">
        <f>$AI$3*AA269</f>
        <v/>
      </c>
      <c r="AK269" s="207">
        <f>$AJ$3*AB269</f>
        <v/>
      </c>
      <c r="AL269" s="207">
        <f>$AK$3*AC269</f>
        <v/>
      </c>
      <c r="AM269" s="220">
        <f>SUM(AH269:AL269)</f>
        <v/>
      </c>
      <c r="AN269" s="220" t="n">
        <v>0</v>
      </c>
      <c r="AO269" s="220">
        <f>AN269*AH269</f>
        <v/>
      </c>
      <c r="AP269" s="220">
        <f>AD269</f>
        <v/>
      </c>
      <c r="AQ269" s="220">
        <f>AE269</f>
        <v/>
      </c>
      <c r="AR269" s="208">
        <f>AM269-AO269</f>
        <v/>
      </c>
      <c r="AS269" s="220">
        <f>AR269-AK269</f>
        <v/>
      </c>
      <c r="AT269" s="208">
        <f>AS269*1.075</f>
        <v/>
      </c>
      <c r="AU269" s="208">
        <f>AT269+AK269</f>
        <v/>
      </c>
      <c r="AV269" s="198" t="n">
        <v>88979.54286905425</v>
      </c>
      <c r="AW269" s="220" t="n"/>
      <c r="AX269" s="220">
        <f>AV269-AR269</f>
        <v/>
      </c>
      <c r="AY269" s="35">
        <f>AX269/AR269</f>
        <v/>
      </c>
      <c r="AZ269" s="220">
        <f>AV269-AF269</f>
        <v/>
      </c>
      <c r="BA269" s="215">
        <f>AV269-SUM(Z269:AC269)</f>
        <v/>
      </c>
      <c r="BB269" s="215">
        <f>BA269-Y269</f>
        <v/>
      </c>
      <c r="BC269" s="35">
        <f>BB269/BA269</f>
        <v/>
      </c>
      <c r="BD269" s="35">
        <f>IFERROR(AZ269/AV269,)</f>
        <v/>
      </c>
      <c r="BE269" s="255">
        <f>AV269-SUM(Z269:AC269)</f>
        <v/>
      </c>
      <c r="BF269" s="255">
        <f>AV269-BE269-AC269-AB269</f>
        <v/>
      </c>
      <c r="BG269" s="255">
        <f>AV269-BE269-BF269-AB269</f>
        <v/>
      </c>
      <c r="BH269" s="255">
        <f>AB269</f>
        <v/>
      </c>
      <c r="BI269" s="263" t="inlineStr">
        <is>
          <t xml:space="preserve">To Check </t>
        </is>
      </c>
    </row>
    <row r="270">
      <c r="C270" s="96" t="inlineStr">
        <is>
          <t>YEKENE</t>
        </is>
      </c>
      <c r="D270" s="49">
        <f>CONCATENATE(G270,"-",H270,"-",F270)</f>
        <v/>
      </c>
      <c r="E270" s="95" t="inlineStr">
        <is>
          <t>Jamara-3T-16CBM</t>
        </is>
      </c>
      <c r="F270" s="94" t="inlineStr">
        <is>
          <t>16CBM</t>
        </is>
      </c>
      <c r="G270" s="25" t="inlineStr">
        <is>
          <t>Closed Body Logistics</t>
        </is>
      </c>
      <c r="H270" s="97" t="inlineStr">
        <is>
          <t>3T</t>
        </is>
      </c>
      <c r="I270" s="102" t="inlineStr">
        <is>
          <t>Jamara</t>
        </is>
      </c>
      <c r="J270" s="103" t="inlineStr">
        <is>
          <t>Lagos</t>
        </is>
      </c>
      <c r="K270" s="106" t="inlineStr">
        <is>
          <t>Agbara-Badagry-Festac-Mile 2-Amuwo</t>
        </is>
      </c>
      <c r="L270" s="57" t="inlineStr">
        <is>
          <t>Ogun</t>
        </is>
      </c>
      <c r="M270" s="58" t="inlineStr">
        <is>
          <t>Agbara</t>
        </is>
      </c>
      <c r="N270" s="196" t="n">
        <v>47</v>
      </c>
      <c r="O270" s="194">
        <f>N270*2</f>
        <v/>
      </c>
      <c r="P270" s="215">
        <f>ROUNDUP(O270/300,)</f>
        <v/>
      </c>
      <c r="Q270" s="215" t="n">
        <v>0.2</v>
      </c>
      <c r="R270" s="215">
        <f>Q270+P270</f>
        <v/>
      </c>
      <c r="S270" s="197">
        <f>ROUNDDOWN(O270*0.51,)+60</f>
        <v/>
      </c>
      <c r="T270" s="207">
        <f>_xlfn.XLOOKUP(F270,[1]Fx!$A$4:$A$10,[1]Fx!$B$4:$B$10)</f>
        <v/>
      </c>
      <c r="U270" s="207">
        <f>_xlfn.XLOOKUP(F270,[1]Fx!$A$4:$A$10,[1]Fx!$C$4:$C$10)</f>
        <v/>
      </c>
      <c r="V270" s="207">
        <f>_xlfn.XLOOKUP(F270,[1]Fx!$A$4:$A$10,[1]Fx!$D$4:$D$10)</f>
        <v/>
      </c>
      <c r="W270" s="207">
        <f>$V$2</f>
        <v/>
      </c>
      <c r="X270" s="207">
        <f>_xlfn.XLOOKUP(F270,[1]Fx!$A$4:$A$10,[1]Fx!$E$4:$E$10)</f>
        <v/>
      </c>
      <c r="Y270" s="215">
        <f>T270*R270</f>
        <v/>
      </c>
      <c r="Z270" s="215">
        <f>U270*O270</f>
        <v/>
      </c>
      <c r="AA270" s="215">
        <f>V270*O270</f>
        <v/>
      </c>
      <c r="AB270" s="215">
        <f>W270*O270</f>
        <v/>
      </c>
      <c r="AC270" s="197">
        <f>X270*O270</f>
        <v/>
      </c>
      <c r="AD270" s="215" t="n">
        <v>0</v>
      </c>
      <c r="AE270" s="215" t="n">
        <v>0</v>
      </c>
      <c r="AF270" s="207">
        <f>SUM(Y270:AE270)</f>
        <v/>
      </c>
      <c r="AG270" s="254">
        <f>_xlfn.XLOOKUP(F270,[1]Fx!$A$16:$A$22,[1]Fx!$B$16:$B$22)</f>
        <v/>
      </c>
      <c r="AH270" s="207">
        <f>AG270*R270</f>
        <v/>
      </c>
      <c r="AI270" s="207">
        <f>$AH$3*Z270</f>
        <v/>
      </c>
      <c r="AJ270" s="207">
        <f>$AI$3*AA270</f>
        <v/>
      </c>
      <c r="AK270" s="207">
        <f>$AJ$3*AB270</f>
        <v/>
      </c>
      <c r="AL270" s="207">
        <f>$AK$3*AC270</f>
        <v/>
      </c>
      <c r="AM270" s="220">
        <f>SUM(AH270:AL270)</f>
        <v/>
      </c>
      <c r="AN270" s="220" t="n">
        <v>0</v>
      </c>
      <c r="AO270" s="220">
        <f>AN270*AH270</f>
        <v/>
      </c>
      <c r="AP270" s="220">
        <f>AD270</f>
        <v/>
      </c>
      <c r="AQ270" s="220">
        <f>AE270</f>
        <v/>
      </c>
      <c r="AR270" s="208">
        <f>AM270-AO270</f>
        <v/>
      </c>
      <c r="AS270" s="220">
        <f>AR270-AK270</f>
        <v/>
      </c>
      <c r="AT270" s="208">
        <f>AS270*1.075</f>
        <v/>
      </c>
      <c r="AU270" s="208">
        <f>AT270+AK270</f>
        <v/>
      </c>
      <c r="AV270" s="198" t="n">
        <v>88979.54286905425</v>
      </c>
      <c r="AW270" s="220" t="n"/>
      <c r="AX270" s="220">
        <f>AV270-AR270</f>
        <v/>
      </c>
      <c r="AY270" s="35">
        <f>AX270/AR270</f>
        <v/>
      </c>
      <c r="AZ270" s="220">
        <f>AV270-AF270</f>
        <v/>
      </c>
      <c r="BA270" s="215">
        <f>AV270-SUM(Z270:AC270)</f>
        <v/>
      </c>
      <c r="BB270" s="215">
        <f>BA270-Y270</f>
        <v/>
      </c>
      <c r="BC270" s="35">
        <f>BB270/BA270</f>
        <v/>
      </c>
      <c r="BD270" s="35">
        <f>IFERROR(AZ270/AV270,)</f>
        <v/>
      </c>
      <c r="BE270" s="255">
        <f>AV270-SUM(Z270:AC270)</f>
        <v/>
      </c>
      <c r="BF270" s="255">
        <f>AV270-BE270-AC270-AB270</f>
        <v/>
      </c>
      <c r="BG270" s="255">
        <f>AV270-BE270-BF270-AB270</f>
        <v/>
      </c>
      <c r="BH270" s="255">
        <f>AB270</f>
        <v/>
      </c>
      <c r="BI270" s="263" t="inlineStr">
        <is>
          <t>Approved</t>
        </is>
      </c>
    </row>
    <row r="271" ht="41.4" customHeight="1">
      <c r="C271" s="96" t="inlineStr">
        <is>
          <t>YEKENE</t>
        </is>
      </c>
      <c r="D271" s="49">
        <f>CONCATENATE(G271,"-",H271,"-",F271)</f>
        <v/>
      </c>
      <c r="E271" s="95" t="inlineStr">
        <is>
          <t>Jamara-3T-16CBM</t>
        </is>
      </c>
      <c r="F271" s="94" t="inlineStr">
        <is>
          <t>16CBM</t>
        </is>
      </c>
      <c r="G271" s="25" t="inlineStr">
        <is>
          <t>Closed Body Logistics</t>
        </is>
      </c>
      <c r="H271" s="97" t="inlineStr">
        <is>
          <t>3T</t>
        </is>
      </c>
      <c r="I271" s="102" t="inlineStr">
        <is>
          <t>Jamara</t>
        </is>
      </c>
      <c r="J271" s="103" t="inlineStr">
        <is>
          <t>Lagos</t>
        </is>
      </c>
      <c r="K271" s="105" t="inlineStr">
        <is>
          <t>Agbara-Badagry-Festac-Mile 2-Amuwo</t>
        </is>
      </c>
      <c r="L271" s="57" t="inlineStr">
        <is>
          <t>Lagos</t>
        </is>
      </c>
      <c r="M271" s="58" t="inlineStr">
        <is>
          <t>Festac</t>
        </is>
      </c>
      <c r="N271" s="196" t="n">
        <v>23.5</v>
      </c>
      <c r="O271" s="194">
        <f>N271*2</f>
        <v/>
      </c>
      <c r="P271" s="215">
        <f>ROUNDUP(O271/300,)</f>
        <v/>
      </c>
      <c r="Q271" s="215" t="n">
        <v>0.2</v>
      </c>
      <c r="R271" s="215">
        <f>Q271+P271</f>
        <v/>
      </c>
      <c r="S271" s="197">
        <f>ROUNDDOWN(O271*0.51,)+60</f>
        <v/>
      </c>
      <c r="T271" s="207">
        <f>_xlfn.XLOOKUP(F271,[1]Fx!$A$4:$A$10,[1]Fx!$B$4:$B$10)</f>
        <v/>
      </c>
      <c r="U271" s="207">
        <f>_xlfn.XLOOKUP(F271,[1]Fx!$A$4:$A$10,[1]Fx!$C$4:$C$10)</f>
        <v/>
      </c>
      <c r="V271" s="207">
        <f>_xlfn.XLOOKUP(F271,[1]Fx!$A$4:$A$10,[1]Fx!$D$4:$D$10)</f>
        <v/>
      </c>
      <c r="W271" s="207">
        <f>$V$2</f>
        <v/>
      </c>
      <c r="X271" s="207">
        <f>_xlfn.XLOOKUP(F271,[1]Fx!$A$4:$A$10,[1]Fx!$E$4:$E$10)</f>
        <v/>
      </c>
      <c r="Y271" s="215">
        <f>T271*R271</f>
        <v/>
      </c>
      <c r="Z271" s="215">
        <f>U271*O271</f>
        <v/>
      </c>
      <c r="AA271" s="215">
        <f>V271*O271</f>
        <v/>
      </c>
      <c r="AB271" s="215">
        <f>W271*O271</f>
        <v/>
      </c>
      <c r="AC271" s="197">
        <f>X271*O271</f>
        <v/>
      </c>
      <c r="AD271" s="215" t="n">
        <v>0</v>
      </c>
      <c r="AE271" s="215" t="n">
        <v>0</v>
      </c>
      <c r="AF271" s="207">
        <f>SUM(Y271:AE271)</f>
        <v/>
      </c>
      <c r="AG271" s="254">
        <f>_xlfn.XLOOKUP(F271,[1]Fx!$A$16:$A$22,[1]Fx!$B$16:$B$22)</f>
        <v/>
      </c>
      <c r="AH271" s="207">
        <f>AG271*R271</f>
        <v/>
      </c>
      <c r="AI271" s="207">
        <f>$AH$3*Z271</f>
        <v/>
      </c>
      <c r="AJ271" s="207">
        <f>$AI$3*AA271</f>
        <v/>
      </c>
      <c r="AK271" s="207">
        <f>$AJ$3*AB271</f>
        <v/>
      </c>
      <c r="AL271" s="207">
        <f>$AK$3*AC271</f>
        <v/>
      </c>
      <c r="AM271" s="220">
        <f>SUM(AH271:AL271)</f>
        <v/>
      </c>
      <c r="AN271" s="220" t="n">
        <v>0</v>
      </c>
      <c r="AO271" s="220">
        <f>AN271*AH271</f>
        <v/>
      </c>
      <c r="AP271" s="220">
        <f>AD271</f>
        <v/>
      </c>
      <c r="AQ271" s="220">
        <f>AE271</f>
        <v/>
      </c>
      <c r="AR271" s="208">
        <f>AM271-AO271</f>
        <v/>
      </c>
      <c r="AS271" s="220">
        <f>AR271-AK271</f>
        <v/>
      </c>
      <c r="AT271" s="208">
        <f>AS271*1.075</f>
        <v/>
      </c>
      <c r="AU271" s="208">
        <f>AT271+AK271</f>
        <v/>
      </c>
      <c r="AV271" s="198" t="n">
        <v>88979.54286905425</v>
      </c>
      <c r="AW271" s="220" t="n"/>
      <c r="AX271" s="220">
        <f>AV271-AR271</f>
        <v/>
      </c>
      <c r="AY271" s="35">
        <f>AX271/AR271</f>
        <v/>
      </c>
      <c r="AZ271" s="220">
        <f>AV271-AF271</f>
        <v/>
      </c>
      <c r="BA271" s="215">
        <f>AV271-SUM(Z271:AC271)</f>
        <v/>
      </c>
      <c r="BB271" s="215">
        <f>BA271-Y271</f>
        <v/>
      </c>
      <c r="BC271" s="35">
        <f>BB271/BA271</f>
        <v/>
      </c>
      <c r="BD271" s="35">
        <f>IFERROR(AZ271/AV271,)</f>
        <v/>
      </c>
      <c r="BE271" s="255">
        <f>AV271-SUM(Z271:AC271)</f>
        <v/>
      </c>
      <c r="BF271" s="255">
        <f>AV271-BE271-AC271-AB271</f>
        <v/>
      </c>
      <c r="BG271" s="255">
        <f>AV271-BE271-BF271-AB271</f>
        <v/>
      </c>
      <c r="BH271" s="255">
        <f>AB271</f>
        <v/>
      </c>
      <c r="BI271" s="263" t="inlineStr">
        <is>
          <t>Approved</t>
        </is>
      </c>
    </row>
    <row r="272" ht="41.4" customHeight="1">
      <c r="C272" s="96" t="inlineStr">
        <is>
          <t>YEKENE</t>
        </is>
      </c>
      <c r="D272" s="49">
        <f>CONCATENATE(G272,"-",H272,"-",F272)</f>
        <v/>
      </c>
      <c r="E272" s="95" t="inlineStr">
        <is>
          <t>Jamara-3T-16CBM</t>
        </is>
      </c>
      <c r="F272" s="94" t="inlineStr">
        <is>
          <t>16CBM</t>
        </is>
      </c>
      <c r="G272" s="25" t="inlineStr">
        <is>
          <t>Closed Body Logistics</t>
        </is>
      </c>
      <c r="H272" s="97" t="inlineStr">
        <is>
          <t>3T</t>
        </is>
      </c>
      <c r="I272" s="102" t="inlineStr">
        <is>
          <t>Jamara</t>
        </is>
      </c>
      <c r="J272" s="103" t="inlineStr">
        <is>
          <t>Lagos</t>
        </is>
      </c>
      <c r="K272" s="105" t="inlineStr">
        <is>
          <t>Agbara-Badagry-Festac-Mile 2-Amuwo</t>
        </is>
      </c>
      <c r="L272" s="57" t="inlineStr">
        <is>
          <t>Lagos</t>
        </is>
      </c>
      <c r="M272" s="58" t="inlineStr">
        <is>
          <t>Mile 2</t>
        </is>
      </c>
      <c r="N272" s="196" t="n">
        <v>18</v>
      </c>
      <c r="O272" s="194">
        <f>N272*2</f>
        <v/>
      </c>
      <c r="P272" s="215">
        <f>ROUNDUP(O272/300,)</f>
        <v/>
      </c>
      <c r="Q272" s="215" t="n">
        <v>0.2</v>
      </c>
      <c r="R272" s="215">
        <f>Q272+P272</f>
        <v/>
      </c>
      <c r="S272" s="197">
        <f>ROUNDDOWN(O272*0.51,)+60</f>
        <v/>
      </c>
      <c r="T272" s="207">
        <f>_xlfn.XLOOKUP(F272,[1]Fx!$A$4:$A$10,[1]Fx!$B$4:$B$10)</f>
        <v/>
      </c>
      <c r="U272" s="207">
        <f>_xlfn.XLOOKUP(F272,[1]Fx!$A$4:$A$10,[1]Fx!$C$4:$C$10)</f>
        <v/>
      </c>
      <c r="V272" s="207">
        <f>_xlfn.XLOOKUP(F272,[1]Fx!$A$4:$A$10,[1]Fx!$D$4:$D$10)</f>
        <v/>
      </c>
      <c r="W272" s="207">
        <f>$V$2</f>
        <v/>
      </c>
      <c r="X272" s="207">
        <f>_xlfn.XLOOKUP(F272,[1]Fx!$A$4:$A$10,[1]Fx!$E$4:$E$10)</f>
        <v/>
      </c>
      <c r="Y272" s="215">
        <f>T272*R272</f>
        <v/>
      </c>
      <c r="Z272" s="215">
        <f>U272*O272</f>
        <v/>
      </c>
      <c r="AA272" s="215">
        <f>V272*O272</f>
        <v/>
      </c>
      <c r="AB272" s="215">
        <f>W272*O272</f>
        <v/>
      </c>
      <c r="AC272" s="197">
        <f>X272*O272</f>
        <v/>
      </c>
      <c r="AD272" s="215" t="n">
        <v>0</v>
      </c>
      <c r="AE272" s="215" t="n">
        <v>0</v>
      </c>
      <c r="AF272" s="207">
        <f>SUM(Y272:AE272)</f>
        <v/>
      </c>
      <c r="AG272" s="254">
        <f>_xlfn.XLOOKUP(F272,[1]Fx!$A$16:$A$22,[1]Fx!$B$16:$B$22)</f>
        <v/>
      </c>
      <c r="AH272" s="207">
        <f>AG272*R272</f>
        <v/>
      </c>
      <c r="AI272" s="207">
        <f>$AH$3*Z272</f>
        <v/>
      </c>
      <c r="AJ272" s="207">
        <f>$AI$3*AA272</f>
        <v/>
      </c>
      <c r="AK272" s="207">
        <f>$AJ$3*AB272</f>
        <v/>
      </c>
      <c r="AL272" s="207">
        <f>$AK$3*AC272</f>
        <v/>
      </c>
      <c r="AM272" s="220">
        <f>SUM(AH272:AL272)</f>
        <v/>
      </c>
      <c r="AN272" s="220" t="n">
        <v>0</v>
      </c>
      <c r="AO272" s="220">
        <f>AN272*AH272</f>
        <v/>
      </c>
      <c r="AP272" s="220">
        <f>AD272</f>
        <v/>
      </c>
      <c r="AQ272" s="220">
        <f>AE272</f>
        <v/>
      </c>
      <c r="AR272" s="208">
        <f>AM272-AO272</f>
        <v/>
      </c>
      <c r="AS272" s="220">
        <f>AR272-AK272</f>
        <v/>
      </c>
      <c r="AT272" s="208">
        <f>AS272*1.075</f>
        <v/>
      </c>
      <c r="AU272" s="208">
        <f>AT272+AK272</f>
        <v/>
      </c>
      <c r="AV272" s="198" t="n">
        <v>88979.54286905425</v>
      </c>
      <c r="AW272" s="220" t="n"/>
      <c r="AX272" s="220">
        <f>AV272-AR272</f>
        <v/>
      </c>
      <c r="AY272" s="35">
        <f>AX272/AR272</f>
        <v/>
      </c>
      <c r="AZ272" s="220">
        <f>AV272-AF272</f>
        <v/>
      </c>
      <c r="BA272" s="215">
        <f>AV272-SUM(Z272:AC272)</f>
        <v/>
      </c>
      <c r="BB272" s="215">
        <f>BA272-Y272</f>
        <v/>
      </c>
      <c r="BC272" s="35">
        <f>BB272/BA272</f>
        <v/>
      </c>
      <c r="BD272" s="35">
        <f>IFERROR(AZ272/AV272,)</f>
        <v/>
      </c>
      <c r="BE272" s="255">
        <f>AV272-SUM(Z272:AC272)</f>
        <v/>
      </c>
      <c r="BF272" s="255">
        <f>AV272-BE272-AC272-AB272</f>
        <v/>
      </c>
      <c r="BG272" s="255">
        <f>AV272-BE272-BF272-AB272</f>
        <v/>
      </c>
      <c r="BH272" s="255">
        <f>AB272</f>
        <v/>
      </c>
      <c r="BI272" s="263" t="inlineStr">
        <is>
          <t>Approved</t>
        </is>
      </c>
    </row>
    <row r="273">
      <c r="C273" s="96" t="inlineStr">
        <is>
          <t>YEKENE</t>
        </is>
      </c>
      <c r="D273" s="49">
        <f>CONCATENATE(G273,"-",H273,"-",F273)</f>
        <v/>
      </c>
      <c r="E273" s="95" t="inlineStr">
        <is>
          <t>Jamara-3T-16CBM</t>
        </is>
      </c>
      <c r="F273" s="94" t="inlineStr">
        <is>
          <t>16CBM</t>
        </is>
      </c>
      <c r="G273" s="25" t="inlineStr">
        <is>
          <t>Closed Body Logistics</t>
        </is>
      </c>
      <c r="H273" s="97" t="inlineStr">
        <is>
          <t>3T</t>
        </is>
      </c>
      <c r="I273" s="102" t="inlineStr">
        <is>
          <t>Jamara</t>
        </is>
      </c>
      <c r="J273" s="103" t="inlineStr">
        <is>
          <t>Lagos</t>
        </is>
      </c>
      <c r="K273" s="107" t="inlineStr">
        <is>
          <t>Alaba</t>
        </is>
      </c>
      <c r="L273" s="57" t="inlineStr">
        <is>
          <t>Lagos</t>
        </is>
      </c>
      <c r="M273" s="58" t="inlineStr">
        <is>
          <t>Ojo</t>
        </is>
      </c>
      <c r="N273" s="196" t="n">
        <v>18</v>
      </c>
      <c r="O273" s="194">
        <f>N273*2</f>
        <v/>
      </c>
      <c r="P273" s="215">
        <f>ROUNDUP(O273/300,)</f>
        <v/>
      </c>
      <c r="Q273" s="215" t="n">
        <v>0.2</v>
      </c>
      <c r="R273" s="215">
        <f>Q273+P273</f>
        <v/>
      </c>
      <c r="S273" s="197">
        <f>ROUNDDOWN(O273*0.51,)+60</f>
        <v/>
      </c>
      <c r="T273" s="207">
        <f>_xlfn.XLOOKUP(F273,[1]Fx!$A$4:$A$10,[1]Fx!$B$4:$B$10)</f>
        <v/>
      </c>
      <c r="U273" s="207">
        <f>_xlfn.XLOOKUP(F273,[1]Fx!$A$4:$A$10,[1]Fx!$C$4:$C$10)</f>
        <v/>
      </c>
      <c r="V273" s="207">
        <f>_xlfn.XLOOKUP(F273,[1]Fx!$A$4:$A$10,[1]Fx!$D$4:$D$10)</f>
        <v/>
      </c>
      <c r="W273" s="207">
        <f>$V$2</f>
        <v/>
      </c>
      <c r="X273" s="207">
        <f>_xlfn.XLOOKUP(F273,[1]Fx!$A$4:$A$10,[1]Fx!$E$4:$E$10)</f>
        <v/>
      </c>
      <c r="Y273" s="215">
        <f>T273*R273</f>
        <v/>
      </c>
      <c r="Z273" s="215">
        <f>U273*O273</f>
        <v/>
      </c>
      <c r="AA273" s="215">
        <f>V273*O273</f>
        <v/>
      </c>
      <c r="AB273" s="215">
        <f>W273*O273</f>
        <v/>
      </c>
      <c r="AC273" s="197">
        <f>X273*O273</f>
        <v/>
      </c>
      <c r="AD273" s="215" t="n">
        <v>0</v>
      </c>
      <c r="AE273" s="215" t="n">
        <v>0</v>
      </c>
      <c r="AF273" s="207">
        <f>SUM(Y273:AE273)</f>
        <v/>
      </c>
      <c r="AG273" s="254">
        <f>_xlfn.XLOOKUP(F273,[1]Fx!$A$16:$A$22,[1]Fx!$B$16:$B$22)</f>
        <v/>
      </c>
      <c r="AH273" s="207">
        <f>AG273*R273</f>
        <v/>
      </c>
      <c r="AI273" s="207">
        <f>$AH$3*Z273</f>
        <v/>
      </c>
      <c r="AJ273" s="207">
        <f>$AI$3*AA273</f>
        <v/>
      </c>
      <c r="AK273" s="207">
        <f>$AJ$3*AB273</f>
        <v/>
      </c>
      <c r="AL273" s="207">
        <f>$AK$3*AC273</f>
        <v/>
      </c>
      <c r="AM273" s="220">
        <f>SUM(AH273:AL273)</f>
        <v/>
      </c>
      <c r="AN273" s="220" t="n">
        <v>0</v>
      </c>
      <c r="AO273" s="220">
        <f>AN273*AH273</f>
        <v/>
      </c>
      <c r="AP273" s="220">
        <f>AD273</f>
        <v/>
      </c>
      <c r="AQ273" s="220">
        <f>AE273</f>
        <v/>
      </c>
      <c r="AR273" s="208">
        <f>AM273-AO273</f>
        <v/>
      </c>
      <c r="AS273" s="220">
        <f>AR273-AK273</f>
        <v/>
      </c>
      <c r="AT273" s="208">
        <f>AS273*1.075</f>
        <v/>
      </c>
      <c r="AU273" s="208">
        <f>AT273+AK273</f>
        <v/>
      </c>
      <c r="AV273" s="198" t="n">
        <v>88979.54286905425</v>
      </c>
      <c r="AW273" s="220" t="n"/>
      <c r="AX273" s="220">
        <f>AV273-AR273</f>
        <v/>
      </c>
      <c r="AY273" s="35">
        <f>AX273/AR273</f>
        <v/>
      </c>
      <c r="AZ273" s="220">
        <f>AV273-AF273</f>
        <v/>
      </c>
      <c r="BA273" s="215">
        <f>AV273-SUM(Z273:AC273)</f>
        <v/>
      </c>
      <c r="BB273" s="215">
        <f>BA273-Y273</f>
        <v/>
      </c>
      <c r="BC273" s="35">
        <f>BB273/BA273</f>
        <v/>
      </c>
      <c r="BD273" s="35">
        <f>IFERROR(AZ273/AV273,)</f>
        <v/>
      </c>
      <c r="BE273" s="255">
        <f>AV273-SUM(Z273:AC273)</f>
        <v/>
      </c>
      <c r="BF273" s="255">
        <f>AV273-BE273-AC273-AB273</f>
        <v/>
      </c>
      <c r="BG273" s="255">
        <f>AV273-BE273-BF273-AB273</f>
        <v/>
      </c>
      <c r="BH273" s="255">
        <f>AB273</f>
        <v/>
      </c>
      <c r="BI273" s="263" t="inlineStr">
        <is>
          <t>Worst Case Approved</t>
        </is>
      </c>
    </row>
    <row r="274" ht="27.6" customHeight="1">
      <c r="C274" s="96" t="inlineStr">
        <is>
          <t>YEKENE</t>
        </is>
      </c>
      <c r="D274" s="49">
        <f>CONCATENATE(G274,"-",H274,"-",F274)</f>
        <v/>
      </c>
      <c r="E274" s="95" t="inlineStr">
        <is>
          <t>Jamara-3T-16CBM</t>
        </is>
      </c>
      <c r="F274" s="94" t="inlineStr">
        <is>
          <t>16CBM</t>
        </is>
      </c>
      <c r="G274" s="25" t="inlineStr">
        <is>
          <t>Closed Body Logistics</t>
        </is>
      </c>
      <c r="H274" s="97" t="inlineStr">
        <is>
          <t>3T</t>
        </is>
      </c>
      <c r="I274" s="102" t="inlineStr">
        <is>
          <t>Jamara</t>
        </is>
      </c>
      <c r="J274" s="103" t="inlineStr">
        <is>
          <t>Lagos</t>
        </is>
      </c>
      <c r="K274" s="105" t="inlineStr">
        <is>
          <t>Ikeja-Agege-Dopemu-Magodo</t>
        </is>
      </c>
      <c r="L274" s="57" t="inlineStr">
        <is>
          <t>Lagos</t>
        </is>
      </c>
      <c r="M274" s="59" t="inlineStr">
        <is>
          <t>Magodo</t>
        </is>
      </c>
      <c r="N274" s="196" t="n">
        <v>12</v>
      </c>
      <c r="O274" s="194">
        <f>N274*2</f>
        <v/>
      </c>
      <c r="P274" s="215">
        <f>ROUNDUP(O274/300,)</f>
        <v/>
      </c>
      <c r="Q274" s="215" t="n">
        <v>0.2</v>
      </c>
      <c r="R274" s="215">
        <f>Q274+P274</f>
        <v/>
      </c>
      <c r="S274" s="197">
        <f>ROUNDDOWN(O274*0.51,)+60</f>
        <v/>
      </c>
      <c r="T274" s="207">
        <f>_xlfn.XLOOKUP(F274,[1]Fx!$A$4:$A$10,[1]Fx!$B$4:$B$10)</f>
        <v/>
      </c>
      <c r="U274" s="207">
        <f>_xlfn.XLOOKUP(F274,[1]Fx!$A$4:$A$10,[1]Fx!$C$4:$C$10)</f>
        <v/>
      </c>
      <c r="V274" s="207">
        <f>_xlfn.XLOOKUP(F274,[1]Fx!$A$4:$A$10,[1]Fx!$D$4:$D$10)</f>
        <v/>
      </c>
      <c r="W274" s="207">
        <f>$V$2</f>
        <v/>
      </c>
      <c r="X274" s="207">
        <f>_xlfn.XLOOKUP(F274,[1]Fx!$A$4:$A$10,[1]Fx!$E$4:$E$10)</f>
        <v/>
      </c>
      <c r="Y274" s="215">
        <f>T274*R274</f>
        <v/>
      </c>
      <c r="Z274" s="215">
        <f>U274*O274</f>
        <v/>
      </c>
      <c r="AA274" s="215">
        <f>V274*O274</f>
        <v/>
      </c>
      <c r="AB274" s="215">
        <f>W274*O274</f>
        <v/>
      </c>
      <c r="AC274" s="197">
        <f>X274*O274</f>
        <v/>
      </c>
      <c r="AD274" s="215" t="n">
        <v>0</v>
      </c>
      <c r="AE274" s="215" t="n">
        <v>0</v>
      </c>
      <c r="AF274" s="207">
        <f>SUM(Y274:AE274)</f>
        <v/>
      </c>
      <c r="AG274" s="254">
        <f>_xlfn.XLOOKUP(F274,[1]Fx!$A$16:$A$22,[1]Fx!$B$16:$B$22)</f>
        <v/>
      </c>
      <c r="AH274" s="207">
        <f>AG274*R274</f>
        <v/>
      </c>
      <c r="AI274" s="207">
        <f>$AH$3*Z274</f>
        <v/>
      </c>
      <c r="AJ274" s="207">
        <f>$AI$3*AA274</f>
        <v/>
      </c>
      <c r="AK274" s="207">
        <f>$AJ$3*AB274</f>
        <v/>
      </c>
      <c r="AL274" s="207">
        <f>$AK$3*AC274</f>
        <v/>
      </c>
      <c r="AM274" s="220">
        <f>SUM(AH274:AL274)</f>
        <v/>
      </c>
      <c r="AN274" s="220" t="n">
        <v>0</v>
      </c>
      <c r="AO274" s="220">
        <f>AN274*AH274</f>
        <v/>
      </c>
      <c r="AP274" s="220">
        <f>AD274</f>
        <v/>
      </c>
      <c r="AQ274" s="220">
        <f>AE274</f>
        <v/>
      </c>
      <c r="AR274" s="208">
        <f>AM274-AO274</f>
        <v/>
      </c>
      <c r="AS274" s="220">
        <f>AR274-AK274</f>
        <v/>
      </c>
      <c r="AT274" s="208">
        <f>AS274*1.075</f>
        <v/>
      </c>
      <c r="AU274" s="208">
        <f>AT274+AK274</f>
        <v/>
      </c>
      <c r="AV274" s="198" t="n">
        <v>88979.54286905425</v>
      </c>
      <c r="AW274" s="220" t="n"/>
      <c r="AX274" s="220">
        <f>AV274-AR274</f>
        <v/>
      </c>
      <c r="AY274" s="35">
        <f>AX274/AR274</f>
        <v/>
      </c>
      <c r="AZ274" s="220">
        <f>AV274-AF274</f>
        <v/>
      </c>
      <c r="BA274" s="215">
        <f>AV274-SUM(Z274:AC274)</f>
        <v/>
      </c>
      <c r="BB274" s="215">
        <f>BA274-Y274</f>
        <v/>
      </c>
      <c r="BC274" s="35">
        <f>BB274/BA274</f>
        <v/>
      </c>
      <c r="BD274" s="35">
        <f>IFERROR(AZ274/AV274,)</f>
        <v/>
      </c>
      <c r="BE274" s="255">
        <f>AV274-SUM(Z274:AC274)</f>
        <v/>
      </c>
      <c r="BF274" s="255">
        <f>AV274-BE274-AC274-AB274</f>
        <v/>
      </c>
      <c r="BG274" s="255">
        <f>AV274-BE274-BF274-AB274</f>
        <v/>
      </c>
      <c r="BH274" s="255">
        <f>AB274</f>
        <v/>
      </c>
      <c r="BI274" s="263" t="inlineStr">
        <is>
          <t>Approved</t>
        </is>
      </c>
    </row>
    <row r="275" ht="27.6" customHeight="1">
      <c r="C275" s="96" t="inlineStr">
        <is>
          <t>YEKENE</t>
        </is>
      </c>
      <c r="D275" s="49">
        <f>CONCATENATE(G275,"-",H275,"-",F275)</f>
        <v/>
      </c>
      <c r="E275" s="95" t="inlineStr">
        <is>
          <t>Jamara-3T-16CBM</t>
        </is>
      </c>
      <c r="F275" s="94" t="inlineStr">
        <is>
          <t>16CBM</t>
        </is>
      </c>
      <c r="G275" s="25" t="inlineStr">
        <is>
          <t>Closed Body Logistics</t>
        </is>
      </c>
      <c r="H275" s="97" t="inlineStr">
        <is>
          <t>3T</t>
        </is>
      </c>
      <c r="I275" s="102" t="inlineStr">
        <is>
          <t>Jamara</t>
        </is>
      </c>
      <c r="J275" s="103" t="inlineStr">
        <is>
          <t>Lagos</t>
        </is>
      </c>
      <c r="K275" s="105" t="inlineStr">
        <is>
          <t>Ikeja-Agege-Dopemu-Magodo</t>
        </is>
      </c>
      <c r="L275" s="57" t="inlineStr">
        <is>
          <t>Lagos</t>
        </is>
      </c>
      <c r="M275" s="58" t="inlineStr">
        <is>
          <t>Agege</t>
        </is>
      </c>
      <c r="N275" s="196" t="n">
        <v>14</v>
      </c>
      <c r="O275" s="194">
        <f>N275*2</f>
        <v/>
      </c>
      <c r="P275" s="215">
        <f>ROUNDUP(O275/300,)</f>
        <v/>
      </c>
      <c r="Q275" s="215" t="n">
        <v>0.2</v>
      </c>
      <c r="R275" s="215">
        <f>Q275+P275</f>
        <v/>
      </c>
      <c r="S275" s="197">
        <f>ROUNDDOWN(O275*0.51,)+60</f>
        <v/>
      </c>
      <c r="T275" s="207">
        <f>_xlfn.XLOOKUP(F275,[1]Fx!$A$4:$A$10,[1]Fx!$B$4:$B$10)</f>
        <v/>
      </c>
      <c r="U275" s="207">
        <f>_xlfn.XLOOKUP(F275,[1]Fx!$A$4:$A$10,[1]Fx!$C$4:$C$10)</f>
        <v/>
      </c>
      <c r="V275" s="207">
        <f>_xlfn.XLOOKUP(F275,[1]Fx!$A$4:$A$10,[1]Fx!$D$4:$D$10)</f>
        <v/>
      </c>
      <c r="W275" s="207">
        <f>$V$2</f>
        <v/>
      </c>
      <c r="X275" s="207">
        <f>_xlfn.XLOOKUP(F275,[1]Fx!$A$4:$A$10,[1]Fx!$E$4:$E$10)</f>
        <v/>
      </c>
      <c r="Y275" s="215">
        <f>T275*R275</f>
        <v/>
      </c>
      <c r="Z275" s="215">
        <f>U275*O275</f>
        <v/>
      </c>
      <c r="AA275" s="215">
        <f>V275*O275</f>
        <v/>
      </c>
      <c r="AB275" s="215">
        <f>W275*O275</f>
        <v/>
      </c>
      <c r="AC275" s="197">
        <f>X275*O275</f>
        <v/>
      </c>
      <c r="AD275" s="215" t="n">
        <v>0</v>
      </c>
      <c r="AE275" s="215" t="n">
        <v>0</v>
      </c>
      <c r="AF275" s="207">
        <f>SUM(Y275:AE275)</f>
        <v/>
      </c>
      <c r="AG275" s="254">
        <f>_xlfn.XLOOKUP(F275,[1]Fx!$A$16:$A$22,[1]Fx!$B$16:$B$22)</f>
        <v/>
      </c>
      <c r="AH275" s="207">
        <f>AG275*R275</f>
        <v/>
      </c>
      <c r="AI275" s="207">
        <f>$AH$3*Z275</f>
        <v/>
      </c>
      <c r="AJ275" s="207">
        <f>$AI$3*AA275</f>
        <v/>
      </c>
      <c r="AK275" s="207">
        <f>$AJ$3*AB275</f>
        <v/>
      </c>
      <c r="AL275" s="207">
        <f>$AK$3*AC275</f>
        <v/>
      </c>
      <c r="AM275" s="220">
        <f>SUM(AH275:AL275)</f>
        <v/>
      </c>
      <c r="AN275" s="220" t="n">
        <v>0</v>
      </c>
      <c r="AO275" s="220">
        <f>AN275*AH275</f>
        <v/>
      </c>
      <c r="AP275" s="220">
        <f>AD275</f>
        <v/>
      </c>
      <c r="AQ275" s="220">
        <f>AE275</f>
        <v/>
      </c>
      <c r="AR275" s="208">
        <f>AM275-AO275</f>
        <v/>
      </c>
      <c r="AS275" s="220">
        <f>AR275-AK275</f>
        <v/>
      </c>
      <c r="AT275" s="208">
        <f>AS275*1.075</f>
        <v/>
      </c>
      <c r="AU275" s="208">
        <f>AT275+AK275</f>
        <v/>
      </c>
      <c r="AV275" s="198" t="n">
        <v>88979.54286905425</v>
      </c>
      <c r="AW275" s="220" t="n"/>
      <c r="AX275" s="220">
        <f>AV275-AR275</f>
        <v/>
      </c>
      <c r="AY275" s="35">
        <f>AX275/AR275</f>
        <v/>
      </c>
      <c r="AZ275" s="220">
        <f>AV275-AF275</f>
        <v/>
      </c>
      <c r="BA275" s="215">
        <f>AV275-SUM(Z275:AC275)</f>
        <v/>
      </c>
      <c r="BB275" s="215">
        <f>BA275-Y275</f>
        <v/>
      </c>
      <c r="BC275" s="35">
        <f>BB275/BA275</f>
        <v/>
      </c>
      <c r="BD275" s="35">
        <f>IFERROR(AZ275/AV275,)</f>
        <v/>
      </c>
      <c r="BE275" s="255">
        <f>AV275-SUM(Z275:AC275)</f>
        <v/>
      </c>
      <c r="BF275" s="255">
        <f>AV275-BE275-AC275-AB275</f>
        <v/>
      </c>
      <c r="BG275" s="255">
        <f>AV275-BE275-BF275-AB275</f>
        <v/>
      </c>
      <c r="BH275" s="255">
        <f>AB275</f>
        <v/>
      </c>
      <c r="BI275" s="263" t="inlineStr">
        <is>
          <t>Approved</t>
        </is>
      </c>
    </row>
    <row r="276" ht="27.6" customHeight="1">
      <c r="C276" s="96" t="inlineStr">
        <is>
          <t>YEKENE</t>
        </is>
      </c>
      <c r="D276" s="49">
        <f>CONCATENATE(G276,"-",H276,"-",F276)</f>
        <v/>
      </c>
      <c r="E276" s="95" t="inlineStr">
        <is>
          <t>Jamara-3T-16CBM</t>
        </is>
      </c>
      <c r="F276" s="94" t="inlineStr">
        <is>
          <t>16CBM</t>
        </is>
      </c>
      <c r="G276" s="25" t="inlineStr">
        <is>
          <t>Closed Body Logistics</t>
        </is>
      </c>
      <c r="H276" s="97" t="inlineStr">
        <is>
          <t>3T</t>
        </is>
      </c>
      <c r="I276" s="102" t="inlineStr">
        <is>
          <t>Jamara</t>
        </is>
      </c>
      <c r="J276" s="103" t="inlineStr">
        <is>
          <t>Lagos</t>
        </is>
      </c>
      <c r="K276" s="105" t="inlineStr">
        <is>
          <t>Ikeja-Agege-Dopemu-Magodo</t>
        </is>
      </c>
      <c r="L276" s="57" t="inlineStr">
        <is>
          <t>Lagos</t>
        </is>
      </c>
      <c r="M276" s="58" t="inlineStr">
        <is>
          <t>Ikeja</t>
        </is>
      </c>
      <c r="N276" s="196" t="n">
        <v>11</v>
      </c>
      <c r="O276" s="194">
        <f>N276*2</f>
        <v/>
      </c>
      <c r="P276" s="215">
        <f>ROUNDUP(O276/300,)</f>
        <v/>
      </c>
      <c r="Q276" s="215" t="n">
        <v>0.2</v>
      </c>
      <c r="R276" s="215">
        <f>Q276+P276</f>
        <v/>
      </c>
      <c r="S276" s="197">
        <f>ROUNDDOWN(O276*0.51,)+60</f>
        <v/>
      </c>
      <c r="T276" s="207">
        <f>_xlfn.XLOOKUP(F276,[1]Fx!$A$4:$A$10,[1]Fx!$B$4:$B$10)</f>
        <v/>
      </c>
      <c r="U276" s="207">
        <f>_xlfn.XLOOKUP(F276,[1]Fx!$A$4:$A$10,[1]Fx!$C$4:$C$10)</f>
        <v/>
      </c>
      <c r="V276" s="207">
        <f>_xlfn.XLOOKUP(F276,[1]Fx!$A$4:$A$10,[1]Fx!$D$4:$D$10)</f>
        <v/>
      </c>
      <c r="W276" s="207">
        <f>$V$2</f>
        <v/>
      </c>
      <c r="X276" s="207">
        <f>_xlfn.XLOOKUP(F276,[1]Fx!$A$4:$A$10,[1]Fx!$E$4:$E$10)</f>
        <v/>
      </c>
      <c r="Y276" s="215">
        <f>T276*R276</f>
        <v/>
      </c>
      <c r="Z276" s="215">
        <f>U276*O276</f>
        <v/>
      </c>
      <c r="AA276" s="215">
        <f>V276*O276</f>
        <v/>
      </c>
      <c r="AB276" s="215">
        <f>W276*O276</f>
        <v/>
      </c>
      <c r="AC276" s="197">
        <f>X276*O276</f>
        <v/>
      </c>
      <c r="AD276" s="215" t="n">
        <v>0</v>
      </c>
      <c r="AE276" s="215" t="n">
        <v>0</v>
      </c>
      <c r="AF276" s="207">
        <f>SUM(Y276:AE276)</f>
        <v/>
      </c>
      <c r="AG276" s="254">
        <f>_xlfn.XLOOKUP(F276,[1]Fx!$A$16:$A$22,[1]Fx!$B$16:$B$22)</f>
        <v/>
      </c>
      <c r="AH276" s="207">
        <f>AG276*R276</f>
        <v/>
      </c>
      <c r="AI276" s="207">
        <f>$AH$3*Z276</f>
        <v/>
      </c>
      <c r="AJ276" s="207">
        <f>$AI$3*AA276</f>
        <v/>
      </c>
      <c r="AK276" s="207">
        <f>$AJ$3*AB276</f>
        <v/>
      </c>
      <c r="AL276" s="207">
        <f>$AK$3*AC276</f>
        <v/>
      </c>
      <c r="AM276" s="220">
        <f>SUM(AH276:AL276)</f>
        <v/>
      </c>
      <c r="AN276" s="220" t="n">
        <v>0</v>
      </c>
      <c r="AO276" s="220">
        <f>AN276*AH276</f>
        <v/>
      </c>
      <c r="AP276" s="220">
        <f>AD276</f>
        <v/>
      </c>
      <c r="AQ276" s="220">
        <f>AE276</f>
        <v/>
      </c>
      <c r="AR276" s="208">
        <f>AM276-AO276</f>
        <v/>
      </c>
      <c r="AS276" s="220">
        <f>AR276-AK276</f>
        <v/>
      </c>
      <c r="AT276" s="208">
        <f>AS276*1.075</f>
        <v/>
      </c>
      <c r="AU276" s="208">
        <f>AT276+AK276</f>
        <v/>
      </c>
      <c r="AV276" s="198" t="n">
        <v>88979.54286905425</v>
      </c>
      <c r="AW276" s="220" t="n"/>
      <c r="AX276" s="220">
        <f>AV276-AR276</f>
        <v/>
      </c>
      <c r="AY276" s="35">
        <f>AX276/AR276</f>
        <v/>
      </c>
      <c r="AZ276" s="220">
        <f>AV276-AF276</f>
        <v/>
      </c>
      <c r="BA276" s="215">
        <f>AV276-SUM(Z276:AC276)</f>
        <v/>
      </c>
      <c r="BB276" s="215">
        <f>BA276-Y276</f>
        <v/>
      </c>
      <c r="BC276" s="35">
        <f>BB276/BA276</f>
        <v/>
      </c>
      <c r="BD276" s="35">
        <f>IFERROR(AZ276/AV276,)</f>
        <v/>
      </c>
      <c r="BE276" s="255">
        <f>AV276-SUM(Z276:AC276)</f>
        <v/>
      </c>
      <c r="BF276" s="255">
        <f>AV276-BE276-AC276-AB276</f>
        <v/>
      </c>
      <c r="BG276" s="255">
        <f>AV276-BE276-BF276-AB276</f>
        <v/>
      </c>
      <c r="BH276" s="255">
        <f>AB276</f>
        <v/>
      </c>
      <c r="BI276" s="263" t="inlineStr">
        <is>
          <t>Worst Case Approved</t>
        </is>
      </c>
    </row>
    <row r="277">
      <c r="C277" s="96" t="inlineStr">
        <is>
          <t>YEKENE</t>
        </is>
      </c>
      <c r="D277" s="49">
        <f>CONCATENATE(G277,"-",H277,"-",F277)</f>
        <v/>
      </c>
      <c r="E277" s="95" t="inlineStr">
        <is>
          <t>Jamara-3T-16CBM</t>
        </is>
      </c>
      <c r="F277" s="94" t="inlineStr">
        <is>
          <t>16CBM</t>
        </is>
      </c>
      <c r="G277" s="25" t="inlineStr">
        <is>
          <t>Closed Body Logistics</t>
        </is>
      </c>
      <c r="H277" s="97" t="inlineStr">
        <is>
          <t>3T</t>
        </is>
      </c>
      <c r="I277" s="102" t="inlineStr">
        <is>
          <t>Jamara</t>
        </is>
      </c>
      <c r="J277" s="103" t="inlineStr">
        <is>
          <t>Lagos</t>
        </is>
      </c>
      <c r="K277" s="108" t="inlineStr">
        <is>
          <t>IKM-Shagari-Ejigbo-Ipaja-Ayobo-Okokomaiko-Oshodi-Isolo</t>
        </is>
      </c>
      <c r="L277" s="57" t="inlineStr">
        <is>
          <t>Lagos</t>
        </is>
      </c>
      <c r="M277" s="58" t="inlineStr">
        <is>
          <t>Ikotun</t>
        </is>
      </c>
      <c r="N277" s="196" t="n">
        <v>24.5</v>
      </c>
      <c r="O277" s="194">
        <f>N277*2</f>
        <v/>
      </c>
      <c r="P277" s="215">
        <f>ROUNDUP(O277/300,)</f>
        <v/>
      </c>
      <c r="Q277" s="215" t="n">
        <v>0.2</v>
      </c>
      <c r="R277" s="215">
        <f>Q277+P277</f>
        <v/>
      </c>
      <c r="S277" s="197">
        <f>ROUNDDOWN(O277*0.51,)+60</f>
        <v/>
      </c>
      <c r="T277" s="207">
        <f>_xlfn.XLOOKUP(F277,[1]Fx!$A$4:$A$10,[1]Fx!$B$4:$B$10)</f>
        <v/>
      </c>
      <c r="U277" s="207">
        <f>_xlfn.XLOOKUP(F277,[1]Fx!$A$4:$A$10,[1]Fx!$C$4:$C$10)</f>
        <v/>
      </c>
      <c r="V277" s="207">
        <f>_xlfn.XLOOKUP(F277,[1]Fx!$A$4:$A$10,[1]Fx!$D$4:$D$10)</f>
        <v/>
      </c>
      <c r="W277" s="207">
        <f>$V$2</f>
        <v/>
      </c>
      <c r="X277" s="207">
        <f>_xlfn.XLOOKUP(F277,[1]Fx!$A$4:$A$10,[1]Fx!$E$4:$E$10)</f>
        <v/>
      </c>
      <c r="Y277" s="215">
        <f>T277*R277</f>
        <v/>
      </c>
      <c r="Z277" s="215">
        <f>U277*O277</f>
        <v/>
      </c>
      <c r="AA277" s="215">
        <f>V277*O277</f>
        <v/>
      </c>
      <c r="AB277" s="215">
        <f>W277*O277</f>
        <v/>
      </c>
      <c r="AC277" s="197">
        <f>X277*O277</f>
        <v/>
      </c>
      <c r="AD277" s="215" t="n">
        <v>0</v>
      </c>
      <c r="AE277" s="215" t="n">
        <v>0</v>
      </c>
      <c r="AF277" s="207">
        <f>SUM(Y277:AE277)</f>
        <v/>
      </c>
      <c r="AG277" s="254">
        <f>_xlfn.XLOOKUP(F277,[1]Fx!$A$16:$A$22,[1]Fx!$B$16:$B$22)</f>
        <v/>
      </c>
      <c r="AH277" s="207">
        <f>AG277*R277</f>
        <v/>
      </c>
      <c r="AI277" s="207">
        <f>$AH$3*Z277</f>
        <v/>
      </c>
      <c r="AJ277" s="207">
        <f>$AI$3*AA277</f>
        <v/>
      </c>
      <c r="AK277" s="207">
        <f>$AJ$3*AB277</f>
        <v/>
      </c>
      <c r="AL277" s="207">
        <f>$AK$3*AC277</f>
        <v/>
      </c>
      <c r="AM277" s="220">
        <f>SUM(AH277:AL277)</f>
        <v/>
      </c>
      <c r="AN277" s="220" t="n">
        <v>0</v>
      </c>
      <c r="AO277" s="220">
        <f>AN277*AH277</f>
        <v/>
      </c>
      <c r="AP277" s="220">
        <f>AD277</f>
        <v/>
      </c>
      <c r="AQ277" s="220">
        <f>AE277</f>
        <v/>
      </c>
      <c r="AR277" s="208">
        <f>AM277-AO277</f>
        <v/>
      </c>
      <c r="AS277" s="220">
        <f>AR277-AK277</f>
        <v/>
      </c>
      <c r="AT277" s="208">
        <f>AS277*1.075</f>
        <v/>
      </c>
      <c r="AU277" s="208">
        <f>AT277+AK277</f>
        <v/>
      </c>
      <c r="AV277" s="198" t="n">
        <v>88979.54286905425</v>
      </c>
      <c r="AW277" s="220" t="n"/>
      <c r="AX277" s="220">
        <f>AV277-AR277</f>
        <v/>
      </c>
      <c r="AY277" s="35">
        <f>AX277/AR277</f>
        <v/>
      </c>
      <c r="AZ277" s="220">
        <f>AV277-AF277</f>
        <v/>
      </c>
      <c r="BA277" s="215">
        <f>AV277-SUM(Z277:AC277)</f>
        <v/>
      </c>
      <c r="BB277" s="215">
        <f>BA277-Y277</f>
        <v/>
      </c>
      <c r="BC277" s="35">
        <f>BB277/BA277</f>
        <v/>
      </c>
      <c r="BD277" s="35">
        <f>IFERROR(AZ277/AV277,)</f>
        <v/>
      </c>
      <c r="BE277" s="255">
        <f>AV277-SUM(Z277:AC277)</f>
        <v/>
      </c>
      <c r="BF277" s="255">
        <f>AV277-BE277-AC277-AB277</f>
        <v/>
      </c>
      <c r="BG277" s="255">
        <f>AV277-BE277-BF277-AB277</f>
        <v/>
      </c>
      <c r="BH277" s="255">
        <f>AB277</f>
        <v/>
      </c>
      <c r="BI277" s="263" t="inlineStr">
        <is>
          <t>Worst Case Approved</t>
        </is>
      </c>
    </row>
    <row r="278">
      <c r="C278" s="96" t="inlineStr">
        <is>
          <t>YEKENE</t>
        </is>
      </c>
      <c r="D278" s="49">
        <f>CONCATENATE(G278,"-",H278,"-",F278)</f>
        <v/>
      </c>
      <c r="E278" s="95" t="inlineStr">
        <is>
          <t>Jamara-3T-16CBM</t>
        </is>
      </c>
      <c r="F278" s="94" t="inlineStr">
        <is>
          <t>16CBM</t>
        </is>
      </c>
      <c r="G278" s="25" t="inlineStr">
        <is>
          <t>Closed Body Logistics</t>
        </is>
      </c>
      <c r="H278" s="97" t="inlineStr">
        <is>
          <t>3T</t>
        </is>
      </c>
      <c r="I278" s="102" t="inlineStr">
        <is>
          <t>Jamara</t>
        </is>
      </c>
      <c r="J278" s="103" t="inlineStr">
        <is>
          <t>Lagos</t>
        </is>
      </c>
      <c r="K278" s="108" t="inlineStr">
        <is>
          <t>IKM-Shagari-Ejigbo-Ipaja-Ayobo-Okokomaiko-Oshodi-Isolo</t>
        </is>
      </c>
      <c r="L278" s="57" t="inlineStr">
        <is>
          <t>Lagos</t>
        </is>
      </c>
      <c r="M278" s="58" t="inlineStr">
        <is>
          <t>Ipaja</t>
        </is>
      </c>
      <c r="N278" s="196" t="n">
        <v>22</v>
      </c>
      <c r="O278" s="194">
        <f>N278*2</f>
        <v/>
      </c>
      <c r="P278" s="215">
        <f>ROUNDUP(O278/300,)</f>
        <v/>
      </c>
      <c r="Q278" s="215" t="n">
        <v>0.2</v>
      </c>
      <c r="R278" s="215">
        <f>Q278+P278</f>
        <v/>
      </c>
      <c r="S278" s="197">
        <f>ROUNDDOWN(O278*0.51,)+60</f>
        <v/>
      </c>
      <c r="T278" s="207">
        <f>_xlfn.XLOOKUP(F278,[1]Fx!$A$4:$A$10,[1]Fx!$B$4:$B$10)</f>
        <v/>
      </c>
      <c r="U278" s="207">
        <f>_xlfn.XLOOKUP(F278,[1]Fx!$A$4:$A$10,[1]Fx!$C$4:$C$10)</f>
        <v/>
      </c>
      <c r="V278" s="207">
        <f>_xlfn.XLOOKUP(F278,[1]Fx!$A$4:$A$10,[1]Fx!$D$4:$D$10)</f>
        <v/>
      </c>
      <c r="W278" s="207">
        <f>$V$2</f>
        <v/>
      </c>
      <c r="X278" s="207">
        <f>_xlfn.XLOOKUP(F278,[1]Fx!$A$4:$A$10,[1]Fx!$E$4:$E$10)</f>
        <v/>
      </c>
      <c r="Y278" s="215">
        <f>T278*R278</f>
        <v/>
      </c>
      <c r="Z278" s="215">
        <f>U278*O278</f>
        <v/>
      </c>
      <c r="AA278" s="215">
        <f>V278*O278</f>
        <v/>
      </c>
      <c r="AB278" s="215">
        <f>W278*O278</f>
        <v/>
      </c>
      <c r="AC278" s="197">
        <f>X278*O278</f>
        <v/>
      </c>
      <c r="AD278" s="215" t="n">
        <v>0</v>
      </c>
      <c r="AE278" s="215" t="n">
        <v>0</v>
      </c>
      <c r="AF278" s="207">
        <f>SUM(Y278:AE278)</f>
        <v/>
      </c>
      <c r="AG278" s="254">
        <f>_xlfn.XLOOKUP(F278,[1]Fx!$A$16:$A$22,[1]Fx!$B$16:$B$22)</f>
        <v/>
      </c>
      <c r="AH278" s="207">
        <f>AG278*R278</f>
        <v/>
      </c>
      <c r="AI278" s="207">
        <f>$AH$3*Z278</f>
        <v/>
      </c>
      <c r="AJ278" s="207">
        <f>$AI$3*AA278</f>
        <v/>
      </c>
      <c r="AK278" s="207">
        <f>$AJ$3*AB278</f>
        <v/>
      </c>
      <c r="AL278" s="207">
        <f>$AK$3*AC278</f>
        <v/>
      </c>
      <c r="AM278" s="220">
        <f>SUM(AH278:AL278)</f>
        <v/>
      </c>
      <c r="AN278" s="220" t="n">
        <v>0</v>
      </c>
      <c r="AO278" s="220">
        <f>AN278*AH278</f>
        <v/>
      </c>
      <c r="AP278" s="220">
        <f>AD278</f>
        <v/>
      </c>
      <c r="AQ278" s="220">
        <f>AE278</f>
        <v/>
      </c>
      <c r="AR278" s="208">
        <f>AM278-AO278</f>
        <v/>
      </c>
      <c r="AS278" s="220">
        <f>AR278-AK278</f>
        <v/>
      </c>
      <c r="AT278" s="208">
        <f>AS278*1.075</f>
        <v/>
      </c>
      <c r="AU278" s="208">
        <f>AT278+AK278</f>
        <v/>
      </c>
      <c r="AV278" s="198" t="n">
        <v>88979.54286905425</v>
      </c>
      <c r="AW278" s="220" t="n"/>
      <c r="AX278" s="220">
        <f>AV278-AR278</f>
        <v/>
      </c>
      <c r="AY278" s="35">
        <f>AX278/AR278</f>
        <v/>
      </c>
      <c r="AZ278" s="220">
        <f>AV278-AF278</f>
        <v/>
      </c>
      <c r="BA278" s="215">
        <f>AV278-SUM(Z278:AC278)</f>
        <v/>
      </c>
      <c r="BB278" s="215">
        <f>BA278-Y278</f>
        <v/>
      </c>
      <c r="BC278" s="35">
        <f>BB278/BA278</f>
        <v/>
      </c>
      <c r="BD278" s="35">
        <f>IFERROR(AZ278/AV278,)</f>
        <v/>
      </c>
      <c r="BE278" s="255">
        <f>AV278-SUM(Z278:AC278)</f>
        <v/>
      </c>
      <c r="BF278" s="255">
        <f>AV278-BE278-AC278-AB278</f>
        <v/>
      </c>
      <c r="BG278" s="255">
        <f>AV278-BE278-BF278-AB278</f>
        <v/>
      </c>
      <c r="BH278" s="255">
        <f>AB278</f>
        <v/>
      </c>
      <c r="BI278" s="263" t="inlineStr">
        <is>
          <t>Approved</t>
        </is>
      </c>
    </row>
    <row r="279">
      <c r="C279" s="96" t="inlineStr">
        <is>
          <t>YEKENE</t>
        </is>
      </c>
      <c r="D279" s="49">
        <f>CONCATENATE(G279,"-",H279,"-",F279)</f>
        <v/>
      </c>
      <c r="E279" s="95" t="inlineStr">
        <is>
          <t>Jamara-3T-16CBM</t>
        </is>
      </c>
      <c r="F279" s="94" t="inlineStr">
        <is>
          <t>16CBM</t>
        </is>
      </c>
      <c r="G279" s="25" t="inlineStr">
        <is>
          <t>Closed Body Logistics</t>
        </is>
      </c>
      <c r="H279" s="97" t="inlineStr">
        <is>
          <t>3T</t>
        </is>
      </c>
      <c r="I279" s="102" t="inlineStr">
        <is>
          <t>Jamara</t>
        </is>
      </c>
      <c r="J279" s="103" t="inlineStr">
        <is>
          <t>Lagos</t>
        </is>
      </c>
      <c r="K279" s="108" t="inlineStr">
        <is>
          <t>IKM-Shagari-Ejigbo-Ipaja-Ayobo-Okokomaiko-Oshodi-Isolo</t>
        </is>
      </c>
      <c r="L279" s="57" t="inlineStr">
        <is>
          <t>Lagos</t>
        </is>
      </c>
      <c r="M279" s="58" t="inlineStr">
        <is>
          <t>Ejigbo</t>
        </is>
      </c>
      <c r="N279" s="196" t="n">
        <v>15</v>
      </c>
      <c r="O279" s="194">
        <f>N279*2</f>
        <v/>
      </c>
      <c r="P279" s="215">
        <f>ROUNDUP(O279/300,)</f>
        <v/>
      </c>
      <c r="Q279" s="215" t="n">
        <v>0.2</v>
      </c>
      <c r="R279" s="215">
        <f>Q279+P279</f>
        <v/>
      </c>
      <c r="S279" s="197">
        <f>ROUNDDOWN(O279*0.51,)+60</f>
        <v/>
      </c>
      <c r="T279" s="207">
        <f>_xlfn.XLOOKUP(F279,[1]Fx!$A$4:$A$10,[1]Fx!$B$4:$B$10)</f>
        <v/>
      </c>
      <c r="U279" s="207">
        <f>_xlfn.XLOOKUP(F279,[1]Fx!$A$4:$A$10,[1]Fx!$C$4:$C$10)</f>
        <v/>
      </c>
      <c r="V279" s="207">
        <f>_xlfn.XLOOKUP(F279,[1]Fx!$A$4:$A$10,[1]Fx!$D$4:$D$10)</f>
        <v/>
      </c>
      <c r="W279" s="207">
        <f>$V$2</f>
        <v/>
      </c>
      <c r="X279" s="207">
        <f>_xlfn.XLOOKUP(F279,[1]Fx!$A$4:$A$10,[1]Fx!$E$4:$E$10)</f>
        <v/>
      </c>
      <c r="Y279" s="215">
        <f>T279*R279</f>
        <v/>
      </c>
      <c r="Z279" s="215">
        <f>U279*O279</f>
        <v/>
      </c>
      <c r="AA279" s="215">
        <f>V279*O279</f>
        <v/>
      </c>
      <c r="AB279" s="215">
        <f>W279*O279</f>
        <v/>
      </c>
      <c r="AC279" s="197">
        <f>X279*O279</f>
        <v/>
      </c>
      <c r="AD279" s="215" t="n">
        <v>0</v>
      </c>
      <c r="AE279" s="215" t="n">
        <v>0</v>
      </c>
      <c r="AF279" s="207">
        <f>SUM(Y279:AE279)</f>
        <v/>
      </c>
      <c r="AG279" s="254">
        <f>_xlfn.XLOOKUP(F279,[1]Fx!$A$16:$A$22,[1]Fx!$B$16:$B$22)</f>
        <v/>
      </c>
      <c r="AH279" s="207">
        <f>AG279*R279</f>
        <v/>
      </c>
      <c r="AI279" s="207">
        <f>$AH$3*Z279</f>
        <v/>
      </c>
      <c r="AJ279" s="207">
        <f>$AI$3*AA279</f>
        <v/>
      </c>
      <c r="AK279" s="207">
        <f>$AJ$3*AB279</f>
        <v/>
      </c>
      <c r="AL279" s="207">
        <f>$AK$3*AC279</f>
        <v/>
      </c>
      <c r="AM279" s="220">
        <f>SUM(AH279:AL279)</f>
        <v/>
      </c>
      <c r="AN279" s="220" t="n">
        <v>0</v>
      </c>
      <c r="AO279" s="220">
        <f>AN279*AH279</f>
        <v/>
      </c>
      <c r="AP279" s="220">
        <f>AD279</f>
        <v/>
      </c>
      <c r="AQ279" s="220">
        <f>AE279</f>
        <v/>
      </c>
      <c r="AR279" s="208">
        <f>AM279-AO279</f>
        <v/>
      </c>
      <c r="AS279" s="220">
        <f>AR279-AK279</f>
        <v/>
      </c>
      <c r="AT279" s="208">
        <f>AS279*1.075</f>
        <v/>
      </c>
      <c r="AU279" s="208">
        <f>AT279+AK279</f>
        <v/>
      </c>
      <c r="AV279" s="198" t="n">
        <v>88979.54286905425</v>
      </c>
      <c r="AW279" s="220" t="n"/>
      <c r="AX279" s="220">
        <f>AV279-AR279</f>
        <v/>
      </c>
      <c r="AY279" s="35">
        <f>AX279/AR279</f>
        <v/>
      </c>
      <c r="AZ279" s="220">
        <f>AV279-AF279</f>
        <v/>
      </c>
      <c r="BA279" s="215">
        <f>AV279-SUM(Z279:AC279)</f>
        <v/>
      </c>
      <c r="BB279" s="215">
        <f>BA279-Y279</f>
        <v/>
      </c>
      <c r="BC279" s="35">
        <f>BB279/BA279</f>
        <v/>
      </c>
      <c r="BD279" s="35">
        <f>IFERROR(AZ279/AV279,)</f>
        <v/>
      </c>
      <c r="BE279" s="255">
        <f>AV279-SUM(Z279:AC279)</f>
        <v/>
      </c>
      <c r="BF279" s="255">
        <f>AV279-BE279-AC279-AB279</f>
        <v/>
      </c>
      <c r="BG279" s="255">
        <f>AV279-BE279-BF279-AB279</f>
        <v/>
      </c>
      <c r="BH279" s="255">
        <f>AB279</f>
        <v/>
      </c>
      <c r="BI279" s="263" t="inlineStr">
        <is>
          <t>Approved</t>
        </is>
      </c>
    </row>
    <row r="280">
      <c r="C280" s="96" t="inlineStr">
        <is>
          <t>YEKENE</t>
        </is>
      </c>
      <c r="D280" s="49">
        <f>CONCATENATE(G280,"-",H280,"-",F280)</f>
        <v/>
      </c>
      <c r="E280" s="95" t="inlineStr">
        <is>
          <t>Jamara-3T-16CBM</t>
        </is>
      </c>
      <c r="F280" s="94" t="inlineStr">
        <is>
          <t>16CBM</t>
        </is>
      </c>
      <c r="G280" s="25" t="inlineStr">
        <is>
          <t>Closed Body Logistics</t>
        </is>
      </c>
      <c r="H280" s="97" t="inlineStr">
        <is>
          <t>3T</t>
        </is>
      </c>
      <c r="I280" s="102" t="inlineStr">
        <is>
          <t>Jamara</t>
        </is>
      </c>
      <c r="J280" s="103" t="inlineStr">
        <is>
          <t>Lagos</t>
        </is>
      </c>
      <c r="K280" s="108" t="inlineStr">
        <is>
          <t>IKM-Shagari-Ejigbo-Ipaja-Ayobo-Okokomaiko-Oshodi-Isolo</t>
        </is>
      </c>
      <c r="L280" s="57" t="inlineStr">
        <is>
          <t>Lagos</t>
        </is>
      </c>
      <c r="M280" s="58" t="inlineStr">
        <is>
          <t>Isolo</t>
        </is>
      </c>
      <c r="N280" s="196" t="n">
        <v>11</v>
      </c>
      <c r="O280" s="194">
        <f>N280*2</f>
        <v/>
      </c>
      <c r="P280" s="215">
        <f>ROUNDUP(O280/300,)</f>
        <v/>
      </c>
      <c r="Q280" s="215" t="n">
        <v>0.2</v>
      </c>
      <c r="R280" s="215">
        <f>Q280+P280</f>
        <v/>
      </c>
      <c r="S280" s="197">
        <f>ROUNDDOWN(O280*0.51,)+60</f>
        <v/>
      </c>
      <c r="T280" s="207">
        <f>_xlfn.XLOOKUP(F280,[1]Fx!$A$4:$A$10,[1]Fx!$B$4:$B$10)</f>
        <v/>
      </c>
      <c r="U280" s="207">
        <f>_xlfn.XLOOKUP(F280,[1]Fx!$A$4:$A$10,[1]Fx!$C$4:$C$10)</f>
        <v/>
      </c>
      <c r="V280" s="207">
        <f>_xlfn.XLOOKUP(F280,[1]Fx!$A$4:$A$10,[1]Fx!$D$4:$D$10)</f>
        <v/>
      </c>
      <c r="W280" s="207">
        <f>$V$2</f>
        <v/>
      </c>
      <c r="X280" s="207">
        <f>_xlfn.XLOOKUP(F280,[1]Fx!$A$4:$A$10,[1]Fx!$E$4:$E$10)</f>
        <v/>
      </c>
      <c r="Y280" s="215">
        <f>T280*R280</f>
        <v/>
      </c>
      <c r="Z280" s="215">
        <f>U280*O280</f>
        <v/>
      </c>
      <c r="AA280" s="215">
        <f>V280*O280</f>
        <v/>
      </c>
      <c r="AB280" s="215">
        <f>W280*O280</f>
        <v/>
      </c>
      <c r="AC280" s="197">
        <f>X280*O280</f>
        <v/>
      </c>
      <c r="AD280" s="215" t="n">
        <v>0</v>
      </c>
      <c r="AE280" s="215" t="n">
        <v>0</v>
      </c>
      <c r="AF280" s="207">
        <f>SUM(Y280:AE280)</f>
        <v/>
      </c>
      <c r="AG280" s="254">
        <f>_xlfn.XLOOKUP(F280,[1]Fx!$A$16:$A$22,[1]Fx!$B$16:$B$22)</f>
        <v/>
      </c>
      <c r="AH280" s="207">
        <f>AG280*R280</f>
        <v/>
      </c>
      <c r="AI280" s="207">
        <f>$AH$3*Z280</f>
        <v/>
      </c>
      <c r="AJ280" s="207">
        <f>$AI$3*AA280</f>
        <v/>
      </c>
      <c r="AK280" s="207">
        <f>$AJ$3*AB280</f>
        <v/>
      </c>
      <c r="AL280" s="207">
        <f>$AK$3*AC280</f>
        <v/>
      </c>
      <c r="AM280" s="220">
        <f>SUM(AH280:AL280)</f>
        <v/>
      </c>
      <c r="AN280" s="220" t="n">
        <v>0</v>
      </c>
      <c r="AO280" s="220">
        <f>AN280*AH280</f>
        <v/>
      </c>
      <c r="AP280" s="220">
        <f>AD280</f>
        <v/>
      </c>
      <c r="AQ280" s="220">
        <f>AE280</f>
        <v/>
      </c>
      <c r="AR280" s="208">
        <f>AM280-AO280</f>
        <v/>
      </c>
      <c r="AS280" s="220">
        <f>AR280-AK280</f>
        <v/>
      </c>
      <c r="AT280" s="208">
        <f>AS280*1.075</f>
        <v/>
      </c>
      <c r="AU280" s="208">
        <f>AT280+AK280</f>
        <v/>
      </c>
      <c r="AV280" s="198" t="n">
        <v>88979.54286905425</v>
      </c>
      <c r="AW280" s="220" t="n"/>
      <c r="AX280" s="220">
        <f>AV280-AR280</f>
        <v/>
      </c>
      <c r="AY280" s="35">
        <f>AX280/AR280</f>
        <v/>
      </c>
      <c r="AZ280" s="220">
        <f>AV280-AF280</f>
        <v/>
      </c>
      <c r="BA280" s="215">
        <f>AV280-SUM(Z280:AC280)</f>
        <v/>
      </c>
      <c r="BB280" s="215">
        <f>BA280-Y280</f>
        <v/>
      </c>
      <c r="BC280" s="35">
        <f>BB280/BA280</f>
        <v/>
      </c>
      <c r="BD280" s="35">
        <f>IFERROR(AZ280/AV280,)</f>
        <v/>
      </c>
      <c r="BE280" s="255">
        <f>AV280-SUM(Z280:AC280)</f>
        <v/>
      </c>
      <c r="BF280" s="255">
        <f>AV280-BE280-AC280-AB280</f>
        <v/>
      </c>
      <c r="BG280" s="255">
        <f>AV280-BE280-BF280-AB280</f>
        <v/>
      </c>
      <c r="BH280" s="255">
        <f>AB280</f>
        <v/>
      </c>
      <c r="BI280" s="263" t="inlineStr">
        <is>
          <t xml:space="preserve">To Check </t>
        </is>
      </c>
    </row>
    <row r="281">
      <c r="C281" s="96" t="inlineStr">
        <is>
          <t>YEKENE</t>
        </is>
      </c>
      <c r="D281" s="49">
        <f>CONCATENATE(G281,"-",H281,"-",F281)</f>
        <v/>
      </c>
      <c r="E281" s="95" t="inlineStr">
        <is>
          <t>Jamara-3T-16CBM</t>
        </is>
      </c>
      <c r="F281" s="94" t="inlineStr">
        <is>
          <t>16CBM</t>
        </is>
      </c>
      <c r="G281" s="25" t="inlineStr">
        <is>
          <t>Closed Body Logistics</t>
        </is>
      </c>
      <c r="H281" s="97" t="inlineStr">
        <is>
          <t>3T</t>
        </is>
      </c>
      <c r="I281" s="102" t="inlineStr">
        <is>
          <t>Jamara</t>
        </is>
      </c>
      <c r="J281" s="103" t="inlineStr">
        <is>
          <t>Lagos</t>
        </is>
      </c>
      <c r="K281" s="108" t="inlineStr">
        <is>
          <t>IKM-Shagari-Ejigbo-Ipaja-Ayobo-Okokomaiko-Oshodi-Isolo</t>
        </is>
      </c>
      <c r="L281" s="57" t="inlineStr">
        <is>
          <t>Lagos</t>
        </is>
      </c>
      <c r="M281" s="58" t="inlineStr">
        <is>
          <t>Oshodi</t>
        </is>
      </c>
      <c r="N281" s="196" t="n">
        <v>8</v>
      </c>
      <c r="O281" s="194">
        <f>N281*2</f>
        <v/>
      </c>
      <c r="P281" s="215">
        <f>ROUNDUP(O281/300,)</f>
        <v/>
      </c>
      <c r="Q281" s="215" t="n">
        <v>0.2</v>
      </c>
      <c r="R281" s="215">
        <f>Q281+P281</f>
        <v/>
      </c>
      <c r="S281" s="197">
        <f>ROUNDDOWN(O281*0.51,)+60</f>
        <v/>
      </c>
      <c r="T281" s="207">
        <f>_xlfn.XLOOKUP(F281,[1]Fx!$A$4:$A$10,[1]Fx!$B$4:$B$10)</f>
        <v/>
      </c>
      <c r="U281" s="207">
        <f>_xlfn.XLOOKUP(F281,[1]Fx!$A$4:$A$10,[1]Fx!$C$4:$C$10)</f>
        <v/>
      </c>
      <c r="V281" s="207">
        <f>_xlfn.XLOOKUP(F281,[1]Fx!$A$4:$A$10,[1]Fx!$D$4:$D$10)</f>
        <v/>
      </c>
      <c r="W281" s="207">
        <f>$V$2</f>
        <v/>
      </c>
      <c r="X281" s="207">
        <f>_xlfn.XLOOKUP(F281,[1]Fx!$A$4:$A$10,[1]Fx!$E$4:$E$10)</f>
        <v/>
      </c>
      <c r="Y281" s="215">
        <f>T281*R281</f>
        <v/>
      </c>
      <c r="Z281" s="215">
        <f>U281*O281</f>
        <v/>
      </c>
      <c r="AA281" s="215">
        <f>V281*O281</f>
        <v/>
      </c>
      <c r="AB281" s="215">
        <f>W281*O281</f>
        <v/>
      </c>
      <c r="AC281" s="197">
        <f>X281*O281</f>
        <v/>
      </c>
      <c r="AD281" s="215" t="n">
        <v>0</v>
      </c>
      <c r="AE281" s="215" t="n">
        <v>0</v>
      </c>
      <c r="AF281" s="207">
        <f>SUM(Y281:AE281)</f>
        <v/>
      </c>
      <c r="AG281" s="254">
        <f>_xlfn.XLOOKUP(F281,[1]Fx!$A$16:$A$22,[1]Fx!$B$16:$B$22)</f>
        <v/>
      </c>
      <c r="AH281" s="207">
        <f>AG281*R281</f>
        <v/>
      </c>
      <c r="AI281" s="207">
        <f>$AH$3*Z281</f>
        <v/>
      </c>
      <c r="AJ281" s="207">
        <f>$AI$3*AA281</f>
        <v/>
      </c>
      <c r="AK281" s="207">
        <f>$AJ$3*AB281</f>
        <v/>
      </c>
      <c r="AL281" s="207">
        <f>$AK$3*AC281</f>
        <v/>
      </c>
      <c r="AM281" s="220">
        <f>SUM(AH281:AL281)</f>
        <v/>
      </c>
      <c r="AN281" s="220" t="n">
        <v>0</v>
      </c>
      <c r="AO281" s="220">
        <f>AN281*AH281</f>
        <v/>
      </c>
      <c r="AP281" s="220">
        <f>AD281</f>
        <v/>
      </c>
      <c r="AQ281" s="220">
        <f>AE281</f>
        <v/>
      </c>
      <c r="AR281" s="208">
        <f>AM281-AO281</f>
        <v/>
      </c>
      <c r="AS281" s="220">
        <f>AR281-AK281</f>
        <v/>
      </c>
      <c r="AT281" s="208">
        <f>AS281*1.075</f>
        <v/>
      </c>
      <c r="AU281" s="208">
        <f>AT281+AK281</f>
        <v/>
      </c>
      <c r="AV281" s="198" t="n">
        <v>88979.54286905425</v>
      </c>
      <c r="AW281" s="220" t="n"/>
      <c r="AX281" s="220">
        <f>AV281-AR281</f>
        <v/>
      </c>
      <c r="AY281" s="35">
        <f>AX281/AR281</f>
        <v/>
      </c>
      <c r="AZ281" s="220">
        <f>AV281-AF281</f>
        <v/>
      </c>
      <c r="BA281" s="215">
        <f>AV281-SUM(Z281:AC281)</f>
        <v/>
      </c>
      <c r="BB281" s="215">
        <f>BA281-Y281</f>
        <v/>
      </c>
      <c r="BC281" s="35">
        <f>BB281/BA281</f>
        <v/>
      </c>
      <c r="BD281" s="35">
        <f>IFERROR(AZ281/AV281,)</f>
        <v/>
      </c>
      <c r="BE281" s="255">
        <f>AV281-SUM(Z281:AC281)</f>
        <v/>
      </c>
      <c r="BF281" s="255">
        <f>AV281-BE281-AC281-AB281</f>
        <v/>
      </c>
      <c r="BG281" s="255">
        <f>AV281-BE281-BF281-AB281</f>
        <v/>
      </c>
      <c r="BH281" s="255">
        <f>AB281</f>
        <v/>
      </c>
      <c r="BI281" s="263" t="inlineStr">
        <is>
          <t>Approved</t>
        </is>
      </c>
    </row>
    <row r="282">
      <c r="C282" s="96" t="inlineStr">
        <is>
          <t>YEKENE</t>
        </is>
      </c>
      <c r="D282" s="49">
        <f>CONCATENATE(G282,"-",H282,"-",F282)</f>
        <v/>
      </c>
      <c r="E282" s="95" t="inlineStr">
        <is>
          <t>Jamara-3T-16CBM</t>
        </is>
      </c>
      <c r="F282" s="94" t="inlineStr">
        <is>
          <t>16CBM</t>
        </is>
      </c>
      <c r="G282" s="25" t="inlineStr">
        <is>
          <t>Closed Body Logistics</t>
        </is>
      </c>
      <c r="H282" s="97" t="inlineStr">
        <is>
          <t>3T</t>
        </is>
      </c>
      <c r="I282" s="102" t="inlineStr">
        <is>
          <t>Jamara</t>
        </is>
      </c>
      <c r="J282" s="103" t="inlineStr">
        <is>
          <t>Lagos</t>
        </is>
      </c>
      <c r="K282" s="109" t="inlineStr">
        <is>
          <t>Ilupeju-Gbagada-Apapa-Mushin-Okota-Fadeyi</t>
        </is>
      </c>
      <c r="L282" s="57" t="inlineStr">
        <is>
          <t>Lagos</t>
        </is>
      </c>
      <c r="M282" s="58" t="inlineStr">
        <is>
          <t>Mushin</t>
        </is>
      </c>
      <c r="N282" s="196" t="n">
        <v>8</v>
      </c>
      <c r="O282" s="194">
        <f>N282*2</f>
        <v/>
      </c>
      <c r="P282" s="215">
        <f>ROUNDUP(O282/300,)</f>
        <v/>
      </c>
      <c r="Q282" s="215" t="n">
        <v>0.2</v>
      </c>
      <c r="R282" s="215">
        <f>Q282+P282</f>
        <v/>
      </c>
      <c r="S282" s="197">
        <f>ROUNDDOWN(O282*0.51,)+60</f>
        <v/>
      </c>
      <c r="T282" s="207">
        <f>_xlfn.XLOOKUP(F282,[1]Fx!$A$4:$A$10,[1]Fx!$B$4:$B$10)</f>
        <v/>
      </c>
      <c r="U282" s="207">
        <f>_xlfn.XLOOKUP(F282,[1]Fx!$A$4:$A$10,[1]Fx!$C$4:$C$10)</f>
        <v/>
      </c>
      <c r="V282" s="207">
        <f>_xlfn.XLOOKUP(F282,[1]Fx!$A$4:$A$10,[1]Fx!$D$4:$D$10)</f>
        <v/>
      </c>
      <c r="W282" s="207">
        <f>$V$2</f>
        <v/>
      </c>
      <c r="X282" s="207">
        <f>_xlfn.XLOOKUP(F282,[1]Fx!$A$4:$A$10,[1]Fx!$E$4:$E$10)</f>
        <v/>
      </c>
      <c r="Y282" s="215">
        <f>T282*R282</f>
        <v/>
      </c>
      <c r="Z282" s="215">
        <f>U282*O282</f>
        <v/>
      </c>
      <c r="AA282" s="215">
        <f>V282*O282</f>
        <v/>
      </c>
      <c r="AB282" s="215">
        <f>W282*O282</f>
        <v/>
      </c>
      <c r="AC282" s="197">
        <f>X282*O282</f>
        <v/>
      </c>
      <c r="AD282" s="215" t="n">
        <v>0</v>
      </c>
      <c r="AE282" s="215" t="n">
        <v>0</v>
      </c>
      <c r="AF282" s="207">
        <f>SUM(Y282:AE282)</f>
        <v/>
      </c>
      <c r="AG282" s="254">
        <f>_xlfn.XLOOKUP(F282,[1]Fx!$A$16:$A$22,[1]Fx!$B$16:$B$22)</f>
        <v/>
      </c>
      <c r="AH282" s="207">
        <f>AG282*R282</f>
        <v/>
      </c>
      <c r="AI282" s="207">
        <f>$AH$3*Z282</f>
        <v/>
      </c>
      <c r="AJ282" s="207">
        <f>$AI$3*AA282</f>
        <v/>
      </c>
      <c r="AK282" s="207">
        <f>$AJ$3*AB282</f>
        <v/>
      </c>
      <c r="AL282" s="207">
        <f>$AK$3*AC282</f>
        <v/>
      </c>
      <c r="AM282" s="220">
        <f>SUM(AH282:AL282)</f>
        <v/>
      </c>
      <c r="AN282" s="220" t="n">
        <v>0</v>
      </c>
      <c r="AO282" s="220">
        <f>AN282*AH282</f>
        <v/>
      </c>
      <c r="AP282" s="220">
        <f>AD282</f>
        <v/>
      </c>
      <c r="AQ282" s="220">
        <f>AE282</f>
        <v/>
      </c>
      <c r="AR282" s="208">
        <f>AM282-AO282</f>
        <v/>
      </c>
      <c r="AS282" s="220">
        <f>AR282-AK282</f>
        <v/>
      </c>
      <c r="AT282" s="208">
        <f>AS282*1.075</f>
        <v/>
      </c>
      <c r="AU282" s="208">
        <f>AT282+AK282</f>
        <v/>
      </c>
      <c r="AV282" s="198" t="n">
        <v>88979.54286905425</v>
      </c>
      <c r="AW282" s="220" t="n"/>
      <c r="AX282" s="220">
        <f>AV282-AR282</f>
        <v/>
      </c>
      <c r="AY282" s="35">
        <f>AX282/AR282</f>
        <v/>
      </c>
      <c r="AZ282" s="220">
        <f>AV282-AF282</f>
        <v/>
      </c>
      <c r="BA282" s="215">
        <f>AV282-SUM(Z282:AC282)</f>
        <v/>
      </c>
      <c r="BB282" s="215">
        <f>BA282-Y282</f>
        <v/>
      </c>
      <c r="BC282" s="35">
        <f>BB282/BA282</f>
        <v/>
      </c>
      <c r="BD282" s="35">
        <f>IFERROR(AZ282/AV282,)</f>
        <v/>
      </c>
      <c r="BE282" s="255">
        <f>AV282-SUM(Z282:AC282)</f>
        <v/>
      </c>
      <c r="BF282" s="255">
        <f>AV282-BE282-AC282-AB282</f>
        <v/>
      </c>
      <c r="BG282" s="255">
        <f>AV282-BE282-BF282-AB282</f>
        <v/>
      </c>
      <c r="BH282" s="255">
        <f>AB282</f>
        <v/>
      </c>
      <c r="BI282" s="263" t="inlineStr">
        <is>
          <t>Approved</t>
        </is>
      </c>
    </row>
    <row r="283">
      <c r="C283" s="96" t="inlineStr">
        <is>
          <t>YEKENE</t>
        </is>
      </c>
      <c r="D283" s="49">
        <f>CONCATENATE(G283,"-",H283,"-",F283)</f>
        <v/>
      </c>
      <c r="E283" s="95" t="inlineStr">
        <is>
          <t>Jamara-3T-16CBM</t>
        </is>
      </c>
      <c r="F283" s="94" t="inlineStr">
        <is>
          <t>16CBM</t>
        </is>
      </c>
      <c r="G283" s="25" t="inlineStr">
        <is>
          <t>Closed Body Logistics</t>
        </is>
      </c>
      <c r="H283" s="97" t="inlineStr">
        <is>
          <t>3T</t>
        </is>
      </c>
      <c r="I283" s="102" t="inlineStr">
        <is>
          <t>Jamara</t>
        </is>
      </c>
      <c r="J283" s="103" t="inlineStr">
        <is>
          <t>Lagos</t>
        </is>
      </c>
      <c r="K283" s="109" t="inlineStr">
        <is>
          <t>Ilupeju-Gbagada-Apapa-Mushin-Okota-Fadeyi</t>
        </is>
      </c>
      <c r="L283" s="57" t="inlineStr">
        <is>
          <t>Lagos</t>
        </is>
      </c>
      <c r="M283" s="60" t="inlineStr">
        <is>
          <t>Fadeyi</t>
        </is>
      </c>
      <c r="N283" s="196" t="n">
        <v>8</v>
      </c>
      <c r="O283" s="194">
        <f>N283*2</f>
        <v/>
      </c>
      <c r="P283" s="215">
        <f>ROUNDUP(O283/300,)</f>
        <v/>
      </c>
      <c r="Q283" s="215" t="n">
        <v>0.2</v>
      </c>
      <c r="R283" s="215">
        <f>Q283+P283</f>
        <v/>
      </c>
      <c r="S283" s="197">
        <f>ROUNDDOWN(O283*0.51,)+60</f>
        <v/>
      </c>
      <c r="T283" s="207">
        <f>_xlfn.XLOOKUP(F283,[1]Fx!$A$4:$A$10,[1]Fx!$B$4:$B$10)</f>
        <v/>
      </c>
      <c r="U283" s="207">
        <f>_xlfn.XLOOKUP(F283,[1]Fx!$A$4:$A$10,[1]Fx!$C$4:$C$10)</f>
        <v/>
      </c>
      <c r="V283" s="207">
        <f>_xlfn.XLOOKUP(F283,[1]Fx!$A$4:$A$10,[1]Fx!$D$4:$D$10)</f>
        <v/>
      </c>
      <c r="W283" s="207">
        <f>$V$2</f>
        <v/>
      </c>
      <c r="X283" s="207">
        <f>_xlfn.XLOOKUP(F283,[1]Fx!$A$4:$A$10,[1]Fx!$E$4:$E$10)</f>
        <v/>
      </c>
      <c r="Y283" s="215">
        <f>T283*R283</f>
        <v/>
      </c>
      <c r="Z283" s="215">
        <f>U283*O283</f>
        <v/>
      </c>
      <c r="AA283" s="215">
        <f>V283*O283</f>
        <v/>
      </c>
      <c r="AB283" s="215">
        <f>W283*O283</f>
        <v/>
      </c>
      <c r="AC283" s="197">
        <f>X283*O283</f>
        <v/>
      </c>
      <c r="AD283" s="215" t="n">
        <v>0</v>
      </c>
      <c r="AE283" s="215" t="n">
        <v>0</v>
      </c>
      <c r="AF283" s="207">
        <f>SUM(Y283:AE283)</f>
        <v/>
      </c>
      <c r="AG283" s="254">
        <f>_xlfn.XLOOKUP(F283,[1]Fx!$A$16:$A$22,[1]Fx!$B$16:$B$22)</f>
        <v/>
      </c>
      <c r="AH283" s="207">
        <f>AG283*R283</f>
        <v/>
      </c>
      <c r="AI283" s="207">
        <f>$AH$3*Z283</f>
        <v/>
      </c>
      <c r="AJ283" s="207">
        <f>$AI$3*AA283</f>
        <v/>
      </c>
      <c r="AK283" s="207">
        <f>$AJ$3*AB283</f>
        <v/>
      </c>
      <c r="AL283" s="207">
        <f>$AK$3*AC283</f>
        <v/>
      </c>
      <c r="AM283" s="220">
        <f>SUM(AH283:AL283)</f>
        <v/>
      </c>
      <c r="AN283" s="220" t="n">
        <v>0</v>
      </c>
      <c r="AO283" s="220">
        <f>AN283*AH283</f>
        <v/>
      </c>
      <c r="AP283" s="220">
        <f>AD283</f>
        <v/>
      </c>
      <c r="AQ283" s="220">
        <f>AE283</f>
        <v/>
      </c>
      <c r="AR283" s="208">
        <f>AM283-AO283</f>
        <v/>
      </c>
      <c r="AS283" s="220">
        <f>AR283-AK283</f>
        <v/>
      </c>
      <c r="AT283" s="208">
        <f>AS283*1.075</f>
        <v/>
      </c>
      <c r="AU283" s="208">
        <f>AT283+AK283</f>
        <v/>
      </c>
      <c r="AV283" s="198" t="n">
        <v>88979.54286905425</v>
      </c>
      <c r="AW283" s="220" t="n"/>
      <c r="AX283" s="220">
        <f>AV283-AR283</f>
        <v/>
      </c>
      <c r="AY283" s="35">
        <f>AX283/AR283</f>
        <v/>
      </c>
      <c r="AZ283" s="220">
        <f>AV283-AF283</f>
        <v/>
      </c>
      <c r="BA283" s="215">
        <f>AV283-SUM(Z283:AC283)</f>
        <v/>
      </c>
      <c r="BB283" s="215">
        <f>BA283-Y283</f>
        <v/>
      </c>
      <c r="BC283" s="35">
        <f>BB283/BA283</f>
        <v/>
      </c>
      <c r="BD283" s="35">
        <f>IFERROR(AZ283/AV283,)</f>
        <v/>
      </c>
      <c r="BE283" s="255">
        <f>AV283-SUM(Z283:AC283)</f>
        <v/>
      </c>
      <c r="BF283" s="255">
        <f>AV283-BE283-AC283-AB283</f>
        <v/>
      </c>
      <c r="BG283" s="255">
        <f>AV283-BE283-BF283-AB283</f>
        <v/>
      </c>
      <c r="BH283" s="255">
        <f>AB283</f>
        <v/>
      </c>
      <c r="BI283" s="263" t="inlineStr">
        <is>
          <t>Approved</t>
        </is>
      </c>
    </row>
    <row r="284">
      <c r="C284" s="96" t="inlineStr">
        <is>
          <t>YEKENE</t>
        </is>
      </c>
      <c r="D284" s="49">
        <f>CONCATENATE(G284,"-",H284,"-",F284)</f>
        <v/>
      </c>
      <c r="E284" s="95" t="inlineStr">
        <is>
          <t>Jamara-3T-16CBM</t>
        </is>
      </c>
      <c r="F284" s="94" t="inlineStr">
        <is>
          <t>16CBM</t>
        </is>
      </c>
      <c r="G284" s="25" t="inlineStr">
        <is>
          <t>Closed Body Logistics</t>
        </is>
      </c>
      <c r="H284" s="97" t="inlineStr">
        <is>
          <t>3T</t>
        </is>
      </c>
      <c r="I284" s="102" t="inlineStr">
        <is>
          <t>Jamara</t>
        </is>
      </c>
      <c r="J284" s="103" t="inlineStr">
        <is>
          <t>Lagos</t>
        </is>
      </c>
      <c r="K284" s="109" t="inlineStr">
        <is>
          <t>Ilupeju-Gbagada-Apapa-Mushin-Okota-Fadeyi</t>
        </is>
      </c>
      <c r="L284" s="57" t="inlineStr">
        <is>
          <t>Lagos</t>
        </is>
      </c>
      <c r="M284" s="58" t="inlineStr">
        <is>
          <t>Okota</t>
        </is>
      </c>
      <c r="N284" s="196" t="n">
        <v>16</v>
      </c>
      <c r="O284" s="194">
        <f>N284*2</f>
        <v/>
      </c>
      <c r="P284" s="215">
        <f>ROUNDUP(O284/300,)</f>
        <v/>
      </c>
      <c r="Q284" s="215" t="n">
        <v>0.2</v>
      </c>
      <c r="R284" s="215">
        <f>Q284+P284</f>
        <v/>
      </c>
      <c r="S284" s="197">
        <f>ROUNDDOWN(O284*0.51,)+60</f>
        <v/>
      </c>
      <c r="T284" s="207">
        <f>_xlfn.XLOOKUP(F284,[1]Fx!$A$4:$A$10,[1]Fx!$B$4:$B$10)</f>
        <v/>
      </c>
      <c r="U284" s="207">
        <f>_xlfn.XLOOKUP(F284,[1]Fx!$A$4:$A$10,[1]Fx!$C$4:$C$10)</f>
        <v/>
      </c>
      <c r="V284" s="207">
        <f>_xlfn.XLOOKUP(F284,[1]Fx!$A$4:$A$10,[1]Fx!$D$4:$D$10)</f>
        <v/>
      </c>
      <c r="W284" s="207">
        <f>$V$2</f>
        <v/>
      </c>
      <c r="X284" s="207">
        <f>_xlfn.XLOOKUP(F284,[1]Fx!$A$4:$A$10,[1]Fx!$E$4:$E$10)</f>
        <v/>
      </c>
      <c r="Y284" s="215">
        <f>T284*R284</f>
        <v/>
      </c>
      <c r="Z284" s="215">
        <f>U284*O284</f>
        <v/>
      </c>
      <c r="AA284" s="215">
        <f>V284*O284</f>
        <v/>
      </c>
      <c r="AB284" s="215">
        <f>W284*O284</f>
        <v/>
      </c>
      <c r="AC284" s="197">
        <f>X284*O284</f>
        <v/>
      </c>
      <c r="AD284" s="215" t="n">
        <v>0</v>
      </c>
      <c r="AE284" s="215" t="n">
        <v>0</v>
      </c>
      <c r="AF284" s="207">
        <f>SUM(Y284:AE284)</f>
        <v/>
      </c>
      <c r="AG284" s="254">
        <f>_xlfn.XLOOKUP(F284,[1]Fx!$A$16:$A$22,[1]Fx!$B$16:$B$22)</f>
        <v/>
      </c>
      <c r="AH284" s="207">
        <f>AG284*R284</f>
        <v/>
      </c>
      <c r="AI284" s="207">
        <f>$AH$3*Z284</f>
        <v/>
      </c>
      <c r="AJ284" s="207">
        <f>$AI$3*AA284</f>
        <v/>
      </c>
      <c r="AK284" s="207">
        <f>$AJ$3*AB284</f>
        <v/>
      </c>
      <c r="AL284" s="207">
        <f>$AK$3*AC284</f>
        <v/>
      </c>
      <c r="AM284" s="220">
        <f>SUM(AH284:AL284)</f>
        <v/>
      </c>
      <c r="AN284" s="220" t="n">
        <v>0</v>
      </c>
      <c r="AO284" s="220">
        <f>AN284*AH284</f>
        <v/>
      </c>
      <c r="AP284" s="220">
        <f>AD284</f>
        <v/>
      </c>
      <c r="AQ284" s="220">
        <f>AE284</f>
        <v/>
      </c>
      <c r="AR284" s="208">
        <f>AM284-AO284</f>
        <v/>
      </c>
      <c r="AS284" s="220">
        <f>AR284-AK284</f>
        <v/>
      </c>
      <c r="AT284" s="208">
        <f>AS284*1.075</f>
        <v/>
      </c>
      <c r="AU284" s="208">
        <f>AT284+AK284</f>
        <v/>
      </c>
      <c r="AV284" s="198" t="n">
        <v>88979.54286905425</v>
      </c>
      <c r="AW284" s="220" t="n"/>
      <c r="AX284" s="220">
        <f>AV284-AR284</f>
        <v/>
      </c>
      <c r="AY284" s="35">
        <f>AX284/AR284</f>
        <v/>
      </c>
      <c r="AZ284" s="220">
        <f>AV284-AF284</f>
        <v/>
      </c>
      <c r="BA284" s="215">
        <f>AV284-SUM(Z284:AC284)</f>
        <v/>
      </c>
      <c r="BB284" s="215">
        <f>BA284-Y284</f>
        <v/>
      </c>
      <c r="BC284" s="35">
        <f>BB284/BA284</f>
        <v/>
      </c>
      <c r="BD284" s="35">
        <f>IFERROR(AZ284/AV284,)</f>
        <v/>
      </c>
      <c r="BE284" s="255">
        <f>AV284-SUM(Z284:AC284)</f>
        <v/>
      </c>
      <c r="BF284" s="255">
        <f>AV284-BE284-AC284-AB284</f>
        <v/>
      </c>
      <c r="BG284" s="255">
        <f>AV284-BE284-BF284-AB284</f>
        <v/>
      </c>
      <c r="BH284" s="255">
        <f>AB284</f>
        <v/>
      </c>
      <c r="BI284" s="263" t="inlineStr">
        <is>
          <t>Approved</t>
        </is>
      </c>
    </row>
    <row r="285">
      <c r="C285" s="96" t="inlineStr">
        <is>
          <t>YEKENE</t>
        </is>
      </c>
      <c r="D285" s="49">
        <f>CONCATENATE(G285,"-",H285,"-",F285)</f>
        <v/>
      </c>
      <c r="E285" s="95" t="inlineStr">
        <is>
          <t>Jamara-3T-16CBM</t>
        </is>
      </c>
      <c r="F285" s="94" t="inlineStr">
        <is>
          <t>16CBM</t>
        </is>
      </c>
      <c r="G285" s="25" t="inlineStr">
        <is>
          <t>Closed Body Logistics</t>
        </is>
      </c>
      <c r="H285" s="97" t="inlineStr">
        <is>
          <t>3T</t>
        </is>
      </c>
      <c r="I285" s="102" t="inlineStr">
        <is>
          <t>Jamara</t>
        </is>
      </c>
      <c r="J285" s="103" t="inlineStr">
        <is>
          <t>Lagos</t>
        </is>
      </c>
      <c r="K285" s="109" t="inlineStr">
        <is>
          <t>Ilupeju-Gbagada-Apapa-Mushin-Okota-Fadeyi</t>
        </is>
      </c>
      <c r="L285" s="57" t="inlineStr">
        <is>
          <t>Lagos</t>
        </is>
      </c>
      <c r="M285" s="58" t="inlineStr">
        <is>
          <t>Apapa</t>
        </is>
      </c>
      <c r="N285" s="196" t="n">
        <v>27</v>
      </c>
      <c r="O285" s="194">
        <f>N285*2</f>
        <v/>
      </c>
      <c r="P285" s="215">
        <f>ROUNDUP(O285/300,)</f>
        <v/>
      </c>
      <c r="Q285" s="215" t="n">
        <v>0.2</v>
      </c>
      <c r="R285" s="215">
        <f>Q285+P285</f>
        <v/>
      </c>
      <c r="S285" s="197">
        <f>ROUNDDOWN(O285*0.51,)+60</f>
        <v/>
      </c>
      <c r="T285" s="207">
        <f>_xlfn.XLOOKUP(F285,[1]Fx!$A$4:$A$10,[1]Fx!$B$4:$B$10)</f>
        <v/>
      </c>
      <c r="U285" s="207">
        <f>_xlfn.XLOOKUP(F285,[1]Fx!$A$4:$A$10,[1]Fx!$C$4:$C$10)</f>
        <v/>
      </c>
      <c r="V285" s="207">
        <f>_xlfn.XLOOKUP(F285,[1]Fx!$A$4:$A$10,[1]Fx!$D$4:$D$10)</f>
        <v/>
      </c>
      <c r="W285" s="207">
        <f>$V$2</f>
        <v/>
      </c>
      <c r="X285" s="207">
        <f>_xlfn.XLOOKUP(F285,[1]Fx!$A$4:$A$10,[1]Fx!$E$4:$E$10)</f>
        <v/>
      </c>
      <c r="Y285" s="215">
        <f>T285*R285</f>
        <v/>
      </c>
      <c r="Z285" s="215">
        <f>U285*O285</f>
        <v/>
      </c>
      <c r="AA285" s="215">
        <f>V285*O285</f>
        <v/>
      </c>
      <c r="AB285" s="215">
        <f>W285*O285</f>
        <v/>
      </c>
      <c r="AC285" s="197">
        <f>X285*O285</f>
        <v/>
      </c>
      <c r="AD285" s="215" t="n">
        <v>0</v>
      </c>
      <c r="AE285" s="215" t="n">
        <v>0</v>
      </c>
      <c r="AF285" s="207">
        <f>SUM(Y285:AE285)</f>
        <v/>
      </c>
      <c r="AG285" s="254">
        <f>_xlfn.XLOOKUP(F285,[1]Fx!$A$16:$A$22,[1]Fx!$B$16:$B$22)</f>
        <v/>
      </c>
      <c r="AH285" s="207">
        <f>AG285*R285</f>
        <v/>
      </c>
      <c r="AI285" s="207">
        <f>$AH$3*Z285</f>
        <v/>
      </c>
      <c r="AJ285" s="207">
        <f>$AI$3*AA285</f>
        <v/>
      </c>
      <c r="AK285" s="207">
        <f>$AJ$3*AB285</f>
        <v/>
      </c>
      <c r="AL285" s="207">
        <f>$AK$3*AC285</f>
        <v/>
      </c>
      <c r="AM285" s="220">
        <f>SUM(AH285:AL285)</f>
        <v/>
      </c>
      <c r="AN285" s="220" t="n">
        <v>0</v>
      </c>
      <c r="AO285" s="220">
        <f>AN285*AH285</f>
        <v/>
      </c>
      <c r="AP285" s="220">
        <f>AD285</f>
        <v/>
      </c>
      <c r="AQ285" s="220">
        <f>AE285</f>
        <v/>
      </c>
      <c r="AR285" s="208">
        <f>AM285-AO285</f>
        <v/>
      </c>
      <c r="AS285" s="220">
        <f>AR285-AK285</f>
        <v/>
      </c>
      <c r="AT285" s="208">
        <f>AS285*1.075</f>
        <v/>
      </c>
      <c r="AU285" s="208">
        <f>AT285+AK285</f>
        <v/>
      </c>
      <c r="AV285" s="198" t="n">
        <v>88979.54286905425</v>
      </c>
      <c r="AW285" s="220" t="n"/>
      <c r="AX285" s="220">
        <f>AV285-AR285</f>
        <v/>
      </c>
      <c r="AY285" s="35">
        <f>AX285/AR285</f>
        <v/>
      </c>
      <c r="AZ285" s="220">
        <f>AV285-AF285</f>
        <v/>
      </c>
      <c r="BA285" s="215">
        <f>AV285-SUM(Z285:AC285)</f>
        <v/>
      </c>
      <c r="BB285" s="215">
        <f>BA285-Y285</f>
        <v/>
      </c>
      <c r="BC285" s="35">
        <f>BB285/BA285</f>
        <v/>
      </c>
      <c r="BD285" s="35">
        <f>IFERROR(AZ285/AV285,)</f>
        <v/>
      </c>
      <c r="BE285" s="255">
        <f>AV285-SUM(Z285:AC285)</f>
        <v/>
      </c>
      <c r="BF285" s="255">
        <f>AV285-BE285-AC285-AB285</f>
        <v/>
      </c>
      <c r="BG285" s="255">
        <f>AV285-BE285-BF285-AB285</f>
        <v/>
      </c>
      <c r="BH285" s="255">
        <f>AB285</f>
        <v/>
      </c>
      <c r="BI285" s="263" t="inlineStr">
        <is>
          <t>Worst Case Approved</t>
        </is>
      </c>
    </row>
    <row r="286">
      <c r="C286" s="96" t="inlineStr">
        <is>
          <t>YEKENE</t>
        </is>
      </c>
      <c r="D286" s="49">
        <f>CONCATENATE(G286,"-",H286,"-",F286)</f>
        <v/>
      </c>
      <c r="E286" s="95" t="inlineStr">
        <is>
          <t>Jamara-3T-16CBM</t>
        </is>
      </c>
      <c r="F286" s="94" t="inlineStr">
        <is>
          <t>16CBM</t>
        </is>
      </c>
      <c r="G286" s="25" t="inlineStr">
        <is>
          <t>Closed Body Logistics</t>
        </is>
      </c>
      <c r="H286" s="97" t="inlineStr">
        <is>
          <t>3T</t>
        </is>
      </c>
      <c r="I286" s="102" t="inlineStr">
        <is>
          <t>Jamara</t>
        </is>
      </c>
      <c r="J286" s="103" t="inlineStr">
        <is>
          <t>Lagos</t>
        </is>
      </c>
      <c r="K286" s="109" t="inlineStr">
        <is>
          <t>Ilupeju-Gbagada-Apapa-Mushin-Okota-Fadeyi</t>
        </is>
      </c>
      <c r="L286" s="57" t="inlineStr">
        <is>
          <t>Lagos</t>
        </is>
      </c>
      <c r="M286" s="58" t="inlineStr">
        <is>
          <t>Matori</t>
        </is>
      </c>
      <c r="N286" s="196" t="n">
        <v>8</v>
      </c>
      <c r="O286" s="194">
        <f>N286*2</f>
        <v/>
      </c>
      <c r="P286" s="215">
        <f>ROUNDUP(O286/300,)</f>
        <v/>
      </c>
      <c r="Q286" s="215" t="n">
        <v>0.2</v>
      </c>
      <c r="R286" s="215">
        <f>Q286+P286</f>
        <v/>
      </c>
      <c r="S286" s="197">
        <f>ROUNDDOWN(O286*0.51,)+60</f>
        <v/>
      </c>
      <c r="T286" s="207">
        <f>_xlfn.XLOOKUP(F286,[1]Fx!$A$4:$A$10,[1]Fx!$B$4:$B$10)</f>
        <v/>
      </c>
      <c r="U286" s="207">
        <f>_xlfn.XLOOKUP(F286,[1]Fx!$A$4:$A$10,[1]Fx!$C$4:$C$10)</f>
        <v/>
      </c>
      <c r="V286" s="207">
        <f>_xlfn.XLOOKUP(F286,[1]Fx!$A$4:$A$10,[1]Fx!$D$4:$D$10)</f>
        <v/>
      </c>
      <c r="W286" s="207">
        <f>$V$2</f>
        <v/>
      </c>
      <c r="X286" s="207">
        <f>_xlfn.XLOOKUP(F286,[1]Fx!$A$4:$A$10,[1]Fx!$E$4:$E$10)</f>
        <v/>
      </c>
      <c r="Y286" s="215">
        <f>T286*R286</f>
        <v/>
      </c>
      <c r="Z286" s="215">
        <f>U286*O286</f>
        <v/>
      </c>
      <c r="AA286" s="215">
        <f>V286*O286</f>
        <v/>
      </c>
      <c r="AB286" s="215">
        <f>W286*O286</f>
        <v/>
      </c>
      <c r="AC286" s="197">
        <f>X286*O286</f>
        <v/>
      </c>
      <c r="AD286" s="215" t="n">
        <v>0</v>
      </c>
      <c r="AE286" s="215" t="n">
        <v>0</v>
      </c>
      <c r="AF286" s="207">
        <f>SUM(Y286:AE286)</f>
        <v/>
      </c>
      <c r="AG286" s="254">
        <f>_xlfn.XLOOKUP(F286,[1]Fx!$A$16:$A$22,[1]Fx!$B$16:$B$22)</f>
        <v/>
      </c>
      <c r="AH286" s="207">
        <f>AG286*R286</f>
        <v/>
      </c>
      <c r="AI286" s="207">
        <f>$AH$3*Z286</f>
        <v/>
      </c>
      <c r="AJ286" s="207">
        <f>$AI$3*AA286</f>
        <v/>
      </c>
      <c r="AK286" s="207">
        <f>$AJ$3*AB286</f>
        <v/>
      </c>
      <c r="AL286" s="207">
        <f>$AK$3*AC286</f>
        <v/>
      </c>
      <c r="AM286" s="220">
        <f>SUM(AH286:AL286)</f>
        <v/>
      </c>
      <c r="AN286" s="220" t="n">
        <v>0</v>
      </c>
      <c r="AO286" s="220">
        <f>AN286*AH286</f>
        <v/>
      </c>
      <c r="AP286" s="220">
        <f>AD286</f>
        <v/>
      </c>
      <c r="AQ286" s="220">
        <f>AE286</f>
        <v/>
      </c>
      <c r="AR286" s="208">
        <f>AM286-AO286</f>
        <v/>
      </c>
      <c r="AS286" s="220">
        <f>AR286-AK286</f>
        <v/>
      </c>
      <c r="AT286" s="208">
        <f>AS286*1.075</f>
        <v/>
      </c>
      <c r="AU286" s="208">
        <f>AT286+AK286</f>
        <v/>
      </c>
      <c r="AV286" s="198" t="n">
        <v>88979.54286905425</v>
      </c>
      <c r="AW286" s="220" t="n"/>
      <c r="AX286" s="220">
        <f>AV286-AR286</f>
        <v/>
      </c>
      <c r="AY286" s="35">
        <f>AX286/AR286</f>
        <v/>
      </c>
      <c r="AZ286" s="220">
        <f>AV286-AF286</f>
        <v/>
      </c>
      <c r="BA286" s="215">
        <f>AV286-SUM(Z286:AC286)</f>
        <v/>
      </c>
      <c r="BB286" s="215">
        <f>BA286-Y286</f>
        <v/>
      </c>
      <c r="BC286" s="35">
        <f>BB286/BA286</f>
        <v/>
      </c>
      <c r="BD286" s="35">
        <f>IFERROR(AZ286/AV286,)</f>
        <v/>
      </c>
      <c r="BE286" s="255">
        <f>AV286-SUM(Z286:AC286)</f>
        <v/>
      </c>
      <c r="BF286" s="255">
        <f>AV286-BE286-AC286-AB286</f>
        <v/>
      </c>
      <c r="BG286" s="255">
        <f>AV286-BE286-BF286-AB286</f>
        <v/>
      </c>
      <c r="BH286" s="255">
        <f>AB286</f>
        <v/>
      </c>
      <c r="BI286" s="263" t="inlineStr">
        <is>
          <t>Approved</t>
        </is>
      </c>
    </row>
    <row r="287">
      <c r="C287" s="96" t="inlineStr">
        <is>
          <t>YEKENE</t>
        </is>
      </c>
      <c r="D287" s="49">
        <f>CONCATENATE(G287,"-",H287,"-",F287)</f>
        <v/>
      </c>
      <c r="E287" s="95" t="inlineStr">
        <is>
          <t>Jamara-3T-16CBM</t>
        </is>
      </c>
      <c r="F287" s="94" t="inlineStr">
        <is>
          <t>16CBM</t>
        </is>
      </c>
      <c r="G287" s="25" t="inlineStr">
        <is>
          <t>Closed Body Logistics</t>
        </is>
      </c>
      <c r="H287" s="97" t="inlineStr">
        <is>
          <t>3T</t>
        </is>
      </c>
      <c r="I287" s="102" t="inlineStr">
        <is>
          <t>Jamara</t>
        </is>
      </c>
      <c r="J287" s="103" t="inlineStr">
        <is>
          <t>Lagos</t>
        </is>
      </c>
      <c r="K287" s="109" t="inlineStr">
        <is>
          <t>Ilupeju-Gbagada-Apapa-Mushin-Okota-Fadeyi</t>
        </is>
      </c>
      <c r="L287" s="57" t="inlineStr">
        <is>
          <t>Lagos</t>
        </is>
      </c>
      <c r="M287" s="58" t="inlineStr">
        <is>
          <t>Gbagada</t>
        </is>
      </c>
      <c r="N287" s="196" t="n">
        <v>8</v>
      </c>
      <c r="O287" s="194">
        <f>N287*2</f>
        <v/>
      </c>
      <c r="P287" s="215">
        <f>ROUNDUP(O287/300,)</f>
        <v/>
      </c>
      <c r="Q287" s="215" t="n">
        <v>0.2</v>
      </c>
      <c r="R287" s="215">
        <f>Q287+P287</f>
        <v/>
      </c>
      <c r="S287" s="197">
        <f>ROUNDDOWN(O287*0.51,)+60</f>
        <v/>
      </c>
      <c r="T287" s="207">
        <f>_xlfn.XLOOKUP(F287,[1]Fx!$A$4:$A$10,[1]Fx!$B$4:$B$10)</f>
        <v/>
      </c>
      <c r="U287" s="207">
        <f>_xlfn.XLOOKUP(F287,[1]Fx!$A$4:$A$10,[1]Fx!$C$4:$C$10)</f>
        <v/>
      </c>
      <c r="V287" s="207">
        <f>_xlfn.XLOOKUP(F287,[1]Fx!$A$4:$A$10,[1]Fx!$D$4:$D$10)</f>
        <v/>
      </c>
      <c r="W287" s="207">
        <f>$V$2</f>
        <v/>
      </c>
      <c r="X287" s="207">
        <f>_xlfn.XLOOKUP(F287,[1]Fx!$A$4:$A$10,[1]Fx!$E$4:$E$10)</f>
        <v/>
      </c>
      <c r="Y287" s="215">
        <f>T287*R287</f>
        <v/>
      </c>
      <c r="Z287" s="215">
        <f>U287*O287</f>
        <v/>
      </c>
      <c r="AA287" s="215">
        <f>V287*O287</f>
        <v/>
      </c>
      <c r="AB287" s="215">
        <f>W287*O287</f>
        <v/>
      </c>
      <c r="AC287" s="197">
        <f>X287*O287</f>
        <v/>
      </c>
      <c r="AD287" s="215" t="n">
        <v>0</v>
      </c>
      <c r="AE287" s="215" t="n">
        <v>0</v>
      </c>
      <c r="AF287" s="207">
        <f>SUM(Y287:AE287)</f>
        <v/>
      </c>
      <c r="AG287" s="254">
        <f>_xlfn.XLOOKUP(F287,[1]Fx!$A$16:$A$22,[1]Fx!$B$16:$B$22)</f>
        <v/>
      </c>
      <c r="AH287" s="207">
        <f>AG287*R287</f>
        <v/>
      </c>
      <c r="AI287" s="207">
        <f>$AH$3*Z287</f>
        <v/>
      </c>
      <c r="AJ287" s="207">
        <f>$AI$3*AA287</f>
        <v/>
      </c>
      <c r="AK287" s="207">
        <f>$AJ$3*AB287</f>
        <v/>
      </c>
      <c r="AL287" s="207">
        <f>$AK$3*AC287</f>
        <v/>
      </c>
      <c r="AM287" s="220">
        <f>SUM(AH287:AL287)</f>
        <v/>
      </c>
      <c r="AN287" s="220" t="n">
        <v>0</v>
      </c>
      <c r="AO287" s="220">
        <f>AN287*AH287</f>
        <v/>
      </c>
      <c r="AP287" s="220">
        <f>AD287</f>
        <v/>
      </c>
      <c r="AQ287" s="220">
        <f>AE287</f>
        <v/>
      </c>
      <c r="AR287" s="208">
        <f>AM287-AO287</f>
        <v/>
      </c>
      <c r="AS287" s="220">
        <f>AR287-AK287</f>
        <v/>
      </c>
      <c r="AT287" s="208">
        <f>AS287*1.075</f>
        <v/>
      </c>
      <c r="AU287" s="208">
        <f>AT287+AK287</f>
        <v/>
      </c>
      <c r="AV287" s="198" t="n">
        <v>88979.54286905425</v>
      </c>
      <c r="AW287" s="220" t="n"/>
      <c r="AX287" s="220">
        <f>AV287-AR287</f>
        <v/>
      </c>
      <c r="AY287" s="35">
        <f>AX287/AR287</f>
        <v/>
      </c>
      <c r="AZ287" s="220">
        <f>AV287-AF287</f>
        <v/>
      </c>
      <c r="BA287" s="215">
        <f>AV287-SUM(Z287:AC287)</f>
        <v/>
      </c>
      <c r="BB287" s="215">
        <f>BA287-Y287</f>
        <v/>
      </c>
      <c r="BC287" s="35">
        <f>BB287/BA287</f>
        <v/>
      </c>
      <c r="BD287" s="35">
        <f>IFERROR(AZ287/AV287,)</f>
        <v/>
      </c>
      <c r="BE287" s="255">
        <f>AV287-SUM(Z287:AC287)</f>
        <v/>
      </c>
      <c r="BF287" s="255">
        <f>AV287-BE287-AC287-AB287</f>
        <v/>
      </c>
      <c r="BG287" s="255">
        <f>AV287-BE287-BF287-AB287</f>
        <v/>
      </c>
      <c r="BH287" s="255">
        <f>AB287</f>
        <v/>
      </c>
      <c r="BI287" s="263" t="inlineStr">
        <is>
          <t>Approved</t>
        </is>
      </c>
    </row>
    <row r="288">
      <c r="C288" s="96" t="inlineStr">
        <is>
          <t>YEKENE</t>
        </is>
      </c>
      <c r="D288" s="49">
        <f>CONCATENATE(G288,"-",H288,"-",F288)</f>
        <v/>
      </c>
      <c r="E288" s="95" t="inlineStr">
        <is>
          <t>Jamara-3T-16CBM</t>
        </is>
      </c>
      <c r="F288" s="94" t="inlineStr">
        <is>
          <t>16CBM</t>
        </is>
      </c>
      <c r="G288" s="25" t="inlineStr">
        <is>
          <t>Closed Body Logistics</t>
        </is>
      </c>
      <c r="H288" s="97" t="inlineStr">
        <is>
          <t>3T</t>
        </is>
      </c>
      <c r="I288" s="102" t="inlineStr">
        <is>
          <t>Jamara</t>
        </is>
      </c>
      <c r="J288" s="103" t="inlineStr">
        <is>
          <t>Lagos</t>
        </is>
      </c>
      <c r="K288" s="109" t="inlineStr">
        <is>
          <t>Ilupeju-Gbagada-Apapa-Mushin-Okota-Fadeyi</t>
        </is>
      </c>
      <c r="L288" s="57" t="inlineStr">
        <is>
          <t>Lagos</t>
        </is>
      </c>
      <c r="M288" s="58" t="inlineStr">
        <is>
          <t>Ilupeju</t>
        </is>
      </c>
      <c r="N288" s="196" t="n">
        <v>8</v>
      </c>
      <c r="O288" s="194">
        <f>N288*2</f>
        <v/>
      </c>
      <c r="P288" s="215">
        <f>ROUNDUP(O288/300,)</f>
        <v/>
      </c>
      <c r="Q288" s="215" t="n">
        <v>0.2</v>
      </c>
      <c r="R288" s="215">
        <f>Q288+P288</f>
        <v/>
      </c>
      <c r="S288" s="197">
        <f>ROUNDDOWN(O288*0.51,)+60</f>
        <v/>
      </c>
      <c r="T288" s="207">
        <f>_xlfn.XLOOKUP(F288,[1]Fx!$A$4:$A$10,[1]Fx!$B$4:$B$10)</f>
        <v/>
      </c>
      <c r="U288" s="207">
        <f>_xlfn.XLOOKUP(F288,[1]Fx!$A$4:$A$10,[1]Fx!$C$4:$C$10)</f>
        <v/>
      </c>
      <c r="V288" s="207">
        <f>_xlfn.XLOOKUP(F288,[1]Fx!$A$4:$A$10,[1]Fx!$D$4:$D$10)</f>
        <v/>
      </c>
      <c r="W288" s="207">
        <f>$V$2</f>
        <v/>
      </c>
      <c r="X288" s="207">
        <f>_xlfn.XLOOKUP(F288,[1]Fx!$A$4:$A$10,[1]Fx!$E$4:$E$10)</f>
        <v/>
      </c>
      <c r="Y288" s="215">
        <f>T288*R288</f>
        <v/>
      </c>
      <c r="Z288" s="215">
        <f>U288*O288</f>
        <v/>
      </c>
      <c r="AA288" s="215">
        <f>V288*O288</f>
        <v/>
      </c>
      <c r="AB288" s="215">
        <f>W288*O288</f>
        <v/>
      </c>
      <c r="AC288" s="197">
        <f>X288*O288</f>
        <v/>
      </c>
      <c r="AD288" s="215" t="n">
        <v>0</v>
      </c>
      <c r="AE288" s="215" t="n">
        <v>0</v>
      </c>
      <c r="AF288" s="207">
        <f>SUM(Y288:AE288)</f>
        <v/>
      </c>
      <c r="AG288" s="254">
        <f>_xlfn.XLOOKUP(F288,[1]Fx!$A$16:$A$22,[1]Fx!$B$16:$B$22)</f>
        <v/>
      </c>
      <c r="AH288" s="207">
        <f>AG288*R288</f>
        <v/>
      </c>
      <c r="AI288" s="207">
        <f>$AH$3*Z288</f>
        <v/>
      </c>
      <c r="AJ288" s="207">
        <f>$AI$3*AA288</f>
        <v/>
      </c>
      <c r="AK288" s="207">
        <f>$AJ$3*AB288</f>
        <v/>
      </c>
      <c r="AL288" s="207">
        <f>$AK$3*AC288</f>
        <v/>
      </c>
      <c r="AM288" s="220">
        <f>SUM(AH288:AL288)</f>
        <v/>
      </c>
      <c r="AN288" s="220" t="n">
        <v>0</v>
      </c>
      <c r="AO288" s="220">
        <f>AN288*AH288</f>
        <v/>
      </c>
      <c r="AP288" s="220">
        <f>AD288</f>
        <v/>
      </c>
      <c r="AQ288" s="220">
        <f>AE288</f>
        <v/>
      </c>
      <c r="AR288" s="208">
        <f>AM288-AO288</f>
        <v/>
      </c>
      <c r="AS288" s="220">
        <f>AR288-AK288</f>
        <v/>
      </c>
      <c r="AT288" s="208">
        <f>AS288*1.075</f>
        <v/>
      </c>
      <c r="AU288" s="208">
        <f>AT288+AK288</f>
        <v/>
      </c>
      <c r="AV288" s="198" t="n">
        <v>88979.54286905425</v>
      </c>
      <c r="AW288" s="220" t="n"/>
      <c r="AX288" s="220">
        <f>AV288-AR288</f>
        <v/>
      </c>
      <c r="AY288" s="35">
        <f>AX288/AR288</f>
        <v/>
      </c>
      <c r="AZ288" s="220">
        <f>AV288-AF288</f>
        <v/>
      </c>
      <c r="BA288" s="215">
        <f>AV288-SUM(Z288:AC288)</f>
        <v/>
      </c>
      <c r="BB288" s="215">
        <f>BA288-Y288</f>
        <v/>
      </c>
      <c r="BC288" s="35">
        <f>BB288/BA288</f>
        <v/>
      </c>
      <c r="BD288" s="35">
        <f>IFERROR(AZ288/AV288,)</f>
        <v/>
      </c>
      <c r="BE288" s="255">
        <f>AV288-SUM(Z288:AC288)</f>
        <v/>
      </c>
      <c r="BF288" s="255">
        <f>AV288-BE288-AC288-AB288</f>
        <v/>
      </c>
      <c r="BG288" s="255">
        <f>AV288-BE288-BF288-AB288</f>
        <v/>
      </c>
      <c r="BH288" s="255">
        <f>AB288</f>
        <v/>
      </c>
      <c r="BI288" s="263" t="inlineStr">
        <is>
          <t>Worst Case Approved</t>
        </is>
      </c>
    </row>
    <row r="289">
      <c r="C289" s="96" t="inlineStr">
        <is>
          <t>YEKENE</t>
        </is>
      </c>
      <c r="D289" s="49">
        <f>CONCATENATE(G289,"-",H289,"-",F289)</f>
        <v/>
      </c>
      <c r="E289" s="95" t="inlineStr">
        <is>
          <t>Jamara-3T-16CBM</t>
        </is>
      </c>
      <c r="F289" s="94" t="inlineStr">
        <is>
          <t>16CBM</t>
        </is>
      </c>
      <c r="G289" s="25" t="inlineStr">
        <is>
          <t>Closed Body Logistics</t>
        </is>
      </c>
      <c r="H289" s="97" t="inlineStr">
        <is>
          <t>3T</t>
        </is>
      </c>
      <c r="I289" s="102" t="inlineStr">
        <is>
          <t>Jamara</t>
        </is>
      </c>
      <c r="J289" s="103" t="inlineStr">
        <is>
          <t>Lagos</t>
        </is>
      </c>
      <c r="K289" s="108" t="inlineStr">
        <is>
          <t>Ketu-Ikorodu</t>
        </is>
      </c>
      <c r="L289" s="57" t="inlineStr">
        <is>
          <t>Lagos</t>
        </is>
      </c>
      <c r="M289" s="58" t="inlineStr">
        <is>
          <t>Ikorodu</t>
        </is>
      </c>
      <c r="N289" s="196" t="n">
        <v>35</v>
      </c>
      <c r="O289" s="194">
        <f>N289*2</f>
        <v/>
      </c>
      <c r="P289" s="215">
        <f>ROUNDUP(O289/300,)</f>
        <v/>
      </c>
      <c r="Q289" s="215" t="n">
        <v>0.2</v>
      </c>
      <c r="R289" s="215">
        <f>Q289+P289</f>
        <v/>
      </c>
      <c r="S289" s="197">
        <f>ROUNDDOWN(O289*0.51,)+60</f>
        <v/>
      </c>
      <c r="T289" s="207">
        <f>_xlfn.XLOOKUP(F289,[1]Fx!$A$4:$A$10,[1]Fx!$B$4:$B$10)</f>
        <v/>
      </c>
      <c r="U289" s="207">
        <f>_xlfn.XLOOKUP(F289,[1]Fx!$A$4:$A$10,[1]Fx!$C$4:$C$10)</f>
        <v/>
      </c>
      <c r="V289" s="207">
        <f>_xlfn.XLOOKUP(F289,[1]Fx!$A$4:$A$10,[1]Fx!$D$4:$D$10)</f>
        <v/>
      </c>
      <c r="W289" s="207">
        <f>$V$2</f>
        <v/>
      </c>
      <c r="X289" s="207">
        <f>_xlfn.XLOOKUP(F289,[1]Fx!$A$4:$A$10,[1]Fx!$E$4:$E$10)</f>
        <v/>
      </c>
      <c r="Y289" s="215">
        <f>T289*R289</f>
        <v/>
      </c>
      <c r="Z289" s="215">
        <f>U289*O289</f>
        <v/>
      </c>
      <c r="AA289" s="215">
        <f>V289*O289</f>
        <v/>
      </c>
      <c r="AB289" s="215">
        <f>W289*O289</f>
        <v/>
      </c>
      <c r="AC289" s="197">
        <f>X289*O289</f>
        <v/>
      </c>
      <c r="AD289" s="215" t="n">
        <v>0</v>
      </c>
      <c r="AE289" s="215" t="n">
        <v>0</v>
      </c>
      <c r="AF289" s="207">
        <f>SUM(Y289:AE289)</f>
        <v/>
      </c>
      <c r="AG289" s="254">
        <f>_xlfn.XLOOKUP(F289,[1]Fx!$A$16:$A$22,[1]Fx!$B$16:$B$22)</f>
        <v/>
      </c>
      <c r="AH289" s="207">
        <f>AG289*R289</f>
        <v/>
      </c>
      <c r="AI289" s="207">
        <f>$AH$3*Z289</f>
        <v/>
      </c>
      <c r="AJ289" s="207">
        <f>$AI$3*AA289</f>
        <v/>
      </c>
      <c r="AK289" s="207">
        <f>$AJ$3*AB289</f>
        <v/>
      </c>
      <c r="AL289" s="207">
        <f>$AK$3*AC289</f>
        <v/>
      </c>
      <c r="AM289" s="220">
        <f>SUM(AH289:AL289)</f>
        <v/>
      </c>
      <c r="AN289" s="35" t="n">
        <v>0.1</v>
      </c>
      <c r="AO289" s="220">
        <f>AN289*AH289</f>
        <v/>
      </c>
      <c r="AP289" s="220">
        <f>AD289</f>
        <v/>
      </c>
      <c r="AQ289" s="220">
        <f>AE289</f>
        <v/>
      </c>
      <c r="AR289" s="208">
        <f>AM289-AO289</f>
        <v/>
      </c>
      <c r="AS289" s="220">
        <f>AR289-AK289</f>
        <v/>
      </c>
      <c r="AT289" s="208">
        <f>AS289*1.075</f>
        <v/>
      </c>
      <c r="AU289" s="208">
        <f>AT289+AK289</f>
        <v/>
      </c>
      <c r="AV289" s="198" t="n">
        <v>80081.58858214882</v>
      </c>
      <c r="AW289" s="220" t="n">
        <v>145000</v>
      </c>
      <c r="AX289" s="220">
        <f>AV289-AR289</f>
        <v/>
      </c>
      <c r="AY289" s="35">
        <f>AX289/AR289</f>
        <v/>
      </c>
      <c r="AZ289" s="220">
        <f>AV289-AF289</f>
        <v/>
      </c>
      <c r="BA289" s="215">
        <f>AV289-SUM(Z289:AC289)</f>
        <v/>
      </c>
      <c r="BB289" s="215">
        <f>BA289-Y289</f>
        <v/>
      </c>
      <c r="BC289" s="35">
        <f>BB289/BA289</f>
        <v/>
      </c>
      <c r="BD289" s="35">
        <f>IFERROR(AZ289/AV289,)</f>
        <v/>
      </c>
      <c r="BE289" s="255">
        <f>AV289-SUM(Z289:AC289)</f>
        <v/>
      </c>
      <c r="BF289" s="255">
        <f>AV289-BE289-AC289-AB289</f>
        <v/>
      </c>
      <c r="BG289" s="255">
        <f>AV289-BE289-BF289-AB289</f>
        <v/>
      </c>
      <c r="BH289" s="255">
        <f>AB289</f>
        <v/>
      </c>
      <c r="BI289" s="263" t="inlineStr">
        <is>
          <t>Worst Case Approved</t>
        </is>
      </c>
    </row>
    <row r="290">
      <c r="C290" s="96" t="inlineStr">
        <is>
          <t>YEKENE</t>
        </is>
      </c>
      <c r="D290" s="49">
        <f>CONCATENATE(G290,"-",H290,"-",F290)</f>
        <v/>
      </c>
      <c r="E290" s="95" t="inlineStr">
        <is>
          <t>Jamara-3T-16CBM</t>
        </is>
      </c>
      <c r="F290" s="94" t="inlineStr">
        <is>
          <t>16CBM</t>
        </is>
      </c>
      <c r="G290" s="25" t="inlineStr">
        <is>
          <t>Closed Body Logistics</t>
        </is>
      </c>
      <c r="H290" s="97" t="inlineStr">
        <is>
          <t>3T</t>
        </is>
      </c>
      <c r="I290" s="102" t="inlineStr">
        <is>
          <t>Jamara</t>
        </is>
      </c>
      <c r="J290" s="103" t="inlineStr">
        <is>
          <t>Lagos</t>
        </is>
      </c>
      <c r="K290" s="108" t="inlineStr">
        <is>
          <t>Ketu-Ikorodu</t>
        </is>
      </c>
      <c r="L290" s="57" t="inlineStr">
        <is>
          <t>Lagos</t>
        </is>
      </c>
      <c r="M290" s="58" t="inlineStr">
        <is>
          <t>Ketu</t>
        </is>
      </c>
      <c r="N290" s="196" t="n">
        <v>10</v>
      </c>
      <c r="O290" s="194">
        <f>N290*2</f>
        <v/>
      </c>
      <c r="P290" s="215">
        <f>ROUNDUP(O290/300,)</f>
        <v/>
      </c>
      <c r="Q290" s="215" t="n">
        <v>0.2</v>
      </c>
      <c r="R290" s="215">
        <f>Q290+P290</f>
        <v/>
      </c>
      <c r="S290" s="197">
        <f>ROUNDDOWN(O290*0.51,)+60</f>
        <v/>
      </c>
      <c r="T290" s="207">
        <f>_xlfn.XLOOKUP(F290,[1]Fx!$A$4:$A$10,[1]Fx!$B$4:$B$10)</f>
        <v/>
      </c>
      <c r="U290" s="207">
        <f>_xlfn.XLOOKUP(F290,[1]Fx!$A$4:$A$10,[1]Fx!$C$4:$C$10)</f>
        <v/>
      </c>
      <c r="V290" s="207">
        <f>_xlfn.XLOOKUP(F290,[1]Fx!$A$4:$A$10,[1]Fx!$D$4:$D$10)</f>
        <v/>
      </c>
      <c r="W290" s="207">
        <f>$V$2</f>
        <v/>
      </c>
      <c r="X290" s="207">
        <f>_xlfn.XLOOKUP(F290,[1]Fx!$A$4:$A$10,[1]Fx!$E$4:$E$10)</f>
        <v/>
      </c>
      <c r="Y290" s="215">
        <f>T290*R290</f>
        <v/>
      </c>
      <c r="Z290" s="215">
        <f>U290*O290</f>
        <v/>
      </c>
      <c r="AA290" s="215">
        <f>V290*O290</f>
        <v/>
      </c>
      <c r="AB290" s="215">
        <f>W290*O290</f>
        <v/>
      </c>
      <c r="AC290" s="197">
        <f>X290*O290</f>
        <v/>
      </c>
      <c r="AD290" s="215" t="n">
        <v>0</v>
      </c>
      <c r="AE290" s="215" t="n">
        <v>0</v>
      </c>
      <c r="AF290" s="207">
        <f>SUM(Y290:AE290)</f>
        <v/>
      </c>
      <c r="AG290" s="254">
        <f>_xlfn.XLOOKUP(F290,[1]Fx!$A$16:$A$22,[1]Fx!$B$16:$B$22)</f>
        <v/>
      </c>
      <c r="AH290" s="207">
        <f>AG290*R290</f>
        <v/>
      </c>
      <c r="AI290" s="207">
        <f>$AH$3*Z290</f>
        <v/>
      </c>
      <c r="AJ290" s="207">
        <f>$AI$3*AA290</f>
        <v/>
      </c>
      <c r="AK290" s="207">
        <f>$AJ$3*AB290</f>
        <v/>
      </c>
      <c r="AL290" s="207">
        <f>$AK$3*AC290</f>
        <v/>
      </c>
      <c r="AM290" s="220">
        <f>SUM(AH290:AL290)</f>
        <v/>
      </c>
      <c r="AN290" s="35" t="n">
        <v>0</v>
      </c>
      <c r="AO290" s="220">
        <f>AN290*AH290</f>
        <v/>
      </c>
      <c r="AP290" s="220">
        <f>AD290</f>
        <v/>
      </c>
      <c r="AQ290" s="220">
        <f>AE290</f>
        <v/>
      </c>
      <c r="AR290" s="208">
        <f>AM290-AO290</f>
        <v/>
      </c>
      <c r="AS290" s="220">
        <f>AR290-AK290</f>
        <v/>
      </c>
      <c r="AT290" s="208">
        <f>AS290*1.075</f>
        <v/>
      </c>
      <c r="AU290" s="208">
        <f>AT290+AK290</f>
        <v/>
      </c>
      <c r="AV290" s="198" t="n">
        <v>88979.54286905425</v>
      </c>
      <c r="AW290" s="220" t="n">
        <v>145000</v>
      </c>
      <c r="AX290" s="220">
        <f>AV290-AR290</f>
        <v/>
      </c>
      <c r="AY290" s="35">
        <f>AX290/AR290</f>
        <v/>
      </c>
      <c r="AZ290" s="220">
        <f>AV290-AF290</f>
        <v/>
      </c>
      <c r="BA290" s="215">
        <f>AV290-SUM(Z290:AC290)</f>
        <v/>
      </c>
      <c r="BB290" s="215">
        <f>BA290-Y290</f>
        <v/>
      </c>
      <c r="BC290" s="35">
        <f>BB290/BA290</f>
        <v/>
      </c>
      <c r="BD290" s="35">
        <f>IFERROR(AZ290/AV290,)</f>
        <v/>
      </c>
      <c r="BE290" s="255">
        <f>AV290-SUM(Z290:AC290)</f>
        <v/>
      </c>
      <c r="BF290" s="255">
        <f>AV290-BE290-AC290-AB290</f>
        <v/>
      </c>
      <c r="BG290" s="255">
        <f>AV290-BE290-BF290-AB290</f>
        <v/>
      </c>
      <c r="BH290" s="255">
        <f>AB290</f>
        <v/>
      </c>
      <c r="BI290" s="263" t="inlineStr">
        <is>
          <t>Worst Case Approved</t>
        </is>
      </c>
    </row>
    <row r="291">
      <c r="C291" s="96" t="inlineStr">
        <is>
          <t>YEKENE</t>
        </is>
      </c>
      <c r="D291" s="49">
        <f>CONCATENATE(G291,"-",H291,"-",F291)</f>
        <v/>
      </c>
      <c r="E291" s="95" t="inlineStr">
        <is>
          <t>Jamara-3T-16CBM</t>
        </is>
      </c>
      <c r="F291" s="94" t="inlineStr">
        <is>
          <t>16CBM</t>
        </is>
      </c>
      <c r="G291" s="25" t="inlineStr">
        <is>
          <t>Closed Body Logistics</t>
        </is>
      </c>
      <c r="H291" s="97" t="inlineStr">
        <is>
          <t>3T</t>
        </is>
      </c>
      <c r="I291" s="102" t="inlineStr">
        <is>
          <t>Jamara</t>
        </is>
      </c>
      <c r="J291" s="103" t="inlineStr">
        <is>
          <t>Lagos</t>
        </is>
      </c>
      <c r="K291" s="107" t="inlineStr">
        <is>
          <t>Lagos Island-Marina</t>
        </is>
      </c>
      <c r="L291" s="57" t="inlineStr">
        <is>
          <t>Lagos</t>
        </is>
      </c>
      <c r="M291" s="25" t="inlineStr">
        <is>
          <t>Lagos Island</t>
        </is>
      </c>
      <c r="N291" s="196" t="n">
        <v>18</v>
      </c>
      <c r="O291" s="194">
        <f>N291*2</f>
        <v/>
      </c>
      <c r="P291" s="215">
        <f>ROUNDUP(O291/300,)</f>
        <v/>
      </c>
      <c r="Q291" s="215" t="n">
        <v>0.2</v>
      </c>
      <c r="R291" s="215">
        <f>Q291+P291</f>
        <v/>
      </c>
      <c r="S291" s="197">
        <f>ROUNDDOWN(O291*0.51,)+60</f>
        <v/>
      </c>
      <c r="T291" s="207">
        <f>_xlfn.XLOOKUP(F291,[1]Fx!$A$4:$A$10,[1]Fx!$B$4:$B$10)</f>
        <v/>
      </c>
      <c r="U291" s="207">
        <f>_xlfn.XLOOKUP(F291,[1]Fx!$A$4:$A$10,[1]Fx!$C$4:$C$10)</f>
        <v/>
      </c>
      <c r="V291" s="207">
        <f>_xlfn.XLOOKUP(F291,[1]Fx!$A$4:$A$10,[1]Fx!$D$4:$D$10)</f>
        <v/>
      </c>
      <c r="W291" s="207">
        <f>$V$2</f>
        <v/>
      </c>
      <c r="X291" s="207">
        <f>_xlfn.XLOOKUP(F291,[1]Fx!$A$4:$A$10,[1]Fx!$E$4:$E$10)</f>
        <v/>
      </c>
      <c r="Y291" s="215">
        <f>T291*R291</f>
        <v/>
      </c>
      <c r="Z291" s="215">
        <f>U291*O291</f>
        <v/>
      </c>
      <c r="AA291" s="215">
        <f>V291*O291</f>
        <v/>
      </c>
      <c r="AB291" s="215">
        <f>W291*O291</f>
        <v/>
      </c>
      <c r="AC291" s="197">
        <f>X291*O291</f>
        <v/>
      </c>
      <c r="AD291" s="215" t="n">
        <v>0</v>
      </c>
      <c r="AE291" s="215" t="n">
        <v>0</v>
      </c>
      <c r="AF291" s="207">
        <f>SUM(Y291:AE291)</f>
        <v/>
      </c>
      <c r="AG291" s="254">
        <f>_xlfn.XLOOKUP(F291,[1]Fx!$A$16:$A$22,[1]Fx!$B$16:$B$22)</f>
        <v/>
      </c>
      <c r="AH291" s="207">
        <f>AG291*R291</f>
        <v/>
      </c>
      <c r="AI291" s="207">
        <f>$AH$3*Z291</f>
        <v/>
      </c>
      <c r="AJ291" s="207">
        <f>$AI$3*AA291</f>
        <v/>
      </c>
      <c r="AK291" s="207">
        <f>$AJ$3*AB291</f>
        <v/>
      </c>
      <c r="AL291" s="207">
        <f>$AK$3*AC291</f>
        <v/>
      </c>
      <c r="AM291" s="220">
        <f>SUM(AH291:AL291)</f>
        <v/>
      </c>
      <c r="AN291" s="220" t="n">
        <v>0</v>
      </c>
      <c r="AO291" s="220">
        <f>AN291*AH291</f>
        <v/>
      </c>
      <c r="AP291" s="220">
        <f>AD291</f>
        <v/>
      </c>
      <c r="AQ291" s="220">
        <f>AE291</f>
        <v/>
      </c>
      <c r="AR291" s="208">
        <f>AM291-AO291</f>
        <v/>
      </c>
      <c r="AS291" s="220">
        <f>AR291-AK291</f>
        <v/>
      </c>
      <c r="AT291" s="208">
        <f>AS291*1.075</f>
        <v/>
      </c>
      <c r="AU291" s="208">
        <f>AT291+AK291</f>
        <v/>
      </c>
      <c r="AV291" s="198" t="n">
        <v>88979.54286905425</v>
      </c>
      <c r="AW291" s="220" t="n"/>
      <c r="AX291" s="220">
        <f>AV291-AR291</f>
        <v/>
      </c>
      <c r="AY291" s="35">
        <f>AX291/AR291</f>
        <v/>
      </c>
      <c r="AZ291" s="220">
        <f>AV291-AF291</f>
        <v/>
      </c>
      <c r="BA291" s="215">
        <f>AV291-SUM(Z291:AC291)</f>
        <v/>
      </c>
      <c r="BB291" s="215">
        <f>BA291-Y291</f>
        <v/>
      </c>
      <c r="BC291" s="35">
        <f>BB291/BA291</f>
        <v/>
      </c>
      <c r="BD291" s="35">
        <f>IFERROR(AZ291/AV291,)</f>
        <v/>
      </c>
      <c r="BE291" s="255">
        <f>AV291-SUM(Z291:AC291)</f>
        <v/>
      </c>
      <c r="BF291" s="255">
        <f>AV291-BE291-AC291-AB291</f>
        <v/>
      </c>
      <c r="BG291" s="255">
        <f>AV291-BE291-BF291-AB291</f>
        <v/>
      </c>
      <c r="BH291" s="255">
        <f>AB291</f>
        <v/>
      </c>
      <c r="BI291" s="263" t="inlineStr">
        <is>
          <t>Worst Case Approved</t>
        </is>
      </c>
    </row>
    <row r="292">
      <c r="C292" s="96" t="inlineStr">
        <is>
          <t>YEKENE</t>
        </is>
      </c>
      <c r="D292" s="49">
        <f>CONCATENATE(G292,"-",H292,"-",F292)</f>
        <v/>
      </c>
      <c r="E292" s="95" t="inlineStr">
        <is>
          <t>Jamara-3T-16CBM</t>
        </is>
      </c>
      <c r="F292" s="94" t="inlineStr">
        <is>
          <t>16CBM</t>
        </is>
      </c>
      <c r="G292" s="25" t="inlineStr">
        <is>
          <t>Closed Body Logistics</t>
        </is>
      </c>
      <c r="H292" s="97" t="inlineStr">
        <is>
          <t>3T</t>
        </is>
      </c>
      <c r="I292" s="102" t="inlineStr">
        <is>
          <t>Jamara</t>
        </is>
      </c>
      <c r="J292" s="103" t="inlineStr">
        <is>
          <t>Lagos</t>
        </is>
      </c>
      <c r="K292" s="107" t="inlineStr">
        <is>
          <t>Lagos Island-Marina</t>
        </is>
      </c>
      <c r="L292" s="57" t="inlineStr">
        <is>
          <t>Lagos</t>
        </is>
      </c>
      <c r="M292" s="58" t="inlineStr">
        <is>
          <t>Marina</t>
        </is>
      </c>
      <c r="N292" s="196" t="n">
        <v>23</v>
      </c>
      <c r="O292" s="194">
        <f>N292*2</f>
        <v/>
      </c>
      <c r="P292" s="215">
        <f>ROUNDUP(O292/300,)</f>
        <v/>
      </c>
      <c r="Q292" s="215" t="n">
        <v>0.2</v>
      </c>
      <c r="R292" s="215">
        <f>Q292+P292</f>
        <v/>
      </c>
      <c r="S292" s="197">
        <f>ROUNDDOWN(O292*0.51,)+60</f>
        <v/>
      </c>
      <c r="T292" s="207">
        <f>_xlfn.XLOOKUP(F292,[1]Fx!$A$4:$A$10,[1]Fx!$B$4:$B$10)</f>
        <v/>
      </c>
      <c r="U292" s="207">
        <f>_xlfn.XLOOKUP(F292,[1]Fx!$A$4:$A$10,[1]Fx!$C$4:$C$10)</f>
        <v/>
      </c>
      <c r="V292" s="207">
        <f>_xlfn.XLOOKUP(F292,[1]Fx!$A$4:$A$10,[1]Fx!$D$4:$D$10)</f>
        <v/>
      </c>
      <c r="W292" s="207">
        <f>$V$2</f>
        <v/>
      </c>
      <c r="X292" s="207">
        <f>_xlfn.XLOOKUP(F292,[1]Fx!$A$4:$A$10,[1]Fx!$E$4:$E$10)</f>
        <v/>
      </c>
      <c r="Y292" s="215">
        <f>T292*R292</f>
        <v/>
      </c>
      <c r="Z292" s="215">
        <f>U292*O292</f>
        <v/>
      </c>
      <c r="AA292" s="215">
        <f>V292*O292</f>
        <v/>
      </c>
      <c r="AB292" s="215">
        <f>W292*O292</f>
        <v/>
      </c>
      <c r="AC292" s="197">
        <f>X292*O292</f>
        <v/>
      </c>
      <c r="AD292" s="215" t="n">
        <v>0</v>
      </c>
      <c r="AE292" s="215" t="n">
        <v>0</v>
      </c>
      <c r="AF292" s="207">
        <f>SUM(Y292:AE292)</f>
        <v/>
      </c>
      <c r="AG292" s="254">
        <f>_xlfn.XLOOKUP(F292,[1]Fx!$A$16:$A$22,[1]Fx!$B$16:$B$22)</f>
        <v/>
      </c>
      <c r="AH292" s="207">
        <f>AG292*R292</f>
        <v/>
      </c>
      <c r="AI292" s="207">
        <f>$AH$3*Z292</f>
        <v/>
      </c>
      <c r="AJ292" s="207">
        <f>$AI$3*AA292</f>
        <v/>
      </c>
      <c r="AK292" s="207">
        <f>$AJ$3*AB292</f>
        <v/>
      </c>
      <c r="AL292" s="207">
        <f>$AK$3*AC292</f>
        <v/>
      </c>
      <c r="AM292" s="220">
        <f>SUM(AH292:AL292)</f>
        <v/>
      </c>
      <c r="AN292" s="220" t="n">
        <v>0</v>
      </c>
      <c r="AO292" s="220">
        <f>AN292*AH292</f>
        <v/>
      </c>
      <c r="AP292" s="220">
        <f>AD292</f>
        <v/>
      </c>
      <c r="AQ292" s="220">
        <f>AE292</f>
        <v/>
      </c>
      <c r="AR292" s="208">
        <f>AM292-AO292</f>
        <v/>
      </c>
      <c r="AS292" s="220">
        <f>AR292-AK292</f>
        <v/>
      </c>
      <c r="AT292" s="208">
        <f>AS292*1.075</f>
        <v/>
      </c>
      <c r="AU292" s="208">
        <f>AT292+AK292</f>
        <v/>
      </c>
      <c r="AV292" s="198" t="n">
        <v>88979.54286905425</v>
      </c>
      <c r="AW292" s="220" t="n"/>
      <c r="AX292" s="220">
        <f>AV292-AR292</f>
        <v/>
      </c>
      <c r="AY292" s="35">
        <f>AX292/AR292</f>
        <v/>
      </c>
      <c r="AZ292" s="220">
        <f>AV292-AF292</f>
        <v/>
      </c>
      <c r="BA292" s="215">
        <f>AV292-SUM(Z292:AC292)</f>
        <v/>
      </c>
      <c r="BB292" s="215">
        <f>BA292-Y292</f>
        <v/>
      </c>
      <c r="BC292" s="35">
        <f>BB292/BA292</f>
        <v/>
      </c>
      <c r="BD292" s="35">
        <f>IFERROR(AZ292/AV292,)</f>
        <v/>
      </c>
      <c r="BE292" s="255">
        <f>AV292-SUM(Z292:AC292)</f>
        <v/>
      </c>
      <c r="BF292" s="255">
        <f>AV292-BE292-AC292-AB292</f>
        <v/>
      </c>
      <c r="BG292" s="255">
        <f>AV292-BE292-BF292-AB292</f>
        <v/>
      </c>
      <c r="BH292" s="255">
        <f>AB292</f>
        <v/>
      </c>
      <c r="BI292" s="263" t="inlineStr">
        <is>
          <t>Worst Case Approved</t>
        </is>
      </c>
    </row>
    <row r="293">
      <c r="C293" s="96" t="inlineStr">
        <is>
          <t>YEKENE</t>
        </is>
      </c>
      <c r="D293" s="49">
        <f>CONCATENATE(G293,"-",H293,"-",F293)</f>
        <v/>
      </c>
      <c r="E293" s="95" t="inlineStr">
        <is>
          <t>Jamara-3T-16CBM</t>
        </is>
      </c>
      <c r="F293" s="94" t="inlineStr">
        <is>
          <t>16CBM</t>
        </is>
      </c>
      <c r="G293" s="25" t="inlineStr">
        <is>
          <t>Closed Body Logistics</t>
        </is>
      </c>
      <c r="H293" s="97" t="inlineStr">
        <is>
          <t>3T</t>
        </is>
      </c>
      <c r="I293" s="102" t="inlineStr">
        <is>
          <t>Jamara</t>
        </is>
      </c>
      <c r="J293" s="103" t="inlineStr">
        <is>
          <t>Lagos</t>
        </is>
      </c>
      <c r="K293" s="110" t="inlineStr">
        <is>
          <t>Abeokuta</t>
        </is>
      </c>
      <c r="L293" s="57" t="inlineStr">
        <is>
          <t>Ogun</t>
        </is>
      </c>
      <c r="M293" s="58" t="inlineStr">
        <is>
          <t>Abeokuta</t>
        </is>
      </c>
      <c r="N293" s="196" t="n">
        <v>99.5</v>
      </c>
      <c r="O293" s="194">
        <f>N293*2</f>
        <v/>
      </c>
      <c r="P293" s="215">
        <f>ROUNDUP(O293/300,)</f>
        <v/>
      </c>
      <c r="Q293" s="215" t="n">
        <v>0.2</v>
      </c>
      <c r="R293" s="215">
        <f>Q293+P293</f>
        <v/>
      </c>
      <c r="S293" s="197">
        <f>ROUNDDOWN(O293*0.51,)+60</f>
        <v/>
      </c>
      <c r="T293" s="207">
        <f>_xlfn.XLOOKUP(F293,[1]Fx!$A$4:$A$10,[1]Fx!$B$4:$B$10)</f>
        <v/>
      </c>
      <c r="U293" s="207">
        <f>_xlfn.XLOOKUP(F293,[1]Fx!$A$4:$A$10,[1]Fx!$C$4:$C$10)</f>
        <v/>
      </c>
      <c r="V293" s="207">
        <f>_xlfn.XLOOKUP(F293,[1]Fx!$A$4:$A$10,[1]Fx!$D$4:$D$10)</f>
        <v/>
      </c>
      <c r="W293" s="207">
        <f>$V$2</f>
        <v/>
      </c>
      <c r="X293" s="207">
        <f>_xlfn.XLOOKUP(F293,[1]Fx!$A$4:$A$10,[1]Fx!$E$4:$E$10)</f>
        <v/>
      </c>
      <c r="Y293" s="215">
        <f>T293*R293</f>
        <v/>
      </c>
      <c r="Z293" s="215">
        <f>U293*O293</f>
        <v/>
      </c>
      <c r="AA293" s="215">
        <f>V293*O293</f>
        <v/>
      </c>
      <c r="AB293" s="215">
        <f>W293*O293</f>
        <v/>
      </c>
      <c r="AC293" s="197">
        <f>X293*O293</f>
        <v/>
      </c>
      <c r="AD293" s="215" t="n">
        <v>0</v>
      </c>
      <c r="AE293" s="215" t="n">
        <v>0</v>
      </c>
      <c r="AF293" s="207">
        <f>SUM(Y293:AE293)</f>
        <v/>
      </c>
      <c r="AG293" s="254">
        <f>_xlfn.XLOOKUP(F293,[1]Fx!$A$16:$A$22,[1]Fx!$B$16:$B$22)</f>
        <v/>
      </c>
      <c r="AH293" s="207">
        <f>AG293*R293</f>
        <v/>
      </c>
      <c r="AI293" s="207">
        <f>$AH$3*Z293</f>
        <v/>
      </c>
      <c r="AJ293" s="207">
        <f>$AI$3*AA293</f>
        <v/>
      </c>
      <c r="AK293" s="207">
        <f>$AJ$3*AB293</f>
        <v/>
      </c>
      <c r="AL293" s="207">
        <f>$AK$3*AC293</f>
        <v/>
      </c>
      <c r="AM293" s="220">
        <f>SUM(AH293:AL293)</f>
        <v/>
      </c>
      <c r="AN293" s="220" t="n">
        <v>0</v>
      </c>
      <c r="AO293" s="220">
        <f>AN293*AH293</f>
        <v/>
      </c>
      <c r="AP293" s="220">
        <f>AD293</f>
        <v/>
      </c>
      <c r="AQ293" s="220">
        <f>AE293</f>
        <v/>
      </c>
      <c r="AR293" s="208">
        <f>AM293-AO293</f>
        <v/>
      </c>
      <c r="AS293" s="220">
        <f>AR293-AK293</f>
        <v/>
      </c>
      <c r="AT293" s="208">
        <f>AS293*1.075</f>
        <v/>
      </c>
      <c r="AU293" s="208">
        <f>AT293+AK293</f>
        <v/>
      </c>
      <c r="AV293" s="198" t="n">
        <v>88979.54286905425</v>
      </c>
      <c r="AW293" s="220" t="n"/>
      <c r="AX293" s="220">
        <f>AV293-AR293</f>
        <v/>
      </c>
      <c r="AY293" s="35">
        <f>AX293/AR293</f>
        <v/>
      </c>
      <c r="AZ293" s="220">
        <f>AV293-AF293</f>
        <v/>
      </c>
      <c r="BA293" s="215">
        <f>AV293-SUM(Z293:AC293)</f>
        <v/>
      </c>
      <c r="BB293" s="215">
        <f>BA293-Y293</f>
        <v/>
      </c>
      <c r="BC293" s="35">
        <f>BB293/BA293</f>
        <v/>
      </c>
      <c r="BD293" s="35">
        <f>IFERROR(AZ293/AV293,)</f>
        <v/>
      </c>
      <c r="BE293" s="255">
        <f>AV293-SUM(Z293:AC293)</f>
        <v/>
      </c>
      <c r="BF293" s="255">
        <f>AV293-BE293-AC293-AB293</f>
        <v/>
      </c>
      <c r="BG293" s="255">
        <f>AV293-BE293-BF293-AB293</f>
        <v/>
      </c>
      <c r="BH293" s="255">
        <f>AB293</f>
        <v/>
      </c>
      <c r="BI293" s="263" t="inlineStr">
        <is>
          <t>Worst Case Approved</t>
        </is>
      </c>
    </row>
    <row r="294">
      <c r="C294" s="96" t="inlineStr">
        <is>
          <t>YEKENE</t>
        </is>
      </c>
      <c r="D294" s="49">
        <f>CONCATENATE(G294,"-",H294,"-",F294)</f>
        <v/>
      </c>
      <c r="E294" s="95" t="inlineStr">
        <is>
          <t>Jamara-3T-16CBM</t>
        </is>
      </c>
      <c r="F294" s="94" t="inlineStr">
        <is>
          <t>16CBM</t>
        </is>
      </c>
      <c r="G294" s="25" t="inlineStr">
        <is>
          <t>Closed Body Logistics</t>
        </is>
      </c>
      <c r="H294" s="97" t="inlineStr">
        <is>
          <t>3T</t>
        </is>
      </c>
      <c r="I294" s="102" t="inlineStr">
        <is>
          <t>Jamara</t>
        </is>
      </c>
      <c r="J294" s="103" t="inlineStr">
        <is>
          <t>Lagos</t>
        </is>
      </c>
      <c r="K294" s="107" t="inlineStr">
        <is>
          <t>Sagamu-Ijebu-Ode</t>
        </is>
      </c>
      <c r="L294" s="57" t="inlineStr">
        <is>
          <t>Ogun</t>
        </is>
      </c>
      <c r="M294" s="58" t="inlineStr">
        <is>
          <t>Ijebu-Ode</t>
        </is>
      </c>
      <c r="N294" s="196" t="n">
        <v>100</v>
      </c>
      <c r="O294" s="194">
        <f>N294*2</f>
        <v/>
      </c>
      <c r="P294" s="215">
        <f>ROUNDUP(O294/300,)</f>
        <v/>
      </c>
      <c r="Q294" s="215" t="n">
        <v>0.2</v>
      </c>
      <c r="R294" s="215">
        <f>Q294+P294</f>
        <v/>
      </c>
      <c r="S294" s="197">
        <f>ROUNDDOWN(O294*0.51,)+60</f>
        <v/>
      </c>
      <c r="T294" s="207">
        <f>_xlfn.XLOOKUP(F294,[1]Fx!$A$4:$A$10,[1]Fx!$B$4:$B$10)</f>
        <v/>
      </c>
      <c r="U294" s="207">
        <f>_xlfn.XLOOKUP(F294,[1]Fx!$A$4:$A$10,[1]Fx!$C$4:$C$10)</f>
        <v/>
      </c>
      <c r="V294" s="207">
        <f>_xlfn.XLOOKUP(F294,[1]Fx!$A$4:$A$10,[1]Fx!$D$4:$D$10)</f>
        <v/>
      </c>
      <c r="W294" s="207">
        <f>$V$2</f>
        <v/>
      </c>
      <c r="X294" s="207">
        <f>_xlfn.XLOOKUP(F294,[1]Fx!$A$4:$A$10,[1]Fx!$E$4:$E$10)</f>
        <v/>
      </c>
      <c r="Y294" s="215">
        <f>T294*R294</f>
        <v/>
      </c>
      <c r="Z294" s="215">
        <f>U294*O294</f>
        <v/>
      </c>
      <c r="AA294" s="215">
        <f>V294*O294</f>
        <v/>
      </c>
      <c r="AB294" s="215">
        <f>W294*O294</f>
        <v/>
      </c>
      <c r="AC294" s="197">
        <f>X294*O294</f>
        <v/>
      </c>
      <c r="AD294" s="215" t="n">
        <v>0</v>
      </c>
      <c r="AE294" s="215" t="n">
        <v>0</v>
      </c>
      <c r="AF294" s="207">
        <f>SUM(Y294:AE294)</f>
        <v/>
      </c>
      <c r="AG294" s="254">
        <f>_xlfn.XLOOKUP(F294,[1]Fx!$A$16:$A$22,[1]Fx!$B$16:$B$22)</f>
        <v/>
      </c>
      <c r="AH294" s="207">
        <f>AG294*R294</f>
        <v/>
      </c>
      <c r="AI294" s="207">
        <f>$AH$3*Z294</f>
        <v/>
      </c>
      <c r="AJ294" s="207">
        <f>$AI$3*AA294</f>
        <v/>
      </c>
      <c r="AK294" s="207">
        <f>$AJ$3*AB294</f>
        <v/>
      </c>
      <c r="AL294" s="207">
        <f>$AK$3*AC294</f>
        <v/>
      </c>
      <c r="AM294" s="220">
        <f>SUM(AH294:AL294)</f>
        <v/>
      </c>
      <c r="AN294" s="220" t="n">
        <v>0</v>
      </c>
      <c r="AO294" s="220">
        <f>AN294*AH294</f>
        <v/>
      </c>
      <c r="AP294" s="220">
        <f>AD294</f>
        <v/>
      </c>
      <c r="AQ294" s="220">
        <f>AE294</f>
        <v/>
      </c>
      <c r="AR294" s="208">
        <f>AM294-AO294</f>
        <v/>
      </c>
      <c r="AS294" s="220">
        <f>AR294-AK294</f>
        <v/>
      </c>
      <c r="AT294" s="208">
        <f>AS294*1.075</f>
        <v/>
      </c>
      <c r="AU294" s="208">
        <f>AT294+AK294</f>
        <v/>
      </c>
      <c r="AV294" s="198" t="n">
        <v>88979.54286905425</v>
      </c>
      <c r="AW294" s="220" t="n"/>
      <c r="AX294" s="220">
        <f>AV294-AR294</f>
        <v/>
      </c>
      <c r="AY294" s="35">
        <f>AX294/AR294</f>
        <v/>
      </c>
      <c r="AZ294" s="220">
        <f>AV294-AF294</f>
        <v/>
      </c>
      <c r="BA294" s="215">
        <f>AV294-SUM(Z294:AC294)</f>
        <v/>
      </c>
      <c r="BB294" s="215">
        <f>BA294-Y294</f>
        <v/>
      </c>
      <c r="BC294" s="35">
        <f>BB294/BA294</f>
        <v/>
      </c>
      <c r="BD294" s="35">
        <f>IFERROR(AZ294/AV294,)</f>
        <v/>
      </c>
      <c r="BE294" s="255">
        <f>AV294-SUM(Z294:AC294)</f>
        <v/>
      </c>
      <c r="BF294" s="255">
        <f>AV294-BE294-AC294-AB294</f>
        <v/>
      </c>
      <c r="BG294" s="255">
        <f>AV294-BE294-BF294-AB294</f>
        <v/>
      </c>
      <c r="BH294" s="255">
        <f>AB294</f>
        <v/>
      </c>
      <c r="BI294" s="263" t="inlineStr">
        <is>
          <t>Worst Case Approved</t>
        </is>
      </c>
    </row>
    <row r="295">
      <c r="C295" s="96" t="inlineStr">
        <is>
          <t>YEKENE</t>
        </is>
      </c>
      <c r="D295" s="49">
        <f>CONCATENATE(G295,"-",H295,"-",F295)</f>
        <v/>
      </c>
      <c r="E295" s="95" t="inlineStr">
        <is>
          <t>Jamara-3T-16CBM</t>
        </is>
      </c>
      <c r="F295" s="94" t="inlineStr">
        <is>
          <t>16CBM</t>
        </is>
      </c>
      <c r="G295" s="25" t="inlineStr">
        <is>
          <t>Closed Body Logistics</t>
        </is>
      </c>
      <c r="H295" s="97" t="inlineStr">
        <is>
          <t>3T</t>
        </is>
      </c>
      <c r="I295" s="102" t="inlineStr">
        <is>
          <t>Jamara</t>
        </is>
      </c>
      <c r="J295" s="103" t="inlineStr">
        <is>
          <t>Lagos</t>
        </is>
      </c>
      <c r="K295" s="107" t="inlineStr">
        <is>
          <t>Sagamu-Ijebu-Ode</t>
        </is>
      </c>
      <c r="L295" s="57" t="inlineStr">
        <is>
          <t>Ogun</t>
        </is>
      </c>
      <c r="M295" s="58" t="inlineStr">
        <is>
          <t>Sagamu</t>
        </is>
      </c>
      <c r="N295" s="196" t="n">
        <v>70</v>
      </c>
      <c r="O295" s="194">
        <f>N295*2</f>
        <v/>
      </c>
      <c r="P295" s="215">
        <f>ROUNDUP(O295/300,)</f>
        <v/>
      </c>
      <c r="Q295" s="215" t="n">
        <v>0.2</v>
      </c>
      <c r="R295" s="215">
        <f>Q295+P295</f>
        <v/>
      </c>
      <c r="S295" s="197">
        <f>ROUNDDOWN(O295*0.51,)+60</f>
        <v/>
      </c>
      <c r="T295" s="207">
        <f>_xlfn.XLOOKUP(F295,[1]Fx!$A$4:$A$10,[1]Fx!$B$4:$B$10)</f>
        <v/>
      </c>
      <c r="U295" s="207">
        <f>_xlfn.XLOOKUP(F295,[1]Fx!$A$4:$A$10,[1]Fx!$C$4:$C$10)</f>
        <v/>
      </c>
      <c r="V295" s="207">
        <f>_xlfn.XLOOKUP(F295,[1]Fx!$A$4:$A$10,[1]Fx!$D$4:$D$10)</f>
        <v/>
      </c>
      <c r="W295" s="207">
        <f>$V$2</f>
        <v/>
      </c>
      <c r="X295" s="207">
        <f>_xlfn.XLOOKUP(F295,[1]Fx!$A$4:$A$10,[1]Fx!$E$4:$E$10)</f>
        <v/>
      </c>
      <c r="Y295" s="215">
        <f>T295*R295</f>
        <v/>
      </c>
      <c r="Z295" s="215">
        <f>U295*O295</f>
        <v/>
      </c>
      <c r="AA295" s="215">
        <f>V295*O295</f>
        <v/>
      </c>
      <c r="AB295" s="215">
        <f>W295*O295</f>
        <v/>
      </c>
      <c r="AC295" s="197">
        <f>X295*O295</f>
        <v/>
      </c>
      <c r="AD295" s="215" t="n">
        <v>0</v>
      </c>
      <c r="AE295" s="215" t="n">
        <v>0</v>
      </c>
      <c r="AF295" s="207">
        <f>SUM(Y295:AE295)</f>
        <v/>
      </c>
      <c r="AG295" s="254">
        <f>_xlfn.XLOOKUP(F295,[1]Fx!$A$16:$A$22,[1]Fx!$B$16:$B$22)</f>
        <v/>
      </c>
      <c r="AH295" s="207">
        <f>AG295*R295</f>
        <v/>
      </c>
      <c r="AI295" s="207">
        <f>$AH$3*Z295</f>
        <v/>
      </c>
      <c r="AJ295" s="207">
        <f>$AI$3*AA295</f>
        <v/>
      </c>
      <c r="AK295" s="207">
        <f>$AJ$3*AB295</f>
        <v/>
      </c>
      <c r="AL295" s="207">
        <f>$AK$3*AC295</f>
        <v/>
      </c>
      <c r="AM295" s="220">
        <f>SUM(AH295:AL295)</f>
        <v/>
      </c>
      <c r="AN295" s="220" t="n">
        <v>0</v>
      </c>
      <c r="AO295" s="220">
        <f>AN295*AH295</f>
        <v/>
      </c>
      <c r="AP295" s="220">
        <f>AD295</f>
        <v/>
      </c>
      <c r="AQ295" s="220">
        <f>AE295</f>
        <v/>
      </c>
      <c r="AR295" s="208">
        <f>AM295-AO295</f>
        <v/>
      </c>
      <c r="AS295" s="220">
        <f>AR295-AK295</f>
        <v/>
      </c>
      <c r="AT295" s="208">
        <f>AS295*1.075</f>
        <v/>
      </c>
      <c r="AU295" s="208">
        <f>AT295+AK295</f>
        <v/>
      </c>
      <c r="AV295" s="198" t="n">
        <v>88979.54286905425</v>
      </c>
      <c r="AW295" s="220" t="n"/>
      <c r="AX295" s="220">
        <f>AV295-AR295</f>
        <v/>
      </c>
      <c r="AY295" s="35">
        <f>AX295/AR295</f>
        <v/>
      </c>
      <c r="AZ295" s="220">
        <f>AV295-AF295</f>
        <v/>
      </c>
      <c r="BA295" s="215">
        <f>AV295-SUM(Z295:AC295)</f>
        <v/>
      </c>
      <c r="BB295" s="215">
        <f>BA295-Y295</f>
        <v/>
      </c>
      <c r="BC295" s="35">
        <f>BB295/BA295</f>
        <v/>
      </c>
      <c r="BD295" s="35">
        <f>IFERROR(AZ295/AV295,)</f>
        <v/>
      </c>
      <c r="BE295" s="255">
        <f>AV295-SUM(Z295:AC295)</f>
        <v/>
      </c>
      <c r="BF295" s="255">
        <f>AV295-BE295-AC295-AB295</f>
        <v/>
      </c>
      <c r="BG295" s="255">
        <f>AV295-BE295-BF295-AB295</f>
        <v/>
      </c>
      <c r="BH295" s="255">
        <f>AB295</f>
        <v/>
      </c>
      <c r="BI295" s="263" t="inlineStr">
        <is>
          <t>Worst Case Approved</t>
        </is>
      </c>
    </row>
    <row r="296">
      <c r="C296" s="96" t="inlineStr">
        <is>
          <t>YEKENE</t>
        </is>
      </c>
      <c r="D296" s="49">
        <f>CONCATENATE(G296,"-",H296,"-",F296)</f>
        <v/>
      </c>
      <c r="E296" s="95" t="inlineStr">
        <is>
          <t>Jamara-3T-16CBM</t>
        </is>
      </c>
      <c r="F296" s="94" t="inlineStr">
        <is>
          <t>16CBM</t>
        </is>
      </c>
      <c r="G296" s="25" t="inlineStr">
        <is>
          <t>Closed Body Logistics</t>
        </is>
      </c>
      <c r="H296" s="97" t="inlineStr">
        <is>
          <t>3T</t>
        </is>
      </c>
      <c r="I296" s="102" t="inlineStr">
        <is>
          <t>Jamara</t>
        </is>
      </c>
      <c r="J296" s="103" t="inlineStr">
        <is>
          <t>Lagos</t>
        </is>
      </c>
      <c r="K296" s="107" t="inlineStr">
        <is>
          <t>Ojodu-Akute-Mowe</t>
        </is>
      </c>
      <c r="L296" s="57" t="inlineStr">
        <is>
          <t>Ogun</t>
        </is>
      </c>
      <c r="M296" s="58" t="inlineStr">
        <is>
          <t>Magboro</t>
        </is>
      </c>
      <c r="N296" s="196" t="n">
        <v>37.6</v>
      </c>
      <c r="O296" s="194">
        <f>N296*2</f>
        <v/>
      </c>
      <c r="P296" s="215">
        <f>ROUNDUP(O296/300,)</f>
        <v/>
      </c>
      <c r="Q296" s="215" t="n">
        <v>0.2</v>
      </c>
      <c r="R296" s="215">
        <f>Q296+P296</f>
        <v/>
      </c>
      <c r="S296" s="197">
        <f>ROUNDDOWN(O296*0.51,)+60</f>
        <v/>
      </c>
      <c r="T296" s="207">
        <f>_xlfn.XLOOKUP(F296,[1]Fx!$A$4:$A$10,[1]Fx!$B$4:$B$10)</f>
        <v/>
      </c>
      <c r="U296" s="207">
        <f>_xlfn.XLOOKUP(F296,[1]Fx!$A$4:$A$10,[1]Fx!$C$4:$C$10)</f>
        <v/>
      </c>
      <c r="V296" s="207">
        <f>_xlfn.XLOOKUP(F296,[1]Fx!$A$4:$A$10,[1]Fx!$D$4:$D$10)</f>
        <v/>
      </c>
      <c r="W296" s="207">
        <f>$V$2</f>
        <v/>
      </c>
      <c r="X296" s="207">
        <f>_xlfn.XLOOKUP(F296,[1]Fx!$A$4:$A$10,[1]Fx!$E$4:$E$10)</f>
        <v/>
      </c>
      <c r="Y296" s="215">
        <f>T296*R296</f>
        <v/>
      </c>
      <c r="Z296" s="215">
        <f>U296*O296</f>
        <v/>
      </c>
      <c r="AA296" s="215">
        <f>V296*O296</f>
        <v/>
      </c>
      <c r="AB296" s="215">
        <f>W296*O296</f>
        <v/>
      </c>
      <c r="AC296" s="197">
        <f>X296*O296</f>
        <v/>
      </c>
      <c r="AD296" s="215" t="n">
        <v>0</v>
      </c>
      <c r="AE296" s="215" t="n">
        <v>0</v>
      </c>
      <c r="AF296" s="207">
        <f>SUM(Y296:AE296)</f>
        <v/>
      </c>
      <c r="AG296" s="254">
        <f>_xlfn.XLOOKUP(F296,[1]Fx!$A$16:$A$22,[1]Fx!$B$16:$B$22)</f>
        <v/>
      </c>
      <c r="AH296" s="207">
        <f>AG296*R296</f>
        <v/>
      </c>
      <c r="AI296" s="207">
        <f>$AH$3*Z296</f>
        <v/>
      </c>
      <c r="AJ296" s="207">
        <f>$AI$3*AA296</f>
        <v/>
      </c>
      <c r="AK296" s="207">
        <f>$AJ$3*AB296</f>
        <v/>
      </c>
      <c r="AL296" s="207">
        <f>$AK$3*AC296</f>
        <v/>
      </c>
      <c r="AM296" s="220">
        <f>SUM(AH296:AL296)</f>
        <v/>
      </c>
      <c r="AN296" s="220" t="n">
        <v>0</v>
      </c>
      <c r="AO296" s="220">
        <f>AN296*AH296</f>
        <v/>
      </c>
      <c r="AP296" s="220">
        <f>AD296</f>
        <v/>
      </c>
      <c r="AQ296" s="220">
        <f>AE296</f>
        <v/>
      </c>
      <c r="AR296" s="208">
        <f>AM296-AO296</f>
        <v/>
      </c>
      <c r="AS296" s="220">
        <f>AR296-AK296</f>
        <v/>
      </c>
      <c r="AT296" s="208">
        <f>AS296*1.075</f>
        <v/>
      </c>
      <c r="AU296" s="208">
        <f>AT296+AK296</f>
        <v/>
      </c>
      <c r="AV296" s="198" t="n">
        <v>88979.54286905425</v>
      </c>
      <c r="AW296" s="220" t="n"/>
      <c r="AX296" s="220">
        <f>AV296-AR296</f>
        <v/>
      </c>
      <c r="AY296" s="35">
        <f>AX296/AR296</f>
        <v/>
      </c>
      <c r="AZ296" s="220">
        <f>AV296-AF296</f>
        <v/>
      </c>
      <c r="BA296" s="215">
        <f>AV296-SUM(Z296:AC296)</f>
        <v/>
      </c>
      <c r="BB296" s="215">
        <f>BA296-Y296</f>
        <v/>
      </c>
      <c r="BC296" s="35">
        <f>BB296/BA296</f>
        <v/>
      </c>
      <c r="BD296" s="35">
        <f>IFERROR(AZ296/AV296,)</f>
        <v/>
      </c>
      <c r="BE296" s="255">
        <f>AV296-SUM(Z296:AC296)</f>
        <v/>
      </c>
      <c r="BF296" s="255">
        <f>AV296-BE296-AC296-AB296</f>
        <v/>
      </c>
      <c r="BG296" s="255">
        <f>AV296-BE296-BF296-AB296</f>
        <v/>
      </c>
      <c r="BH296" s="255">
        <f>AB296</f>
        <v/>
      </c>
      <c r="BI296" s="263" t="inlineStr">
        <is>
          <t>Worst Case Approved</t>
        </is>
      </c>
    </row>
    <row r="297">
      <c r="C297" s="96" t="inlineStr">
        <is>
          <t>YEKENE</t>
        </is>
      </c>
      <c r="D297" s="49">
        <f>CONCATENATE(G297,"-",H297,"-",F297)</f>
        <v/>
      </c>
      <c r="E297" s="95" t="inlineStr">
        <is>
          <t>Jamara-3T-16CBM</t>
        </is>
      </c>
      <c r="F297" s="94" t="inlineStr">
        <is>
          <t>16CBM</t>
        </is>
      </c>
      <c r="G297" s="25" t="inlineStr">
        <is>
          <t>Closed Body Logistics</t>
        </is>
      </c>
      <c r="H297" s="97" t="inlineStr">
        <is>
          <t>3T</t>
        </is>
      </c>
      <c r="I297" s="102" t="inlineStr">
        <is>
          <t>Jamara</t>
        </is>
      </c>
      <c r="J297" s="103" t="inlineStr">
        <is>
          <t>Lagos</t>
        </is>
      </c>
      <c r="K297" s="107" t="inlineStr">
        <is>
          <t>Ojodu-Akute-Mowe</t>
        </is>
      </c>
      <c r="L297" s="57" t="inlineStr">
        <is>
          <t>Ogun</t>
        </is>
      </c>
      <c r="M297" s="58" t="inlineStr">
        <is>
          <t>Akute</t>
        </is>
      </c>
      <c r="N297" s="196" t="n">
        <v>25</v>
      </c>
      <c r="O297" s="194">
        <f>N297*2</f>
        <v/>
      </c>
      <c r="P297" s="215">
        <f>ROUNDUP(O297/300,)</f>
        <v/>
      </c>
      <c r="Q297" s="215" t="n">
        <v>0.2</v>
      </c>
      <c r="R297" s="215">
        <f>Q297+P297</f>
        <v/>
      </c>
      <c r="S297" s="197">
        <f>ROUNDDOWN(O297*0.51,)+60</f>
        <v/>
      </c>
      <c r="T297" s="207">
        <f>_xlfn.XLOOKUP(F297,[1]Fx!$A$4:$A$10,[1]Fx!$B$4:$B$10)</f>
        <v/>
      </c>
      <c r="U297" s="207">
        <f>_xlfn.XLOOKUP(F297,[1]Fx!$A$4:$A$10,[1]Fx!$C$4:$C$10)</f>
        <v/>
      </c>
      <c r="V297" s="207">
        <f>_xlfn.XLOOKUP(F297,[1]Fx!$A$4:$A$10,[1]Fx!$D$4:$D$10)</f>
        <v/>
      </c>
      <c r="W297" s="207">
        <f>$V$2</f>
        <v/>
      </c>
      <c r="X297" s="207">
        <f>_xlfn.XLOOKUP(F297,[1]Fx!$A$4:$A$10,[1]Fx!$E$4:$E$10)</f>
        <v/>
      </c>
      <c r="Y297" s="215">
        <f>T297*R297</f>
        <v/>
      </c>
      <c r="Z297" s="215">
        <f>U297*O297</f>
        <v/>
      </c>
      <c r="AA297" s="215">
        <f>V297*O297</f>
        <v/>
      </c>
      <c r="AB297" s="215">
        <f>W297*O297</f>
        <v/>
      </c>
      <c r="AC297" s="197">
        <f>X297*O297</f>
        <v/>
      </c>
      <c r="AD297" s="215" t="n">
        <v>0</v>
      </c>
      <c r="AE297" s="215" t="n">
        <v>0</v>
      </c>
      <c r="AF297" s="207">
        <f>SUM(Y297:AE297)</f>
        <v/>
      </c>
      <c r="AG297" s="254">
        <f>_xlfn.XLOOKUP(F297,[1]Fx!$A$16:$A$22,[1]Fx!$B$16:$B$22)</f>
        <v/>
      </c>
      <c r="AH297" s="207">
        <f>AG297*R297</f>
        <v/>
      </c>
      <c r="AI297" s="207">
        <f>$AH$3*Z297</f>
        <v/>
      </c>
      <c r="AJ297" s="207">
        <f>$AI$3*AA297</f>
        <v/>
      </c>
      <c r="AK297" s="207">
        <f>$AJ$3*AB297</f>
        <v/>
      </c>
      <c r="AL297" s="207">
        <f>$AK$3*AC297</f>
        <v/>
      </c>
      <c r="AM297" s="220">
        <f>SUM(AH297:AL297)</f>
        <v/>
      </c>
      <c r="AN297" s="220" t="n">
        <v>0</v>
      </c>
      <c r="AO297" s="220">
        <f>AN297*AH297</f>
        <v/>
      </c>
      <c r="AP297" s="220">
        <f>AD297</f>
        <v/>
      </c>
      <c r="AQ297" s="220">
        <f>AE297</f>
        <v/>
      </c>
      <c r="AR297" s="208">
        <f>AM297-AO297</f>
        <v/>
      </c>
      <c r="AS297" s="220">
        <f>AR297-AK297</f>
        <v/>
      </c>
      <c r="AT297" s="208">
        <f>AS297*1.075</f>
        <v/>
      </c>
      <c r="AU297" s="208">
        <f>AT297+AK297</f>
        <v/>
      </c>
      <c r="AV297" s="198" t="n">
        <v>88979.54286905425</v>
      </c>
      <c r="AW297" s="220" t="n"/>
      <c r="AX297" s="220">
        <f>AV297-AR297</f>
        <v/>
      </c>
      <c r="AY297" s="35">
        <f>AX297/AR297</f>
        <v/>
      </c>
      <c r="AZ297" s="220">
        <f>AV297-AF297</f>
        <v/>
      </c>
      <c r="BA297" s="215">
        <f>AV297-SUM(Z297:AC297)</f>
        <v/>
      </c>
      <c r="BB297" s="215">
        <f>BA297-Y297</f>
        <v/>
      </c>
      <c r="BC297" s="35">
        <f>BB297/BA297</f>
        <v/>
      </c>
      <c r="BD297" s="35">
        <f>IFERROR(AZ297/AV297,)</f>
        <v/>
      </c>
      <c r="BE297" s="255">
        <f>AV297-SUM(Z297:AC297)</f>
        <v/>
      </c>
      <c r="BF297" s="255">
        <f>AV297-BE297-AC297-AB297</f>
        <v/>
      </c>
      <c r="BG297" s="255">
        <f>AV297-BE297-BF297-AB297</f>
        <v/>
      </c>
      <c r="BH297" s="255">
        <f>AB297</f>
        <v/>
      </c>
      <c r="BI297" s="263" t="inlineStr">
        <is>
          <t>Worst Case Approved</t>
        </is>
      </c>
    </row>
    <row r="298">
      <c r="C298" s="96" t="inlineStr">
        <is>
          <t>YEKENE</t>
        </is>
      </c>
      <c r="D298" s="49">
        <f>CONCATENATE(G298,"-",H298,"-",F298)</f>
        <v/>
      </c>
      <c r="E298" s="95" t="inlineStr">
        <is>
          <t>Jamara-3T-16CBM</t>
        </is>
      </c>
      <c r="F298" s="94" t="inlineStr">
        <is>
          <t>16CBM</t>
        </is>
      </c>
      <c r="G298" s="25" t="inlineStr">
        <is>
          <t>Closed Body Logistics</t>
        </is>
      </c>
      <c r="H298" s="97" t="inlineStr">
        <is>
          <t>3T</t>
        </is>
      </c>
      <c r="I298" s="102" t="inlineStr">
        <is>
          <t>Jamara</t>
        </is>
      </c>
      <c r="J298" s="103" t="inlineStr">
        <is>
          <t>Lagos</t>
        </is>
      </c>
      <c r="K298" s="107" t="inlineStr">
        <is>
          <t>Ojodu-Akute-Mowe</t>
        </is>
      </c>
      <c r="L298" s="57" t="inlineStr">
        <is>
          <t>Lagos</t>
        </is>
      </c>
      <c r="M298" s="58" t="inlineStr">
        <is>
          <t>Ojodu</t>
        </is>
      </c>
      <c r="N298" s="196" t="n">
        <v>25</v>
      </c>
      <c r="O298" s="194">
        <f>N298*2</f>
        <v/>
      </c>
      <c r="P298" s="215">
        <f>ROUNDUP(O298/300,)</f>
        <v/>
      </c>
      <c r="Q298" s="215" t="n">
        <v>0.2</v>
      </c>
      <c r="R298" s="215">
        <f>Q298+P298</f>
        <v/>
      </c>
      <c r="S298" s="197">
        <f>ROUNDDOWN(O298*0.51,)+60</f>
        <v/>
      </c>
      <c r="T298" s="207">
        <f>_xlfn.XLOOKUP(F298,[1]Fx!$A$4:$A$10,[1]Fx!$B$4:$B$10)</f>
        <v/>
      </c>
      <c r="U298" s="207">
        <f>_xlfn.XLOOKUP(F298,[1]Fx!$A$4:$A$10,[1]Fx!$C$4:$C$10)</f>
        <v/>
      </c>
      <c r="V298" s="207">
        <f>_xlfn.XLOOKUP(F298,[1]Fx!$A$4:$A$10,[1]Fx!$D$4:$D$10)</f>
        <v/>
      </c>
      <c r="W298" s="207">
        <f>$V$2</f>
        <v/>
      </c>
      <c r="X298" s="207">
        <f>_xlfn.XLOOKUP(F298,[1]Fx!$A$4:$A$10,[1]Fx!$E$4:$E$10)</f>
        <v/>
      </c>
      <c r="Y298" s="215">
        <f>T298*R298</f>
        <v/>
      </c>
      <c r="Z298" s="215">
        <f>U298*O298</f>
        <v/>
      </c>
      <c r="AA298" s="215">
        <f>V298*O298</f>
        <v/>
      </c>
      <c r="AB298" s="215">
        <f>W298*O298</f>
        <v/>
      </c>
      <c r="AC298" s="197">
        <f>X298*O298</f>
        <v/>
      </c>
      <c r="AD298" s="215" t="n">
        <v>0</v>
      </c>
      <c r="AE298" s="215" t="n">
        <v>0</v>
      </c>
      <c r="AF298" s="207">
        <f>SUM(Y298:AE298)</f>
        <v/>
      </c>
      <c r="AG298" s="254">
        <f>_xlfn.XLOOKUP(F298,[1]Fx!$A$16:$A$22,[1]Fx!$B$16:$B$22)</f>
        <v/>
      </c>
      <c r="AH298" s="207">
        <f>AG298*R298</f>
        <v/>
      </c>
      <c r="AI298" s="207">
        <f>$AH$3*Z298</f>
        <v/>
      </c>
      <c r="AJ298" s="207">
        <f>$AI$3*AA298</f>
        <v/>
      </c>
      <c r="AK298" s="207">
        <f>$AJ$3*AB298</f>
        <v/>
      </c>
      <c r="AL298" s="207">
        <f>$AK$3*AC298</f>
        <v/>
      </c>
      <c r="AM298" s="220">
        <f>SUM(AH298:AL298)</f>
        <v/>
      </c>
      <c r="AN298" s="220" t="n">
        <v>0</v>
      </c>
      <c r="AO298" s="220">
        <f>AN298*AH298</f>
        <v/>
      </c>
      <c r="AP298" s="220">
        <f>AD298</f>
        <v/>
      </c>
      <c r="AQ298" s="220">
        <f>AE298</f>
        <v/>
      </c>
      <c r="AR298" s="208">
        <f>AM298-AO298</f>
        <v/>
      </c>
      <c r="AS298" s="220">
        <f>AR298-AK298</f>
        <v/>
      </c>
      <c r="AT298" s="208">
        <f>AS298*1.075</f>
        <v/>
      </c>
      <c r="AU298" s="208">
        <f>AT298+AK298</f>
        <v/>
      </c>
      <c r="AV298" s="198" t="n">
        <v>88979.54286905425</v>
      </c>
      <c r="AW298" s="220" t="n"/>
      <c r="AX298" s="220">
        <f>AV298-AR298</f>
        <v/>
      </c>
      <c r="AY298" s="35">
        <f>AX298/AR298</f>
        <v/>
      </c>
      <c r="AZ298" s="220">
        <f>AV298-AF298</f>
        <v/>
      </c>
      <c r="BA298" s="215">
        <f>AV298-SUM(Z298:AC298)</f>
        <v/>
      </c>
      <c r="BB298" s="215">
        <f>BA298-Y298</f>
        <v/>
      </c>
      <c r="BC298" s="35">
        <f>BB298/BA298</f>
        <v/>
      </c>
      <c r="BD298" s="35">
        <f>IFERROR(AZ298/AV298,)</f>
        <v/>
      </c>
      <c r="BE298" s="255">
        <f>AV298-SUM(Z298:AC298)</f>
        <v/>
      </c>
      <c r="BF298" s="255">
        <f>AV298-BE298-AC298-AB298</f>
        <v/>
      </c>
      <c r="BG298" s="255">
        <f>AV298-BE298-BF298-AB298</f>
        <v/>
      </c>
      <c r="BH298" s="255">
        <f>AB298</f>
        <v/>
      </c>
      <c r="BI298" s="263" t="inlineStr">
        <is>
          <t>Worst Case Approved</t>
        </is>
      </c>
    </row>
    <row r="299">
      <c r="C299" s="96" t="inlineStr">
        <is>
          <t>YEKENE</t>
        </is>
      </c>
      <c r="D299" s="49">
        <f>CONCATENATE(G299,"-",H299,"-",F299)</f>
        <v/>
      </c>
      <c r="E299" s="95" t="inlineStr">
        <is>
          <t>Jamara-3T-16CBM</t>
        </is>
      </c>
      <c r="F299" s="94" t="inlineStr">
        <is>
          <t>16CBM</t>
        </is>
      </c>
      <c r="G299" s="25" t="inlineStr">
        <is>
          <t>Closed Body Logistics</t>
        </is>
      </c>
      <c r="H299" s="97" t="inlineStr">
        <is>
          <t>3T</t>
        </is>
      </c>
      <c r="I299" s="102" t="inlineStr">
        <is>
          <t>Jamara</t>
        </is>
      </c>
      <c r="J299" s="103" t="inlineStr">
        <is>
          <t>Lagos</t>
        </is>
      </c>
      <c r="K299" s="107" t="inlineStr">
        <is>
          <t>Surulere-Tejuosho-Yaba-Ebute Metta-Oyingbo</t>
        </is>
      </c>
      <c r="L299" s="57" t="inlineStr">
        <is>
          <t>Lagos</t>
        </is>
      </c>
      <c r="M299" s="58" t="inlineStr">
        <is>
          <t>Yaba</t>
        </is>
      </c>
      <c r="N299" s="196" t="n">
        <v>15</v>
      </c>
      <c r="O299" s="194">
        <f>N299*2</f>
        <v/>
      </c>
      <c r="P299" s="215">
        <f>ROUNDUP(O299/300,)</f>
        <v/>
      </c>
      <c r="Q299" s="215" t="n">
        <v>0.2</v>
      </c>
      <c r="R299" s="215">
        <f>Q299+P299</f>
        <v/>
      </c>
      <c r="S299" s="197">
        <f>ROUNDDOWN(O299*0.51,)+60</f>
        <v/>
      </c>
      <c r="T299" s="207">
        <f>_xlfn.XLOOKUP(F299,[1]Fx!$A$4:$A$10,[1]Fx!$B$4:$B$10)</f>
        <v/>
      </c>
      <c r="U299" s="207">
        <f>_xlfn.XLOOKUP(F299,[1]Fx!$A$4:$A$10,[1]Fx!$C$4:$C$10)</f>
        <v/>
      </c>
      <c r="V299" s="207">
        <f>_xlfn.XLOOKUP(F299,[1]Fx!$A$4:$A$10,[1]Fx!$D$4:$D$10)</f>
        <v/>
      </c>
      <c r="W299" s="207">
        <f>$V$2</f>
        <v/>
      </c>
      <c r="X299" s="207">
        <f>_xlfn.XLOOKUP(F299,[1]Fx!$A$4:$A$10,[1]Fx!$E$4:$E$10)</f>
        <v/>
      </c>
      <c r="Y299" s="215">
        <f>T299*R299</f>
        <v/>
      </c>
      <c r="Z299" s="215">
        <f>U299*O299</f>
        <v/>
      </c>
      <c r="AA299" s="215">
        <f>V299*O299</f>
        <v/>
      </c>
      <c r="AB299" s="215">
        <f>W299*O299</f>
        <v/>
      </c>
      <c r="AC299" s="197">
        <f>X299*O299</f>
        <v/>
      </c>
      <c r="AD299" s="215" t="n">
        <v>0</v>
      </c>
      <c r="AE299" s="215" t="n">
        <v>0</v>
      </c>
      <c r="AF299" s="207">
        <f>SUM(Y299:AE299)</f>
        <v/>
      </c>
      <c r="AG299" s="254">
        <f>_xlfn.XLOOKUP(F299,[1]Fx!$A$16:$A$22,[1]Fx!$B$16:$B$22)</f>
        <v/>
      </c>
      <c r="AH299" s="207">
        <f>AG299*R299</f>
        <v/>
      </c>
      <c r="AI299" s="207">
        <f>$AH$3*Z299</f>
        <v/>
      </c>
      <c r="AJ299" s="207">
        <f>$AI$3*AA299</f>
        <v/>
      </c>
      <c r="AK299" s="207">
        <f>$AJ$3*AB299</f>
        <v/>
      </c>
      <c r="AL299" s="207">
        <f>$AK$3*AC299</f>
        <v/>
      </c>
      <c r="AM299" s="220">
        <f>SUM(AH299:AL299)</f>
        <v/>
      </c>
      <c r="AN299" s="220" t="n">
        <v>0</v>
      </c>
      <c r="AO299" s="220">
        <f>AN299*AH299</f>
        <v/>
      </c>
      <c r="AP299" s="220">
        <f>AD299</f>
        <v/>
      </c>
      <c r="AQ299" s="220">
        <f>AE299</f>
        <v/>
      </c>
      <c r="AR299" s="208">
        <f>AM299-AO299</f>
        <v/>
      </c>
      <c r="AS299" s="220">
        <f>AR299-AK299</f>
        <v/>
      </c>
      <c r="AT299" s="208">
        <f>AS299*1.075</f>
        <v/>
      </c>
      <c r="AU299" s="208">
        <f>AT299+AK299</f>
        <v/>
      </c>
      <c r="AV299" s="198" t="n">
        <v>88979.54286905425</v>
      </c>
      <c r="AW299" s="220" t="n"/>
      <c r="AX299" s="220">
        <f>AV299-AR299</f>
        <v/>
      </c>
      <c r="AY299" s="35">
        <f>AX299/AR299</f>
        <v/>
      </c>
      <c r="AZ299" s="220">
        <f>AV299-AF299</f>
        <v/>
      </c>
      <c r="BA299" s="215">
        <f>AV299-SUM(Z299:AC299)</f>
        <v/>
      </c>
      <c r="BB299" s="215">
        <f>BA299-Y299</f>
        <v/>
      </c>
      <c r="BC299" s="35">
        <f>BB299/BA299</f>
        <v/>
      </c>
      <c r="BD299" s="35">
        <f>IFERROR(AZ299/AV299,)</f>
        <v/>
      </c>
      <c r="BE299" s="255">
        <f>AV299-SUM(Z299:AC299)</f>
        <v/>
      </c>
      <c r="BF299" s="255">
        <f>AV299-BE299-AC299-AB299</f>
        <v/>
      </c>
      <c r="BG299" s="255">
        <f>AV299-BE299-BF299-AB299</f>
        <v/>
      </c>
      <c r="BH299" s="255">
        <f>AB299</f>
        <v/>
      </c>
      <c r="BI299" s="263" t="inlineStr">
        <is>
          <t>Worst Case Approved</t>
        </is>
      </c>
    </row>
    <row r="300">
      <c r="C300" s="96" t="inlineStr">
        <is>
          <t>YEKENE</t>
        </is>
      </c>
      <c r="D300" s="49">
        <f>CONCATENATE(G300,"-",H300,"-",F300)</f>
        <v/>
      </c>
      <c r="E300" s="95" t="inlineStr">
        <is>
          <t>Jamara-3T-16CBM</t>
        </is>
      </c>
      <c r="F300" s="94" t="inlineStr">
        <is>
          <t>16CBM</t>
        </is>
      </c>
      <c r="G300" s="25" t="inlineStr">
        <is>
          <t>Closed Body Logistics</t>
        </is>
      </c>
      <c r="H300" s="97" t="inlineStr">
        <is>
          <t>3T</t>
        </is>
      </c>
      <c r="I300" s="102" t="inlineStr">
        <is>
          <t>Jamara</t>
        </is>
      </c>
      <c r="J300" s="103" t="inlineStr">
        <is>
          <t>Lagos</t>
        </is>
      </c>
      <c r="K300" s="107" t="inlineStr">
        <is>
          <t>Surulere-Tejuosho-Yaba-Ebute Metta-Oyingbo</t>
        </is>
      </c>
      <c r="L300" s="57" t="inlineStr">
        <is>
          <t>Lagos</t>
        </is>
      </c>
      <c r="M300" s="58" t="inlineStr">
        <is>
          <t>Surulere</t>
        </is>
      </c>
      <c r="N300" s="196" t="n">
        <v>14</v>
      </c>
      <c r="O300" s="194">
        <f>N300*2</f>
        <v/>
      </c>
      <c r="P300" s="215">
        <f>ROUNDUP(O300/300,)</f>
        <v/>
      </c>
      <c r="Q300" s="215" t="n">
        <v>0.2</v>
      </c>
      <c r="R300" s="215">
        <f>Q300+P300</f>
        <v/>
      </c>
      <c r="S300" s="197">
        <f>ROUNDDOWN(O300*0.51,)+60</f>
        <v/>
      </c>
      <c r="T300" s="207">
        <f>_xlfn.XLOOKUP(F300,[1]Fx!$A$4:$A$10,[1]Fx!$B$4:$B$10)</f>
        <v/>
      </c>
      <c r="U300" s="207">
        <f>_xlfn.XLOOKUP(F300,[1]Fx!$A$4:$A$10,[1]Fx!$C$4:$C$10)</f>
        <v/>
      </c>
      <c r="V300" s="207">
        <f>_xlfn.XLOOKUP(F300,[1]Fx!$A$4:$A$10,[1]Fx!$D$4:$D$10)</f>
        <v/>
      </c>
      <c r="W300" s="207">
        <f>$V$2</f>
        <v/>
      </c>
      <c r="X300" s="207">
        <f>_xlfn.XLOOKUP(F300,[1]Fx!$A$4:$A$10,[1]Fx!$E$4:$E$10)</f>
        <v/>
      </c>
      <c r="Y300" s="215">
        <f>T300*R300</f>
        <v/>
      </c>
      <c r="Z300" s="215">
        <f>U300*O300</f>
        <v/>
      </c>
      <c r="AA300" s="215">
        <f>V300*O300</f>
        <v/>
      </c>
      <c r="AB300" s="215">
        <f>W300*O300</f>
        <v/>
      </c>
      <c r="AC300" s="197">
        <f>X300*O300</f>
        <v/>
      </c>
      <c r="AD300" s="215" t="n">
        <v>0</v>
      </c>
      <c r="AE300" s="215" t="n">
        <v>0</v>
      </c>
      <c r="AF300" s="207">
        <f>SUM(Y300:AE300)</f>
        <v/>
      </c>
      <c r="AG300" s="254">
        <f>_xlfn.XLOOKUP(F300,[1]Fx!$A$16:$A$22,[1]Fx!$B$16:$B$22)</f>
        <v/>
      </c>
      <c r="AH300" s="207">
        <f>AG300*R300</f>
        <v/>
      </c>
      <c r="AI300" s="207">
        <f>$AH$3*Z300</f>
        <v/>
      </c>
      <c r="AJ300" s="207">
        <f>$AI$3*AA300</f>
        <v/>
      </c>
      <c r="AK300" s="207">
        <f>$AJ$3*AB300</f>
        <v/>
      </c>
      <c r="AL300" s="207">
        <f>$AK$3*AC300</f>
        <v/>
      </c>
      <c r="AM300" s="220">
        <f>SUM(AH300:AL300)</f>
        <v/>
      </c>
      <c r="AN300" s="220" t="n">
        <v>0</v>
      </c>
      <c r="AO300" s="220">
        <f>AN300*AH300</f>
        <v/>
      </c>
      <c r="AP300" s="220">
        <f>AD300</f>
        <v/>
      </c>
      <c r="AQ300" s="220">
        <f>AE300</f>
        <v/>
      </c>
      <c r="AR300" s="208">
        <f>AM300-AO300</f>
        <v/>
      </c>
      <c r="AS300" s="220">
        <f>AR300-AK300</f>
        <v/>
      </c>
      <c r="AT300" s="208">
        <f>AS300*1.075</f>
        <v/>
      </c>
      <c r="AU300" s="208">
        <f>AT300+AK300</f>
        <v/>
      </c>
      <c r="AV300" s="198" t="n">
        <v>88979.54286905425</v>
      </c>
      <c r="AW300" s="220" t="n"/>
      <c r="AX300" s="220">
        <f>AV300-AR300</f>
        <v/>
      </c>
      <c r="AY300" s="35">
        <f>AX300/AR300</f>
        <v/>
      </c>
      <c r="AZ300" s="220">
        <f>AV300-AF300</f>
        <v/>
      </c>
      <c r="BA300" s="215">
        <f>AV300-SUM(Z300:AC300)</f>
        <v/>
      </c>
      <c r="BB300" s="215">
        <f>BA300-Y300</f>
        <v/>
      </c>
      <c r="BC300" s="35">
        <f>BB300/BA300</f>
        <v/>
      </c>
      <c r="BD300" s="35">
        <f>IFERROR(AZ300/AV300,)</f>
        <v/>
      </c>
      <c r="BE300" s="255">
        <f>AV300-SUM(Z300:AC300)</f>
        <v/>
      </c>
      <c r="BF300" s="255">
        <f>AV300-BE300-AC300-AB300</f>
        <v/>
      </c>
      <c r="BG300" s="255">
        <f>AV300-BE300-BF300-AB300</f>
        <v/>
      </c>
      <c r="BH300" s="255">
        <f>AB300</f>
        <v/>
      </c>
      <c r="BI300" s="263" t="inlineStr">
        <is>
          <t xml:space="preserve">To Check </t>
        </is>
      </c>
    </row>
    <row r="301">
      <c r="C301" s="96" t="inlineStr">
        <is>
          <t>YEKENE</t>
        </is>
      </c>
      <c r="D301" s="49">
        <f>CONCATENATE(G301,"-",H301,"-",F301)</f>
        <v/>
      </c>
      <c r="E301" s="95" t="inlineStr">
        <is>
          <t>Jamara-3T-16CBM</t>
        </is>
      </c>
      <c r="F301" s="94" t="inlineStr">
        <is>
          <t>16CBM</t>
        </is>
      </c>
      <c r="G301" s="25" t="inlineStr">
        <is>
          <t>Closed Body Logistics</t>
        </is>
      </c>
      <c r="H301" s="97" t="inlineStr">
        <is>
          <t>3T</t>
        </is>
      </c>
      <c r="I301" s="102" t="inlineStr">
        <is>
          <t>Jamara</t>
        </is>
      </c>
      <c r="J301" s="103" t="inlineStr">
        <is>
          <t>Lagos</t>
        </is>
      </c>
      <c r="K301" s="107" t="inlineStr">
        <is>
          <t>Surulere-Tejuosho-Yaba-Ebute Metta-Oyingbo</t>
        </is>
      </c>
      <c r="L301" s="57" t="inlineStr">
        <is>
          <t>Lagos</t>
        </is>
      </c>
      <c r="M301" s="58" t="inlineStr">
        <is>
          <t>Tejuosho</t>
        </is>
      </c>
      <c r="N301" s="196" t="n">
        <v>19</v>
      </c>
      <c r="O301" s="194">
        <f>N301*2</f>
        <v/>
      </c>
      <c r="P301" s="215">
        <f>ROUNDUP(O301/300,)</f>
        <v/>
      </c>
      <c r="Q301" s="215" t="n">
        <v>0.2</v>
      </c>
      <c r="R301" s="215">
        <f>Q301+P301</f>
        <v/>
      </c>
      <c r="S301" s="197">
        <f>ROUNDDOWN(O301*0.51,)+60</f>
        <v/>
      </c>
      <c r="T301" s="207">
        <f>_xlfn.XLOOKUP(F301,[1]Fx!$A$4:$A$10,[1]Fx!$B$4:$B$10)</f>
        <v/>
      </c>
      <c r="U301" s="207">
        <f>_xlfn.XLOOKUP(F301,[1]Fx!$A$4:$A$10,[1]Fx!$C$4:$C$10)</f>
        <v/>
      </c>
      <c r="V301" s="207">
        <f>_xlfn.XLOOKUP(F301,[1]Fx!$A$4:$A$10,[1]Fx!$D$4:$D$10)</f>
        <v/>
      </c>
      <c r="W301" s="207">
        <f>$V$2</f>
        <v/>
      </c>
      <c r="X301" s="207">
        <f>_xlfn.XLOOKUP(F301,[1]Fx!$A$4:$A$10,[1]Fx!$E$4:$E$10)</f>
        <v/>
      </c>
      <c r="Y301" s="215">
        <f>T301*R301</f>
        <v/>
      </c>
      <c r="Z301" s="215">
        <f>U301*O301</f>
        <v/>
      </c>
      <c r="AA301" s="215">
        <f>V301*O301</f>
        <v/>
      </c>
      <c r="AB301" s="215">
        <f>W301*O301</f>
        <v/>
      </c>
      <c r="AC301" s="197">
        <f>X301*O301</f>
        <v/>
      </c>
      <c r="AD301" s="215" t="n">
        <v>0</v>
      </c>
      <c r="AE301" s="215" t="n">
        <v>0</v>
      </c>
      <c r="AF301" s="207">
        <f>SUM(Y301:AE301)</f>
        <v/>
      </c>
      <c r="AG301" s="254">
        <f>_xlfn.XLOOKUP(F301,[1]Fx!$A$16:$A$22,[1]Fx!$B$16:$B$22)</f>
        <v/>
      </c>
      <c r="AH301" s="207">
        <f>AG301*R301</f>
        <v/>
      </c>
      <c r="AI301" s="207">
        <f>$AH$3*Z301</f>
        <v/>
      </c>
      <c r="AJ301" s="207">
        <f>$AI$3*AA301</f>
        <v/>
      </c>
      <c r="AK301" s="207">
        <f>$AJ$3*AB301</f>
        <v/>
      </c>
      <c r="AL301" s="207">
        <f>$AK$3*AC301</f>
        <v/>
      </c>
      <c r="AM301" s="220">
        <f>SUM(AH301:AL301)</f>
        <v/>
      </c>
      <c r="AN301" s="220" t="n">
        <v>0</v>
      </c>
      <c r="AO301" s="220">
        <f>AN301*AH301</f>
        <v/>
      </c>
      <c r="AP301" s="220">
        <f>AD301</f>
        <v/>
      </c>
      <c r="AQ301" s="220">
        <f>AE301</f>
        <v/>
      </c>
      <c r="AR301" s="208">
        <f>AM301-AO301</f>
        <v/>
      </c>
      <c r="AS301" s="220">
        <f>AR301-AK301</f>
        <v/>
      </c>
      <c r="AT301" s="208">
        <f>AS301*1.075</f>
        <v/>
      </c>
      <c r="AU301" s="208">
        <f>AT301+AK301</f>
        <v/>
      </c>
      <c r="AV301" s="198" t="n">
        <v>88979.54286905425</v>
      </c>
      <c r="AW301" s="220" t="n"/>
      <c r="AX301" s="220">
        <f>AV301-AR301</f>
        <v/>
      </c>
      <c r="AY301" s="35">
        <f>AX301/AR301</f>
        <v/>
      </c>
      <c r="AZ301" s="220">
        <f>AV301-AF301</f>
        <v/>
      </c>
      <c r="BA301" s="215">
        <f>AV301-SUM(Z301:AC301)</f>
        <v/>
      </c>
      <c r="BB301" s="215">
        <f>BA301-Y301</f>
        <v/>
      </c>
      <c r="BC301" s="35">
        <f>BB301/BA301</f>
        <v/>
      </c>
      <c r="BD301" s="35">
        <f>IFERROR(AZ301/AV301,)</f>
        <v/>
      </c>
      <c r="BE301" s="255">
        <f>AV301-SUM(Z301:AC301)</f>
        <v/>
      </c>
      <c r="BF301" s="255">
        <f>AV301-BE301-AC301-AB301</f>
        <v/>
      </c>
      <c r="BG301" s="255">
        <f>AV301-BE301-BF301-AB301</f>
        <v/>
      </c>
      <c r="BH301" s="255">
        <f>AB301</f>
        <v/>
      </c>
      <c r="BI301" s="263" t="inlineStr">
        <is>
          <t>Worst Case Approved</t>
        </is>
      </c>
    </row>
    <row r="302">
      <c r="C302" s="96" t="inlineStr">
        <is>
          <t>YEKENE</t>
        </is>
      </c>
      <c r="D302" s="49">
        <f>CONCATENATE(G302,"-",H302,"-",F302)</f>
        <v/>
      </c>
      <c r="E302" s="95" t="inlineStr">
        <is>
          <t>Jamara-3T-16CBM</t>
        </is>
      </c>
      <c r="F302" s="94" t="inlineStr">
        <is>
          <t>16CBM</t>
        </is>
      </c>
      <c r="G302" s="25" t="inlineStr">
        <is>
          <t>Closed Body Logistics</t>
        </is>
      </c>
      <c r="H302" s="97" t="inlineStr">
        <is>
          <t>3T</t>
        </is>
      </c>
      <c r="I302" s="102" t="inlineStr">
        <is>
          <t>Jamara</t>
        </is>
      </c>
      <c r="J302" s="103" t="inlineStr">
        <is>
          <t>Lagos</t>
        </is>
      </c>
      <c r="K302" s="104" t="inlineStr">
        <is>
          <t>Victoria Island-Lekki-Ajah</t>
        </is>
      </c>
      <c r="L302" s="57" t="inlineStr">
        <is>
          <t>Lagos</t>
        </is>
      </c>
      <c r="M302" s="58" t="inlineStr">
        <is>
          <t>Ibeju-Lekki</t>
        </is>
      </c>
      <c r="N302" s="196" t="n">
        <v>75</v>
      </c>
      <c r="O302" s="194">
        <f>N302*2</f>
        <v/>
      </c>
      <c r="P302" s="215">
        <f>ROUNDUP(O302/300,)</f>
        <v/>
      </c>
      <c r="Q302" s="215" t="n">
        <v>0.2</v>
      </c>
      <c r="R302" s="215">
        <f>Q302+P302</f>
        <v/>
      </c>
      <c r="S302" s="197">
        <f>ROUNDDOWN(O302*0.51,)+60</f>
        <v/>
      </c>
      <c r="T302" s="207">
        <f>_xlfn.XLOOKUP(F302,[1]Fx!$A$4:$A$10,[1]Fx!$B$4:$B$10)</f>
        <v/>
      </c>
      <c r="U302" s="207">
        <f>_xlfn.XLOOKUP(F302,[1]Fx!$A$4:$A$10,[1]Fx!$C$4:$C$10)</f>
        <v/>
      </c>
      <c r="V302" s="207">
        <f>_xlfn.XLOOKUP(F302,[1]Fx!$A$4:$A$10,[1]Fx!$D$4:$D$10)</f>
        <v/>
      </c>
      <c r="W302" s="207">
        <f>$V$2</f>
        <v/>
      </c>
      <c r="X302" s="207">
        <f>_xlfn.XLOOKUP(F302,[1]Fx!$A$4:$A$10,[1]Fx!$E$4:$E$10)</f>
        <v/>
      </c>
      <c r="Y302" s="215">
        <f>T302*R302</f>
        <v/>
      </c>
      <c r="Z302" s="215">
        <f>U302*O302</f>
        <v/>
      </c>
      <c r="AA302" s="215">
        <f>V302*O302</f>
        <v/>
      </c>
      <c r="AB302" s="215">
        <f>W302*O302</f>
        <v/>
      </c>
      <c r="AC302" s="197">
        <f>X302*O302</f>
        <v/>
      </c>
      <c r="AD302" s="215" t="n">
        <v>0</v>
      </c>
      <c r="AE302" s="215" t="n">
        <v>0</v>
      </c>
      <c r="AF302" s="207">
        <f>SUM(Y302:AE302)</f>
        <v/>
      </c>
      <c r="AG302" s="254">
        <f>_xlfn.XLOOKUP(F302,[1]Fx!$A$16:$A$22,[1]Fx!$B$16:$B$22)</f>
        <v/>
      </c>
      <c r="AH302" s="207">
        <f>AG302*R302</f>
        <v/>
      </c>
      <c r="AI302" s="207">
        <f>$AH$3*Z302</f>
        <v/>
      </c>
      <c r="AJ302" s="207">
        <f>$AI$3*AA302</f>
        <v/>
      </c>
      <c r="AK302" s="207">
        <f>$AJ$3*AB302</f>
        <v/>
      </c>
      <c r="AL302" s="207">
        <f>$AK$3*AC302</f>
        <v/>
      </c>
      <c r="AM302" s="220">
        <f>SUM(AH302:AL302)</f>
        <v/>
      </c>
      <c r="AN302" s="220" t="n">
        <v>0</v>
      </c>
      <c r="AO302" s="220">
        <f>AN302*AH302</f>
        <v/>
      </c>
      <c r="AP302" s="220">
        <f>AD302</f>
        <v/>
      </c>
      <c r="AQ302" s="220">
        <f>AE302</f>
        <v/>
      </c>
      <c r="AR302" s="208">
        <f>AM302-AO302</f>
        <v/>
      </c>
      <c r="AS302" s="220">
        <f>AR302-AK302</f>
        <v/>
      </c>
      <c r="AT302" s="208">
        <f>AS302*1.075</f>
        <v/>
      </c>
      <c r="AU302" s="208">
        <f>AT302+AK302</f>
        <v/>
      </c>
      <c r="AV302" s="198" t="n">
        <v>88979.54286905425</v>
      </c>
      <c r="AW302" s="220" t="n"/>
      <c r="AX302" s="220">
        <f>AV302-AR302</f>
        <v/>
      </c>
      <c r="AY302" s="35">
        <f>AX302/AR302</f>
        <v/>
      </c>
      <c r="AZ302" s="220">
        <f>AV302-AF302</f>
        <v/>
      </c>
      <c r="BA302" s="215">
        <f>AV302-SUM(Z302:AC302)</f>
        <v/>
      </c>
      <c r="BB302" s="215">
        <f>BA302-Y302</f>
        <v/>
      </c>
      <c r="BC302" s="35">
        <f>BB302/BA302</f>
        <v/>
      </c>
      <c r="BD302" s="35">
        <f>IFERROR(AZ302/AV302,)</f>
        <v/>
      </c>
      <c r="BE302" s="255">
        <f>AV302-SUM(Z302:AC302)</f>
        <v/>
      </c>
      <c r="BF302" s="255">
        <f>AV302-BE302-AC302-AB302</f>
        <v/>
      </c>
      <c r="BG302" s="255">
        <f>AV302-BE302-BF302-AB302</f>
        <v/>
      </c>
      <c r="BH302" s="255">
        <f>AB302</f>
        <v/>
      </c>
      <c r="BI302" s="263" t="inlineStr">
        <is>
          <t>Worst Case Approved</t>
        </is>
      </c>
    </row>
    <row r="303">
      <c r="C303" s="96" t="inlineStr">
        <is>
          <t>YEKENE</t>
        </is>
      </c>
      <c r="D303" s="49">
        <f>CONCATENATE(G303,"-",H303,"-",F303)</f>
        <v/>
      </c>
      <c r="E303" s="95" t="inlineStr">
        <is>
          <t>Jamara-3T-16CBM</t>
        </is>
      </c>
      <c r="F303" s="94" t="inlineStr">
        <is>
          <t>16CBM</t>
        </is>
      </c>
      <c r="G303" s="25" t="inlineStr">
        <is>
          <t>Closed Body Logistics</t>
        </is>
      </c>
      <c r="H303" s="97" t="inlineStr">
        <is>
          <t>3T</t>
        </is>
      </c>
      <c r="I303" s="102" t="inlineStr">
        <is>
          <t>Jamara</t>
        </is>
      </c>
      <c r="J303" s="103" t="inlineStr">
        <is>
          <t>Lagos</t>
        </is>
      </c>
      <c r="K303" s="104" t="inlineStr">
        <is>
          <t>Victoria Island-Lekki-Ajah</t>
        </is>
      </c>
      <c r="L303" s="57" t="inlineStr">
        <is>
          <t>Lagos</t>
        </is>
      </c>
      <c r="M303" s="58" t="inlineStr">
        <is>
          <t>Ajah</t>
        </is>
      </c>
      <c r="N303" s="196" t="n">
        <v>40</v>
      </c>
      <c r="O303" s="194">
        <f>N303*2</f>
        <v/>
      </c>
      <c r="P303" s="215">
        <f>ROUNDUP(O303/300,)</f>
        <v/>
      </c>
      <c r="Q303" s="215" t="n">
        <v>0.2</v>
      </c>
      <c r="R303" s="215">
        <f>Q303+P303</f>
        <v/>
      </c>
      <c r="S303" s="197">
        <f>ROUNDDOWN(O303*0.51,)+60</f>
        <v/>
      </c>
      <c r="T303" s="207">
        <f>_xlfn.XLOOKUP(F303,[1]Fx!$A$4:$A$10,[1]Fx!$B$4:$B$10)</f>
        <v/>
      </c>
      <c r="U303" s="207">
        <f>_xlfn.XLOOKUP(F303,[1]Fx!$A$4:$A$10,[1]Fx!$C$4:$C$10)</f>
        <v/>
      </c>
      <c r="V303" s="207">
        <f>_xlfn.XLOOKUP(F303,[1]Fx!$A$4:$A$10,[1]Fx!$D$4:$D$10)</f>
        <v/>
      </c>
      <c r="W303" s="207">
        <f>$V$2</f>
        <v/>
      </c>
      <c r="X303" s="207">
        <f>_xlfn.XLOOKUP(F303,[1]Fx!$A$4:$A$10,[1]Fx!$E$4:$E$10)</f>
        <v/>
      </c>
      <c r="Y303" s="215">
        <f>T303*R303</f>
        <v/>
      </c>
      <c r="Z303" s="215">
        <f>U303*O303</f>
        <v/>
      </c>
      <c r="AA303" s="215">
        <f>V303*O303</f>
        <v/>
      </c>
      <c r="AB303" s="215">
        <f>W303*O303</f>
        <v/>
      </c>
      <c r="AC303" s="197">
        <f>X303*O303</f>
        <v/>
      </c>
      <c r="AD303" s="215" t="n">
        <v>0</v>
      </c>
      <c r="AE303" s="215" t="n">
        <v>0</v>
      </c>
      <c r="AF303" s="207">
        <f>SUM(Y303:AE303)</f>
        <v/>
      </c>
      <c r="AG303" s="254">
        <f>_xlfn.XLOOKUP(F303,[1]Fx!$A$16:$A$22,[1]Fx!$B$16:$B$22)</f>
        <v/>
      </c>
      <c r="AH303" s="207">
        <f>AG303*R303</f>
        <v/>
      </c>
      <c r="AI303" s="207">
        <f>$AH$3*Z303</f>
        <v/>
      </c>
      <c r="AJ303" s="207">
        <f>$AI$3*AA303</f>
        <v/>
      </c>
      <c r="AK303" s="207">
        <f>$AJ$3*AB303</f>
        <v/>
      </c>
      <c r="AL303" s="207">
        <f>$AK$3*AC303</f>
        <v/>
      </c>
      <c r="AM303" s="220">
        <f>SUM(AH303:AL303)</f>
        <v/>
      </c>
      <c r="AN303" s="220" t="n">
        <v>0</v>
      </c>
      <c r="AO303" s="220">
        <f>AN303*AH303</f>
        <v/>
      </c>
      <c r="AP303" s="220">
        <f>AD303</f>
        <v/>
      </c>
      <c r="AQ303" s="220">
        <f>AE303</f>
        <v/>
      </c>
      <c r="AR303" s="208">
        <f>AM303-AO303</f>
        <v/>
      </c>
      <c r="AS303" s="220">
        <f>AR303-AK303</f>
        <v/>
      </c>
      <c r="AT303" s="208">
        <f>AS303*1.075</f>
        <v/>
      </c>
      <c r="AU303" s="208">
        <f>AT303+AK303</f>
        <v/>
      </c>
      <c r="AV303" s="198" t="n">
        <v>88979.54286905425</v>
      </c>
      <c r="AW303" s="220" t="n"/>
      <c r="AX303" s="220">
        <f>AV303-AR303</f>
        <v/>
      </c>
      <c r="AY303" s="35">
        <f>AX303/AR303</f>
        <v/>
      </c>
      <c r="AZ303" s="220">
        <f>AV303-AF303</f>
        <v/>
      </c>
      <c r="BA303" s="215">
        <f>AV303-SUM(Z303:AC303)</f>
        <v/>
      </c>
      <c r="BB303" s="215">
        <f>BA303-Y303</f>
        <v/>
      </c>
      <c r="BC303" s="35">
        <f>BB303/BA303</f>
        <v/>
      </c>
      <c r="BD303" s="35">
        <f>IFERROR(AZ303/AV303,)</f>
        <v/>
      </c>
      <c r="BE303" s="255">
        <f>AV303-SUM(Z303:AC303)</f>
        <v/>
      </c>
      <c r="BF303" s="255">
        <f>AV303-BE303-AC303-AB303</f>
        <v/>
      </c>
      <c r="BG303" s="255">
        <f>AV303-BE303-BF303-AB303</f>
        <v/>
      </c>
      <c r="BH303" s="255">
        <f>AB303</f>
        <v/>
      </c>
      <c r="BI303" s="263" t="inlineStr">
        <is>
          <t>Approved</t>
        </is>
      </c>
    </row>
    <row r="304">
      <c r="C304" s="96" t="inlineStr">
        <is>
          <t>YEKENE</t>
        </is>
      </c>
      <c r="D304" s="49">
        <f>CONCATENATE(G304,"-",H304,"-",F304)</f>
        <v/>
      </c>
      <c r="E304" s="95" t="inlineStr">
        <is>
          <t>Jamara-3T-16CBM</t>
        </is>
      </c>
      <c r="F304" s="94" t="inlineStr">
        <is>
          <t>16CBM</t>
        </is>
      </c>
      <c r="G304" s="25" t="inlineStr">
        <is>
          <t>Closed Body Logistics</t>
        </is>
      </c>
      <c r="H304" s="97" t="inlineStr">
        <is>
          <t>3T</t>
        </is>
      </c>
      <c r="I304" s="102" t="inlineStr">
        <is>
          <t>Jamara</t>
        </is>
      </c>
      <c r="J304" s="103" t="inlineStr">
        <is>
          <t>Lagos</t>
        </is>
      </c>
      <c r="K304" s="111" t="inlineStr">
        <is>
          <t>Victoria Island-Lekki-Ajah</t>
        </is>
      </c>
      <c r="L304" s="57" t="inlineStr">
        <is>
          <t>Lagos</t>
        </is>
      </c>
      <c r="M304" s="58" t="inlineStr">
        <is>
          <t>Lekki</t>
        </is>
      </c>
      <c r="N304" s="196" t="n">
        <v>35</v>
      </c>
      <c r="O304" s="194">
        <f>N304*2</f>
        <v/>
      </c>
      <c r="P304" s="215">
        <f>ROUNDUP(O304/300,)</f>
        <v/>
      </c>
      <c r="Q304" s="215" t="n">
        <v>0.2</v>
      </c>
      <c r="R304" s="215">
        <f>Q304+P304</f>
        <v/>
      </c>
      <c r="S304" s="197">
        <f>ROUNDDOWN(O304*0.51,)+60</f>
        <v/>
      </c>
      <c r="T304" s="207">
        <f>_xlfn.XLOOKUP(F304,[1]Fx!$A$4:$A$10,[1]Fx!$B$4:$B$10)</f>
        <v/>
      </c>
      <c r="U304" s="207">
        <f>_xlfn.XLOOKUP(F304,[1]Fx!$A$4:$A$10,[1]Fx!$C$4:$C$10)</f>
        <v/>
      </c>
      <c r="V304" s="207">
        <f>_xlfn.XLOOKUP(F304,[1]Fx!$A$4:$A$10,[1]Fx!$D$4:$D$10)</f>
        <v/>
      </c>
      <c r="W304" s="207">
        <f>$V$2</f>
        <v/>
      </c>
      <c r="X304" s="207">
        <f>_xlfn.XLOOKUP(F304,[1]Fx!$A$4:$A$10,[1]Fx!$E$4:$E$10)</f>
        <v/>
      </c>
      <c r="Y304" s="215">
        <f>T304*R304</f>
        <v/>
      </c>
      <c r="Z304" s="215">
        <f>U304*O304</f>
        <v/>
      </c>
      <c r="AA304" s="215">
        <f>V304*O304</f>
        <v/>
      </c>
      <c r="AB304" s="215">
        <f>W304*O304</f>
        <v/>
      </c>
      <c r="AC304" s="197">
        <f>X304*O304</f>
        <v/>
      </c>
      <c r="AD304" s="215" t="n">
        <v>0</v>
      </c>
      <c r="AE304" s="215" t="n">
        <v>0</v>
      </c>
      <c r="AF304" s="207">
        <f>SUM(Y304:AE304)</f>
        <v/>
      </c>
      <c r="AG304" s="254">
        <f>_xlfn.XLOOKUP(F304,[1]Fx!$A$16:$A$22,[1]Fx!$B$16:$B$22)</f>
        <v/>
      </c>
      <c r="AH304" s="207">
        <f>AG304*R304</f>
        <v/>
      </c>
      <c r="AI304" s="207">
        <f>$AH$3*Z304</f>
        <v/>
      </c>
      <c r="AJ304" s="207">
        <f>$AI$3*AA304</f>
        <v/>
      </c>
      <c r="AK304" s="207">
        <f>$AJ$3*AB304</f>
        <v/>
      </c>
      <c r="AL304" s="207">
        <f>$AK$3*AC304</f>
        <v/>
      </c>
      <c r="AM304" s="220">
        <f>SUM(AH304:AL304)</f>
        <v/>
      </c>
      <c r="AN304" s="220" t="n">
        <v>0</v>
      </c>
      <c r="AO304" s="220">
        <f>AN304*AH304</f>
        <v/>
      </c>
      <c r="AP304" s="220">
        <f>AD304</f>
        <v/>
      </c>
      <c r="AQ304" s="220">
        <f>AE304</f>
        <v/>
      </c>
      <c r="AR304" s="208">
        <f>AM304-AO304</f>
        <v/>
      </c>
      <c r="AS304" s="220">
        <f>AR304-AK304</f>
        <v/>
      </c>
      <c r="AT304" s="208">
        <f>AS304*1.075</f>
        <v/>
      </c>
      <c r="AU304" s="208">
        <f>AT304+AK304</f>
        <v/>
      </c>
      <c r="AV304" s="198" t="n">
        <v>88979.54286905425</v>
      </c>
      <c r="AW304" s="220" t="n">
        <v>175000</v>
      </c>
      <c r="AX304" s="220">
        <f>AV304-AR304</f>
        <v/>
      </c>
      <c r="AY304" s="35">
        <f>AX304/AR304</f>
        <v/>
      </c>
      <c r="AZ304" s="220">
        <f>AV304-AF304</f>
        <v/>
      </c>
      <c r="BA304" s="215">
        <f>AV304-SUM(Z304:AC304)</f>
        <v/>
      </c>
      <c r="BB304" s="215">
        <f>BA304-Y304</f>
        <v/>
      </c>
      <c r="BC304" s="35">
        <f>BB304/BA304</f>
        <v/>
      </c>
      <c r="BD304" s="35">
        <f>IFERROR(AZ304/AV304,)</f>
        <v/>
      </c>
      <c r="BE304" s="255">
        <f>AV304-SUM(Z304:AC304)</f>
        <v/>
      </c>
      <c r="BF304" s="255">
        <f>AV304-BE304-AC304-AB304</f>
        <v/>
      </c>
      <c r="BG304" s="255">
        <f>AV304-BE304-BF304-AB304</f>
        <v/>
      </c>
      <c r="BH304" s="255">
        <f>AB304</f>
        <v/>
      </c>
      <c r="BI304" s="263" t="inlineStr">
        <is>
          <t>Worst Case Approved</t>
        </is>
      </c>
    </row>
    <row r="305">
      <c r="C305" s="96" t="inlineStr">
        <is>
          <t>YEKENE</t>
        </is>
      </c>
      <c r="D305" s="49">
        <f>CONCATENATE(G305,"-",H305,"-",F305)</f>
        <v/>
      </c>
      <c r="E305" s="95" t="inlineStr">
        <is>
          <t>Jamara-3T-16CBM</t>
        </is>
      </c>
      <c r="F305" s="94" t="inlineStr">
        <is>
          <t>16CBM</t>
        </is>
      </c>
      <c r="G305" s="25" t="inlineStr">
        <is>
          <t>Closed Body Logistics</t>
        </is>
      </c>
      <c r="H305" s="97" t="inlineStr">
        <is>
          <t>3T</t>
        </is>
      </c>
      <c r="I305" s="102" t="inlineStr">
        <is>
          <t>Jamara</t>
        </is>
      </c>
      <c r="J305" s="103" t="inlineStr">
        <is>
          <t>Lagos</t>
        </is>
      </c>
      <c r="K305" s="111" t="inlineStr">
        <is>
          <t>Victoria Island-Lekki-Ajah</t>
        </is>
      </c>
      <c r="L305" s="57" t="inlineStr">
        <is>
          <t>Lagos</t>
        </is>
      </c>
      <c r="M305" s="58" t="inlineStr">
        <is>
          <t>Victoria Island</t>
        </is>
      </c>
      <c r="N305" s="196" t="n">
        <v>25</v>
      </c>
      <c r="O305" s="194">
        <f>N305*2</f>
        <v/>
      </c>
      <c r="P305" s="215">
        <f>ROUNDUP(O305/300,)</f>
        <v/>
      </c>
      <c r="Q305" s="215" t="n">
        <v>0.2</v>
      </c>
      <c r="R305" s="215">
        <f>Q305+P305</f>
        <v/>
      </c>
      <c r="S305" s="197">
        <f>ROUNDDOWN(O305*0.51,)+60</f>
        <v/>
      </c>
      <c r="T305" s="207">
        <f>_xlfn.XLOOKUP(F305,[1]Fx!$A$4:$A$10,[1]Fx!$B$4:$B$10)</f>
        <v/>
      </c>
      <c r="U305" s="207">
        <f>_xlfn.XLOOKUP(F305,[1]Fx!$A$4:$A$10,[1]Fx!$C$4:$C$10)</f>
        <v/>
      </c>
      <c r="V305" s="207">
        <f>_xlfn.XLOOKUP(F305,[1]Fx!$A$4:$A$10,[1]Fx!$D$4:$D$10)</f>
        <v/>
      </c>
      <c r="W305" s="207">
        <f>$V$2</f>
        <v/>
      </c>
      <c r="X305" s="207">
        <f>_xlfn.XLOOKUP(F305,[1]Fx!$A$4:$A$10,[1]Fx!$E$4:$E$10)</f>
        <v/>
      </c>
      <c r="Y305" s="215">
        <f>T305*R305</f>
        <v/>
      </c>
      <c r="Z305" s="215">
        <f>U305*O305</f>
        <v/>
      </c>
      <c r="AA305" s="215">
        <f>V305*O305</f>
        <v/>
      </c>
      <c r="AB305" s="215">
        <f>W305*O305</f>
        <v/>
      </c>
      <c r="AC305" s="197">
        <f>X305*O305</f>
        <v/>
      </c>
      <c r="AD305" s="215" t="n">
        <v>0</v>
      </c>
      <c r="AE305" s="215" t="n">
        <v>0</v>
      </c>
      <c r="AF305" s="207">
        <f>SUM(Y305:AE305)</f>
        <v/>
      </c>
      <c r="AG305" s="254">
        <f>_xlfn.XLOOKUP(F305,[1]Fx!$A$16:$A$22,[1]Fx!$B$16:$B$22)</f>
        <v/>
      </c>
      <c r="AH305" s="207">
        <f>AG305*R305</f>
        <v/>
      </c>
      <c r="AI305" s="207">
        <f>$AH$3*Z305</f>
        <v/>
      </c>
      <c r="AJ305" s="207">
        <f>$AI$3*AA305</f>
        <v/>
      </c>
      <c r="AK305" s="207">
        <f>$AJ$3*AB305</f>
        <v/>
      </c>
      <c r="AL305" s="207">
        <f>$AK$3*AC305</f>
        <v/>
      </c>
      <c r="AM305" s="220">
        <f>SUM(AH305:AL305)</f>
        <v/>
      </c>
      <c r="AN305" s="220" t="n">
        <v>0</v>
      </c>
      <c r="AO305" s="220">
        <f>AN305*AH305</f>
        <v/>
      </c>
      <c r="AP305" s="220">
        <f>AD305</f>
        <v/>
      </c>
      <c r="AQ305" s="220">
        <f>AE305</f>
        <v/>
      </c>
      <c r="AR305" s="208">
        <f>AM305-AO305</f>
        <v/>
      </c>
      <c r="AS305" s="220">
        <f>AR305-AK305</f>
        <v/>
      </c>
      <c r="AT305" s="208">
        <f>AS305*1.075</f>
        <v/>
      </c>
      <c r="AU305" s="208">
        <f>AT305+AK305</f>
        <v/>
      </c>
      <c r="AV305" s="198" t="n">
        <v>88979.54286905425</v>
      </c>
      <c r="AW305" s="220" t="n">
        <v>150000</v>
      </c>
      <c r="AX305" s="220">
        <f>AV305-AR305</f>
        <v/>
      </c>
      <c r="AY305" s="35">
        <f>AX305/AR305</f>
        <v/>
      </c>
      <c r="AZ305" s="220">
        <f>AV305-AF305</f>
        <v/>
      </c>
      <c r="BA305" s="215">
        <f>AV305-SUM(Z305:AC305)</f>
        <v/>
      </c>
      <c r="BB305" s="215">
        <f>BA305-Y305</f>
        <v/>
      </c>
      <c r="BC305" s="35">
        <f>BB305/BA305</f>
        <v/>
      </c>
      <c r="BD305" s="35">
        <f>IFERROR(AZ305/AV305,)</f>
        <v/>
      </c>
      <c r="BE305" s="255">
        <f>AV305-SUM(Z305:AC305)</f>
        <v/>
      </c>
      <c r="BF305" s="255">
        <f>AV305-BE305-AC305-AB305</f>
        <v/>
      </c>
      <c r="BG305" s="255">
        <f>AV305-BE305-BF305-AB305</f>
        <v/>
      </c>
      <c r="BH305" s="255">
        <f>AB305</f>
        <v/>
      </c>
      <c r="BI305" s="263" t="inlineStr">
        <is>
          <t>Worst Case Approved</t>
        </is>
      </c>
    </row>
    <row r="306">
      <c r="C306" s="96" t="inlineStr">
        <is>
          <t>YEKENE</t>
        </is>
      </c>
      <c r="D306" s="49">
        <f>CONCATENATE(G306,"-",H306,"-",F306)</f>
        <v/>
      </c>
      <c r="E306" s="95" t="inlineStr">
        <is>
          <t>Jamara-3T-16CBM</t>
        </is>
      </c>
      <c r="F306" s="94" t="inlineStr">
        <is>
          <t>16CBM</t>
        </is>
      </c>
      <c r="G306" s="25" t="inlineStr">
        <is>
          <t>Closed Body Logistics</t>
        </is>
      </c>
      <c r="H306" s="97" t="inlineStr">
        <is>
          <t>3T</t>
        </is>
      </c>
      <c r="I306" s="102" t="inlineStr">
        <is>
          <t>Jamara</t>
        </is>
      </c>
      <c r="J306" s="103" t="inlineStr">
        <is>
          <t>Lagos</t>
        </is>
      </c>
      <c r="K306" s="111" t="inlineStr">
        <is>
          <t>Victoria Island-Lekki-Ajah</t>
        </is>
      </c>
      <c r="L306" s="57" t="inlineStr">
        <is>
          <t>Lagos</t>
        </is>
      </c>
      <c r="M306" s="58" t="inlineStr">
        <is>
          <t>Oniru</t>
        </is>
      </c>
      <c r="N306" s="196" t="n">
        <v>28</v>
      </c>
      <c r="O306" s="194">
        <f>N306*2</f>
        <v/>
      </c>
      <c r="P306" s="215">
        <f>ROUNDUP(O306/300,)</f>
        <v/>
      </c>
      <c r="Q306" s="215" t="n">
        <v>0.2</v>
      </c>
      <c r="R306" s="215">
        <f>Q306+P306</f>
        <v/>
      </c>
      <c r="S306" s="197">
        <f>ROUNDDOWN(O306*0.51,)+60</f>
        <v/>
      </c>
      <c r="T306" s="207">
        <f>_xlfn.XLOOKUP(F306,[1]Fx!$A$4:$A$10,[1]Fx!$B$4:$B$10)</f>
        <v/>
      </c>
      <c r="U306" s="207">
        <f>_xlfn.XLOOKUP(F306,[1]Fx!$A$4:$A$10,[1]Fx!$C$4:$C$10)</f>
        <v/>
      </c>
      <c r="V306" s="207">
        <f>_xlfn.XLOOKUP(F306,[1]Fx!$A$4:$A$10,[1]Fx!$D$4:$D$10)</f>
        <v/>
      </c>
      <c r="W306" s="207">
        <f>$V$2</f>
        <v/>
      </c>
      <c r="X306" s="207">
        <f>_xlfn.XLOOKUP(F306,[1]Fx!$A$4:$A$10,[1]Fx!$E$4:$E$10)</f>
        <v/>
      </c>
      <c r="Y306" s="215">
        <f>T306*R306</f>
        <v/>
      </c>
      <c r="Z306" s="215">
        <f>U306*O306</f>
        <v/>
      </c>
      <c r="AA306" s="215">
        <f>V306*O306</f>
        <v/>
      </c>
      <c r="AB306" s="215">
        <f>W306*O306</f>
        <v/>
      </c>
      <c r="AC306" s="197">
        <f>X306*O306</f>
        <v/>
      </c>
      <c r="AD306" s="215" t="n">
        <v>0</v>
      </c>
      <c r="AE306" s="215" t="n">
        <v>0</v>
      </c>
      <c r="AF306" s="207">
        <f>SUM(Y306:AE306)</f>
        <v/>
      </c>
      <c r="AG306" s="254">
        <f>_xlfn.XLOOKUP(F306,[1]Fx!$A$16:$A$22,[1]Fx!$B$16:$B$22)</f>
        <v/>
      </c>
      <c r="AH306" s="207">
        <f>AG306*R306</f>
        <v/>
      </c>
      <c r="AI306" s="207">
        <f>$AH$3*Z306</f>
        <v/>
      </c>
      <c r="AJ306" s="207">
        <f>$AI$3*AA306</f>
        <v/>
      </c>
      <c r="AK306" s="207">
        <f>$AJ$3*AB306</f>
        <v/>
      </c>
      <c r="AL306" s="207">
        <f>$AK$3*AC306</f>
        <v/>
      </c>
      <c r="AM306" s="220">
        <f>SUM(AH306:AL306)</f>
        <v/>
      </c>
      <c r="AN306" s="35" t="n">
        <v>0.1</v>
      </c>
      <c r="AO306" s="220">
        <f>AN306*AH306</f>
        <v/>
      </c>
      <c r="AP306" s="220">
        <f>AD306</f>
        <v/>
      </c>
      <c r="AQ306" s="220">
        <f>AE306</f>
        <v/>
      </c>
      <c r="AR306" s="208">
        <f>AM306-AO306</f>
        <v/>
      </c>
      <c r="AS306" s="220">
        <f>AR306-AK306</f>
        <v/>
      </c>
      <c r="AT306" s="208">
        <f>AS306*1.075</f>
        <v/>
      </c>
      <c r="AU306" s="208">
        <f>AT306+AK306</f>
        <v/>
      </c>
      <c r="AV306" s="198" t="n">
        <v>80081.58858214882</v>
      </c>
      <c r="AW306" s="220" t="n">
        <v>145000</v>
      </c>
      <c r="AX306" s="220">
        <f>AV306-AR306</f>
        <v/>
      </c>
      <c r="AY306" s="35">
        <f>AX306/AR306</f>
        <v/>
      </c>
      <c r="AZ306" s="220">
        <f>AV306-AF306</f>
        <v/>
      </c>
      <c r="BA306" s="215">
        <f>AV306-SUM(Z306:AC306)</f>
        <v/>
      </c>
      <c r="BB306" s="215">
        <f>BA306-Y306</f>
        <v/>
      </c>
      <c r="BC306" s="35">
        <f>BB306/BA306</f>
        <v/>
      </c>
      <c r="BD306" s="35">
        <f>IFERROR(AZ306/AV306,)</f>
        <v/>
      </c>
      <c r="BE306" s="255">
        <f>AV306-SUM(Z306:AC306)</f>
        <v/>
      </c>
      <c r="BF306" s="255">
        <f>AV306-BE306-AC306-AB306</f>
        <v/>
      </c>
      <c r="BG306" s="255">
        <f>AV306-BE306-BF306-AB306</f>
        <v/>
      </c>
      <c r="BH306" s="255">
        <f>AB306</f>
        <v/>
      </c>
      <c r="BI306" s="263" t="inlineStr">
        <is>
          <t>Worst Case Approved</t>
        </is>
      </c>
    </row>
    <row r="307">
      <c r="C307" s="96" t="inlineStr">
        <is>
          <t>YEKENE</t>
        </is>
      </c>
      <c r="D307" s="49">
        <f>CONCATENATE(G307,"-",H307,"-",F307)</f>
        <v/>
      </c>
      <c r="E307" s="95" t="inlineStr">
        <is>
          <t>Jamara-3T-16CBM</t>
        </is>
      </c>
      <c r="F307" s="94" t="inlineStr">
        <is>
          <t>16CBM</t>
        </is>
      </c>
      <c r="G307" s="25" t="inlineStr">
        <is>
          <t>Closed Body Logistics</t>
        </is>
      </c>
      <c r="H307" s="97" t="inlineStr">
        <is>
          <t>3T</t>
        </is>
      </c>
      <c r="I307" s="102" t="inlineStr">
        <is>
          <t>Jamara</t>
        </is>
      </c>
      <c r="J307" s="103" t="inlineStr">
        <is>
          <t>Lagos</t>
        </is>
      </c>
      <c r="K307" s="112" t="inlineStr">
        <is>
          <t>Ibadan</t>
        </is>
      </c>
      <c r="L307" s="57" t="inlineStr">
        <is>
          <t>Oyo</t>
        </is>
      </c>
      <c r="M307" s="61" t="inlineStr">
        <is>
          <t>Ibadan</t>
        </is>
      </c>
      <c r="N307" s="196" t="n">
        <v>120.5</v>
      </c>
      <c r="O307" s="194">
        <f>N307*2</f>
        <v/>
      </c>
      <c r="P307" s="215">
        <f>ROUNDUP(O307/300,)</f>
        <v/>
      </c>
      <c r="Q307" s="215" t="n">
        <v>1</v>
      </c>
      <c r="R307" s="215">
        <f>Q307+P307</f>
        <v/>
      </c>
      <c r="S307" s="197">
        <f>ROUNDDOWN(O307*0.51,)+60</f>
        <v/>
      </c>
      <c r="T307" s="207">
        <f>_xlfn.XLOOKUP(F307,[1]Fx!$A$4:$A$10,[1]Fx!$B$4:$B$10)</f>
        <v/>
      </c>
      <c r="U307" s="207">
        <f>_xlfn.XLOOKUP(F307,[1]Fx!$A$4:$A$10,[1]Fx!$C$4:$C$10)</f>
        <v/>
      </c>
      <c r="V307" s="207">
        <f>_xlfn.XLOOKUP(F307,[1]Fx!$A$4:$A$10,[1]Fx!$D$4:$D$10)</f>
        <v/>
      </c>
      <c r="W307" s="207">
        <f>$V$2</f>
        <v/>
      </c>
      <c r="X307" s="207">
        <f>_xlfn.XLOOKUP(F307,[1]Fx!$A$4:$A$10,[1]Fx!$E$4:$E$10)</f>
        <v/>
      </c>
      <c r="Y307" s="215">
        <f>T307*R307</f>
        <v/>
      </c>
      <c r="Z307" s="215">
        <f>U307*O307</f>
        <v/>
      </c>
      <c r="AA307" s="215">
        <f>V307*O307</f>
        <v/>
      </c>
      <c r="AB307" s="215">
        <f>W307*O307</f>
        <v/>
      </c>
      <c r="AC307" s="197">
        <f>X307*O307</f>
        <v/>
      </c>
      <c r="AD307" s="215" t="n">
        <v>0</v>
      </c>
      <c r="AE307" s="215" t="n">
        <v>0</v>
      </c>
      <c r="AF307" s="207">
        <f>SUM(Y307:AE307)</f>
        <v/>
      </c>
      <c r="AG307" s="254">
        <f>_xlfn.XLOOKUP(F307,[1]Fx!$A$16:$A$22,[1]Fx!$B$16:$B$22)</f>
        <v/>
      </c>
      <c r="AH307" s="207">
        <f>AG307*R307</f>
        <v/>
      </c>
      <c r="AI307" s="207">
        <f>$AH$3*Z307</f>
        <v/>
      </c>
      <c r="AJ307" s="207">
        <f>$AI$3*AA307</f>
        <v/>
      </c>
      <c r="AK307" s="207">
        <f>$AJ$3*AB307</f>
        <v/>
      </c>
      <c r="AL307" s="207">
        <f>$AK$3*AC307</f>
        <v/>
      </c>
      <c r="AM307" s="220">
        <f>SUM(AH307:AL307)</f>
        <v/>
      </c>
      <c r="AN307" s="35" t="n">
        <v>0</v>
      </c>
      <c r="AO307" s="220">
        <f>AN307*AH307</f>
        <v/>
      </c>
      <c r="AP307" s="220">
        <f>AD307</f>
        <v/>
      </c>
      <c r="AQ307" s="220">
        <f>AE307</f>
        <v/>
      </c>
      <c r="AR307" s="208">
        <f>AM307-AO307</f>
        <v/>
      </c>
      <c r="AS307" s="220">
        <f>AR307-AK307</f>
        <v/>
      </c>
      <c r="AT307" s="208">
        <f>AS307*1.075</f>
        <v/>
      </c>
      <c r="AU307" s="208">
        <f>AT307+AK307</f>
        <v/>
      </c>
      <c r="AV307" s="198" t="n">
        <v>148299.2381150904</v>
      </c>
      <c r="AW307" s="220" t="n">
        <v>0</v>
      </c>
      <c r="AX307" s="220">
        <f>AV307-AR307</f>
        <v/>
      </c>
      <c r="AY307" s="35">
        <f>AX307/AR307</f>
        <v/>
      </c>
      <c r="AZ307" s="220">
        <f>AV307-AF307</f>
        <v/>
      </c>
      <c r="BA307" s="215">
        <f>AV307-SUM(Z307:AC307)</f>
        <v/>
      </c>
      <c r="BB307" s="215">
        <f>BA307-Y307</f>
        <v/>
      </c>
      <c r="BC307" s="35">
        <f>BB307/BA307</f>
        <v/>
      </c>
      <c r="BD307" s="35">
        <f>IFERROR(AZ307/AV307,)</f>
        <v/>
      </c>
      <c r="BE307" s="255">
        <f>AV307-SUM(Z307:AC307)</f>
        <v/>
      </c>
      <c r="BF307" s="255">
        <f>AV307-BE307-AC307-AB307</f>
        <v/>
      </c>
      <c r="BG307" s="255">
        <f>AV307-BE307-BF307-AB307</f>
        <v/>
      </c>
      <c r="BH307" s="255">
        <f>AB307</f>
        <v/>
      </c>
      <c r="BI307" s="263" t="inlineStr">
        <is>
          <t xml:space="preserve">To Check </t>
        </is>
      </c>
    </row>
    <row r="308">
      <c r="C308" s="96" t="inlineStr">
        <is>
          <t>YEKENE</t>
        </is>
      </c>
      <c r="D308" s="49">
        <f>CONCATENATE(G308,"-",H308,"-",F308)</f>
        <v/>
      </c>
      <c r="E308" s="95" t="inlineStr">
        <is>
          <t>Jamara-3T-16CBM</t>
        </is>
      </c>
      <c r="F308" s="94" t="inlineStr">
        <is>
          <t>16CBM</t>
        </is>
      </c>
      <c r="G308" s="25" t="inlineStr">
        <is>
          <t>Closed Body Logistics</t>
        </is>
      </c>
      <c r="H308" s="97" t="inlineStr">
        <is>
          <t>3T</t>
        </is>
      </c>
      <c r="I308" s="102" t="inlineStr">
        <is>
          <t>Jamara</t>
        </is>
      </c>
      <c r="J308" s="103" t="inlineStr">
        <is>
          <t>Lagos</t>
        </is>
      </c>
      <c r="K308" s="112" t="inlineStr">
        <is>
          <t>Benin City (Direct)</t>
        </is>
      </c>
      <c r="L308" s="57" t="inlineStr">
        <is>
          <t>Edo</t>
        </is>
      </c>
      <c r="M308" s="61" t="inlineStr">
        <is>
          <t>Benin City (Direct)</t>
        </is>
      </c>
      <c r="N308" s="196" t="n">
        <v>312</v>
      </c>
      <c r="O308" s="194">
        <f>N308*2</f>
        <v/>
      </c>
      <c r="P308" s="215" t="n">
        <v>2</v>
      </c>
      <c r="Q308" s="215" t="n">
        <v>1</v>
      </c>
      <c r="R308" s="215">
        <f>Q308+P308</f>
        <v/>
      </c>
      <c r="S308" s="197">
        <f>ROUNDDOWN(O308*0.51,)+60</f>
        <v/>
      </c>
      <c r="T308" s="207">
        <f>_xlfn.XLOOKUP(F308,[1]Fx!$A$4:$A$10,[1]Fx!$B$4:$B$10)</f>
        <v/>
      </c>
      <c r="U308" s="207">
        <f>_xlfn.XLOOKUP(F308,[1]Fx!$A$4:$A$10,[1]Fx!$C$4:$C$10)</f>
        <v/>
      </c>
      <c r="V308" s="207">
        <f>_xlfn.XLOOKUP(F308,[1]Fx!$A$4:$A$10,[1]Fx!$D$4:$D$10)</f>
        <v/>
      </c>
      <c r="W308" s="207">
        <f>0.35*1900</f>
        <v/>
      </c>
      <c r="X308" s="207">
        <f>_xlfn.XLOOKUP(F308,[1]Fx!$A$4:$A$10,[1]Fx!$E$4:$E$10)</f>
        <v/>
      </c>
      <c r="Y308" s="215">
        <f>T308*R308</f>
        <v/>
      </c>
      <c r="Z308" s="215">
        <f>U308*O308</f>
        <v/>
      </c>
      <c r="AA308" s="215">
        <f>V308*O308</f>
        <v/>
      </c>
      <c r="AB308" s="215">
        <f>W308*O308</f>
        <v/>
      </c>
      <c r="AC308" s="197">
        <f>X308*O308</f>
        <v/>
      </c>
      <c r="AD308" s="215" t="n">
        <v>0</v>
      </c>
      <c r="AE308" s="215" t="n">
        <v>0</v>
      </c>
      <c r="AF308" s="207">
        <f>SUM(Y308:AE308)</f>
        <v/>
      </c>
      <c r="AG308" s="254">
        <f>_xlfn.XLOOKUP(F308,[1]Fx!$A$16:$A$22,[1]Fx!$B$16:$B$22)</f>
        <v/>
      </c>
      <c r="AH308" s="207">
        <f>AG308*R308</f>
        <v/>
      </c>
      <c r="AI308" s="207">
        <f>$AH$3*Z308</f>
        <v/>
      </c>
      <c r="AJ308" s="207">
        <f>$AI$3*AA308</f>
        <v/>
      </c>
      <c r="AK308" s="207">
        <f>$AJ$3*AB308</f>
        <v/>
      </c>
      <c r="AL308" s="207">
        <f>$AK$3*AC308</f>
        <v/>
      </c>
      <c r="AM308" s="220">
        <f>SUM(AH308:AL308)</f>
        <v/>
      </c>
      <c r="AN308" s="35" t="n">
        <v>0</v>
      </c>
      <c r="AO308" s="220">
        <f>AN308*AH308</f>
        <v/>
      </c>
      <c r="AP308" s="220">
        <f>AD308</f>
        <v/>
      </c>
      <c r="AQ308" s="220">
        <f>AE308</f>
        <v/>
      </c>
      <c r="AR308" s="208">
        <f>AM308-AO308</f>
        <v/>
      </c>
      <c r="AS308" s="220">
        <f>AR308-AK308</f>
        <v/>
      </c>
      <c r="AT308" s="208">
        <f>AS308*1.075</f>
        <v/>
      </c>
      <c r="AU308" s="208">
        <f>AT308+AK308</f>
        <v/>
      </c>
      <c r="AV308" s="198" t="n">
        <v>222448.8571726357</v>
      </c>
      <c r="AW308" s="220" t="n">
        <v>0</v>
      </c>
      <c r="AX308" s="220">
        <f>AV308-AR308</f>
        <v/>
      </c>
      <c r="AY308" s="35">
        <f>AX308/AR308</f>
        <v/>
      </c>
      <c r="AZ308" s="220">
        <f>AV308-AF308</f>
        <v/>
      </c>
      <c r="BA308" s="215">
        <f>AV308-SUM(Z308:AC308)</f>
        <v/>
      </c>
      <c r="BB308" s="215">
        <f>BA308-Y308</f>
        <v/>
      </c>
      <c r="BC308" s="35">
        <f>BB308/BA308</f>
        <v/>
      </c>
      <c r="BD308" s="35">
        <f>IFERROR(AZ308/AV308,)</f>
        <v/>
      </c>
      <c r="BE308" s="255">
        <f>AV308-SUM(Z308:AC308)</f>
        <v/>
      </c>
      <c r="BF308" s="255">
        <f>AV308-BE308-AC308-AB308</f>
        <v/>
      </c>
      <c r="BG308" s="255">
        <f>AV308-BE308-BF308-AB308</f>
        <v/>
      </c>
      <c r="BH308" s="255">
        <f>AB308</f>
        <v/>
      </c>
      <c r="BI308" s="263" t="inlineStr">
        <is>
          <t>Worst Case Approved</t>
        </is>
      </c>
    </row>
    <row r="309">
      <c r="C309" s="96" t="inlineStr">
        <is>
          <t>YEKENE</t>
        </is>
      </c>
      <c r="D309" s="49">
        <f>CONCATENATE(G309,"-",H309,"-",F309)</f>
        <v/>
      </c>
      <c r="E309" s="95" t="inlineStr">
        <is>
          <t>Jamara-3T-16CBM</t>
        </is>
      </c>
      <c r="F309" s="94" t="inlineStr">
        <is>
          <t>16CBM</t>
        </is>
      </c>
      <c r="G309" s="25" t="inlineStr">
        <is>
          <t>Closed Body Logistics</t>
        </is>
      </c>
      <c r="H309" s="97" t="inlineStr">
        <is>
          <t>3T</t>
        </is>
      </c>
      <c r="I309" s="102" t="inlineStr">
        <is>
          <t>Jamara</t>
        </is>
      </c>
      <c r="J309" s="103" t="inlineStr">
        <is>
          <t>Lagos</t>
        </is>
      </c>
      <c r="K309" s="112" t="inlineStr">
        <is>
          <t>Asaba (Direct)</t>
        </is>
      </c>
      <c r="L309" s="57" t="inlineStr">
        <is>
          <t>Delta</t>
        </is>
      </c>
      <c r="M309" s="61" t="inlineStr">
        <is>
          <t>Asaba (Direct)</t>
        </is>
      </c>
      <c r="N309" s="196" t="n">
        <v>410</v>
      </c>
      <c r="O309" s="194">
        <f>N309*2</f>
        <v/>
      </c>
      <c r="P309" s="215">
        <f>ROUNDUP(O309/300,)</f>
        <v/>
      </c>
      <c r="Q309" s="215" t="n">
        <v>0.2</v>
      </c>
      <c r="R309" s="215">
        <f>Q309+P309</f>
        <v/>
      </c>
      <c r="S309" s="197">
        <f>ROUNDDOWN(O309*0.51,)+60</f>
        <v/>
      </c>
      <c r="T309" s="207">
        <f>_xlfn.XLOOKUP(F309,[1]Fx!$A$4:$A$10,[1]Fx!$B$4:$B$10)</f>
        <v/>
      </c>
      <c r="U309" s="207">
        <f>_xlfn.XLOOKUP(F309,[1]Fx!$A$4:$A$10,[1]Fx!$C$4:$C$10)</f>
        <v/>
      </c>
      <c r="V309" s="207">
        <f>_xlfn.XLOOKUP(F309,[1]Fx!$A$4:$A$10,[1]Fx!$D$4:$D$10)</f>
        <v/>
      </c>
      <c r="W309" s="207">
        <f>$V$2</f>
        <v/>
      </c>
      <c r="X309" s="207">
        <f>_xlfn.XLOOKUP(F309,[1]Fx!$A$4:$A$10,[1]Fx!$E$4:$E$10)</f>
        <v/>
      </c>
      <c r="Y309" s="215">
        <f>T309*R309</f>
        <v/>
      </c>
      <c r="Z309" s="215">
        <f>U309*O309</f>
        <v/>
      </c>
      <c r="AA309" s="215">
        <f>V309*O309</f>
        <v/>
      </c>
      <c r="AB309" s="215">
        <f>W309*O309</f>
        <v/>
      </c>
      <c r="AC309" s="197">
        <f>X309*O309</f>
        <v/>
      </c>
      <c r="AD309" s="215" t="n">
        <v>0</v>
      </c>
      <c r="AE309" s="215" t="n">
        <v>0</v>
      </c>
      <c r="AF309" s="207">
        <f>SUM(Y309:AE309)</f>
        <v/>
      </c>
      <c r="AG309" s="254">
        <f>_xlfn.XLOOKUP(F309,[1]Fx!$A$16:$A$22,[1]Fx!$B$16:$B$22)</f>
        <v/>
      </c>
      <c r="AH309" s="207">
        <f>AG309*R309</f>
        <v/>
      </c>
      <c r="AI309" s="207">
        <f>$AH$3*Z309</f>
        <v/>
      </c>
      <c r="AJ309" s="207">
        <f>$AI$3*AA309</f>
        <v/>
      </c>
      <c r="AK309" s="207">
        <f>$AJ$3*AB309</f>
        <v/>
      </c>
      <c r="AL309" s="207">
        <f>$AK$3*AC309</f>
        <v/>
      </c>
      <c r="AM309" s="220">
        <f>SUM(AH309:AL309)</f>
        <v/>
      </c>
      <c r="AN309" s="35" t="n">
        <v>0</v>
      </c>
      <c r="AO309" s="220">
        <f>AN309*AH309</f>
        <v/>
      </c>
      <c r="AP309" s="220">
        <f>AD309</f>
        <v/>
      </c>
      <c r="AQ309" s="220">
        <f>AE309</f>
        <v/>
      </c>
      <c r="AR309" s="208">
        <f>AM309-AO309</f>
        <v/>
      </c>
      <c r="AS309" s="220">
        <f>AR309-AK309</f>
        <v/>
      </c>
      <c r="AT309" s="208">
        <f>AS309*1.075</f>
        <v/>
      </c>
      <c r="AU309" s="208">
        <f>AT309+AK309</f>
        <v/>
      </c>
      <c r="AV309" s="198" t="n">
        <v>237278.7809841447</v>
      </c>
      <c r="AW309" s="220" t="n">
        <v>0</v>
      </c>
      <c r="AX309" s="220">
        <f>AV309-AR309</f>
        <v/>
      </c>
      <c r="AY309" s="35">
        <f>AX309/AR309</f>
        <v/>
      </c>
      <c r="AZ309" s="220">
        <f>AV309-AF309</f>
        <v/>
      </c>
      <c r="BA309" s="215">
        <f>AV309-SUM(Z309:AC309)</f>
        <v/>
      </c>
      <c r="BB309" s="215">
        <f>BA309-Y309</f>
        <v/>
      </c>
      <c r="BC309" s="35">
        <f>BB309/BA309</f>
        <v/>
      </c>
      <c r="BD309" s="35">
        <f>IFERROR(AZ309/AV309,)</f>
        <v/>
      </c>
      <c r="BE309" s="255">
        <f>AV309-SUM(Z309:AC309)</f>
        <v/>
      </c>
      <c r="BF309" s="255">
        <f>AV309-BE309-AC309-AB309</f>
        <v/>
      </c>
      <c r="BG309" s="255">
        <f>AV309-BE309-BF309-AB309</f>
        <v/>
      </c>
      <c r="BH309" s="255">
        <f>AB309</f>
        <v/>
      </c>
      <c r="BI309" s="263" t="inlineStr">
        <is>
          <t>Approved</t>
        </is>
      </c>
    </row>
    <row r="310" ht="43.2" customHeight="1">
      <c r="C310" s="96" t="inlineStr">
        <is>
          <t>YEKENE</t>
        </is>
      </c>
      <c r="D310" s="49">
        <f>CONCATENATE(G310,"-",H310,"-",F310)</f>
        <v/>
      </c>
      <c r="E310" s="95" t="inlineStr">
        <is>
          <t>Jamara-3T-16CBM</t>
        </is>
      </c>
      <c r="F310" s="94" t="inlineStr">
        <is>
          <t>16CBM</t>
        </is>
      </c>
      <c r="G310" s="25" t="inlineStr">
        <is>
          <t>Closed Body Logistics</t>
        </is>
      </c>
      <c r="H310" s="97" t="inlineStr">
        <is>
          <t>3T</t>
        </is>
      </c>
      <c r="I310" s="102" t="inlineStr">
        <is>
          <t>Jamara</t>
        </is>
      </c>
      <c r="J310" s="103" t="inlineStr">
        <is>
          <t>Lagos</t>
        </is>
      </c>
      <c r="K310" s="104" t="inlineStr">
        <is>
          <t>Abule Egba-Ijaiye-Moshalasi-Kola-Sango</t>
        </is>
      </c>
      <c r="L310" s="57" t="inlineStr">
        <is>
          <t>Ogun</t>
        </is>
      </c>
      <c r="M310" s="58" t="inlineStr">
        <is>
          <t>Sango-Ota</t>
        </is>
      </c>
      <c r="N310" s="196" t="n">
        <v>28.4</v>
      </c>
      <c r="O310" s="194">
        <f>N310*2</f>
        <v/>
      </c>
      <c r="P310" s="207">
        <f>ROUNDUP(O310/300,)</f>
        <v/>
      </c>
      <c r="Q310" s="215" t="n">
        <v>0.2</v>
      </c>
      <c r="R310" s="207">
        <f>Q310+P310</f>
        <v/>
      </c>
      <c r="S310" s="194">
        <f>ROUNDDOWN(O310*0.51,)+60</f>
        <v/>
      </c>
      <c r="T310" s="207">
        <f>_xlfn.XLOOKUP(F310,[1]Fx!$A$4:$A$10,[1]Fx!$B$4:$B$10)</f>
        <v/>
      </c>
      <c r="U310" s="207">
        <f>_xlfn.XLOOKUP(F310,[1]Fx!$A$4:$A$10,[1]Fx!$C$4:$C$10)</f>
        <v/>
      </c>
      <c r="V310" s="207">
        <f>_xlfn.XLOOKUP(F310,[1]Fx!$A$4:$A$10,[1]Fx!$D$4:$D$10)</f>
        <v/>
      </c>
      <c r="W310" s="207">
        <f>$V$2</f>
        <v/>
      </c>
      <c r="X310" s="207">
        <f>_xlfn.XLOOKUP(F310,[1]Fx!$A$4:$A$10,[1]Fx!$E$4:$E$10)</f>
        <v/>
      </c>
      <c r="Y310" s="207">
        <f>T310*R310</f>
        <v/>
      </c>
      <c r="Z310" s="207">
        <f>U310*O310</f>
        <v/>
      </c>
      <c r="AA310" s="207">
        <f>V310*O310</f>
        <v/>
      </c>
      <c r="AB310" s="207">
        <f>W310*O310</f>
        <v/>
      </c>
      <c r="AC310" s="194">
        <f>X310*O310</f>
        <v/>
      </c>
      <c r="AD310" s="207" t="n">
        <v>0</v>
      </c>
      <c r="AE310" s="207" t="n">
        <v>0</v>
      </c>
      <c r="AF310" s="207">
        <f>SUM(Y310:AE310)</f>
        <v/>
      </c>
      <c r="AG310" s="254">
        <f>_xlfn.XLOOKUP(F310,[1]Fx!$A$16:$A$22,[1]Fx!$B$16:$B$22)</f>
        <v/>
      </c>
      <c r="AH310" s="207">
        <f>AG310*R310</f>
        <v/>
      </c>
      <c r="AI310" s="207">
        <f>$AH$3*Z310</f>
        <v/>
      </c>
      <c r="AJ310" s="207">
        <f>$AI$3*AA310</f>
        <v/>
      </c>
      <c r="AK310" s="207">
        <f>$AJ$3*AB310</f>
        <v/>
      </c>
      <c r="AL310" s="207">
        <f>$AK$3*AC310</f>
        <v/>
      </c>
      <c r="AM310" s="208">
        <f>SUM(AH310:AL310)</f>
        <v/>
      </c>
      <c r="AN310" s="208" t="n">
        <v>0</v>
      </c>
      <c r="AO310" s="220">
        <f>AN310*AH310</f>
        <v/>
      </c>
      <c r="AP310" s="208">
        <f>AD310</f>
        <v/>
      </c>
      <c r="AQ310" s="208">
        <f>AE310</f>
        <v/>
      </c>
      <c r="AR310" s="208">
        <f>AM310-AO310</f>
        <v/>
      </c>
      <c r="AS310" s="220">
        <f>AR310-AK310</f>
        <v/>
      </c>
      <c r="AT310" s="208">
        <f>AS310*1.075</f>
        <v/>
      </c>
      <c r="AU310" s="208">
        <f>AT310+AK310</f>
        <v/>
      </c>
      <c r="AV310" s="198" t="n">
        <v>88979.54286905425</v>
      </c>
      <c r="AW310" s="208" t="n">
        <v>2000000</v>
      </c>
      <c r="AX310" s="208">
        <f>AV310-AR310</f>
        <v/>
      </c>
      <c r="AY310" s="54">
        <f>AX310/AR310</f>
        <v/>
      </c>
      <c r="AZ310" s="208">
        <f>AV310-AF310</f>
        <v/>
      </c>
      <c r="BA310" s="207">
        <f>AV310-SUM(Z310:AC310)</f>
        <v/>
      </c>
      <c r="BB310" s="207">
        <f>BA310-Y310</f>
        <v/>
      </c>
      <c r="BC310" s="54">
        <f>BB310/BA310</f>
        <v/>
      </c>
      <c r="BD310" s="54">
        <f>IFERROR(AZ310/AV310,)</f>
        <v/>
      </c>
      <c r="BE310" s="255">
        <f>AV310-SUM(Z310:AC310)</f>
        <v/>
      </c>
      <c r="BF310" s="255">
        <f>AV310-BE310-AC310-AB310</f>
        <v/>
      </c>
      <c r="BG310" s="255">
        <f>AV310-BE310-BF310-AB310</f>
        <v/>
      </c>
      <c r="BH310" s="255">
        <f>AB310</f>
        <v/>
      </c>
      <c r="BI310" s="263" t="inlineStr">
        <is>
          <t>Approved</t>
        </is>
      </c>
    </row>
    <row r="311">
      <c r="C311" s="96" t="inlineStr">
        <is>
          <t>YEKENE</t>
        </is>
      </c>
      <c r="D311" s="49">
        <f>CONCATENATE(G311,"-",H311,"-",F311)</f>
        <v/>
      </c>
      <c r="E311" s="95" t="inlineStr">
        <is>
          <t>Jamara-3T-16CBM</t>
        </is>
      </c>
      <c r="F311" s="94" t="inlineStr">
        <is>
          <t>16CBM</t>
        </is>
      </c>
      <c r="G311" s="25" t="inlineStr">
        <is>
          <t>Closed Body Logistics</t>
        </is>
      </c>
      <c r="H311" s="97" t="inlineStr">
        <is>
          <t>3T</t>
        </is>
      </c>
      <c r="I311" s="102" t="inlineStr">
        <is>
          <t>Jamara</t>
        </is>
      </c>
      <c r="J311" s="103" t="inlineStr">
        <is>
          <t>Lagos</t>
        </is>
      </c>
      <c r="K311" s="110" t="inlineStr">
        <is>
          <t>Abeokuta</t>
        </is>
      </c>
      <c r="L311" s="57" t="inlineStr">
        <is>
          <t>Ogun</t>
        </is>
      </c>
      <c r="M311" s="58" t="inlineStr">
        <is>
          <t>Abeokuta</t>
        </is>
      </c>
      <c r="N311" s="196" t="n">
        <v>99.5</v>
      </c>
      <c r="O311" s="194">
        <f>N311*2</f>
        <v/>
      </c>
      <c r="P311" s="215">
        <f>ROUNDUP(O311/300,)</f>
        <v/>
      </c>
      <c r="Q311" s="215" t="n">
        <v>0.2</v>
      </c>
      <c r="R311" s="215">
        <f>Q311+P311</f>
        <v/>
      </c>
      <c r="S311" s="197">
        <f>ROUNDDOWN(O311*0.51,)+60</f>
        <v/>
      </c>
      <c r="T311" s="207">
        <f>_xlfn.XLOOKUP(F311,[1]Fx!$A$4:$A$10,[1]Fx!$B$4:$B$10)</f>
        <v/>
      </c>
      <c r="U311" s="207">
        <f>_xlfn.XLOOKUP(F311,[1]Fx!$A$4:$A$10,[1]Fx!$C$4:$C$10)</f>
        <v/>
      </c>
      <c r="V311" s="207">
        <f>_xlfn.XLOOKUP(F311,[1]Fx!$A$4:$A$10,[1]Fx!$D$4:$D$10)</f>
        <v/>
      </c>
      <c r="W311" s="207">
        <f>$V$2</f>
        <v/>
      </c>
      <c r="X311" s="207">
        <f>_xlfn.XLOOKUP(F311,[1]Fx!$A$4:$A$10,[1]Fx!$E$4:$E$10)</f>
        <v/>
      </c>
      <c r="Y311" s="215">
        <f>T311*R311</f>
        <v/>
      </c>
      <c r="Z311" s="215">
        <f>U311*O311</f>
        <v/>
      </c>
      <c r="AA311" s="215">
        <f>V311*O311</f>
        <v/>
      </c>
      <c r="AB311" s="215">
        <f>W311*O311</f>
        <v/>
      </c>
      <c r="AC311" s="197">
        <f>X311*O311</f>
        <v/>
      </c>
      <c r="AD311" s="215" t="n">
        <v>0</v>
      </c>
      <c r="AE311" s="215" t="n">
        <v>0</v>
      </c>
      <c r="AF311" s="207">
        <f>SUM(Y311:AE311)</f>
        <v/>
      </c>
      <c r="AG311" s="254">
        <f>_xlfn.XLOOKUP(F311,[1]Fx!$A$16:$A$22,[1]Fx!$B$16:$B$22)</f>
        <v/>
      </c>
      <c r="AH311" s="207">
        <f>AG311*R311</f>
        <v/>
      </c>
      <c r="AI311" s="207">
        <f>$AH$3*Z311</f>
        <v/>
      </c>
      <c r="AJ311" s="207">
        <f>$AI$3*AA311</f>
        <v/>
      </c>
      <c r="AK311" s="207">
        <f>$AJ$3*AB311</f>
        <v/>
      </c>
      <c r="AL311" s="207">
        <f>$AK$3*AC311</f>
        <v/>
      </c>
      <c r="AM311" s="220">
        <f>SUM(AH311:AL311)</f>
        <v/>
      </c>
      <c r="AN311" s="220" t="n">
        <v>0</v>
      </c>
      <c r="AO311" s="220">
        <f>AN311*AH311</f>
        <v/>
      </c>
      <c r="AP311" s="220">
        <f>AD311</f>
        <v/>
      </c>
      <c r="AQ311" s="220">
        <f>AE311</f>
        <v/>
      </c>
      <c r="AR311" s="208">
        <f>AM311-AO311</f>
        <v/>
      </c>
      <c r="AS311" s="220">
        <f>AR311-AK311</f>
        <v/>
      </c>
      <c r="AT311" s="208">
        <f>AS311*1.075</f>
        <v/>
      </c>
      <c r="AU311" s="208">
        <f>AT311+AK311</f>
        <v/>
      </c>
      <c r="AV311" s="198" t="n">
        <v>88979.54286905425</v>
      </c>
      <c r="AW311" s="220" t="n">
        <v>2300000</v>
      </c>
      <c r="AX311" s="220">
        <f>AV311-AR311</f>
        <v/>
      </c>
      <c r="AY311" s="35">
        <f>AX311/AR311</f>
        <v/>
      </c>
      <c r="AZ311" s="220">
        <f>AV311-AF311</f>
        <v/>
      </c>
      <c r="BA311" s="215">
        <f>AV311-SUM(Z311:AC311)</f>
        <v/>
      </c>
      <c r="BB311" s="215">
        <f>BA311-Y311</f>
        <v/>
      </c>
      <c r="BC311" s="35">
        <f>BB311/BA311</f>
        <v/>
      </c>
      <c r="BD311" s="35">
        <f>IFERROR(AZ311/AV311,)</f>
        <v/>
      </c>
      <c r="BE311" s="255">
        <f>AV311-SUM(Z311:AC311)</f>
        <v/>
      </c>
      <c r="BF311" s="255">
        <f>AV311-BE311-AC311-AB311</f>
        <v/>
      </c>
      <c r="BG311" s="255">
        <f>AV311-BE311-BF311-AB311</f>
        <v/>
      </c>
      <c r="BH311" s="255">
        <f>AB311</f>
        <v/>
      </c>
      <c r="BI311" s="263" t="inlineStr">
        <is>
          <t>Approved</t>
        </is>
      </c>
    </row>
    <row r="312">
      <c r="C312" s="96" t="inlineStr">
        <is>
          <t>YEKENE</t>
        </is>
      </c>
      <c r="D312" s="49">
        <f>CONCATENATE(G312,"-",H312,"-",F312)</f>
        <v/>
      </c>
      <c r="E312" s="95" t="inlineStr">
        <is>
          <t>Jamara-3T-16CBM</t>
        </is>
      </c>
      <c r="F312" s="94" t="inlineStr">
        <is>
          <t>16CBM</t>
        </is>
      </c>
      <c r="G312" s="25" t="inlineStr">
        <is>
          <t>Closed Body Logistics</t>
        </is>
      </c>
      <c r="H312" s="97" t="inlineStr">
        <is>
          <t>3T</t>
        </is>
      </c>
      <c r="I312" s="102" t="inlineStr">
        <is>
          <t>Jamara</t>
        </is>
      </c>
      <c r="J312" s="103" t="inlineStr">
        <is>
          <t>Lagos</t>
        </is>
      </c>
      <c r="K312" s="107" t="inlineStr">
        <is>
          <t>Sagamu-Ijebu-Ode</t>
        </is>
      </c>
      <c r="L312" s="57" t="inlineStr">
        <is>
          <t>Ogun</t>
        </is>
      </c>
      <c r="M312" s="58" t="inlineStr">
        <is>
          <t>Ijebu-Ode</t>
        </is>
      </c>
      <c r="N312" s="196" t="n">
        <v>100</v>
      </c>
      <c r="O312" s="194">
        <f>N312*2</f>
        <v/>
      </c>
      <c r="P312" s="215">
        <f>ROUNDUP(O312/300,)</f>
        <v/>
      </c>
      <c r="Q312" s="215" t="n">
        <v>0.2</v>
      </c>
      <c r="R312" s="215">
        <f>Q312+P312</f>
        <v/>
      </c>
      <c r="S312" s="197">
        <f>ROUNDDOWN(O312*0.51,)+60</f>
        <v/>
      </c>
      <c r="T312" s="207">
        <f>_xlfn.XLOOKUP(F312,[1]Fx!$A$4:$A$10,[1]Fx!$B$4:$B$10)</f>
        <v/>
      </c>
      <c r="U312" s="207">
        <f>_xlfn.XLOOKUP(F312,[1]Fx!$A$4:$A$10,[1]Fx!$C$4:$C$10)</f>
        <v/>
      </c>
      <c r="V312" s="207">
        <f>_xlfn.XLOOKUP(F312,[1]Fx!$A$4:$A$10,[1]Fx!$D$4:$D$10)</f>
        <v/>
      </c>
      <c r="W312" s="207">
        <f>$V$2</f>
        <v/>
      </c>
      <c r="X312" s="207">
        <f>_xlfn.XLOOKUP(F312,[1]Fx!$A$4:$A$10,[1]Fx!$E$4:$E$10)</f>
        <v/>
      </c>
      <c r="Y312" s="215">
        <f>T312*R312</f>
        <v/>
      </c>
      <c r="Z312" s="215">
        <f>U312*O312</f>
        <v/>
      </c>
      <c r="AA312" s="215">
        <f>V312*O312</f>
        <v/>
      </c>
      <c r="AB312" s="215">
        <f>W312*O312</f>
        <v/>
      </c>
      <c r="AC312" s="197">
        <f>X312*O312</f>
        <v/>
      </c>
      <c r="AD312" s="215" t="n">
        <v>0</v>
      </c>
      <c r="AE312" s="215" t="n">
        <v>0</v>
      </c>
      <c r="AF312" s="207">
        <f>SUM(Y312:AE312)</f>
        <v/>
      </c>
      <c r="AG312" s="254">
        <f>_xlfn.XLOOKUP(F312,[1]Fx!$A$16:$A$22,[1]Fx!$B$16:$B$22)</f>
        <v/>
      </c>
      <c r="AH312" s="207">
        <f>AG312*R312</f>
        <v/>
      </c>
      <c r="AI312" s="207">
        <f>$AH$3*Z312</f>
        <v/>
      </c>
      <c r="AJ312" s="207">
        <f>$AI$3*AA312</f>
        <v/>
      </c>
      <c r="AK312" s="207">
        <f>$AJ$3*AB312</f>
        <v/>
      </c>
      <c r="AL312" s="207">
        <f>$AK$3*AC312</f>
        <v/>
      </c>
      <c r="AM312" s="220">
        <f>SUM(AH312:AL312)</f>
        <v/>
      </c>
      <c r="AN312" s="220" t="n">
        <v>0</v>
      </c>
      <c r="AO312" s="220">
        <f>AN312*AH312</f>
        <v/>
      </c>
      <c r="AP312" s="220">
        <f>AD312</f>
        <v/>
      </c>
      <c r="AQ312" s="220">
        <f>AE312</f>
        <v/>
      </c>
      <c r="AR312" s="208">
        <f>AM312-AO312</f>
        <v/>
      </c>
      <c r="AS312" s="220">
        <f>AR312-AK312</f>
        <v/>
      </c>
      <c r="AT312" s="208">
        <f>AS312*1.075</f>
        <v/>
      </c>
      <c r="AU312" s="208">
        <f>AT312+AK312</f>
        <v/>
      </c>
      <c r="AV312" s="198" t="n">
        <v>88979.54286905425</v>
      </c>
      <c r="AW312" s="220" t="n">
        <v>3200000</v>
      </c>
      <c r="AX312" s="220">
        <f>AV312-AR312</f>
        <v/>
      </c>
      <c r="AY312" s="35">
        <f>AX312/AR312</f>
        <v/>
      </c>
      <c r="AZ312" s="220">
        <f>AV312-AF312</f>
        <v/>
      </c>
      <c r="BA312" s="215">
        <f>AV312-SUM(Z312:AC312)</f>
        <v/>
      </c>
      <c r="BB312" s="215">
        <f>BA312-Y312</f>
        <v/>
      </c>
      <c r="BC312" s="35">
        <f>BB312/BA312</f>
        <v/>
      </c>
      <c r="BD312" s="35">
        <f>IFERROR(AZ312/AV312,)</f>
        <v/>
      </c>
      <c r="BE312" s="255">
        <f>AV312-SUM(Z312:AC312)</f>
        <v/>
      </c>
      <c r="BF312" s="255">
        <f>AV312-BE312-AC312-AB312</f>
        <v/>
      </c>
      <c r="BG312" s="255">
        <f>AV312-BE312-BF312-AB312</f>
        <v/>
      </c>
      <c r="BH312" s="255">
        <f>AB312</f>
        <v/>
      </c>
      <c r="BI312" s="263" t="inlineStr">
        <is>
          <t>Approved</t>
        </is>
      </c>
    </row>
    <row r="313">
      <c r="C313" s="96" t="inlineStr">
        <is>
          <t>YEKENE</t>
        </is>
      </c>
      <c r="D313" s="49">
        <f>CONCATENATE(G313,"-",H313,"-",F313)</f>
        <v/>
      </c>
      <c r="E313" s="95" t="inlineStr">
        <is>
          <t>Jamara-3T-16CBM</t>
        </is>
      </c>
      <c r="F313" s="94" t="inlineStr">
        <is>
          <t>16CBM</t>
        </is>
      </c>
      <c r="G313" s="25" t="inlineStr">
        <is>
          <t>Closed Body Logistics</t>
        </is>
      </c>
      <c r="H313" s="97" t="inlineStr">
        <is>
          <t>3T</t>
        </is>
      </c>
      <c r="I313" s="102" t="inlineStr">
        <is>
          <t>Jamara</t>
        </is>
      </c>
      <c r="J313" s="103" t="inlineStr">
        <is>
          <t>Lagos</t>
        </is>
      </c>
      <c r="K313" s="107" t="inlineStr">
        <is>
          <t>Sagamu</t>
        </is>
      </c>
      <c r="L313" s="57" t="inlineStr">
        <is>
          <t>Ogun</t>
        </is>
      </c>
      <c r="M313" s="58" t="inlineStr">
        <is>
          <t>Sagamu</t>
        </is>
      </c>
      <c r="N313" s="196" t="n">
        <v>100</v>
      </c>
      <c r="O313" s="194">
        <f>N313*2</f>
        <v/>
      </c>
      <c r="P313" s="215">
        <f>ROUNDUP(O313/300,)</f>
        <v/>
      </c>
      <c r="Q313" s="215" t="n">
        <v>0.2</v>
      </c>
      <c r="R313" s="215">
        <f>Q313+P313</f>
        <v/>
      </c>
      <c r="S313" s="197">
        <f>ROUNDDOWN(O313*0.51,)+60</f>
        <v/>
      </c>
      <c r="T313" s="207">
        <f>_xlfn.XLOOKUP(F313,[1]Fx!$A$4:$A$10,[1]Fx!$B$4:$B$10)</f>
        <v/>
      </c>
      <c r="U313" s="207">
        <f>_xlfn.XLOOKUP(F313,[1]Fx!$A$4:$A$10,[1]Fx!$C$4:$C$10)</f>
        <v/>
      </c>
      <c r="V313" s="207">
        <f>_xlfn.XLOOKUP(F313,[1]Fx!$A$4:$A$10,[1]Fx!$D$4:$D$10)</f>
        <v/>
      </c>
      <c r="W313" s="207">
        <f>$V$2</f>
        <v/>
      </c>
      <c r="X313" s="207">
        <f>_xlfn.XLOOKUP(F313,[1]Fx!$A$4:$A$10,[1]Fx!$E$4:$E$10)</f>
        <v/>
      </c>
      <c r="Y313" s="215">
        <f>T313*R313</f>
        <v/>
      </c>
      <c r="Z313" s="215">
        <f>U313*O313</f>
        <v/>
      </c>
      <c r="AA313" s="215">
        <f>V313*O313</f>
        <v/>
      </c>
      <c r="AB313" s="215">
        <f>W313*O313</f>
        <v/>
      </c>
      <c r="AC313" s="197">
        <f>X313*O313</f>
        <v/>
      </c>
      <c r="AD313" s="215" t="n">
        <v>0</v>
      </c>
      <c r="AE313" s="215" t="n">
        <v>0</v>
      </c>
      <c r="AF313" s="207">
        <f>SUM(Y313:AE313)</f>
        <v/>
      </c>
      <c r="AG313" s="254">
        <f>_xlfn.XLOOKUP(F313,[1]Fx!$A$16:$A$22,[1]Fx!$B$16:$B$22)</f>
        <v/>
      </c>
      <c r="AH313" s="207">
        <f>AG313*R313</f>
        <v/>
      </c>
      <c r="AI313" s="207">
        <f>$AH$3*Z313</f>
        <v/>
      </c>
      <c r="AJ313" s="207">
        <f>$AI$3*AA313</f>
        <v/>
      </c>
      <c r="AK313" s="207">
        <f>$AJ$3*AB313</f>
        <v/>
      </c>
      <c r="AL313" s="207">
        <f>$AK$3*AC313</f>
        <v/>
      </c>
      <c r="AM313" s="220">
        <f>SUM(AH313:AL313)</f>
        <v/>
      </c>
      <c r="AN313" s="220" t="n">
        <v>0</v>
      </c>
      <c r="AO313" s="220">
        <f>AN313*AH313</f>
        <v/>
      </c>
      <c r="AP313" s="220">
        <f>AD313</f>
        <v/>
      </c>
      <c r="AQ313" s="220">
        <f>AE313</f>
        <v/>
      </c>
      <c r="AR313" s="208">
        <f>AM313-AO313</f>
        <v/>
      </c>
      <c r="AS313" s="220">
        <f>AR313-AK313</f>
        <v/>
      </c>
      <c r="AT313" s="208">
        <f>AS313*1.075</f>
        <v/>
      </c>
      <c r="AU313" s="208">
        <f>AT313+AK313</f>
        <v/>
      </c>
      <c r="AV313" s="198" t="n">
        <v>88979.54286905425</v>
      </c>
      <c r="AW313" s="220" t="n">
        <v>550000</v>
      </c>
      <c r="AX313" s="220">
        <f>AV313-AR313</f>
        <v/>
      </c>
      <c r="AY313" s="35">
        <f>AX313/AR313</f>
        <v/>
      </c>
      <c r="AZ313" s="220">
        <f>AV313-AF313</f>
        <v/>
      </c>
      <c r="BA313" s="215">
        <f>AV313-SUM(Z313:AC313)</f>
        <v/>
      </c>
      <c r="BB313" s="215">
        <f>BA313-Y313</f>
        <v/>
      </c>
      <c r="BC313" s="35">
        <f>BB313/BA313</f>
        <v/>
      </c>
      <c r="BD313" s="35">
        <f>IFERROR(AZ313/AV313,)</f>
        <v/>
      </c>
      <c r="BE313" s="255">
        <f>AV313-SUM(Z313:AC313)</f>
        <v/>
      </c>
      <c r="BF313" s="255">
        <f>AV313-BE313-AC313-AB313</f>
        <v/>
      </c>
      <c r="BG313" s="255">
        <f>AV313-BE313-BF313-AB313</f>
        <v/>
      </c>
      <c r="BH313" s="255">
        <f>AB313</f>
        <v/>
      </c>
      <c r="BI313" s="263" t="inlineStr">
        <is>
          <t>Approved</t>
        </is>
      </c>
    </row>
    <row r="314">
      <c r="C314" s="96" t="inlineStr">
        <is>
          <t>YEKENE</t>
        </is>
      </c>
      <c r="D314" s="49">
        <f>CONCATENATE(G314,"-",H314,"-",F314)</f>
        <v/>
      </c>
      <c r="E314" s="95" t="inlineStr">
        <is>
          <t>Jamara-3T-16CBM</t>
        </is>
      </c>
      <c r="F314" s="94" t="inlineStr">
        <is>
          <t>16CBM</t>
        </is>
      </c>
      <c r="G314" s="25" t="inlineStr">
        <is>
          <t>Closed Body Logistics</t>
        </is>
      </c>
      <c r="H314" s="97" t="inlineStr">
        <is>
          <t>3T</t>
        </is>
      </c>
      <c r="I314" s="102" t="inlineStr">
        <is>
          <t>Jamara</t>
        </is>
      </c>
      <c r="J314" s="103" t="inlineStr">
        <is>
          <t>Lagos</t>
        </is>
      </c>
      <c r="K314" s="112" t="inlineStr">
        <is>
          <t>Ibadan</t>
        </is>
      </c>
      <c r="L314" s="57" t="inlineStr">
        <is>
          <t>Oyo</t>
        </is>
      </c>
      <c r="M314" s="61" t="inlineStr">
        <is>
          <t>Ibadan</t>
        </is>
      </c>
      <c r="N314" s="196" t="n">
        <v>120.5</v>
      </c>
      <c r="O314" s="194">
        <f>N314*2</f>
        <v/>
      </c>
      <c r="P314" s="215">
        <f>ROUNDUP(O314/300,)</f>
        <v/>
      </c>
      <c r="Q314" s="215" t="n">
        <v>0.2</v>
      </c>
      <c r="R314" s="215">
        <f>Q314+P314</f>
        <v/>
      </c>
      <c r="S314" s="197">
        <f>ROUNDDOWN(O314*0.51,)+60</f>
        <v/>
      </c>
      <c r="T314" s="207">
        <f>_xlfn.XLOOKUP(F314,[1]Fx!$A$4:$A$10,[1]Fx!$B$4:$B$10)</f>
        <v/>
      </c>
      <c r="U314" s="207">
        <f>_xlfn.XLOOKUP(F314,[1]Fx!$A$4:$A$10,[1]Fx!$C$4:$C$10)</f>
        <v/>
      </c>
      <c r="V314" s="207">
        <f>_xlfn.XLOOKUP(F314,[1]Fx!$A$4:$A$10,[1]Fx!$D$4:$D$10)</f>
        <v/>
      </c>
      <c r="W314" s="207">
        <f>$V$2</f>
        <v/>
      </c>
      <c r="X314" s="207">
        <f>_xlfn.XLOOKUP(F314,[1]Fx!$A$4:$A$10,[1]Fx!$E$4:$E$10)</f>
        <v/>
      </c>
      <c r="Y314" s="215">
        <f>T314*R314</f>
        <v/>
      </c>
      <c r="Z314" s="215">
        <f>U314*O314</f>
        <v/>
      </c>
      <c r="AA314" s="215">
        <f>V314*O314</f>
        <v/>
      </c>
      <c r="AB314" s="215">
        <f>W314*O314</f>
        <v/>
      </c>
      <c r="AC314" s="197">
        <f>X314*O314</f>
        <v/>
      </c>
      <c r="AD314" s="215" t="n">
        <v>0</v>
      </c>
      <c r="AE314" s="215" t="n">
        <v>0</v>
      </c>
      <c r="AF314" s="207">
        <f>SUM(Y314:AE314)</f>
        <v/>
      </c>
      <c r="AG314" s="254">
        <f>_xlfn.XLOOKUP(F314,[1]Fx!$A$16:$A$22,[1]Fx!$B$16:$B$22)</f>
        <v/>
      </c>
      <c r="AH314" s="207">
        <f>AG314*R314</f>
        <v/>
      </c>
      <c r="AI314" s="207">
        <f>$AH$3*Z314</f>
        <v/>
      </c>
      <c r="AJ314" s="207">
        <f>$AI$3*AA314</f>
        <v/>
      </c>
      <c r="AK314" s="207">
        <f>$AJ$3*AB314</f>
        <v/>
      </c>
      <c r="AL314" s="207">
        <f>$AK$3*AC314</f>
        <v/>
      </c>
      <c r="AM314" s="220">
        <f>SUM(AH314:AL314)</f>
        <v/>
      </c>
      <c r="AN314" s="220" t="n">
        <v>0</v>
      </c>
      <c r="AO314" s="220">
        <f>AN314*AH314</f>
        <v/>
      </c>
      <c r="AP314" s="220">
        <f>AD314</f>
        <v/>
      </c>
      <c r="AQ314" s="220">
        <f>AE314</f>
        <v/>
      </c>
      <c r="AR314" s="208">
        <f>AM314-AO314</f>
        <v/>
      </c>
      <c r="AS314" s="220">
        <f>AR314-AK314</f>
        <v/>
      </c>
      <c r="AT314" s="208">
        <f>AS314*1.075</f>
        <v/>
      </c>
      <c r="AU314" s="208">
        <f>AT314+AK314</f>
        <v/>
      </c>
      <c r="AV314" s="198" t="n">
        <v>88979.54286905425</v>
      </c>
      <c r="AW314" s="220" t="n">
        <v>295000</v>
      </c>
      <c r="AX314" s="220">
        <f>AV314-AR314</f>
        <v/>
      </c>
      <c r="AY314" s="35">
        <f>AX314/AR314</f>
        <v/>
      </c>
      <c r="AZ314" s="220">
        <f>AV314-AF314</f>
        <v/>
      </c>
      <c r="BA314" s="215">
        <f>AV314-SUM(Z314:AC314)</f>
        <v/>
      </c>
      <c r="BB314" s="215">
        <f>BA314-Y314</f>
        <v/>
      </c>
      <c r="BC314" s="35">
        <f>BB314/BA314</f>
        <v/>
      </c>
      <c r="BD314" s="35">
        <f>IFERROR(AZ314/AV314,)</f>
        <v/>
      </c>
      <c r="BE314" s="255">
        <f>AV314-SUM(Z314:AC314)</f>
        <v/>
      </c>
      <c r="BF314" s="255">
        <f>AV314-BE314-AC314-AB314</f>
        <v/>
      </c>
      <c r="BG314" s="255">
        <f>AV314-BE314-BF314-AB314</f>
        <v/>
      </c>
      <c r="BH314" s="255">
        <f>AB314</f>
        <v/>
      </c>
      <c r="BI314" s="263" t="inlineStr">
        <is>
          <t>Approved</t>
        </is>
      </c>
    </row>
    <row r="315">
      <c r="C315" s="96" t="inlineStr">
        <is>
          <t>YEKENE</t>
        </is>
      </c>
      <c r="D315" s="49">
        <f>CONCATENATE(G315,"-",H315,"-",F315)</f>
        <v/>
      </c>
      <c r="E315" s="95" t="inlineStr">
        <is>
          <t>Jamara-3T-16CBM</t>
        </is>
      </c>
      <c r="F315" s="94" t="inlineStr">
        <is>
          <t>16CBM</t>
        </is>
      </c>
      <c r="G315" s="25" t="inlineStr">
        <is>
          <t>Closed Body Logistics</t>
        </is>
      </c>
      <c r="H315" s="97" t="inlineStr">
        <is>
          <t>3T</t>
        </is>
      </c>
      <c r="I315" s="102" t="inlineStr">
        <is>
          <t>Jamara</t>
        </is>
      </c>
      <c r="J315" s="103" t="inlineStr">
        <is>
          <t>Lagos</t>
        </is>
      </c>
      <c r="K315" s="106" t="inlineStr">
        <is>
          <t>Ekiti</t>
        </is>
      </c>
      <c r="L315" s="57" t="inlineStr">
        <is>
          <t>Ekiti</t>
        </is>
      </c>
      <c r="M315" s="61" t="inlineStr">
        <is>
          <t>Ado-Ekiti</t>
        </is>
      </c>
      <c r="N315" s="196" t="n">
        <v>353</v>
      </c>
      <c r="O315" s="194">
        <f>N315*2</f>
        <v/>
      </c>
      <c r="P315" s="215">
        <f>ROUNDUP(O315/300,)</f>
        <v/>
      </c>
      <c r="Q315" s="215" t="n">
        <v>0.2</v>
      </c>
      <c r="R315" s="215">
        <f>Q315+P315</f>
        <v/>
      </c>
      <c r="S315" s="197">
        <f>ROUNDDOWN(O315*0.51,)+60</f>
        <v/>
      </c>
      <c r="T315" s="207">
        <f>_xlfn.XLOOKUP(F315,[1]Fx!$A$4:$A$10,[1]Fx!$B$4:$B$10)</f>
        <v/>
      </c>
      <c r="U315" s="207">
        <f>_xlfn.XLOOKUP(F315,[1]Fx!$A$4:$A$10,[1]Fx!$C$4:$C$10)</f>
        <v/>
      </c>
      <c r="V315" s="207">
        <f>_xlfn.XLOOKUP(F315,[1]Fx!$A$4:$A$10,[1]Fx!$D$4:$D$10)</f>
        <v/>
      </c>
      <c r="W315" s="207">
        <f>$V$2</f>
        <v/>
      </c>
      <c r="X315" s="207">
        <f>_xlfn.XLOOKUP(F315,[1]Fx!$A$4:$A$10,[1]Fx!$E$4:$E$10)</f>
        <v/>
      </c>
      <c r="Y315" s="215">
        <f>T315*R315</f>
        <v/>
      </c>
      <c r="Z315" s="215">
        <f>U315*O315</f>
        <v/>
      </c>
      <c r="AA315" s="215">
        <f>V315*O315</f>
        <v/>
      </c>
      <c r="AB315" s="215">
        <f>W315*O315</f>
        <v/>
      </c>
      <c r="AC315" s="197">
        <f>X315*O315</f>
        <v/>
      </c>
      <c r="AD315" s="215" t="n">
        <v>0</v>
      </c>
      <c r="AE315" s="215" t="n">
        <v>0</v>
      </c>
      <c r="AF315" s="207">
        <f>SUM(Y315:AE315)</f>
        <v/>
      </c>
      <c r="AG315" s="254">
        <f>_xlfn.XLOOKUP(F315,[1]Fx!$A$16:$A$22,[1]Fx!$B$16:$B$22)</f>
        <v/>
      </c>
      <c r="AH315" s="207">
        <f>AG315*R315</f>
        <v/>
      </c>
      <c r="AI315" s="207">
        <f>$AH$3*Z315</f>
        <v/>
      </c>
      <c r="AJ315" s="207">
        <f>$AI$3*AA315</f>
        <v/>
      </c>
      <c r="AK315" s="207">
        <f>$AJ$3*AB315</f>
        <v/>
      </c>
      <c r="AL315" s="207">
        <f>$AK$3*AC315</f>
        <v/>
      </c>
      <c r="AM315" s="220">
        <f>SUM(AH315:AL315)</f>
        <v/>
      </c>
      <c r="AN315" s="220" t="n">
        <v>0</v>
      </c>
      <c r="AO315" s="220">
        <f>AN315*AH315</f>
        <v/>
      </c>
      <c r="AP315" s="220">
        <f>AD315</f>
        <v/>
      </c>
      <c r="AQ315" s="220">
        <f>AE315</f>
        <v/>
      </c>
      <c r="AR315" s="208">
        <f>AM315-AO315</f>
        <v/>
      </c>
      <c r="AS315" s="220">
        <f>AR315-AK315</f>
        <v/>
      </c>
      <c r="AT315" s="208">
        <f>AS315*1.075</f>
        <v/>
      </c>
      <c r="AU315" s="208">
        <f>AT315+AK315</f>
        <v/>
      </c>
      <c r="AV315" s="198" t="n">
        <v>237278.7809841447</v>
      </c>
      <c r="AW315" s="220" t="n">
        <v>295000</v>
      </c>
      <c r="AX315" s="220">
        <f>AV315-AR315</f>
        <v/>
      </c>
      <c r="AY315" s="35">
        <f>AX315/AR315</f>
        <v/>
      </c>
      <c r="AZ315" s="220">
        <f>AV315-AF315</f>
        <v/>
      </c>
      <c r="BA315" s="215">
        <f>AV315-SUM(Z315:AC315)</f>
        <v/>
      </c>
      <c r="BB315" s="215">
        <f>BA315-Y315</f>
        <v/>
      </c>
      <c r="BC315" s="35">
        <f>BB315/BA315</f>
        <v/>
      </c>
      <c r="BD315" s="35">
        <f>IFERROR(AZ315/AV315,)</f>
        <v/>
      </c>
      <c r="BE315" s="255">
        <f>AV315-SUM(Z315:AC315)</f>
        <v/>
      </c>
      <c r="BF315" s="255">
        <f>AV315-BE315-AC315-AB315</f>
        <v/>
      </c>
      <c r="BG315" s="255">
        <f>AV315-BE315-BF315-AB315</f>
        <v/>
      </c>
      <c r="BH315" s="255">
        <f>AB315</f>
        <v/>
      </c>
      <c r="BI315" s="263" t="inlineStr">
        <is>
          <t>Approved</t>
        </is>
      </c>
    </row>
    <row r="316">
      <c r="C316" s="96" t="inlineStr">
        <is>
          <t>YEKENE</t>
        </is>
      </c>
      <c r="D316" s="49">
        <f>CONCATENATE(G316,"-",H316,"-",F316)</f>
        <v/>
      </c>
      <c r="E316" s="95" t="inlineStr">
        <is>
          <t>Jamara-3T-16CBM</t>
        </is>
      </c>
      <c r="F316" s="94" t="inlineStr">
        <is>
          <t>16CBM</t>
        </is>
      </c>
      <c r="G316" s="25" t="inlineStr">
        <is>
          <t>Closed Body Logistics</t>
        </is>
      </c>
      <c r="H316" s="97" t="inlineStr">
        <is>
          <t>3T</t>
        </is>
      </c>
      <c r="I316" s="102" t="inlineStr">
        <is>
          <t>Jamara</t>
        </is>
      </c>
      <c r="J316" s="103" t="inlineStr">
        <is>
          <t>Lagos</t>
        </is>
      </c>
      <c r="K316" s="106" t="inlineStr">
        <is>
          <t>Ondo</t>
        </is>
      </c>
      <c r="L316" s="57" t="inlineStr">
        <is>
          <t>Ondo</t>
        </is>
      </c>
      <c r="M316" s="58" t="inlineStr">
        <is>
          <t>Akure</t>
        </is>
      </c>
      <c r="N316" s="196" t="n">
        <v>304</v>
      </c>
      <c r="O316" s="194">
        <f>N316*2</f>
        <v/>
      </c>
      <c r="P316" s="215">
        <f>ROUNDUP(O316/300,)</f>
        <v/>
      </c>
      <c r="Q316" s="215" t="n">
        <v>0.2</v>
      </c>
      <c r="R316" s="215">
        <f>Q316+P316</f>
        <v/>
      </c>
      <c r="S316" s="197">
        <f>ROUNDDOWN(O316*0.51,)+60</f>
        <v/>
      </c>
      <c r="T316" s="207">
        <f>_xlfn.XLOOKUP(F316,[1]Fx!$A$4:$A$10,[1]Fx!$B$4:$B$10)</f>
        <v/>
      </c>
      <c r="U316" s="207">
        <f>_xlfn.XLOOKUP(F316,[1]Fx!$A$4:$A$10,[1]Fx!$C$4:$C$10)</f>
        <v/>
      </c>
      <c r="V316" s="207">
        <f>_xlfn.XLOOKUP(F316,[1]Fx!$A$4:$A$10,[1]Fx!$D$4:$D$10)</f>
        <v/>
      </c>
      <c r="W316" s="207">
        <f>$V$2</f>
        <v/>
      </c>
      <c r="X316" s="207">
        <f>_xlfn.XLOOKUP(F316,[1]Fx!$A$4:$A$10,[1]Fx!$E$4:$E$10)</f>
        <v/>
      </c>
      <c r="Y316" s="215">
        <f>T316*R316</f>
        <v/>
      </c>
      <c r="Z316" s="215">
        <f>U316*O316</f>
        <v/>
      </c>
      <c r="AA316" s="215">
        <f>V316*O316</f>
        <v/>
      </c>
      <c r="AB316" s="215">
        <f>W316*O316</f>
        <v/>
      </c>
      <c r="AC316" s="197">
        <f>X316*O316</f>
        <v/>
      </c>
      <c r="AD316" s="215" t="n">
        <v>0</v>
      </c>
      <c r="AE316" s="215" t="n">
        <v>0</v>
      </c>
      <c r="AF316" s="207">
        <f>SUM(Y316:AE316)</f>
        <v/>
      </c>
      <c r="AG316" s="254">
        <f>_xlfn.XLOOKUP(F316,[1]Fx!$A$16:$A$22,[1]Fx!$B$16:$B$22)</f>
        <v/>
      </c>
      <c r="AH316" s="207">
        <f>AG316*R316</f>
        <v/>
      </c>
      <c r="AI316" s="207">
        <f>$AH$3*Z316</f>
        <v/>
      </c>
      <c r="AJ316" s="207">
        <f>$AI$3*AA316</f>
        <v/>
      </c>
      <c r="AK316" s="207">
        <f>$AJ$3*AB316</f>
        <v/>
      </c>
      <c r="AL316" s="207">
        <f>$AK$3*AC316</f>
        <v/>
      </c>
      <c r="AM316" s="220">
        <f>SUM(AH316:AL316)</f>
        <v/>
      </c>
      <c r="AN316" s="220" t="n">
        <v>0</v>
      </c>
      <c r="AO316" s="220">
        <f>AN316*AH316</f>
        <v/>
      </c>
      <c r="AP316" s="220">
        <f>AD316</f>
        <v/>
      </c>
      <c r="AQ316" s="220">
        <f>AE316</f>
        <v/>
      </c>
      <c r="AR316" s="208">
        <f>AM316-AO316</f>
        <v/>
      </c>
      <c r="AS316" s="220">
        <f>AR316-AK316</f>
        <v/>
      </c>
      <c r="AT316" s="208">
        <f>AS316*1.075</f>
        <v/>
      </c>
      <c r="AU316" s="208">
        <f>AT316+AK316</f>
        <v/>
      </c>
      <c r="AV316" s="198" t="n">
        <v>237278.7809841447</v>
      </c>
      <c r="AW316" s="220" t="n">
        <v>295000</v>
      </c>
      <c r="AX316" s="220">
        <f>AV316-AR316</f>
        <v/>
      </c>
      <c r="AY316" s="35">
        <f>AX316/AR316</f>
        <v/>
      </c>
      <c r="AZ316" s="220">
        <f>AV316-AF316</f>
        <v/>
      </c>
      <c r="BA316" s="215">
        <f>AV316-SUM(Z316:AC316)</f>
        <v/>
      </c>
      <c r="BB316" s="215">
        <f>BA316-Y316</f>
        <v/>
      </c>
      <c r="BC316" s="35">
        <f>BB316/BA316</f>
        <v/>
      </c>
      <c r="BD316" s="35">
        <f>IFERROR(AZ316/AV316,)</f>
        <v/>
      </c>
      <c r="BE316" s="255">
        <f>AV316-SUM(Z316:AC316)</f>
        <v/>
      </c>
      <c r="BF316" s="255">
        <f>AV316-BE316-AC316-AB316</f>
        <v/>
      </c>
      <c r="BG316" s="255">
        <f>AV316-BE316-BF316-AB316</f>
        <v/>
      </c>
      <c r="BH316" s="255">
        <f>AB316</f>
        <v/>
      </c>
      <c r="BI316" s="263" t="inlineStr">
        <is>
          <t>Approved</t>
        </is>
      </c>
    </row>
    <row r="317">
      <c r="C317" s="96" t="inlineStr">
        <is>
          <t>YEKENE</t>
        </is>
      </c>
      <c r="D317" s="49">
        <f>CONCATENATE(G317,"-",H317,"-",F317)</f>
        <v/>
      </c>
      <c r="E317" s="95" t="inlineStr">
        <is>
          <t>Jamara-3T-16CBM</t>
        </is>
      </c>
      <c r="F317" s="94" t="inlineStr">
        <is>
          <t>16CBM</t>
        </is>
      </c>
      <c r="G317" s="25" t="inlineStr">
        <is>
          <t>Closed Body Logistics</t>
        </is>
      </c>
      <c r="H317" s="97" t="inlineStr">
        <is>
          <t>3T</t>
        </is>
      </c>
      <c r="I317" s="102" t="inlineStr">
        <is>
          <t>Jamara</t>
        </is>
      </c>
      <c r="J317" s="103" t="inlineStr">
        <is>
          <t>Lagos</t>
        </is>
      </c>
      <c r="K317" s="112" t="inlineStr">
        <is>
          <t>Kwara</t>
        </is>
      </c>
      <c r="L317" s="57" t="inlineStr">
        <is>
          <t>Kwara</t>
        </is>
      </c>
      <c r="M317" s="61" t="inlineStr">
        <is>
          <t>Ilorin</t>
        </is>
      </c>
      <c r="N317" s="196" t="n">
        <v>297.5</v>
      </c>
      <c r="O317" s="194">
        <f>N317*2</f>
        <v/>
      </c>
      <c r="P317" s="215">
        <f>ROUNDUP(O317/300,)</f>
        <v/>
      </c>
      <c r="Q317" s="215" t="n">
        <v>0.2</v>
      </c>
      <c r="R317" s="215">
        <f>Q317+P317</f>
        <v/>
      </c>
      <c r="S317" s="197">
        <f>ROUNDDOWN(O317*0.51,)+60</f>
        <v/>
      </c>
      <c r="T317" s="207">
        <f>_xlfn.XLOOKUP(F317,[1]Fx!$A$4:$A$10,[1]Fx!$B$4:$B$10)</f>
        <v/>
      </c>
      <c r="U317" s="207">
        <f>_xlfn.XLOOKUP(F317,[1]Fx!$A$4:$A$10,[1]Fx!$C$4:$C$10)</f>
        <v/>
      </c>
      <c r="V317" s="207">
        <f>_xlfn.XLOOKUP(F317,[1]Fx!$A$4:$A$10,[1]Fx!$D$4:$D$10)</f>
        <v/>
      </c>
      <c r="W317" s="207">
        <f>$V$2</f>
        <v/>
      </c>
      <c r="X317" s="207">
        <f>_xlfn.XLOOKUP(F317,[1]Fx!$A$4:$A$10,[1]Fx!$E$4:$E$10)</f>
        <v/>
      </c>
      <c r="Y317" s="215">
        <f>T317*R317</f>
        <v/>
      </c>
      <c r="Z317" s="215">
        <f>U317*O317</f>
        <v/>
      </c>
      <c r="AA317" s="215">
        <f>V317*O317</f>
        <v/>
      </c>
      <c r="AB317" s="215">
        <f>W317*O317</f>
        <v/>
      </c>
      <c r="AC317" s="197">
        <f>X317*O317</f>
        <v/>
      </c>
      <c r="AD317" s="215" t="n">
        <v>20000</v>
      </c>
      <c r="AE317" s="215" t="n">
        <v>0</v>
      </c>
      <c r="AF317" s="207">
        <f>SUM(Y317:AE317)</f>
        <v/>
      </c>
      <c r="AG317" s="254">
        <f>_xlfn.XLOOKUP(F317,[1]Fx!$A$16:$A$22,[1]Fx!$B$16:$B$22)</f>
        <v/>
      </c>
      <c r="AH317" s="207">
        <f>AG317*R317</f>
        <v/>
      </c>
      <c r="AI317" s="207">
        <f>$AH$3*Z317</f>
        <v/>
      </c>
      <c r="AJ317" s="207">
        <f>$AI$3*AA317</f>
        <v/>
      </c>
      <c r="AK317" s="207">
        <f>$AJ$3*AB317</f>
        <v/>
      </c>
      <c r="AL317" s="207">
        <f>$AK$3*AC317</f>
        <v/>
      </c>
      <c r="AM317" s="220">
        <f>SUM(AH317:AL317)</f>
        <v/>
      </c>
      <c r="AN317" s="220" t="n">
        <v>0</v>
      </c>
      <c r="AO317" s="220">
        <f>AN317*AH317</f>
        <v/>
      </c>
      <c r="AP317" s="220" t="n">
        <v>0</v>
      </c>
      <c r="AQ317" s="220">
        <f>AE317</f>
        <v/>
      </c>
      <c r="AR317" s="208">
        <f>AM317-AO317</f>
        <v/>
      </c>
      <c r="AS317" s="220">
        <f>AR317-AK317</f>
        <v/>
      </c>
      <c r="AT317" s="208">
        <f>AS317*1.075</f>
        <v/>
      </c>
      <c r="AU317" s="208">
        <f>AT317+AK317</f>
        <v/>
      </c>
      <c r="AV317" s="198" t="n">
        <v>163129.1619265995</v>
      </c>
      <c r="AW317" s="220" t="n"/>
      <c r="AX317" s="220">
        <f>AV317-AU317</f>
        <v/>
      </c>
      <c r="AY317" s="35">
        <f>AX317/AR317</f>
        <v/>
      </c>
      <c r="AZ317" s="220">
        <f>AV317-AF317</f>
        <v/>
      </c>
      <c r="BA317" s="215">
        <f>AV317-SUM(Z317:AC317)</f>
        <v/>
      </c>
      <c r="BB317" s="215">
        <f>BA317-Y317</f>
        <v/>
      </c>
      <c r="BC317" s="35">
        <f>BB317/BA317</f>
        <v/>
      </c>
      <c r="BD317" s="35">
        <f>IFERROR(AZ317/AV317,)</f>
        <v/>
      </c>
      <c r="BE317" s="255">
        <f>AV317-SUM(Z317:AC317)</f>
        <v/>
      </c>
      <c r="BF317" s="255">
        <f>AV317-BE317-AC317-AB317</f>
        <v/>
      </c>
      <c r="BG317" s="255">
        <f>AV317-BE317-BF317-AB317</f>
        <v/>
      </c>
      <c r="BH317" s="255">
        <f>AB317</f>
        <v/>
      </c>
      <c r="BI317" s="263" t="inlineStr">
        <is>
          <t xml:space="preserve">To Check </t>
        </is>
      </c>
    </row>
    <row r="318">
      <c r="C318" s="96" t="inlineStr">
        <is>
          <t>YEKENE</t>
        </is>
      </c>
      <c r="D318" s="49">
        <f>CONCATENATE(G318,"-",H318,"-",F318)</f>
        <v/>
      </c>
      <c r="E318" s="95" t="inlineStr">
        <is>
          <t>Jamara-3T-16CBM</t>
        </is>
      </c>
      <c r="F318" s="94" t="inlineStr">
        <is>
          <t>16CBM</t>
        </is>
      </c>
      <c r="G318" s="25" t="inlineStr">
        <is>
          <t>Closed Body Logistics</t>
        </is>
      </c>
      <c r="H318" s="97" t="inlineStr">
        <is>
          <t>3T</t>
        </is>
      </c>
      <c r="I318" s="102" t="inlineStr">
        <is>
          <t>Jamara</t>
        </is>
      </c>
      <c r="J318" s="103" t="inlineStr">
        <is>
          <t>Lagos</t>
        </is>
      </c>
      <c r="K318" s="113" t="inlineStr">
        <is>
          <t>Abuja</t>
        </is>
      </c>
      <c r="L318" s="57" t="inlineStr">
        <is>
          <t>FCT</t>
        </is>
      </c>
      <c r="M318" s="62" t="inlineStr">
        <is>
          <t>Abuja (Direct)</t>
        </is>
      </c>
      <c r="N318" s="196" t="n">
        <v>755</v>
      </c>
      <c r="O318" s="194">
        <f>N318*2</f>
        <v/>
      </c>
      <c r="P318" s="215">
        <f>ROUNDUP(O318/300,)</f>
        <v/>
      </c>
      <c r="Q318" s="215" t="n">
        <v>0</v>
      </c>
      <c r="R318" s="215">
        <f>Q318+P318</f>
        <v/>
      </c>
      <c r="S318" s="197">
        <f>ROUNDDOWN(O318*0.51,)</f>
        <v/>
      </c>
      <c r="T318" s="207">
        <f>_xlfn.XLOOKUP(F318,[1]Fx!$A$4:$A$10,[1]Fx!$B$4:$B$10)</f>
        <v/>
      </c>
      <c r="U318" s="207">
        <f>_xlfn.XLOOKUP(F318,[1]Fx!$A$4:$A$10,[1]Fx!$C$4:$C$10)</f>
        <v/>
      </c>
      <c r="V318" s="207">
        <f>_xlfn.XLOOKUP(F318,[1]Fx!$A$4:$A$10,[1]Fx!$D$4:$D$10)</f>
        <v/>
      </c>
      <c r="W318" s="207">
        <f>$V$2</f>
        <v/>
      </c>
      <c r="X318" s="207">
        <f>_xlfn.XLOOKUP(F318,[1]Fx!$A$4:$A$10,[1]Fx!$E$4:$E$10)</f>
        <v/>
      </c>
      <c r="Y318" s="215">
        <f>T318*R318</f>
        <v/>
      </c>
      <c r="Z318" s="215">
        <f>U318*O318</f>
        <v/>
      </c>
      <c r="AA318" s="215">
        <f>V318*O318</f>
        <v/>
      </c>
      <c r="AB318" s="215">
        <f>W318*O318</f>
        <v/>
      </c>
      <c r="AC318" s="197">
        <f>X318*O318</f>
        <v/>
      </c>
      <c r="AD318" s="215" t="n">
        <v>20000</v>
      </c>
      <c r="AE318" s="215" t="n">
        <v>0</v>
      </c>
      <c r="AF318" s="207">
        <f>SUM(Y318:AE318)</f>
        <v/>
      </c>
      <c r="AG318" s="254">
        <f>_xlfn.XLOOKUP(F318,[1]Fx!$A$16:$A$22,[1]Fx!$B$16:$B$22)</f>
        <v/>
      </c>
      <c r="AH318" s="207">
        <f>AG318*R318</f>
        <v/>
      </c>
      <c r="AI318" s="207">
        <f>$AH$3*Z318</f>
        <v/>
      </c>
      <c r="AJ318" s="207">
        <f>$AI$3*AA318</f>
        <v/>
      </c>
      <c r="AK318" s="207">
        <f>$AJ$3*AB318</f>
        <v/>
      </c>
      <c r="AL318" s="207">
        <f>$AK$3*AC318</f>
        <v/>
      </c>
      <c r="AM318" s="220">
        <f>SUM(AH318:AL318)</f>
        <v/>
      </c>
      <c r="AN318" s="220" t="n">
        <v>0</v>
      </c>
      <c r="AO318" s="220">
        <f>AN318*AH318</f>
        <v/>
      </c>
      <c r="AP318" s="220" t="n">
        <v>0</v>
      </c>
      <c r="AQ318" s="220">
        <f>AE318</f>
        <v/>
      </c>
      <c r="AR318" s="208">
        <f>AM318-AO318</f>
        <v/>
      </c>
      <c r="AS318" s="220">
        <f>AR318-AK318</f>
        <v/>
      </c>
      <c r="AT318" s="208">
        <f>AS318*1.075</f>
        <v/>
      </c>
      <c r="AU318" s="208">
        <f>AT318+AK318</f>
        <v/>
      </c>
      <c r="AV318" s="198" t="n">
        <v>444897.7143452713</v>
      </c>
      <c r="AW318" s="220" t="n"/>
      <c r="AX318" s="220">
        <f>AV318-AU318</f>
        <v/>
      </c>
      <c r="AY318" s="35">
        <f>AX318/AR318</f>
        <v/>
      </c>
      <c r="AZ318" s="220">
        <f>AV318-AF318</f>
        <v/>
      </c>
      <c r="BA318" s="215">
        <f>AV318-SUM(Z318:AC318)</f>
        <v/>
      </c>
      <c r="BB318" s="215">
        <f>BA318-Y318</f>
        <v/>
      </c>
      <c r="BC318" s="35">
        <f>BB318/BA318</f>
        <v/>
      </c>
      <c r="BD318" s="35">
        <f>IFERROR(AZ318/AV318,)</f>
        <v/>
      </c>
      <c r="BE318" s="255">
        <f>AV318-SUM(Z318:AC318)</f>
        <v/>
      </c>
      <c r="BF318" s="255">
        <f>AV318-BE318-AC318-AB318</f>
        <v/>
      </c>
      <c r="BG318" s="255">
        <f>AV318-BE318-BF318-AB318</f>
        <v/>
      </c>
      <c r="BH318" s="255">
        <f>AB318</f>
        <v/>
      </c>
      <c r="BI318" s="263" t="inlineStr">
        <is>
          <t xml:space="preserve">To Check </t>
        </is>
      </c>
    </row>
    <row r="319">
      <c r="C319" s="23" t="inlineStr">
        <is>
          <t>ASINI/Yekeni</t>
        </is>
      </c>
      <c r="D319">
        <f>CONCATENATE(G319,"-",H319,"-",F319)</f>
        <v/>
      </c>
      <c r="E319" s="94" t="inlineStr">
        <is>
          <t>JMG-10T-Hiabs Logistics-Upcountry</t>
        </is>
      </c>
      <c r="F319" s="23" t="inlineStr">
        <is>
          <t>Upcountry</t>
        </is>
      </c>
      <c r="G319" s="50" t="inlineStr">
        <is>
          <t>Hiabs Logistics</t>
        </is>
      </c>
      <c r="H319" s="24" t="inlineStr">
        <is>
          <t>10T</t>
        </is>
      </c>
      <c r="I319" s="114" t="inlineStr">
        <is>
          <t>JMG</t>
        </is>
      </c>
      <c r="J319" s="74" t="inlineStr">
        <is>
          <t>Port Harcourt</t>
        </is>
      </c>
      <c r="K319" s="115" t="inlineStr">
        <is>
          <t>Obudu Cattle Ranch</t>
        </is>
      </c>
      <c r="L319" s="50" t="inlineStr">
        <is>
          <t>Cross River</t>
        </is>
      </c>
      <c r="M319" s="64" t="n"/>
      <c r="N319" s="199">
        <f>O319/2</f>
        <v/>
      </c>
      <c r="O319" s="200" t="n">
        <v>1051</v>
      </c>
      <c r="P319" s="208">
        <f>ROUNDUP(O319/300,)</f>
        <v/>
      </c>
      <c r="Q319" s="208" t="n">
        <v>1</v>
      </c>
      <c r="R319" s="208">
        <f>Q319+P319</f>
        <v/>
      </c>
      <c r="S319" s="195">
        <f>ROUNDDOWN(O319*0.51,)+60</f>
        <v/>
      </c>
      <c r="T319" s="207">
        <f>_xlfn.XLOOKUP(G319,[1]Fx!$A$4:$A$10,[1]Fx!$B$4:$B$10)</f>
        <v/>
      </c>
      <c r="U319" s="207">
        <f>_xlfn.XLOOKUP(G319,'[1]BP Setup'!$B$6:$B$72,'[1]BP Setup'!$Q$6:$Q$72)</f>
        <v/>
      </c>
      <c r="V319" s="207">
        <f>_xlfn.XLOOKUP(G319,'[1]BP Setup'!$B$6:$B$72,'[1]BP Setup'!$R$6:$R$72)</f>
        <v/>
      </c>
      <c r="W319" s="207">
        <f>$W$3</f>
        <v/>
      </c>
      <c r="X319" s="207" t="n">
        <v>80</v>
      </c>
      <c r="Y319" s="207">
        <f>T319*R319</f>
        <v/>
      </c>
      <c r="Z319" s="207">
        <f>U319*O319</f>
        <v/>
      </c>
      <c r="AA319" s="207">
        <f>V319*O319</f>
        <v/>
      </c>
      <c r="AB319" s="207">
        <f>W319*O319</f>
        <v/>
      </c>
      <c r="AC319" s="194">
        <f>X319*O319</f>
        <v/>
      </c>
      <c r="AD319" s="207" t="n">
        <v>0</v>
      </c>
      <c r="AE319" s="207" t="n">
        <v>0</v>
      </c>
      <c r="AF319" s="207">
        <f>SUM(Y319:AE319)</f>
        <v/>
      </c>
      <c r="AG319" s="254">
        <f>_xlfn.XLOOKUP(G319,[1]Fx!$A$16:$A$22,[1]Fx!$B$16:$B$22)</f>
        <v/>
      </c>
      <c r="AH319" s="207">
        <f>AG319*R319</f>
        <v/>
      </c>
      <c r="AI319" s="207">
        <f>$AI$3*Z319</f>
        <v/>
      </c>
      <c r="AJ319" s="207">
        <f>$AJ$3*AA319</f>
        <v/>
      </c>
      <c r="AK319" s="207">
        <f>$AK$3*AB319</f>
        <v/>
      </c>
      <c r="AL319" s="207">
        <f>$AL$3*AC319</f>
        <v/>
      </c>
      <c r="AM319" s="208">
        <f>SUM(AH319:AL319)</f>
        <v/>
      </c>
      <c r="AN319" s="208" t="n">
        <v>0</v>
      </c>
      <c r="AO319" s="220">
        <f>AN319*AH319</f>
        <v/>
      </c>
      <c r="AP319" s="208">
        <f>AD319</f>
        <v/>
      </c>
      <c r="AQ319" s="208">
        <f>AE319</f>
        <v/>
      </c>
      <c r="AR319" s="208">
        <f>AM319-AO319</f>
        <v/>
      </c>
      <c r="AS319" s="220">
        <f>AR319-AK319</f>
        <v/>
      </c>
      <c r="AT319" s="208">
        <f>AS319*1.075</f>
        <v/>
      </c>
      <c r="AU319" s="208">
        <f>AT319+AK319</f>
        <v/>
      </c>
      <c r="AV319" s="198" t="n">
        <v>658010.9978703284</v>
      </c>
      <c r="AW319" s="264">
        <f>BO319*2</f>
        <v/>
      </c>
      <c r="AX319" s="208">
        <f>AV319-AR319</f>
        <v/>
      </c>
      <c r="AY319" s="54">
        <f>AX319/AR319</f>
        <v/>
      </c>
      <c r="AZ319" s="208">
        <f>AV319-AF319</f>
        <v/>
      </c>
      <c r="BA319" s="207">
        <f>AV319-SUM(Z319:AC319)</f>
        <v/>
      </c>
      <c r="BB319" s="207">
        <f>BA319-Y319</f>
        <v/>
      </c>
      <c r="BC319" s="54">
        <f>BB319/BA319</f>
        <v/>
      </c>
      <c r="BD319" s="54">
        <f>IFERROR(AZ319/AV319,)</f>
        <v/>
      </c>
      <c r="BE319" s="262">
        <f>AV319-SUM(Z319:AC319)</f>
        <v/>
      </c>
      <c r="BF319" s="262">
        <f>AV319-BE319-AC319-AB319</f>
        <v/>
      </c>
      <c r="BG319" s="262">
        <f>AV319-BE319-BF319-AB319</f>
        <v/>
      </c>
      <c r="BH319" s="262">
        <f>AB319</f>
        <v/>
      </c>
      <c r="BI319" s="263" t="inlineStr">
        <is>
          <t>Approved</t>
        </is>
      </c>
    </row>
    <row r="320">
      <c r="C320" s="23" t="inlineStr">
        <is>
          <t>ASINI/Yekeni</t>
        </is>
      </c>
      <c r="D320">
        <f>CONCATENATE(G320,"-",H320,"-",F320)</f>
        <v/>
      </c>
      <c r="E320" s="24" t="inlineStr">
        <is>
          <t>JMG-10T-Hiabs Logistics-Upcountry</t>
        </is>
      </c>
      <c r="F320" s="23" t="inlineStr">
        <is>
          <t>Upcountry</t>
        </is>
      </c>
      <c r="G320" s="25" t="inlineStr">
        <is>
          <t>Hiabs Logistics</t>
        </is>
      </c>
      <c r="H320" s="24" t="inlineStr">
        <is>
          <t>10T</t>
        </is>
      </c>
      <c r="I320" s="73" t="inlineStr">
        <is>
          <t>JMG</t>
        </is>
      </c>
      <c r="J320" s="74" t="inlineStr">
        <is>
          <t>Port Harcourt</t>
        </is>
      </c>
      <c r="K320" s="115" t="inlineStr">
        <is>
          <t>Makurdi</t>
        </is>
      </c>
      <c r="L320" s="67" t="inlineStr">
        <is>
          <t>Benue</t>
        </is>
      </c>
      <c r="M320" s="68" t="n"/>
      <c r="N320" s="199">
        <f>O320/2</f>
        <v/>
      </c>
      <c r="O320" s="200" t="n">
        <v>971</v>
      </c>
      <c r="P320" s="220">
        <f>ROUNDUP(O320/300,)</f>
        <v/>
      </c>
      <c r="Q320" s="220" t="n">
        <v>1</v>
      </c>
      <c r="R320" s="220">
        <f>Q320+P320</f>
        <v/>
      </c>
      <c r="S320" s="198">
        <f>ROUNDDOWN(O320*0.51,)+60</f>
        <v/>
      </c>
      <c r="T320" s="207">
        <f>_xlfn.XLOOKUP(G320,[1]Fx!$A$4:$A$10,[1]Fx!$B$4:$B$10)</f>
        <v/>
      </c>
      <c r="U320" s="207">
        <f>_xlfn.XLOOKUP(G320,'[1]BP Setup'!$B$6:$B$72,'[1]BP Setup'!$Q$6:$Q$72)</f>
        <v/>
      </c>
      <c r="V320" s="207">
        <f>_xlfn.XLOOKUP(G320,'[1]BP Setup'!$B$6:$B$72,'[1]BP Setup'!$R$6:$R$72)</f>
        <v/>
      </c>
      <c r="W320" s="207">
        <f>$W$3</f>
        <v/>
      </c>
      <c r="X320" s="207" t="n">
        <v>80</v>
      </c>
      <c r="Y320" s="215">
        <f>T320*R320</f>
        <v/>
      </c>
      <c r="Z320" s="215">
        <f>U320*O320</f>
        <v/>
      </c>
      <c r="AA320" s="215">
        <f>V320*O320</f>
        <v/>
      </c>
      <c r="AB320" s="215">
        <f>W320*O320</f>
        <v/>
      </c>
      <c r="AC320" s="197">
        <f>X320*O320</f>
        <v/>
      </c>
      <c r="AD320" s="215" t="n">
        <v>0</v>
      </c>
      <c r="AE320" s="215" t="n">
        <v>0</v>
      </c>
      <c r="AF320" s="207">
        <f>SUM(Y320:AE320)</f>
        <v/>
      </c>
      <c r="AG320" s="254">
        <f>_xlfn.XLOOKUP(G320,[1]Fx!$A$16:$A$22,[1]Fx!$B$16:$B$22)</f>
        <v/>
      </c>
      <c r="AH320" s="207">
        <f>AG320*R320</f>
        <v/>
      </c>
      <c r="AI320" s="207">
        <f>$AI$3*Z320</f>
        <v/>
      </c>
      <c r="AJ320" s="207">
        <f>$AJ$3*AA320</f>
        <v/>
      </c>
      <c r="AK320" s="207">
        <f>$AK$3*AB320</f>
        <v/>
      </c>
      <c r="AL320" s="207">
        <f>$AL$3*AC320</f>
        <v/>
      </c>
      <c r="AM320" s="220">
        <f>SUM(AH320:AL320)</f>
        <v/>
      </c>
      <c r="AN320" s="220" t="n">
        <v>0</v>
      </c>
      <c r="AO320" s="220">
        <f>AN320*AH320</f>
        <v/>
      </c>
      <c r="AP320" s="220">
        <f>AD320</f>
        <v/>
      </c>
      <c r="AQ320" s="220">
        <f>AE320</f>
        <v/>
      </c>
      <c r="AR320" s="208">
        <f>AM320-AO320</f>
        <v/>
      </c>
      <c r="AS320" s="220">
        <f>AR320-AK320</f>
        <v/>
      </c>
      <c r="AT320" s="208">
        <f>AS320*1.075</f>
        <v/>
      </c>
      <c r="AU320" s="208">
        <f>AT320+AK320</f>
        <v/>
      </c>
      <c r="AV320" s="198" t="n">
        <v>658010.9978703284</v>
      </c>
      <c r="AW320" s="264">
        <f>BO320*2</f>
        <v/>
      </c>
      <c r="AX320" s="220">
        <f>AV320-AR320</f>
        <v/>
      </c>
      <c r="AY320" s="35">
        <f>AX320/AR320</f>
        <v/>
      </c>
      <c r="AZ320" s="220">
        <f>AV320-AF320</f>
        <v/>
      </c>
      <c r="BA320" s="215">
        <f>AV320-SUM(Z320:AC320)</f>
        <v/>
      </c>
      <c r="BB320" s="215">
        <f>BA320-Y320</f>
        <v/>
      </c>
      <c r="BC320" s="35">
        <f>BB320/BA320</f>
        <v/>
      </c>
      <c r="BD320" s="35">
        <f>IFERROR(AZ320/AV320,)</f>
        <v/>
      </c>
      <c r="BE320" s="255">
        <f>AV320-SUM(Z320:AC320)</f>
        <v/>
      </c>
      <c r="BF320" s="255">
        <f>AV320-BE320-AC320-AB320</f>
        <v/>
      </c>
      <c r="BG320" s="255">
        <f>AV320-BE320-BF320-AB320</f>
        <v/>
      </c>
      <c r="BH320" s="255">
        <f>AB320</f>
        <v/>
      </c>
      <c r="BI320" s="263" t="inlineStr">
        <is>
          <t xml:space="preserve">To Check </t>
        </is>
      </c>
    </row>
    <row r="321">
      <c r="C321" s="23" t="inlineStr">
        <is>
          <t>ASINI/Yekeni</t>
        </is>
      </c>
      <c r="D321">
        <f>CONCATENATE(G321,"-",H321,"-",F321)</f>
        <v/>
      </c>
      <c r="E321" s="24" t="inlineStr">
        <is>
          <t>JMG-10T-Hiabs Logistics-Upcountry</t>
        </is>
      </c>
      <c r="F321" s="23" t="inlineStr">
        <is>
          <t>Upcountry</t>
        </is>
      </c>
      <c r="G321" s="25" t="inlineStr">
        <is>
          <t>Hiabs Logistics</t>
        </is>
      </c>
      <c r="H321" s="24" t="inlineStr">
        <is>
          <t>10T</t>
        </is>
      </c>
      <c r="I321" s="73" t="inlineStr">
        <is>
          <t>JMG</t>
        </is>
      </c>
      <c r="J321" s="74" t="inlineStr">
        <is>
          <t>Port Harcourt</t>
        </is>
      </c>
      <c r="K321" s="115" t="inlineStr">
        <is>
          <t>Kpoko</t>
        </is>
      </c>
      <c r="L321" s="67" t="inlineStr">
        <is>
          <t>Benue</t>
        </is>
      </c>
      <c r="M321" s="68" t="n"/>
      <c r="N321" s="199">
        <f>O321/2</f>
        <v/>
      </c>
      <c r="O321" s="200" t="n">
        <v>971</v>
      </c>
      <c r="P321" s="220">
        <f>ROUNDUP(O321/300,)</f>
        <v/>
      </c>
      <c r="Q321" s="220" t="n">
        <v>1</v>
      </c>
      <c r="R321" s="220">
        <f>Q321+P321</f>
        <v/>
      </c>
      <c r="S321" s="198">
        <f>ROUNDDOWN(O321*0.51,)+60</f>
        <v/>
      </c>
      <c r="T321" s="207">
        <f>_xlfn.XLOOKUP(G321,[1]Fx!$A$4:$A$10,[1]Fx!$B$4:$B$10)</f>
        <v/>
      </c>
      <c r="U321" s="207">
        <f>_xlfn.XLOOKUP(G321,'[1]BP Setup'!$B$6:$B$72,'[1]BP Setup'!$Q$6:$Q$72)</f>
        <v/>
      </c>
      <c r="V321" s="207">
        <f>_xlfn.XLOOKUP(G321,'[1]BP Setup'!$B$6:$B$72,'[1]BP Setup'!$R$6:$R$72)</f>
        <v/>
      </c>
      <c r="W321" s="207">
        <f>$W$3</f>
        <v/>
      </c>
      <c r="X321" s="207" t="n">
        <v>80</v>
      </c>
      <c r="Y321" s="215">
        <f>T321*R321</f>
        <v/>
      </c>
      <c r="Z321" s="215">
        <f>U321*O321</f>
        <v/>
      </c>
      <c r="AA321" s="215">
        <f>V321*O321</f>
        <v/>
      </c>
      <c r="AB321" s="215">
        <f>W321*O321</f>
        <v/>
      </c>
      <c r="AC321" s="197">
        <f>X321*O321</f>
        <v/>
      </c>
      <c r="AD321" s="215" t="n">
        <v>0</v>
      </c>
      <c r="AE321" s="215" t="n">
        <v>0</v>
      </c>
      <c r="AF321" s="207">
        <f>SUM(Y321:AE321)</f>
        <v/>
      </c>
      <c r="AG321" s="254">
        <f>_xlfn.XLOOKUP(G321,[1]Fx!$A$16:$A$22,[1]Fx!$B$16:$B$22)</f>
        <v/>
      </c>
      <c r="AH321" s="207">
        <f>AG321*R321</f>
        <v/>
      </c>
      <c r="AI321" s="207">
        <f>$AI$3*Z321</f>
        <v/>
      </c>
      <c r="AJ321" s="207">
        <f>$AJ$3*AA321</f>
        <v/>
      </c>
      <c r="AK321" s="207">
        <f>$AK$3*AB321</f>
        <v/>
      </c>
      <c r="AL321" s="207">
        <f>$AL$3*AC321</f>
        <v/>
      </c>
      <c r="AM321" s="220">
        <f>SUM(AH321:AL321)</f>
        <v/>
      </c>
      <c r="AN321" s="220" t="n">
        <v>0</v>
      </c>
      <c r="AO321" s="220">
        <f>AN321*AH321</f>
        <v/>
      </c>
      <c r="AP321" s="220">
        <f>AD321</f>
        <v/>
      </c>
      <c r="AQ321" s="220">
        <f>AE321</f>
        <v/>
      </c>
      <c r="AR321" s="208">
        <f>AM321-AO321</f>
        <v/>
      </c>
      <c r="AS321" s="220">
        <f>AR321-AK321</f>
        <v/>
      </c>
      <c r="AT321" s="208">
        <f>AS321*1.075</f>
        <v/>
      </c>
      <c r="AU321" s="208">
        <f>AT321+AK321</f>
        <v/>
      </c>
      <c r="AV321" s="198" t="n">
        <v>658010.9978703284</v>
      </c>
      <c r="AW321" s="264">
        <f>BO321*2</f>
        <v/>
      </c>
      <c r="AX321" s="220">
        <f>AV321-AR321</f>
        <v/>
      </c>
      <c r="AY321" s="35">
        <f>AX321/AR321</f>
        <v/>
      </c>
      <c r="AZ321" s="220">
        <f>AV321-AF321</f>
        <v/>
      </c>
      <c r="BA321" s="215">
        <f>AV321-SUM(Z321:AC321)</f>
        <v/>
      </c>
      <c r="BB321" s="215">
        <f>BA321-Y321</f>
        <v/>
      </c>
      <c r="BC321" s="35">
        <f>BB321/BA321</f>
        <v/>
      </c>
      <c r="BD321" s="35">
        <f>IFERROR(AZ321/AV321,)</f>
        <v/>
      </c>
      <c r="BE321" s="255">
        <f>AV321-SUM(Z321:AC321)</f>
        <v/>
      </c>
      <c r="BF321" s="255">
        <f>AV321-BE321-AC321-AB321</f>
        <v/>
      </c>
      <c r="BG321" s="255">
        <f>AV321-BE321-BF321-AB321</f>
        <v/>
      </c>
      <c r="BH321" s="255">
        <f>AB321</f>
        <v/>
      </c>
      <c r="BI321" s="263" t="inlineStr">
        <is>
          <t xml:space="preserve">To Check </t>
        </is>
      </c>
    </row>
    <row r="322">
      <c r="C322" s="23" t="inlineStr">
        <is>
          <t>ASINI/Yekeni</t>
        </is>
      </c>
      <c r="D322">
        <f>CONCATENATE(G322,"-",H322,"-",F322)</f>
        <v/>
      </c>
      <c r="E322" s="24" t="inlineStr">
        <is>
          <t>JMG-10T-Hiabs Logistics-Upcountry</t>
        </is>
      </c>
      <c r="F322" s="23" t="inlineStr">
        <is>
          <t>Upcountry</t>
        </is>
      </c>
      <c r="G322" s="25" t="inlineStr">
        <is>
          <t>Hiabs Logistics</t>
        </is>
      </c>
      <c r="H322" s="24" t="inlineStr">
        <is>
          <t>10T</t>
        </is>
      </c>
      <c r="I322" s="73" t="inlineStr">
        <is>
          <t>JMG</t>
        </is>
      </c>
      <c r="J322" s="74" t="inlineStr">
        <is>
          <t>Port Harcourt</t>
        </is>
      </c>
      <c r="K322" s="115" t="inlineStr">
        <is>
          <t>Ogoja</t>
        </is>
      </c>
      <c r="L322" s="67" t="inlineStr">
        <is>
          <t>Cross River</t>
        </is>
      </c>
      <c r="M322" s="68" t="n"/>
      <c r="N322" s="199">
        <f>O322/2</f>
        <v/>
      </c>
      <c r="O322" s="200" t="n">
        <v>810</v>
      </c>
      <c r="P322" s="220">
        <f>ROUNDUP(O322/300,)</f>
        <v/>
      </c>
      <c r="Q322" s="220" t="n">
        <v>1</v>
      </c>
      <c r="R322" s="220">
        <f>Q322+P322</f>
        <v/>
      </c>
      <c r="S322" s="198">
        <f>ROUNDDOWN(O322*0.51,)+60</f>
        <v/>
      </c>
      <c r="T322" s="207">
        <f>_xlfn.XLOOKUP(G322,[1]Fx!$A$4:$A$10,[1]Fx!$B$4:$B$10)</f>
        <v/>
      </c>
      <c r="U322" s="207">
        <f>_xlfn.XLOOKUP(G322,'[1]BP Setup'!$B$6:$B$72,'[1]BP Setup'!$Q$6:$Q$72)</f>
        <v/>
      </c>
      <c r="V322" s="207">
        <f>_xlfn.XLOOKUP(G322,'[1]BP Setup'!$B$6:$B$72,'[1]BP Setup'!$R$6:$R$72)</f>
        <v/>
      </c>
      <c r="W322" s="207">
        <f>$W$3</f>
        <v/>
      </c>
      <c r="X322" s="207" t="n">
        <v>80</v>
      </c>
      <c r="Y322" s="215">
        <f>T322*R322</f>
        <v/>
      </c>
      <c r="Z322" s="215">
        <f>U322*O322</f>
        <v/>
      </c>
      <c r="AA322" s="215">
        <f>V322*O322</f>
        <v/>
      </c>
      <c r="AB322" s="215">
        <f>W322*O322</f>
        <v/>
      </c>
      <c r="AC322" s="197">
        <f>X322*O322</f>
        <v/>
      </c>
      <c r="AD322" s="215" t="n">
        <v>0</v>
      </c>
      <c r="AE322" s="215" t="n">
        <v>0</v>
      </c>
      <c r="AF322" s="207">
        <f>SUM(Y322:AE322)</f>
        <v/>
      </c>
      <c r="AG322" s="254">
        <f>_xlfn.XLOOKUP(G322,[1]Fx!$A$16:$A$22,[1]Fx!$B$16:$B$22)</f>
        <v/>
      </c>
      <c r="AH322" s="207">
        <f>AG322*R322</f>
        <v/>
      </c>
      <c r="AI322" s="207">
        <f>$AI$3*Z322</f>
        <v/>
      </c>
      <c r="AJ322" s="207">
        <f>$AJ$3*AA322</f>
        <v/>
      </c>
      <c r="AK322" s="207">
        <f>$AK$3*AB322</f>
        <v/>
      </c>
      <c r="AL322" s="207">
        <f>$AL$3*AC322</f>
        <v/>
      </c>
      <c r="AM322" s="220">
        <f>SUM(AH322:AL322)</f>
        <v/>
      </c>
      <c r="AN322" s="220" t="n">
        <v>0</v>
      </c>
      <c r="AO322" s="220">
        <f>AN322*AH322</f>
        <v/>
      </c>
      <c r="AP322" s="220">
        <f>AD322</f>
        <v/>
      </c>
      <c r="AQ322" s="220">
        <f>AE322</f>
        <v/>
      </c>
      <c r="AR322" s="208">
        <f>AM322-AO322</f>
        <v/>
      </c>
      <c r="AS322" s="220">
        <f>AR322-AK322</f>
        <v/>
      </c>
      <c r="AT322" s="208">
        <f>AS322*1.075</f>
        <v/>
      </c>
      <c r="AU322" s="208">
        <f>AT322+AK322</f>
        <v/>
      </c>
      <c r="AV322" s="198" t="n">
        <v>526408.7982962627</v>
      </c>
      <c r="AW322" s="264">
        <f>BO322*2</f>
        <v/>
      </c>
      <c r="AX322" s="220">
        <f>AV322-AR322</f>
        <v/>
      </c>
      <c r="AY322" s="35">
        <f>AX322/AR322</f>
        <v/>
      </c>
      <c r="AZ322" s="220">
        <f>AV322-AF322</f>
        <v/>
      </c>
      <c r="BA322" s="215">
        <f>AV322-SUM(Z322:AC322)</f>
        <v/>
      </c>
      <c r="BB322" s="215">
        <f>BA322-Y322</f>
        <v/>
      </c>
      <c r="BC322" s="35">
        <f>BB322/BA322</f>
        <v/>
      </c>
      <c r="BD322" s="35">
        <f>IFERROR(AZ322/AV322,)</f>
        <v/>
      </c>
      <c r="BE322" s="255">
        <f>AV322-SUM(Z322:AC322)</f>
        <v/>
      </c>
      <c r="BF322" s="255">
        <f>AV322-BE322-AC322-AB322</f>
        <v/>
      </c>
      <c r="BG322" s="255">
        <f>AV322-BE322-BF322-AB322</f>
        <v/>
      </c>
      <c r="BH322" s="255">
        <f>AB322</f>
        <v/>
      </c>
      <c r="BI322" s="263" t="inlineStr">
        <is>
          <t>Approved</t>
        </is>
      </c>
    </row>
    <row r="323">
      <c r="C323" s="23" t="inlineStr">
        <is>
          <t>ASINI/Yekeni</t>
        </is>
      </c>
      <c r="D323">
        <f>CONCATENATE(G323,"-",H323,"-",F323)</f>
        <v/>
      </c>
      <c r="E323" s="24" t="inlineStr">
        <is>
          <t>JMG-10T-Hiabs Logistics-Upcountry</t>
        </is>
      </c>
      <c r="F323" s="23" t="inlineStr">
        <is>
          <t>Upcountry</t>
        </is>
      </c>
      <c r="G323" s="25" t="inlineStr">
        <is>
          <t>Hiabs Logistics</t>
        </is>
      </c>
      <c r="H323" s="24" t="inlineStr">
        <is>
          <t>10T</t>
        </is>
      </c>
      <c r="I323" s="73" t="inlineStr">
        <is>
          <t>JMG</t>
        </is>
      </c>
      <c r="J323" s="74" t="inlineStr">
        <is>
          <t>Port Harcourt</t>
        </is>
      </c>
      <c r="K323" s="115" t="inlineStr">
        <is>
          <t>Otukpo</t>
        </is>
      </c>
      <c r="L323" s="67" t="inlineStr">
        <is>
          <t>Benue</t>
        </is>
      </c>
      <c r="M323" s="68" t="n"/>
      <c r="N323" s="199">
        <f>O323/2</f>
        <v/>
      </c>
      <c r="O323" s="200" t="n">
        <v>768</v>
      </c>
      <c r="P323" s="220">
        <f>ROUNDUP(O323/300,)</f>
        <v/>
      </c>
      <c r="Q323" s="220" t="n">
        <v>1</v>
      </c>
      <c r="R323" s="220">
        <f>Q323+P323</f>
        <v/>
      </c>
      <c r="S323" s="198">
        <f>ROUNDDOWN(O323*0.51,)+60</f>
        <v/>
      </c>
      <c r="T323" s="207">
        <f>_xlfn.XLOOKUP(G323,[1]Fx!$A$4:$A$10,[1]Fx!$B$4:$B$10)</f>
        <v/>
      </c>
      <c r="U323" s="207">
        <f>_xlfn.XLOOKUP(G323,'[1]BP Setup'!$B$6:$B$72,'[1]BP Setup'!$Q$6:$Q$72)</f>
        <v/>
      </c>
      <c r="V323" s="207">
        <f>_xlfn.XLOOKUP(G323,'[1]BP Setup'!$B$6:$B$72,'[1]BP Setup'!$R$6:$R$72)</f>
        <v/>
      </c>
      <c r="W323" s="207">
        <f>$W$3</f>
        <v/>
      </c>
      <c r="X323" s="207" t="n">
        <v>80</v>
      </c>
      <c r="Y323" s="215">
        <f>T323*R323</f>
        <v/>
      </c>
      <c r="Z323" s="215">
        <f>U323*O323</f>
        <v/>
      </c>
      <c r="AA323" s="215">
        <f>V323*O323</f>
        <v/>
      </c>
      <c r="AB323" s="215">
        <f>W323*O323</f>
        <v/>
      </c>
      <c r="AC323" s="197">
        <f>X323*O323</f>
        <v/>
      </c>
      <c r="AD323" s="215" t="n">
        <v>0</v>
      </c>
      <c r="AE323" s="215" t="n">
        <v>0</v>
      </c>
      <c r="AF323" s="207">
        <f>SUM(Y323:AE323)</f>
        <v/>
      </c>
      <c r="AG323" s="254">
        <f>_xlfn.XLOOKUP(G323,[1]Fx!$A$16:$A$22,[1]Fx!$B$16:$B$22)</f>
        <v/>
      </c>
      <c r="AH323" s="207">
        <f>AG323*R323</f>
        <v/>
      </c>
      <c r="AI323" s="207">
        <f>$AI$3*Z323</f>
        <v/>
      </c>
      <c r="AJ323" s="207">
        <f>$AJ$3*AA323</f>
        <v/>
      </c>
      <c r="AK323" s="207">
        <f>$AK$3*AB323</f>
        <v/>
      </c>
      <c r="AL323" s="207">
        <f>$AL$3*AC323</f>
        <v/>
      </c>
      <c r="AM323" s="220">
        <f>SUM(AH323:AL323)</f>
        <v/>
      </c>
      <c r="AN323" s="220" t="n">
        <v>0</v>
      </c>
      <c r="AO323" s="220">
        <f>AN323*AH323</f>
        <v/>
      </c>
      <c r="AP323" s="220">
        <f>AD323</f>
        <v/>
      </c>
      <c r="AQ323" s="220">
        <f>AE323</f>
        <v/>
      </c>
      <c r="AR323" s="208">
        <f>AM323-AO323</f>
        <v/>
      </c>
      <c r="AS323" s="220">
        <f>AR323-AK323</f>
        <v/>
      </c>
      <c r="AT323" s="208">
        <f>AS323*1.075</f>
        <v/>
      </c>
      <c r="AU323" s="208">
        <f>AT323+AK323</f>
        <v/>
      </c>
      <c r="AV323" s="198" t="n">
        <v>526408.7982962627</v>
      </c>
      <c r="AW323" s="264">
        <f>BO323*2</f>
        <v/>
      </c>
      <c r="AX323" s="220">
        <f>AV323-AR323</f>
        <v/>
      </c>
      <c r="AY323" s="35">
        <f>AX323/AR323</f>
        <v/>
      </c>
      <c r="AZ323" s="220">
        <f>AV323-AF323</f>
        <v/>
      </c>
      <c r="BA323" s="215">
        <f>AV323-SUM(Z323:AC323)</f>
        <v/>
      </c>
      <c r="BB323" s="215">
        <f>BA323-Y323</f>
        <v/>
      </c>
      <c r="BC323" s="35">
        <f>BB323/BA323</f>
        <v/>
      </c>
      <c r="BD323" s="35">
        <f>IFERROR(AZ323/AV323,)</f>
        <v/>
      </c>
      <c r="BE323" s="255">
        <f>AV323-SUM(Z323:AC323)</f>
        <v/>
      </c>
      <c r="BF323" s="255">
        <f>AV323-BE323-AC323-AB323</f>
        <v/>
      </c>
      <c r="BG323" s="255">
        <f>AV323-BE323-BF323-AB323</f>
        <v/>
      </c>
      <c r="BH323" s="255">
        <f>AB323</f>
        <v/>
      </c>
      <c r="BI323" s="263" t="inlineStr">
        <is>
          <t>Worst Case Approved</t>
        </is>
      </c>
    </row>
    <row r="324">
      <c r="C324" s="23" t="inlineStr">
        <is>
          <t>ASINI/Yekeni</t>
        </is>
      </c>
      <c r="D324">
        <f>CONCATENATE(G324,"-",H324,"-",F324)</f>
        <v/>
      </c>
      <c r="E324" s="24" t="inlineStr">
        <is>
          <t>JMG-10T-Hiabs Logistics-Upcountry</t>
        </is>
      </c>
      <c r="F324" s="23" t="inlineStr">
        <is>
          <t>Upcountry</t>
        </is>
      </c>
      <c r="G324" s="25" t="inlineStr">
        <is>
          <t>Hiabs Logistics</t>
        </is>
      </c>
      <c r="H324" s="24" t="inlineStr">
        <is>
          <t>10T</t>
        </is>
      </c>
      <c r="I324" s="73" t="inlineStr">
        <is>
          <t>JMG</t>
        </is>
      </c>
      <c r="J324" s="74" t="inlineStr">
        <is>
          <t>Port Harcourt</t>
        </is>
      </c>
      <c r="K324" s="115" t="inlineStr">
        <is>
          <t>Ikom</t>
        </is>
      </c>
      <c r="L324" s="67" t="inlineStr">
        <is>
          <t>Cross River</t>
        </is>
      </c>
      <c r="M324" s="68" t="n"/>
      <c r="N324" s="199">
        <f>O324/2</f>
        <v/>
      </c>
      <c r="O324" s="200" t="n">
        <v>716</v>
      </c>
      <c r="P324" s="220">
        <f>ROUNDUP(O324/300,)</f>
        <v/>
      </c>
      <c r="Q324" s="220" t="n">
        <v>2</v>
      </c>
      <c r="R324" s="220">
        <f>Q324+P324</f>
        <v/>
      </c>
      <c r="S324" s="198">
        <f>ROUNDDOWN(O324*0.51,)+60</f>
        <v/>
      </c>
      <c r="T324" s="207">
        <f>_xlfn.XLOOKUP(G324,[1]Fx!$A$4:$A$10,[1]Fx!$B$4:$B$10)</f>
        <v/>
      </c>
      <c r="U324" s="207">
        <f>_xlfn.XLOOKUP(G324,'[1]BP Setup'!$B$6:$B$72,'[1]BP Setup'!$Q$6:$Q$72)</f>
        <v/>
      </c>
      <c r="V324" s="207">
        <f>_xlfn.XLOOKUP(G324,'[1]BP Setup'!$B$6:$B$72,'[1]BP Setup'!$R$6:$R$72)</f>
        <v/>
      </c>
      <c r="W324" s="207">
        <f>$W$3</f>
        <v/>
      </c>
      <c r="X324" s="207" t="n">
        <v>80</v>
      </c>
      <c r="Y324" s="215">
        <f>T324*R324</f>
        <v/>
      </c>
      <c r="Z324" s="215">
        <f>U324*O324</f>
        <v/>
      </c>
      <c r="AA324" s="215">
        <f>V324*O324</f>
        <v/>
      </c>
      <c r="AB324" s="215">
        <f>W324*O324</f>
        <v/>
      </c>
      <c r="AC324" s="197">
        <f>X324*O324</f>
        <v/>
      </c>
      <c r="AD324" s="215" t="n">
        <v>0</v>
      </c>
      <c r="AE324" s="215" t="n">
        <v>0</v>
      </c>
      <c r="AF324" s="207">
        <f>SUM(Y324:AE324)</f>
        <v/>
      </c>
      <c r="AG324" s="254">
        <f>_xlfn.XLOOKUP(G324,[1]Fx!$A$16:$A$22,[1]Fx!$B$16:$B$22)</f>
        <v/>
      </c>
      <c r="AH324" s="207">
        <f>AG324*R324</f>
        <v/>
      </c>
      <c r="AI324" s="207">
        <f>$AI$3*Z324</f>
        <v/>
      </c>
      <c r="AJ324" s="207">
        <f>$AJ$3*AA324</f>
        <v/>
      </c>
      <c r="AK324" s="207">
        <f>$AK$3*AB324</f>
        <v/>
      </c>
      <c r="AL324" s="207">
        <f>$AL$3*AC324</f>
        <v/>
      </c>
      <c r="AM324" s="220">
        <f>SUM(AH324:AL324)</f>
        <v/>
      </c>
      <c r="AN324" s="220" t="n">
        <v>0</v>
      </c>
      <c r="AO324" s="220">
        <f>AN324*AH324</f>
        <v/>
      </c>
      <c r="AP324" s="220">
        <f>AD324</f>
        <v/>
      </c>
      <c r="AQ324" s="220">
        <f>AE324</f>
        <v/>
      </c>
      <c r="AR324" s="208">
        <f>AM324-AO324</f>
        <v/>
      </c>
      <c r="AS324" s="220">
        <f>AR324-AK324</f>
        <v/>
      </c>
      <c r="AT324" s="208">
        <f>AS324*1.075</f>
        <v/>
      </c>
      <c r="AU324" s="208">
        <f>AT324+AK324</f>
        <v/>
      </c>
      <c r="AV324" s="198" t="n">
        <v>658010.9978703284</v>
      </c>
      <c r="AW324" s="264">
        <f>BO324*2</f>
        <v/>
      </c>
      <c r="AX324" s="220">
        <f>AV324-AR324</f>
        <v/>
      </c>
      <c r="AY324" s="35">
        <f>AX324/AR324</f>
        <v/>
      </c>
      <c r="AZ324" s="220">
        <f>AV324-AF324</f>
        <v/>
      </c>
      <c r="BA324" s="215">
        <f>AV324-SUM(Z324:AC324)</f>
        <v/>
      </c>
      <c r="BB324" s="215">
        <f>BA324-Y324</f>
        <v/>
      </c>
      <c r="BC324" s="35">
        <f>BB324/BA324</f>
        <v/>
      </c>
      <c r="BD324" s="35">
        <f>IFERROR(AZ324/AV324,)</f>
        <v/>
      </c>
      <c r="BE324" s="255">
        <f>AV324-SUM(Z324:AC324)</f>
        <v/>
      </c>
      <c r="BF324" s="255">
        <f>AV324-BE324-AC324-AB324</f>
        <v/>
      </c>
      <c r="BG324" s="255">
        <f>AV324-BE324-BF324-AB324</f>
        <v/>
      </c>
      <c r="BH324" s="255">
        <f>AB324</f>
        <v/>
      </c>
      <c r="BI324" s="263" t="inlineStr">
        <is>
          <t>Approved</t>
        </is>
      </c>
    </row>
    <row r="325">
      <c r="C325" s="23" t="inlineStr">
        <is>
          <t>ASINI/Yekeni</t>
        </is>
      </c>
      <c r="D325">
        <f>CONCATENATE(G325,"-",H325,"-",F325)</f>
        <v/>
      </c>
      <c r="E325" s="24" t="inlineStr">
        <is>
          <t>JMG-10T-Hiabs Logistics-Upcountry</t>
        </is>
      </c>
      <c r="F325" s="23" t="inlineStr">
        <is>
          <t>Upcountry</t>
        </is>
      </c>
      <c r="G325" s="25" t="inlineStr">
        <is>
          <t>Hiabs Logistics</t>
        </is>
      </c>
      <c r="H325" s="24" t="inlineStr">
        <is>
          <t>10T</t>
        </is>
      </c>
      <c r="I325" s="73" t="inlineStr">
        <is>
          <t>JMG</t>
        </is>
      </c>
      <c r="J325" s="74" t="inlineStr">
        <is>
          <t>Port Harcourt</t>
        </is>
      </c>
      <c r="K325" s="115" t="inlineStr">
        <is>
          <t>Ekpoma</t>
        </is>
      </c>
      <c r="L325" s="67" t="inlineStr">
        <is>
          <t>Edo</t>
        </is>
      </c>
      <c r="M325" s="68" t="n"/>
      <c r="N325" s="199">
        <f>O325/2</f>
        <v/>
      </c>
      <c r="O325" s="200" t="n">
        <v>718</v>
      </c>
      <c r="P325" s="220">
        <f>ROUNDUP(O325/300,)</f>
        <v/>
      </c>
      <c r="Q325" s="220" t="n">
        <v>1</v>
      </c>
      <c r="R325" s="220">
        <f>Q325+P325</f>
        <v/>
      </c>
      <c r="S325" s="198">
        <f>ROUNDDOWN(O325*0.51,)+60</f>
        <v/>
      </c>
      <c r="T325" s="207">
        <f>_xlfn.XLOOKUP(G325,[1]Fx!$A$4:$A$10,[1]Fx!$B$4:$B$10)</f>
        <v/>
      </c>
      <c r="U325" s="207">
        <f>_xlfn.XLOOKUP(G325,'[1]BP Setup'!$B$6:$B$72,'[1]BP Setup'!$Q$6:$Q$72)</f>
        <v/>
      </c>
      <c r="V325" s="207">
        <f>_xlfn.XLOOKUP(G325,'[1]BP Setup'!$B$6:$B$72,'[1]BP Setup'!$R$6:$R$72)</f>
        <v/>
      </c>
      <c r="W325" s="207">
        <f>$W$3</f>
        <v/>
      </c>
      <c r="X325" s="207" t="n">
        <v>80</v>
      </c>
      <c r="Y325" s="215">
        <f>T325*R325</f>
        <v/>
      </c>
      <c r="Z325" s="215">
        <f>U325*O325</f>
        <v/>
      </c>
      <c r="AA325" s="215">
        <f>V325*O325</f>
        <v/>
      </c>
      <c r="AB325" s="215">
        <f>W325*O325</f>
        <v/>
      </c>
      <c r="AC325" s="197">
        <f>X325*O325</f>
        <v/>
      </c>
      <c r="AD325" s="215" t="n">
        <v>0</v>
      </c>
      <c r="AE325" s="215" t="n">
        <v>0</v>
      </c>
      <c r="AF325" s="207">
        <f>SUM(Y325:AE325)</f>
        <v/>
      </c>
      <c r="AG325" s="254">
        <f>_xlfn.XLOOKUP(G325,[1]Fx!$A$16:$A$22,[1]Fx!$B$16:$B$22)</f>
        <v/>
      </c>
      <c r="AH325" s="207">
        <f>AG325*R325</f>
        <v/>
      </c>
      <c r="AI325" s="207">
        <f>$AI$3*Z325</f>
        <v/>
      </c>
      <c r="AJ325" s="207">
        <f>$AJ$3*AA325</f>
        <v/>
      </c>
      <c r="AK325" s="207">
        <f>$AK$3*AB325</f>
        <v/>
      </c>
      <c r="AL325" s="207">
        <f>$AL$3*AC325</f>
        <v/>
      </c>
      <c r="AM325" s="220">
        <f>SUM(AH325:AL325)</f>
        <v/>
      </c>
      <c r="AN325" s="220" t="n">
        <v>0</v>
      </c>
      <c r="AO325" s="220">
        <f>AN325*AH325</f>
        <v/>
      </c>
      <c r="AP325" s="220">
        <f>AD325</f>
        <v/>
      </c>
      <c r="AQ325" s="220">
        <f>AE325</f>
        <v/>
      </c>
      <c r="AR325" s="208">
        <f>AM325-AO325</f>
        <v/>
      </c>
      <c r="AS325" s="220">
        <f>AR325-AK325</f>
        <v/>
      </c>
      <c r="AT325" s="208">
        <f>AS325*1.075</f>
        <v/>
      </c>
      <c r="AU325" s="208">
        <f>AT325+AK325</f>
        <v/>
      </c>
      <c r="AV325" s="198" t="n">
        <v>526408.7982962627</v>
      </c>
      <c r="AW325" s="264">
        <f>BO325*2</f>
        <v/>
      </c>
      <c r="AX325" s="220">
        <f>AV325-AR325</f>
        <v/>
      </c>
      <c r="AY325" s="35">
        <f>AX325/AR325</f>
        <v/>
      </c>
      <c r="AZ325" s="220">
        <f>AV325-AF325</f>
        <v/>
      </c>
      <c r="BA325" s="215">
        <f>AV325-SUM(Z325:AC325)</f>
        <v/>
      </c>
      <c r="BB325" s="215">
        <f>BA325-Y325</f>
        <v/>
      </c>
      <c r="BC325" s="35">
        <f>BB325/BA325</f>
        <v/>
      </c>
      <c r="BD325" s="35">
        <f>IFERROR(AZ325/AV325,)</f>
        <v/>
      </c>
      <c r="BE325" s="255">
        <f>AV325-SUM(Z325:AC325)</f>
        <v/>
      </c>
      <c r="BF325" s="255">
        <f>AV325-BE325-AC325-AB325</f>
        <v/>
      </c>
      <c r="BG325" s="255">
        <f>AV325-BE325-BF325-AB325</f>
        <v/>
      </c>
      <c r="BH325" s="255">
        <f>AB325</f>
        <v/>
      </c>
      <c r="BI325" s="263" t="inlineStr">
        <is>
          <t>Worst Case Approved</t>
        </is>
      </c>
    </row>
    <row r="326">
      <c r="C326" s="23" t="inlineStr">
        <is>
          <t>ASINI/Yekeni</t>
        </is>
      </c>
      <c r="D326">
        <f>CONCATENATE(G326,"-",H326,"-",F326)</f>
        <v/>
      </c>
      <c r="E326" s="24" t="inlineStr">
        <is>
          <t>JMG-10T-Hiabs Logistics-Upcountry</t>
        </is>
      </c>
      <c r="F326" s="23" t="inlineStr">
        <is>
          <t>Upcountry</t>
        </is>
      </c>
      <c r="G326" s="25" t="inlineStr">
        <is>
          <t>Hiabs Logistics</t>
        </is>
      </c>
      <c r="H326" s="24" t="inlineStr">
        <is>
          <t>10T</t>
        </is>
      </c>
      <c r="I326" s="73" t="inlineStr">
        <is>
          <t>JMG</t>
        </is>
      </c>
      <c r="J326" s="74" t="inlineStr">
        <is>
          <t>Port Harcourt</t>
        </is>
      </c>
      <c r="K326" s="115" t="inlineStr">
        <is>
          <t>Auchi</t>
        </is>
      </c>
      <c r="L326" s="67" t="inlineStr">
        <is>
          <t>Edo</t>
        </is>
      </c>
      <c r="M326" s="68" t="n"/>
      <c r="N326" s="199">
        <f>O326/2</f>
        <v/>
      </c>
      <c r="O326" s="200" t="n">
        <v>671</v>
      </c>
      <c r="P326" s="220">
        <f>ROUNDUP(O326/300,)</f>
        <v/>
      </c>
      <c r="Q326" s="220" t="n">
        <v>1</v>
      </c>
      <c r="R326" s="220">
        <f>Q326+P326</f>
        <v/>
      </c>
      <c r="S326" s="198">
        <f>ROUNDDOWN(O326*0.51,)+60</f>
        <v/>
      </c>
      <c r="T326" s="207">
        <f>_xlfn.XLOOKUP(G326,[1]Fx!$A$4:$A$10,[1]Fx!$B$4:$B$10)</f>
        <v/>
      </c>
      <c r="U326" s="207">
        <f>_xlfn.XLOOKUP(G326,'[1]BP Setup'!$B$6:$B$72,'[1]BP Setup'!$Q$6:$Q$72)</f>
        <v/>
      </c>
      <c r="V326" s="207">
        <f>_xlfn.XLOOKUP(G326,'[1]BP Setup'!$B$6:$B$72,'[1]BP Setup'!$R$6:$R$72)</f>
        <v/>
      </c>
      <c r="W326" s="207">
        <f>$W$3</f>
        <v/>
      </c>
      <c r="X326" s="207" t="n">
        <v>80</v>
      </c>
      <c r="Y326" s="215">
        <f>T326*R326</f>
        <v/>
      </c>
      <c r="Z326" s="215">
        <f>U326*O326</f>
        <v/>
      </c>
      <c r="AA326" s="215">
        <f>V326*O326</f>
        <v/>
      </c>
      <c r="AB326" s="215">
        <f>W326*O326</f>
        <v/>
      </c>
      <c r="AC326" s="197">
        <f>X326*O326</f>
        <v/>
      </c>
      <c r="AD326" s="215" t="n">
        <v>0</v>
      </c>
      <c r="AE326" s="215" t="n">
        <v>0</v>
      </c>
      <c r="AF326" s="207">
        <f>SUM(Y326:AE326)</f>
        <v/>
      </c>
      <c r="AG326" s="254">
        <f>_xlfn.XLOOKUP(G326,[1]Fx!$A$16:$A$22,[1]Fx!$B$16:$B$22)</f>
        <v/>
      </c>
      <c r="AH326" s="207">
        <f>AG326*R326</f>
        <v/>
      </c>
      <c r="AI326" s="207">
        <f>$AI$3*Z326</f>
        <v/>
      </c>
      <c r="AJ326" s="207">
        <f>$AJ$3*AA326</f>
        <v/>
      </c>
      <c r="AK326" s="207">
        <f>$AK$3*AB326</f>
        <v/>
      </c>
      <c r="AL326" s="207">
        <f>$AL$3*AC326</f>
        <v/>
      </c>
      <c r="AM326" s="220">
        <f>SUM(AH326:AL326)</f>
        <v/>
      </c>
      <c r="AN326" s="220" t="n">
        <v>0</v>
      </c>
      <c r="AO326" s="220">
        <f>AN326*AH326</f>
        <v/>
      </c>
      <c r="AP326" s="220">
        <f>AD326</f>
        <v/>
      </c>
      <c r="AQ326" s="220">
        <f>AE326</f>
        <v/>
      </c>
      <c r="AR326" s="208">
        <f>AM326-AO326</f>
        <v/>
      </c>
      <c r="AS326" s="220">
        <f>AR326-AK326</f>
        <v/>
      </c>
      <c r="AT326" s="208">
        <f>AS326*1.075</f>
        <v/>
      </c>
      <c r="AU326" s="208">
        <f>AT326+AK326</f>
        <v/>
      </c>
      <c r="AV326" s="198" t="n">
        <v>526408.7982962627</v>
      </c>
      <c r="AW326" s="264">
        <f>BO326*2</f>
        <v/>
      </c>
      <c r="AX326" s="220">
        <f>AV326-AR326</f>
        <v/>
      </c>
      <c r="AY326" s="35">
        <f>AX326/AR326</f>
        <v/>
      </c>
      <c r="AZ326" s="220">
        <f>AV326-AF326</f>
        <v/>
      </c>
      <c r="BA326" s="215">
        <f>AV326-SUM(Z326:AC326)</f>
        <v/>
      </c>
      <c r="BB326" s="215">
        <f>BA326-Y326</f>
        <v/>
      </c>
      <c r="BC326" s="35">
        <f>BB326/BA326</f>
        <v/>
      </c>
      <c r="BD326" s="35">
        <f>IFERROR(AZ326/AV326,)</f>
        <v/>
      </c>
      <c r="BE326" s="255">
        <f>AV326-SUM(Z326:AC326)</f>
        <v/>
      </c>
      <c r="BF326" s="255">
        <f>AV326-BE326-AC326-AB326</f>
        <v/>
      </c>
      <c r="BG326" s="255">
        <f>AV326-BE326-BF326-AB326</f>
        <v/>
      </c>
      <c r="BH326" s="255">
        <f>AB326</f>
        <v/>
      </c>
      <c r="BI326" s="263" t="inlineStr">
        <is>
          <t>Approved</t>
        </is>
      </c>
    </row>
    <row r="327">
      <c r="C327" s="23" t="inlineStr">
        <is>
          <t>ASINI/Yekeni</t>
        </is>
      </c>
      <c r="D327">
        <f>CONCATENATE(G327,"-",H327,"-",F327)</f>
        <v/>
      </c>
      <c r="E327" s="24" t="inlineStr">
        <is>
          <t>JMG-10T-Hiabs Logistics-Upcountry</t>
        </is>
      </c>
      <c r="F327" s="23" t="inlineStr">
        <is>
          <t>Upcountry</t>
        </is>
      </c>
      <c r="G327" s="25" t="inlineStr">
        <is>
          <t>Hiabs Logistics</t>
        </is>
      </c>
      <c r="H327" s="24" t="inlineStr">
        <is>
          <t>10T</t>
        </is>
      </c>
      <c r="I327" s="73" t="inlineStr">
        <is>
          <t>JMG</t>
        </is>
      </c>
      <c r="J327" s="74" t="inlineStr">
        <is>
          <t>Port Harcourt</t>
        </is>
      </c>
      <c r="K327" s="115" t="inlineStr">
        <is>
          <t>Otukpa</t>
        </is>
      </c>
      <c r="L327" s="67" t="inlineStr">
        <is>
          <t>Benue</t>
        </is>
      </c>
      <c r="M327" s="68" t="n"/>
      <c r="N327" s="199">
        <f>O327/2</f>
        <v/>
      </c>
      <c r="O327" s="200" t="n">
        <v>654</v>
      </c>
      <c r="P327" s="220">
        <f>ROUNDUP(O327/300,)</f>
        <v/>
      </c>
      <c r="Q327" s="220" t="n">
        <v>1</v>
      </c>
      <c r="R327" s="220">
        <f>Q327+P327</f>
        <v/>
      </c>
      <c r="S327" s="198">
        <f>ROUNDDOWN(O327*0.51,)+60</f>
        <v/>
      </c>
      <c r="T327" s="207">
        <f>_xlfn.XLOOKUP(G327,[1]Fx!$A$4:$A$10,[1]Fx!$B$4:$B$10)</f>
        <v/>
      </c>
      <c r="U327" s="207">
        <f>_xlfn.XLOOKUP(G327,'[1]BP Setup'!$B$6:$B$72,'[1]BP Setup'!$Q$6:$Q$72)</f>
        <v/>
      </c>
      <c r="V327" s="207">
        <f>_xlfn.XLOOKUP(G327,'[1]BP Setup'!$B$6:$B$72,'[1]BP Setup'!$R$6:$R$72)</f>
        <v/>
      </c>
      <c r="W327" s="207">
        <f>$W$3</f>
        <v/>
      </c>
      <c r="X327" s="207" t="n">
        <v>80</v>
      </c>
      <c r="Y327" s="215">
        <f>T327*R327</f>
        <v/>
      </c>
      <c r="Z327" s="215">
        <f>U327*O327</f>
        <v/>
      </c>
      <c r="AA327" s="215">
        <f>V327*O327</f>
        <v/>
      </c>
      <c r="AB327" s="215">
        <f>W327*O327</f>
        <v/>
      </c>
      <c r="AC327" s="197">
        <f>X327*O327</f>
        <v/>
      </c>
      <c r="AD327" s="215" t="n">
        <v>0</v>
      </c>
      <c r="AE327" s="215" t="n">
        <v>0</v>
      </c>
      <c r="AF327" s="207">
        <f>SUM(Y327:AE327)</f>
        <v/>
      </c>
      <c r="AG327" s="254">
        <f>_xlfn.XLOOKUP(G327,[1]Fx!$A$16:$A$22,[1]Fx!$B$16:$B$22)</f>
        <v/>
      </c>
      <c r="AH327" s="207">
        <f>AG327*R327</f>
        <v/>
      </c>
      <c r="AI327" s="207">
        <f>$AI$3*Z327</f>
        <v/>
      </c>
      <c r="AJ327" s="207">
        <f>$AJ$3*AA327</f>
        <v/>
      </c>
      <c r="AK327" s="207">
        <f>$AK$3*AB327</f>
        <v/>
      </c>
      <c r="AL327" s="207">
        <f>$AL$3*AC327</f>
        <v/>
      </c>
      <c r="AM327" s="220">
        <f>SUM(AH327:AL327)</f>
        <v/>
      </c>
      <c r="AN327" s="220" t="n">
        <v>0</v>
      </c>
      <c r="AO327" s="220">
        <f>AN327*AH327</f>
        <v/>
      </c>
      <c r="AP327" s="220">
        <f>AD327</f>
        <v/>
      </c>
      <c r="AQ327" s="220">
        <f>AE327</f>
        <v/>
      </c>
      <c r="AR327" s="208">
        <f>AM327-AO327</f>
        <v/>
      </c>
      <c r="AS327" s="220">
        <f>AR327-AK327</f>
        <v/>
      </c>
      <c r="AT327" s="208">
        <f>AS327*1.075</f>
        <v/>
      </c>
      <c r="AU327" s="208">
        <f>AT327+AK327</f>
        <v/>
      </c>
      <c r="AV327" s="198" t="n">
        <v>526408.7982962627</v>
      </c>
      <c r="AW327" s="264">
        <f>BO327*2</f>
        <v/>
      </c>
      <c r="AX327" s="220">
        <f>AV327-AR327</f>
        <v/>
      </c>
      <c r="AY327" s="35">
        <f>AX327/AR327</f>
        <v/>
      </c>
      <c r="AZ327" s="220">
        <f>AV327-AF327</f>
        <v/>
      </c>
      <c r="BA327" s="215">
        <f>AV327-SUM(Z327:AC327)</f>
        <v/>
      </c>
      <c r="BB327" s="215">
        <f>BA327-Y327</f>
        <v/>
      </c>
      <c r="BC327" s="35">
        <f>BB327/BA327</f>
        <v/>
      </c>
      <c r="BD327" s="35">
        <f>IFERROR(AZ327/AV327,)</f>
        <v/>
      </c>
      <c r="BE327" s="255">
        <f>AV327-SUM(Z327:AC327)</f>
        <v/>
      </c>
      <c r="BF327" s="255">
        <f>AV327-BE327-AC327-AB327</f>
        <v/>
      </c>
      <c r="BG327" s="255">
        <f>AV327-BE327-BF327-AB327</f>
        <v/>
      </c>
      <c r="BH327" s="255">
        <f>AB327</f>
        <v/>
      </c>
      <c r="BI327" s="263" t="inlineStr">
        <is>
          <t>Approved</t>
        </is>
      </c>
    </row>
    <row r="328">
      <c r="C328" s="23" t="inlineStr">
        <is>
          <t>ASINI/Yekeni</t>
        </is>
      </c>
      <c r="D328">
        <f>CONCATENATE(G328,"-",H328,"-",F328)</f>
        <v/>
      </c>
      <c r="E328" s="24" t="inlineStr">
        <is>
          <t>JMG-10T-Hiabs Logistics-Upcountry</t>
        </is>
      </c>
      <c r="F328" s="23" t="inlineStr">
        <is>
          <t>Upcountry</t>
        </is>
      </c>
      <c r="G328" s="25" t="inlineStr">
        <is>
          <t>Hiabs Logistics</t>
        </is>
      </c>
      <c r="H328" s="24" t="inlineStr">
        <is>
          <t>10T</t>
        </is>
      </c>
      <c r="I328" s="73" t="inlineStr">
        <is>
          <t>JMG</t>
        </is>
      </c>
      <c r="J328" s="74" t="inlineStr">
        <is>
          <t>Port Harcourt</t>
        </is>
      </c>
      <c r="K328" s="115" t="inlineStr">
        <is>
          <t>Nsukka</t>
        </is>
      </c>
      <c r="L328" s="67" t="inlineStr">
        <is>
          <t>Enugu</t>
        </is>
      </c>
      <c r="M328" s="68" t="n"/>
      <c r="N328" s="199">
        <f>O328/2</f>
        <v/>
      </c>
      <c r="O328" s="200" t="n">
        <v>581</v>
      </c>
      <c r="P328" s="220">
        <f>ROUNDUP(O328/300,)</f>
        <v/>
      </c>
      <c r="Q328" s="220" t="n">
        <v>1</v>
      </c>
      <c r="R328" s="220">
        <f>Q328+P328</f>
        <v/>
      </c>
      <c r="S328" s="198">
        <f>ROUNDDOWN(O328*0.51,)+60</f>
        <v/>
      </c>
      <c r="T328" s="207">
        <f>_xlfn.XLOOKUP(G328,[1]Fx!$A$4:$A$10,[1]Fx!$B$4:$B$10)</f>
        <v/>
      </c>
      <c r="U328" s="207">
        <f>_xlfn.XLOOKUP(G328,'[1]BP Setup'!$B$6:$B$72,'[1]BP Setup'!$Q$6:$Q$72)</f>
        <v/>
      </c>
      <c r="V328" s="207">
        <f>_xlfn.XLOOKUP(G328,'[1]BP Setup'!$B$6:$B$72,'[1]BP Setup'!$R$6:$R$72)</f>
        <v/>
      </c>
      <c r="W328" s="207">
        <f>$W$3</f>
        <v/>
      </c>
      <c r="X328" s="207" t="n">
        <v>80</v>
      </c>
      <c r="Y328" s="215">
        <f>T328*R328</f>
        <v/>
      </c>
      <c r="Z328" s="215">
        <f>U328*O328</f>
        <v/>
      </c>
      <c r="AA328" s="215">
        <f>V328*O328</f>
        <v/>
      </c>
      <c r="AB328" s="215">
        <f>W328*O328</f>
        <v/>
      </c>
      <c r="AC328" s="197">
        <f>X328*O328</f>
        <v/>
      </c>
      <c r="AD328" s="215" t="n">
        <v>0</v>
      </c>
      <c r="AE328" s="215" t="n">
        <v>0</v>
      </c>
      <c r="AF328" s="207">
        <f>SUM(Y328:AE328)</f>
        <v/>
      </c>
      <c r="AG328" s="254">
        <f>_xlfn.XLOOKUP(G328,[1]Fx!$A$16:$A$22,[1]Fx!$B$16:$B$22)</f>
        <v/>
      </c>
      <c r="AH328" s="207">
        <f>AG328*R328</f>
        <v/>
      </c>
      <c r="AI328" s="207">
        <f>$AI$3*Z328</f>
        <v/>
      </c>
      <c r="AJ328" s="207">
        <f>$AJ$3*AA328</f>
        <v/>
      </c>
      <c r="AK328" s="207">
        <f>$AK$3*AB328</f>
        <v/>
      </c>
      <c r="AL328" s="207">
        <f>$AL$3*AC328</f>
        <v/>
      </c>
      <c r="AM328" s="220">
        <f>SUM(AH328:AL328)</f>
        <v/>
      </c>
      <c r="AN328" s="220" t="n">
        <v>0</v>
      </c>
      <c r="AO328" s="220">
        <f>AN328*AH328</f>
        <v/>
      </c>
      <c r="AP328" s="220">
        <f>AD328</f>
        <v/>
      </c>
      <c r="AQ328" s="220">
        <f>AE328</f>
        <v/>
      </c>
      <c r="AR328" s="208">
        <f>AM328-AO328</f>
        <v/>
      </c>
      <c r="AS328" s="220">
        <f>AR328-AK328</f>
        <v/>
      </c>
      <c r="AT328" s="208">
        <f>AS328*1.075</f>
        <v/>
      </c>
      <c r="AU328" s="208">
        <f>AT328+AK328</f>
        <v/>
      </c>
      <c r="AV328" s="198" t="n">
        <v>394806.5987221971</v>
      </c>
      <c r="AW328" s="264">
        <f>BO328*2</f>
        <v/>
      </c>
      <c r="AX328" s="220">
        <f>AV328-AR328</f>
        <v/>
      </c>
      <c r="AY328" s="35">
        <f>AX328/AR328</f>
        <v/>
      </c>
      <c r="AZ328" s="220">
        <f>AV328-AF328</f>
        <v/>
      </c>
      <c r="BA328" s="215">
        <f>AV328-SUM(Z328:AC328)</f>
        <v/>
      </c>
      <c r="BB328" s="215">
        <f>BA328-Y328</f>
        <v/>
      </c>
      <c r="BC328" s="35">
        <f>BB328/BA328</f>
        <v/>
      </c>
      <c r="BD328" s="35">
        <f>IFERROR(AZ328/AV328,)</f>
        <v/>
      </c>
      <c r="BE328" s="255">
        <f>AV328-SUM(Z328:AC328)</f>
        <v/>
      </c>
      <c r="BF328" s="255">
        <f>AV328-BE328-AC328-AB328</f>
        <v/>
      </c>
      <c r="BG328" s="255">
        <f>AV328-BE328-BF328-AB328</f>
        <v/>
      </c>
      <c r="BH328" s="255">
        <f>AB328</f>
        <v/>
      </c>
      <c r="BI328" s="263" t="inlineStr">
        <is>
          <t>Approved</t>
        </is>
      </c>
    </row>
    <row r="329">
      <c r="C329" s="23" t="inlineStr">
        <is>
          <t>ASINI/Yekeni</t>
        </is>
      </c>
      <c r="D329">
        <f>CONCATENATE(G329,"-",H329,"-",F329)</f>
        <v/>
      </c>
      <c r="E329" s="24" t="inlineStr">
        <is>
          <t>JMG-10T-Hiabs Logistics-Upcountry</t>
        </is>
      </c>
      <c r="F329" s="23" t="inlineStr">
        <is>
          <t>Upcountry</t>
        </is>
      </c>
      <c r="G329" s="25" t="inlineStr">
        <is>
          <t>Hiabs Logistics</t>
        </is>
      </c>
      <c r="H329" s="24" t="inlineStr">
        <is>
          <t>10T</t>
        </is>
      </c>
      <c r="I329" s="73" t="inlineStr">
        <is>
          <t>JMG</t>
        </is>
      </c>
      <c r="J329" s="74" t="inlineStr">
        <is>
          <t>Port Harcourt</t>
        </is>
      </c>
      <c r="K329" s="115" t="inlineStr">
        <is>
          <t>Benin City</t>
        </is>
      </c>
      <c r="L329" s="25" t="inlineStr">
        <is>
          <t>Edo</t>
        </is>
      </c>
      <c r="M329" s="68" t="n"/>
      <c r="N329" s="199">
        <f>O329/2</f>
        <v/>
      </c>
      <c r="O329" s="200" t="n">
        <v>578</v>
      </c>
      <c r="P329" s="220">
        <f>ROUNDUP(O329/300,)</f>
        <v/>
      </c>
      <c r="Q329" s="220" t="n">
        <v>1</v>
      </c>
      <c r="R329" s="220">
        <f>Q329+P329</f>
        <v/>
      </c>
      <c r="S329" s="198">
        <f>ROUNDDOWN(O329*0.51,)+60</f>
        <v/>
      </c>
      <c r="T329" s="207">
        <f>_xlfn.XLOOKUP(G329,[1]Fx!$A$4:$A$10,[1]Fx!$B$4:$B$10)</f>
        <v/>
      </c>
      <c r="U329" s="207">
        <f>_xlfn.XLOOKUP(G329,'[1]BP Setup'!$B$6:$B$72,'[1]BP Setup'!$Q$6:$Q$72)</f>
        <v/>
      </c>
      <c r="V329" s="207">
        <f>_xlfn.XLOOKUP(G329,'[1]BP Setup'!$B$6:$B$72,'[1]BP Setup'!$R$6:$R$72)</f>
        <v/>
      </c>
      <c r="W329" s="207">
        <f>$W$3</f>
        <v/>
      </c>
      <c r="X329" s="207" t="n">
        <v>80</v>
      </c>
      <c r="Y329" s="215">
        <f>T329*R329</f>
        <v/>
      </c>
      <c r="Z329" s="215">
        <f>U329*O329</f>
        <v/>
      </c>
      <c r="AA329" s="215">
        <f>V329*O329</f>
        <v/>
      </c>
      <c r="AB329" s="215">
        <f>W329*O329</f>
        <v/>
      </c>
      <c r="AC329" s="197">
        <f>X329*O329</f>
        <v/>
      </c>
      <c r="AD329" s="215" t="n">
        <v>0</v>
      </c>
      <c r="AE329" s="215" t="n">
        <v>0</v>
      </c>
      <c r="AF329" s="207">
        <f>SUM(Y329:AE329)</f>
        <v/>
      </c>
      <c r="AG329" s="254">
        <f>_xlfn.XLOOKUP(G329,[1]Fx!$A$16:$A$22,[1]Fx!$B$16:$B$22)</f>
        <v/>
      </c>
      <c r="AH329" s="207">
        <f>AG329*R329</f>
        <v/>
      </c>
      <c r="AI329" s="207">
        <f>$AI$3*Z329</f>
        <v/>
      </c>
      <c r="AJ329" s="207">
        <f>$AJ$3*AA329</f>
        <v/>
      </c>
      <c r="AK329" s="207">
        <f>$AK$3*AB329</f>
        <v/>
      </c>
      <c r="AL329" s="207">
        <f>$AL$3*AC329</f>
        <v/>
      </c>
      <c r="AM329" s="220">
        <f>SUM(AH329:AL329)</f>
        <v/>
      </c>
      <c r="AN329" s="220" t="n">
        <v>0</v>
      </c>
      <c r="AO329" s="220">
        <f>AN329*AH329</f>
        <v/>
      </c>
      <c r="AP329" s="220">
        <f>AD329</f>
        <v/>
      </c>
      <c r="AQ329" s="220">
        <f>AE329</f>
        <v/>
      </c>
      <c r="AR329" s="208">
        <f>AM329-AO329</f>
        <v/>
      </c>
      <c r="AS329" s="220">
        <f>AR329-AK329</f>
        <v/>
      </c>
      <c r="AT329" s="208">
        <f>AS329*1.075</f>
        <v/>
      </c>
      <c r="AU329" s="208">
        <f>AT329+AK329</f>
        <v/>
      </c>
      <c r="AV329" s="198" t="n">
        <v>394806.5987221971</v>
      </c>
      <c r="AW329" s="264">
        <f>BO329*2</f>
        <v/>
      </c>
      <c r="AX329" s="220">
        <f>AV329-AR329</f>
        <v/>
      </c>
      <c r="AY329" s="35">
        <f>AX329/AR329</f>
        <v/>
      </c>
      <c r="AZ329" s="220">
        <f>AV329-AF329</f>
        <v/>
      </c>
      <c r="BA329" s="215">
        <f>AV329-SUM(Z329:AC329)</f>
        <v/>
      </c>
      <c r="BB329" s="215">
        <f>BA329-Y329</f>
        <v/>
      </c>
      <c r="BC329" s="35">
        <f>BB329/BA329</f>
        <v/>
      </c>
      <c r="BD329" s="35">
        <f>IFERROR(AZ329/AV329,)</f>
        <v/>
      </c>
      <c r="BE329" s="255">
        <f>AV329-SUM(Z329:AC329)</f>
        <v/>
      </c>
      <c r="BF329" s="255">
        <f>AV329-BE329-AC329-AB329</f>
        <v/>
      </c>
      <c r="BG329" s="255">
        <f>AV329-BE329-BF329-AB329</f>
        <v/>
      </c>
      <c r="BH329" s="255">
        <f>AB329</f>
        <v/>
      </c>
      <c r="BI329" s="263" t="inlineStr">
        <is>
          <t>Worst Case Approved</t>
        </is>
      </c>
    </row>
    <row r="330">
      <c r="C330" s="23" t="inlineStr">
        <is>
          <t>ASINI/Yekeni</t>
        </is>
      </c>
      <c r="D330">
        <f>CONCATENATE(G330,"-",H330,"-",F330)</f>
        <v/>
      </c>
      <c r="E330" s="24" t="inlineStr">
        <is>
          <t>JMG-10T-Hiabs Logistics-Upcountry</t>
        </is>
      </c>
      <c r="F330" s="23" t="inlineStr">
        <is>
          <t>Upcountry</t>
        </is>
      </c>
      <c r="G330" s="25" t="inlineStr">
        <is>
          <t>Hiabs Logistics</t>
        </is>
      </c>
      <c r="H330" s="24" t="inlineStr">
        <is>
          <t>10T</t>
        </is>
      </c>
      <c r="I330" s="73" t="inlineStr">
        <is>
          <t>JMG</t>
        </is>
      </c>
      <c r="J330" s="74" t="inlineStr">
        <is>
          <t>Port Harcourt</t>
        </is>
      </c>
      <c r="K330" s="115" t="inlineStr">
        <is>
          <t>Uromi</t>
        </is>
      </c>
      <c r="L330" s="67" t="inlineStr">
        <is>
          <t>Edo</t>
        </is>
      </c>
      <c r="M330" s="68" t="n"/>
      <c r="N330" s="199">
        <f>O330/2</f>
        <v/>
      </c>
      <c r="O330" s="200" t="n">
        <v>576</v>
      </c>
      <c r="P330" s="220">
        <f>ROUNDUP(O330/300,)</f>
        <v/>
      </c>
      <c r="Q330" s="220" t="n">
        <v>1</v>
      </c>
      <c r="R330" s="220">
        <f>Q330+P330</f>
        <v/>
      </c>
      <c r="S330" s="198">
        <f>ROUNDDOWN(O330*0.51,)+60</f>
        <v/>
      </c>
      <c r="T330" s="207">
        <f>_xlfn.XLOOKUP(G330,[1]Fx!$A$4:$A$10,[1]Fx!$B$4:$B$10)</f>
        <v/>
      </c>
      <c r="U330" s="207">
        <f>_xlfn.XLOOKUP(G330,'[1]BP Setup'!$B$6:$B$72,'[1]BP Setup'!$Q$6:$Q$72)</f>
        <v/>
      </c>
      <c r="V330" s="207">
        <f>_xlfn.XLOOKUP(G330,'[1]BP Setup'!$B$6:$B$72,'[1]BP Setup'!$R$6:$R$72)</f>
        <v/>
      </c>
      <c r="W330" s="207">
        <f>$W$3</f>
        <v/>
      </c>
      <c r="X330" s="207" t="n">
        <v>80</v>
      </c>
      <c r="Y330" s="215">
        <f>T330*R330</f>
        <v/>
      </c>
      <c r="Z330" s="215">
        <f>U330*O330</f>
        <v/>
      </c>
      <c r="AA330" s="215">
        <f>V330*O330</f>
        <v/>
      </c>
      <c r="AB330" s="215">
        <f>W330*O330</f>
        <v/>
      </c>
      <c r="AC330" s="197">
        <f>X330*O330</f>
        <v/>
      </c>
      <c r="AD330" s="215" t="n">
        <v>0</v>
      </c>
      <c r="AE330" s="215" t="n">
        <v>0</v>
      </c>
      <c r="AF330" s="207">
        <f>SUM(Y330:AE330)</f>
        <v/>
      </c>
      <c r="AG330" s="254">
        <f>_xlfn.XLOOKUP(G330,[1]Fx!$A$16:$A$22,[1]Fx!$B$16:$B$22)</f>
        <v/>
      </c>
      <c r="AH330" s="207">
        <f>AG330*R330</f>
        <v/>
      </c>
      <c r="AI330" s="207">
        <f>$AI$3*Z330</f>
        <v/>
      </c>
      <c r="AJ330" s="207">
        <f>$AJ$3*AA330</f>
        <v/>
      </c>
      <c r="AK330" s="207">
        <f>$AK$3*AB330</f>
        <v/>
      </c>
      <c r="AL330" s="207">
        <f>$AL$3*AC330</f>
        <v/>
      </c>
      <c r="AM330" s="220">
        <f>SUM(AH330:AL330)</f>
        <v/>
      </c>
      <c r="AN330" s="220" t="n">
        <v>0</v>
      </c>
      <c r="AO330" s="220">
        <f>AN330*AH330</f>
        <v/>
      </c>
      <c r="AP330" s="220">
        <f>AD330</f>
        <v/>
      </c>
      <c r="AQ330" s="220">
        <f>AE330</f>
        <v/>
      </c>
      <c r="AR330" s="208">
        <f>AM330-AO330</f>
        <v/>
      </c>
      <c r="AS330" s="220">
        <f>AR330-AK330</f>
        <v/>
      </c>
      <c r="AT330" s="208">
        <f>AS330*1.075</f>
        <v/>
      </c>
      <c r="AU330" s="208">
        <f>AT330+AK330</f>
        <v/>
      </c>
      <c r="AV330" s="198" t="n">
        <v>394806.5987221971</v>
      </c>
      <c r="AW330" s="264">
        <f>BO330*2</f>
        <v/>
      </c>
      <c r="AX330" s="220">
        <f>AV330-AR330</f>
        <v/>
      </c>
      <c r="AY330" s="35">
        <f>AX330/AR330</f>
        <v/>
      </c>
      <c r="AZ330" s="220">
        <f>AV330-AF330</f>
        <v/>
      </c>
      <c r="BA330" s="215">
        <f>AV330-SUM(Z330:AC330)</f>
        <v/>
      </c>
      <c r="BB330" s="215">
        <f>BA330-Y330</f>
        <v/>
      </c>
      <c r="BC330" s="35">
        <f>BB330/BA330</f>
        <v/>
      </c>
      <c r="BD330" s="35">
        <f>IFERROR(AZ330/AV330,)</f>
        <v/>
      </c>
      <c r="BE330" s="255">
        <f>AV330-SUM(Z330:AC330)</f>
        <v/>
      </c>
      <c r="BF330" s="255">
        <f>AV330-BE330-AC330-AB330</f>
        <v/>
      </c>
      <c r="BG330" s="255">
        <f>AV330-BE330-BF330-AB330</f>
        <v/>
      </c>
      <c r="BH330" s="255">
        <f>AB330</f>
        <v/>
      </c>
      <c r="BI330" s="263" t="inlineStr">
        <is>
          <t>Approved</t>
        </is>
      </c>
    </row>
    <row r="331">
      <c r="C331" s="23" t="inlineStr">
        <is>
          <t>ASINI/Yekeni</t>
        </is>
      </c>
      <c r="D331">
        <f>CONCATENATE(G331,"-",H331,"-",F331)</f>
        <v/>
      </c>
      <c r="E331" s="24" t="inlineStr">
        <is>
          <t>JMG-10T-Hiabs Logistics-Upcountry</t>
        </is>
      </c>
      <c r="F331" s="23" t="inlineStr">
        <is>
          <t>Upcountry</t>
        </is>
      </c>
      <c r="G331" s="25" t="inlineStr">
        <is>
          <t>Hiabs Logistics</t>
        </is>
      </c>
      <c r="H331" s="24" t="inlineStr">
        <is>
          <t>10T</t>
        </is>
      </c>
      <c r="I331" s="73" t="inlineStr">
        <is>
          <t>JMG</t>
        </is>
      </c>
      <c r="J331" s="74" t="inlineStr">
        <is>
          <t>Port Harcourt</t>
        </is>
      </c>
      <c r="K331" s="116" t="inlineStr">
        <is>
          <t>Ebonyi</t>
        </is>
      </c>
      <c r="L331" s="67" t="inlineStr">
        <is>
          <t>Ebonyi</t>
        </is>
      </c>
      <c r="M331" s="68" t="n"/>
      <c r="N331" s="199">
        <f>O331/2</f>
        <v/>
      </c>
      <c r="O331" s="200" t="n">
        <v>559</v>
      </c>
      <c r="P331" s="220">
        <f>ROUNDUP(O331/300,)</f>
        <v/>
      </c>
      <c r="Q331" s="220" t="n">
        <v>1</v>
      </c>
      <c r="R331" s="220">
        <f>Q331+P331</f>
        <v/>
      </c>
      <c r="S331" s="198">
        <f>ROUNDDOWN(O331*0.51,)+60</f>
        <v/>
      </c>
      <c r="T331" s="207">
        <f>_xlfn.XLOOKUP(G331,[1]Fx!$A$4:$A$10,[1]Fx!$B$4:$B$10)</f>
        <v/>
      </c>
      <c r="U331" s="207">
        <f>_xlfn.XLOOKUP(G331,'[1]BP Setup'!$B$6:$B$72,'[1]BP Setup'!$Q$6:$Q$72)</f>
        <v/>
      </c>
      <c r="V331" s="207">
        <f>_xlfn.XLOOKUP(G331,'[1]BP Setup'!$B$6:$B$72,'[1]BP Setup'!$R$6:$R$72)</f>
        <v/>
      </c>
      <c r="W331" s="207">
        <f>$W$3</f>
        <v/>
      </c>
      <c r="X331" s="207" t="n">
        <v>80</v>
      </c>
      <c r="Y331" s="215">
        <f>T331*R331</f>
        <v/>
      </c>
      <c r="Z331" s="215">
        <f>U331*O331</f>
        <v/>
      </c>
      <c r="AA331" s="215">
        <f>V331*O331</f>
        <v/>
      </c>
      <c r="AB331" s="215">
        <f>W331*O331</f>
        <v/>
      </c>
      <c r="AC331" s="197">
        <f>X331*O331</f>
        <v/>
      </c>
      <c r="AD331" s="215" t="n">
        <v>0</v>
      </c>
      <c r="AE331" s="215" t="n">
        <v>0</v>
      </c>
      <c r="AF331" s="207">
        <f>SUM(Y331:AE331)</f>
        <v/>
      </c>
      <c r="AG331" s="254">
        <f>_xlfn.XLOOKUP(G331,[1]Fx!$A$16:$A$22,[1]Fx!$B$16:$B$22)</f>
        <v/>
      </c>
      <c r="AH331" s="207">
        <f>AG331*R331</f>
        <v/>
      </c>
      <c r="AI331" s="207">
        <f>$AI$3*Z331</f>
        <v/>
      </c>
      <c r="AJ331" s="207">
        <f>$AJ$3*AA331</f>
        <v/>
      </c>
      <c r="AK331" s="207">
        <f>$AK$3*AB331</f>
        <v/>
      </c>
      <c r="AL331" s="207">
        <f>$AL$3*AC331</f>
        <v/>
      </c>
      <c r="AM331" s="220">
        <f>SUM(AH331:AL331)</f>
        <v/>
      </c>
      <c r="AN331" s="220" t="n">
        <v>0</v>
      </c>
      <c r="AO331" s="220">
        <f>AN331*AH331</f>
        <v/>
      </c>
      <c r="AP331" s="220">
        <f>AD331</f>
        <v/>
      </c>
      <c r="AQ331" s="220">
        <f>AE331</f>
        <v/>
      </c>
      <c r="AR331" s="208">
        <f>AM331-AO331</f>
        <v/>
      </c>
      <c r="AS331" s="220">
        <f>AR331-AK331</f>
        <v/>
      </c>
      <c r="AT331" s="208">
        <f>AS331*1.075</f>
        <v/>
      </c>
      <c r="AU331" s="208">
        <f>AT331+AK331</f>
        <v/>
      </c>
      <c r="AV331" s="198" t="n">
        <v>394806.5987221971</v>
      </c>
      <c r="AW331" s="264">
        <f>BO331*2</f>
        <v/>
      </c>
      <c r="AX331" s="220">
        <f>AV331-AR331</f>
        <v/>
      </c>
      <c r="AY331" s="35">
        <f>AX331/AR331</f>
        <v/>
      </c>
      <c r="AZ331" s="220">
        <f>AV331-AF331</f>
        <v/>
      </c>
      <c r="BA331" s="215">
        <f>AV331-SUM(Z331:AC331)</f>
        <v/>
      </c>
      <c r="BB331" s="215">
        <f>BA331-Y331</f>
        <v/>
      </c>
      <c r="BC331" s="35">
        <f>BB331/BA331</f>
        <v/>
      </c>
      <c r="BD331" s="35">
        <f>IFERROR(AZ331/AV331,)</f>
        <v/>
      </c>
      <c r="BE331" s="255">
        <f>AV331-SUM(Z331:AC331)</f>
        <v/>
      </c>
      <c r="BF331" s="255">
        <f>AV331-BE331-AC331-AB331</f>
        <v/>
      </c>
      <c r="BG331" s="255">
        <f>AV331-BE331-BF331-AB331</f>
        <v/>
      </c>
      <c r="BH331" s="255">
        <f>AB331</f>
        <v/>
      </c>
      <c r="BI331" s="263" t="inlineStr">
        <is>
          <t>Approved</t>
        </is>
      </c>
    </row>
    <row r="332">
      <c r="C332" s="23" t="inlineStr">
        <is>
          <t>ASINI/Yekeni</t>
        </is>
      </c>
      <c r="D332">
        <f>CONCATENATE(G332,"-",H332,"-",F332)</f>
        <v/>
      </c>
      <c r="E332" s="24" t="inlineStr">
        <is>
          <t>JMG-10T-Hiabs Logistics-Upcountry</t>
        </is>
      </c>
      <c r="F332" s="23" t="inlineStr">
        <is>
          <t>Upcountry</t>
        </is>
      </c>
      <c r="G332" s="25" t="inlineStr">
        <is>
          <t>Hiabs Logistics</t>
        </is>
      </c>
      <c r="H332" s="24" t="inlineStr">
        <is>
          <t>10T</t>
        </is>
      </c>
      <c r="I332" s="73" t="inlineStr">
        <is>
          <t>JMG</t>
        </is>
      </c>
      <c r="J332" s="74" t="inlineStr">
        <is>
          <t>Port Harcourt</t>
        </is>
      </c>
      <c r="K332" s="115" t="inlineStr">
        <is>
          <t>Abakaliki</t>
        </is>
      </c>
      <c r="L332" s="67" t="inlineStr">
        <is>
          <t>Ebonyi</t>
        </is>
      </c>
      <c r="M332" s="68" t="n"/>
      <c r="N332" s="199">
        <f>O332/2</f>
        <v/>
      </c>
      <c r="O332" s="200" t="n">
        <v>559</v>
      </c>
      <c r="P332" s="220">
        <f>ROUNDUP(O332/300,)</f>
        <v/>
      </c>
      <c r="Q332" s="220" t="n">
        <v>1</v>
      </c>
      <c r="R332" s="220">
        <f>Q332+P332</f>
        <v/>
      </c>
      <c r="S332" s="198">
        <f>ROUNDDOWN(O332*0.51,)+60</f>
        <v/>
      </c>
      <c r="T332" s="207">
        <f>_xlfn.XLOOKUP(G332,[1]Fx!$A$4:$A$10,[1]Fx!$B$4:$B$10)</f>
        <v/>
      </c>
      <c r="U332" s="207">
        <f>_xlfn.XLOOKUP(G332,'[1]BP Setup'!$B$6:$B$72,'[1]BP Setup'!$Q$6:$Q$72)</f>
        <v/>
      </c>
      <c r="V332" s="207">
        <f>_xlfn.XLOOKUP(G332,'[1]BP Setup'!$B$6:$B$72,'[1]BP Setup'!$R$6:$R$72)</f>
        <v/>
      </c>
      <c r="W332" s="207">
        <f>$W$3</f>
        <v/>
      </c>
      <c r="X332" s="207" t="n">
        <v>80</v>
      </c>
      <c r="Y332" s="215">
        <f>T332*R332</f>
        <v/>
      </c>
      <c r="Z332" s="215">
        <f>U332*O332</f>
        <v/>
      </c>
      <c r="AA332" s="215">
        <f>V332*O332</f>
        <v/>
      </c>
      <c r="AB332" s="215">
        <f>W332*O332</f>
        <v/>
      </c>
      <c r="AC332" s="197">
        <f>X332*O332</f>
        <v/>
      </c>
      <c r="AD332" s="215" t="n">
        <v>0</v>
      </c>
      <c r="AE332" s="215" t="n">
        <v>0</v>
      </c>
      <c r="AF332" s="207">
        <f>SUM(Y332:AE332)</f>
        <v/>
      </c>
      <c r="AG332" s="254">
        <f>_xlfn.XLOOKUP(G332,[1]Fx!$A$16:$A$22,[1]Fx!$B$16:$B$22)</f>
        <v/>
      </c>
      <c r="AH332" s="207">
        <f>AG332*R332</f>
        <v/>
      </c>
      <c r="AI332" s="207">
        <f>$AI$3*Z332</f>
        <v/>
      </c>
      <c r="AJ332" s="207">
        <f>$AJ$3*AA332</f>
        <v/>
      </c>
      <c r="AK332" s="207">
        <f>$AK$3*AB332</f>
        <v/>
      </c>
      <c r="AL332" s="207">
        <f>$AL$3*AC332</f>
        <v/>
      </c>
      <c r="AM332" s="220">
        <f>SUM(AH332:AL332)</f>
        <v/>
      </c>
      <c r="AN332" s="220" t="n">
        <v>0</v>
      </c>
      <c r="AO332" s="220">
        <f>AN332*AH332</f>
        <v/>
      </c>
      <c r="AP332" s="220">
        <f>AD332</f>
        <v/>
      </c>
      <c r="AQ332" s="220">
        <f>AE332</f>
        <v/>
      </c>
      <c r="AR332" s="208">
        <f>AM332-AO332</f>
        <v/>
      </c>
      <c r="AS332" s="220">
        <f>AR332-AK332</f>
        <v/>
      </c>
      <c r="AT332" s="208">
        <f>AS332*1.075</f>
        <v/>
      </c>
      <c r="AU332" s="208">
        <f>AT332+AK332</f>
        <v/>
      </c>
      <c r="AV332" s="198" t="n">
        <v>394806.5987221971</v>
      </c>
      <c r="AW332" s="264">
        <f>BO332*2</f>
        <v/>
      </c>
      <c r="AX332" s="220">
        <f>AV332-AR332</f>
        <v/>
      </c>
      <c r="AY332" s="35">
        <f>AX332/AR332</f>
        <v/>
      </c>
      <c r="AZ332" s="220">
        <f>AV332-AF332</f>
        <v/>
      </c>
      <c r="BA332" s="215">
        <f>AV332-SUM(Z332:AC332)</f>
        <v/>
      </c>
      <c r="BB332" s="215">
        <f>BA332-Y332</f>
        <v/>
      </c>
      <c r="BC332" s="35">
        <f>BB332/BA332</f>
        <v/>
      </c>
      <c r="BD332" s="35">
        <f>IFERROR(AZ332/AV332,)</f>
        <v/>
      </c>
      <c r="BE332" s="255">
        <f>AV332-SUM(Z332:AC332)</f>
        <v/>
      </c>
      <c r="BF332" s="255">
        <f>AV332-BE332-AC332-AB332</f>
        <v/>
      </c>
      <c r="BG332" s="255">
        <f>AV332-BE332-BF332-AB332</f>
        <v/>
      </c>
      <c r="BH332" s="255">
        <f>AB332</f>
        <v/>
      </c>
      <c r="BI332" s="263" t="inlineStr">
        <is>
          <t>Worst Case Approved</t>
        </is>
      </c>
    </row>
    <row r="333">
      <c r="C333" s="23" t="inlineStr">
        <is>
          <t>ASINI/Yekeni</t>
        </is>
      </c>
      <c r="D333">
        <f>CONCATENATE(G333,"-",H333,"-",F333)</f>
        <v/>
      </c>
      <c r="E333" s="24" t="inlineStr">
        <is>
          <t>JMG-10T-Hiabs Logistics-Upcountry</t>
        </is>
      </c>
      <c r="F333" s="23" t="inlineStr">
        <is>
          <t>Upcountry</t>
        </is>
      </c>
      <c r="G333" s="25" t="inlineStr">
        <is>
          <t>Hiabs Logistics</t>
        </is>
      </c>
      <c r="H333" s="24" t="inlineStr">
        <is>
          <t>10T</t>
        </is>
      </c>
      <c r="I333" s="73" t="inlineStr">
        <is>
          <t>JMG</t>
        </is>
      </c>
      <c r="J333" s="74" t="inlineStr">
        <is>
          <t>Port Harcourt</t>
        </is>
      </c>
      <c r="K333" s="115" t="inlineStr">
        <is>
          <t>Agbor</t>
        </is>
      </c>
      <c r="L333" s="67" t="inlineStr">
        <is>
          <t>Delta</t>
        </is>
      </c>
      <c r="M333" s="68" t="n"/>
      <c r="N333" s="199">
        <f>O333/2</f>
        <v/>
      </c>
      <c r="O333" s="200" t="n">
        <v>538</v>
      </c>
      <c r="P333" s="220">
        <f>ROUNDUP(O333/300,)</f>
        <v/>
      </c>
      <c r="Q333" s="220" t="n">
        <v>1</v>
      </c>
      <c r="R333" s="220">
        <f>Q333+P333</f>
        <v/>
      </c>
      <c r="S333" s="198">
        <f>ROUNDDOWN(O333*0.51,)+60</f>
        <v/>
      </c>
      <c r="T333" s="207">
        <f>_xlfn.XLOOKUP(G333,[1]Fx!$A$4:$A$10,[1]Fx!$B$4:$B$10)</f>
        <v/>
      </c>
      <c r="U333" s="207">
        <f>_xlfn.XLOOKUP(G333,'[1]BP Setup'!$B$6:$B$72,'[1]BP Setup'!$Q$6:$Q$72)</f>
        <v/>
      </c>
      <c r="V333" s="207">
        <f>_xlfn.XLOOKUP(G333,'[1]BP Setup'!$B$6:$B$72,'[1]BP Setup'!$R$6:$R$72)</f>
        <v/>
      </c>
      <c r="W333" s="207">
        <f>$W$3</f>
        <v/>
      </c>
      <c r="X333" s="207" t="n">
        <v>80</v>
      </c>
      <c r="Y333" s="215">
        <f>T333*R333</f>
        <v/>
      </c>
      <c r="Z333" s="215">
        <f>U333*O333</f>
        <v/>
      </c>
      <c r="AA333" s="215">
        <f>V333*O333</f>
        <v/>
      </c>
      <c r="AB333" s="215">
        <f>W333*O333</f>
        <v/>
      </c>
      <c r="AC333" s="197">
        <f>X333*O333</f>
        <v/>
      </c>
      <c r="AD333" s="215" t="n">
        <v>0</v>
      </c>
      <c r="AE333" s="215" t="n">
        <v>0</v>
      </c>
      <c r="AF333" s="207">
        <f>SUM(Y333:AE333)</f>
        <v/>
      </c>
      <c r="AG333" s="254">
        <f>_xlfn.XLOOKUP(G333,[1]Fx!$A$16:$A$22,[1]Fx!$B$16:$B$22)</f>
        <v/>
      </c>
      <c r="AH333" s="207">
        <f>AG333*R333</f>
        <v/>
      </c>
      <c r="AI333" s="207">
        <f>$AI$3*Z333</f>
        <v/>
      </c>
      <c r="AJ333" s="207">
        <f>$AJ$3*AA333</f>
        <v/>
      </c>
      <c r="AK333" s="207">
        <f>$AK$3*AB333</f>
        <v/>
      </c>
      <c r="AL333" s="207">
        <f>$AL$3*AC333</f>
        <v/>
      </c>
      <c r="AM333" s="220">
        <f>SUM(AH333:AL333)</f>
        <v/>
      </c>
      <c r="AN333" s="220" t="n">
        <v>0</v>
      </c>
      <c r="AO333" s="220">
        <f>AN333*AH333</f>
        <v/>
      </c>
      <c r="AP333" s="220">
        <f>AD333</f>
        <v/>
      </c>
      <c r="AQ333" s="220">
        <f>AE333</f>
        <v/>
      </c>
      <c r="AR333" s="208">
        <f>AM333-AO333</f>
        <v/>
      </c>
      <c r="AS333" s="220">
        <f>AR333-AK333</f>
        <v/>
      </c>
      <c r="AT333" s="208">
        <f>AS333*1.075</f>
        <v/>
      </c>
      <c r="AU333" s="208">
        <f>AT333+AK333</f>
        <v/>
      </c>
      <c r="AV333" s="198" t="n">
        <v>394806.5987221971</v>
      </c>
      <c r="AW333" s="264">
        <f>BO333*2</f>
        <v/>
      </c>
      <c r="AX333" s="220">
        <f>AV333-AR333</f>
        <v/>
      </c>
      <c r="AY333" s="35">
        <f>AX333/AR333</f>
        <v/>
      </c>
      <c r="AZ333" s="220">
        <f>AV333-AF333</f>
        <v/>
      </c>
      <c r="BA333" s="215">
        <f>AV333-SUM(Z333:AC333)</f>
        <v/>
      </c>
      <c r="BB333" s="215">
        <f>BA333-Y333</f>
        <v/>
      </c>
      <c r="BC333" s="35">
        <f>BB333/BA333</f>
        <v/>
      </c>
      <c r="BD333" s="35">
        <f>IFERROR(AZ333/AV333,)</f>
        <v/>
      </c>
      <c r="BE333" s="255">
        <f>AV333-SUM(Z333:AC333)</f>
        <v/>
      </c>
      <c r="BF333" s="255">
        <f>AV333-BE333-AC333-AB333</f>
        <v/>
      </c>
      <c r="BG333" s="255">
        <f>AV333-BE333-BF333-AB333</f>
        <v/>
      </c>
      <c r="BH333" s="255">
        <f>AB333</f>
        <v/>
      </c>
      <c r="BI333" s="263" t="inlineStr">
        <is>
          <t>Worst Case Approved</t>
        </is>
      </c>
    </row>
    <row r="334">
      <c r="C334" s="23" t="inlineStr">
        <is>
          <t>ASINI/Yekeni</t>
        </is>
      </c>
      <c r="D334">
        <f>CONCATENATE(G334,"-",H334,"-",F334)</f>
        <v/>
      </c>
      <c r="E334" s="24" t="inlineStr">
        <is>
          <t>JMG-10T-Hiabs Logistics-Upcountry</t>
        </is>
      </c>
      <c r="F334" s="23" t="inlineStr">
        <is>
          <t>Upcountry</t>
        </is>
      </c>
      <c r="G334" s="25" t="inlineStr">
        <is>
          <t>Hiabs Logistics</t>
        </is>
      </c>
      <c r="H334" s="24" t="inlineStr">
        <is>
          <t>10T</t>
        </is>
      </c>
      <c r="I334" s="73" t="inlineStr">
        <is>
          <t>JMG</t>
        </is>
      </c>
      <c r="J334" s="74" t="inlineStr">
        <is>
          <t>Port Harcourt</t>
        </is>
      </c>
      <c r="K334" s="115" t="inlineStr">
        <is>
          <t>Akpabuyo</t>
        </is>
      </c>
      <c r="L334" s="67" t="inlineStr">
        <is>
          <t>Cross River</t>
        </is>
      </c>
      <c r="M334" s="68" t="n"/>
      <c r="N334" s="199">
        <f>O334/2</f>
        <v/>
      </c>
      <c r="O334" s="200" t="n">
        <v>506</v>
      </c>
      <c r="P334" s="220">
        <f>ROUNDUP(O334/300,)</f>
        <v/>
      </c>
      <c r="Q334" s="220" t="n">
        <v>1</v>
      </c>
      <c r="R334" s="220">
        <f>Q334+P334</f>
        <v/>
      </c>
      <c r="S334" s="198">
        <f>ROUNDDOWN(O334*0.51,)+60</f>
        <v/>
      </c>
      <c r="T334" s="207">
        <f>_xlfn.XLOOKUP(G334,[1]Fx!$A$4:$A$10,[1]Fx!$B$4:$B$10)</f>
        <v/>
      </c>
      <c r="U334" s="207">
        <f>_xlfn.XLOOKUP(G334,'[1]BP Setup'!$B$6:$B$72,'[1]BP Setup'!$Q$6:$Q$72)</f>
        <v/>
      </c>
      <c r="V334" s="207">
        <f>_xlfn.XLOOKUP(G334,'[1]BP Setup'!$B$6:$B$72,'[1]BP Setup'!$R$6:$R$72)</f>
        <v/>
      </c>
      <c r="W334" s="207">
        <f>$W$3</f>
        <v/>
      </c>
      <c r="X334" s="207" t="n">
        <v>80</v>
      </c>
      <c r="Y334" s="215">
        <f>T334*R334</f>
        <v/>
      </c>
      <c r="Z334" s="215">
        <f>U334*O334</f>
        <v/>
      </c>
      <c r="AA334" s="215">
        <f>V334*O334</f>
        <v/>
      </c>
      <c r="AB334" s="215">
        <f>W334*O334</f>
        <v/>
      </c>
      <c r="AC334" s="197">
        <f>X334*O334</f>
        <v/>
      </c>
      <c r="AD334" s="215" t="n">
        <v>0</v>
      </c>
      <c r="AE334" s="215" t="n">
        <v>0</v>
      </c>
      <c r="AF334" s="207">
        <f>SUM(Y334:AE334)</f>
        <v/>
      </c>
      <c r="AG334" s="254">
        <f>_xlfn.XLOOKUP(G334,[1]Fx!$A$16:$A$22,[1]Fx!$B$16:$B$22)</f>
        <v/>
      </c>
      <c r="AH334" s="207">
        <f>AG334*R334</f>
        <v/>
      </c>
      <c r="AI334" s="207">
        <f>$AI$3*Z334</f>
        <v/>
      </c>
      <c r="AJ334" s="207">
        <f>$AJ$3*AA334</f>
        <v/>
      </c>
      <c r="AK334" s="207">
        <f>$AK$3*AB334</f>
        <v/>
      </c>
      <c r="AL334" s="207">
        <f>$AL$3*AC334</f>
        <v/>
      </c>
      <c r="AM334" s="220">
        <f>SUM(AH334:AL334)</f>
        <v/>
      </c>
      <c r="AN334" s="220" t="n">
        <v>0</v>
      </c>
      <c r="AO334" s="220">
        <f>AN334*AH334</f>
        <v/>
      </c>
      <c r="AP334" s="220">
        <f>AD334</f>
        <v/>
      </c>
      <c r="AQ334" s="220">
        <f>AE334</f>
        <v/>
      </c>
      <c r="AR334" s="208">
        <f>AM334-AO334</f>
        <v/>
      </c>
      <c r="AS334" s="220">
        <f>AR334-AK334</f>
        <v/>
      </c>
      <c r="AT334" s="208">
        <f>AS334*1.075</f>
        <v/>
      </c>
      <c r="AU334" s="208">
        <f>AT334+AK334</f>
        <v/>
      </c>
      <c r="AV334" s="198" t="n">
        <v>394806.5987221971</v>
      </c>
      <c r="AW334" s="264">
        <f>BO334*2</f>
        <v/>
      </c>
      <c r="AX334" s="220">
        <f>AV334-AR334</f>
        <v/>
      </c>
      <c r="AY334" s="35">
        <f>AX334/AR334</f>
        <v/>
      </c>
      <c r="AZ334" s="220">
        <f>AV334-AF334</f>
        <v/>
      </c>
      <c r="BA334" s="215">
        <f>AV334-SUM(Z334:AC334)</f>
        <v/>
      </c>
      <c r="BB334" s="215">
        <f>BA334-Y334</f>
        <v/>
      </c>
      <c r="BC334" s="35">
        <f>BB334/BA334</f>
        <v/>
      </c>
      <c r="BD334" s="35">
        <f>IFERROR(AZ334/AV334,)</f>
        <v/>
      </c>
      <c r="BE334" s="255">
        <f>AV334-SUM(Z334:AC334)</f>
        <v/>
      </c>
      <c r="BF334" s="255">
        <f>AV334-BE334-AC334-AB334</f>
        <v/>
      </c>
      <c r="BG334" s="255">
        <f>AV334-BE334-BF334-AB334</f>
        <v/>
      </c>
      <c r="BH334" s="255">
        <f>AB334</f>
        <v/>
      </c>
      <c r="BI334" s="263" t="inlineStr">
        <is>
          <t>Approved</t>
        </is>
      </c>
    </row>
    <row r="335">
      <c r="C335" s="23" t="inlineStr">
        <is>
          <t>ASINI/Yekeni</t>
        </is>
      </c>
      <c r="D335">
        <f>CONCATENATE(G335,"-",H335,"-",F335)</f>
        <v/>
      </c>
      <c r="E335" s="24" t="inlineStr">
        <is>
          <t>JMG-10T-Hiabs Logistics-Upcountry</t>
        </is>
      </c>
      <c r="F335" s="23" t="inlineStr">
        <is>
          <t>Upcountry</t>
        </is>
      </c>
      <c r="G335" s="25" t="inlineStr">
        <is>
          <t>Hiabs Logistics</t>
        </is>
      </c>
      <c r="H335" s="24" t="inlineStr">
        <is>
          <t>10T</t>
        </is>
      </c>
      <c r="I335" s="73" t="inlineStr">
        <is>
          <t>JMG</t>
        </is>
      </c>
      <c r="J335" s="74" t="inlineStr">
        <is>
          <t>Port Harcourt</t>
        </is>
      </c>
      <c r="K335" s="117" t="inlineStr">
        <is>
          <t>Enugu</t>
        </is>
      </c>
      <c r="L335" s="67" t="inlineStr">
        <is>
          <t>Enugu</t>
        </is>
      </c>
      <c r="M335" s="68" t="n"/>
      <c r="N335" s="199">
        <f>O335/2</f>
        <v/>
      </c>
      <c r="O335" s="200" t="n">
        <v>499</v>
      </c>
      <c r="P335" s="220">
        <f>ROUNDUP(O335/300,)</f>
        <v/>
      </c>
      <c r="Q335" s="220" t="n">
        <v>1</v>
      </c>
      <c r="R335" s="220">
        <f>Q335+P335</f>
        <v/>
      </c>
      <c r="S335" s="198">
        <f>ROUNDDOWN(O335*0.51,)+60</f>
        <v/>
      </c>
      <c r="T335" s="207">
        <f>_xlfn.XLOOKUP(G335,[1]Fx!$A$4:$A$10,[1]Fx!$B$4:$B$10)</f>
        <v/>
      </c>
      <c r="U335" s="207">
        <f>_xlfn.XLOOKUP(G335,'[1]BP Setup'!$B$6:$B$72,'[1]BP Setup'!$Q$6:$Q$72)</f>
        <v/>
      </c>
      <c r="V335" s="207">
        <f>_xlfn.XLOOKUP(G335,'[1]BP Setup'!$B$6:$B$72,'[1]BP Setup'!$R$6:$R$72)</f>
        <v/>
      </c>
      <c r="W335" s="207">
        <f>$W$3</f>
        <v/>
      </c>
      <c r="X335" s="207" t="n">
        <v>80</v>
      </c>
      <c r="Y335" s="215">
        <f>T335*R335</f>
        <v/>
      </c>
      <c r="Z335" s="215">
        <f>U335*O335</f>
        <v/>
      </c>
      <c r="AA335" s="215">
        <f>V335*O335</f>
        <v/>
      </c>
      <c r="AB335" s="215">
        <f>W335*O335</f>
        <v/>
      </c>
      <c r="AC335" s="197">
        <f>X335*O335</f>
        <v/>
      </c>
      <c r="AD335" s="215" t="n">
        <v>0</v>
      </c>
      <c r="AE335" s="215" t="n">
        <v>0</v>
      </c>
      <c r="AF335" s="207">
        <f>SUM(Y335:AE335)</f>
        <v/>
      </c>
      <c r="AG335" s="254">
        <f>_xlfn.XLOOKUP(G335,[1]Fx!$A$16:$A$22,[1]Fx!$B$16:$B$22)</f>
        <v/>
      </c>
      <c r="AH335" s="207">
        <f>AG335*R335</f>
        <v/>
      </c>
      <c r="AI335" s="207">
        <f>$AI$3*Z335</f>
        <v/>
      </c>
      <c r="AJ335" s="207">
        <f>$AJ$3*AA335</f>
        <v/>
      </c>
      <c r="AK335" s="207">
        <f>$AK$3*AB335</f>
        <v/>
      </c>
      <c r="AL335" s="207">
        <f>$AL$3*AC335</f>
        <v/>
      </c>
      <c r="AM335" s="220">
        <f>SUM(AH335:AL335)</f>
        <v/>
      </c>
      <c r="AN335" s="220" t="n">
        <v>0</v>
      </c>
      <c r="AO335" s="220">
        <f>AN335*AH335</f>
        <v/>
      </c>
      <c r="AP335" s="220">
        <f>AD335</f>
        <v/>
      </c>
      <c r="AQ335" s="220">
        <f>AE335</f>
        <v/>
      </c>
      <c r="AR335" s="208">
        <f>AM335-AO335</f>
        <v/>
      </c>
      <c r="AS335" s="220">
        <f>AR335-AK335</f>
        <v/>
      </c>
      <c r="AT335" s="208">
        <f>AS335*1.075</f>
        <v/>
      </c>
      <c r="AU335" s="208">
        <f>AT335+AK335</f>
        <v/>
      </c>
      <c r="AV335" s="198" t="n">
        <v>394806.5987221971</v>
      </c>
      <c r="AW335" s="264">
        <f>BO335*2</f>
        <v/>
      </c>
      <c r="AX335" s="220">
        <f>AV335-AR335</f>
        <v/>
      </c>
      <c r="AY335" s="35">
        <f>AX335/AR335</f>
        <v/>
      </c>
      <c r="AZ335" s="220">
        <f>AV335-AF335</f>
        <v/>
      </c>
      <c r="BA335" s="215">
        <f>AV335-SUM(Z335:AC335)</f>
        <v/>
      </c>
      <c r="BB335" s="215">
        <f>BA335-Y335</f>
        <v/>
      </c>
      <c r="BC335" s="35">
        <f>BB335/BA335</f>
        <v/>
      </c>
      <c r="BD335" s="35">
        <f>IFERROR(AZ335/AV335,)</f>
        <v/>
      </c>
      <c r="BE335" s="255">
        <f>AV335-SUM(Z335:AC335)</f>
        <v/>
      </c>
      <c r="BF335" s="255">
        <f>AV335-BE335-AC335-AB335</f>
        <v/>
      </c>
      <c r="BG335" s="255">
        <f>AV335-BE335-BF335-AB335</f>
        <v/>
      </c>
      <c r="BH335" s="255">
        <f>AB335</f>
        <v/>
      </c>
      <c r="BI335" s="263" t="inlineStr">
        <is>
          <t>Worst Case Approved</t>
        </is>
      </c>
    </row>
    <row r="336">
      <c r="C336" s="23" t="inlineStr">
        <is>
          <t>ASINI/Yekeni</t>
        </is>
      </c>
      <c r="D336">
        <f>CONCATENATE(G336,"-",H336,"-",F336)</f>
        <v/>
      </c>
      <c r="E336" s="24" t="inlineStr">
        <is>
          <t>JMG-10T-Hiabs Logistics-Upcountry</t>
        </is>
      </c>
      <c r="F336" s="23" t="inlineStr">
        <is>
          <t>Upcountry</t>
        </is>
      </c>
      <c r="G336" s="25" t="inlineStr">
        <is>
          <t>Hiabs Logistics</t>
        </is>
      </c>
      <c r="H336" s="24" t="inlineStr">
        <is>
          <t>10T</t>
        </is>
      </c>
      <c r="I336" s="73" t="inlineStr">
        <is>
          <t>JMG</t>
        </is>
      </c>
      <c r="J336" s="74" t="inlineStr">
        <is>
          <t>Port Harcourt</t>
        </is>
      </c>
      <c r="K336" s="115" t="inlineStr">
        <is>
          <t>Sapele</t>
        </is>
      </c>
      <c r="L336" s="67" t="inlineStr">
        <is>
          <t>Delta</t>
        </is>
      </c>
      <c r="M336" s="68" t="n"/>
      <c r="N336" s="199">
        <f>O336/2</f>
        <v/>
      </c>
      <c r="O336" s="200" t="n">
        <v>467</v>
      </c>
      <c r="P336" s="220">
        <f>ROUNDUP(O336/300,)</f>
        <v/>
      </c>
      <c r="Q336" s="220" t="n">
        <v>1</v>
      </c>
      <c r="R336" s="220">
        <f>Q336+P336</f>
        <v/>
      </c>
      <c r="S336" s="198">
        <f>ROUNDDOWN(O336*0.51,)+60</f>
        <v/>
      </c>
      <c r="T336" s="207">
        <f>_xlfn.XLOOKUP(G336,[1]Fx!$A$4:$A$10,[1]Fx!$B$4:$B$10)</f>
        <v/>
      </c>
      <c r="U336" s="207">
        <f>_xlfn.XLOOKUP(G336,'[1]BP Setup'!$B$6:$B$72,'[1]BP Setup'!$Q$6:$Q$72)</f>
        <v/>
      </c>
      <c r="V336" s="207">
        <f>_xlfn.XLOOKUP(G336,'[1]BP Setup'!$B$6:$B$72,'[1]BP Setup'!$R$6:$R$72)</f>
        <v/>
      </c>
      <c r="W336" s="207">
        <f>$W$3</f>
        <v/>
      </c>
      <c r="X336" s="207" t="n">
        <v>80</v>
      </c>
      <c r="Y336" s="215">
        <f>T336*R336</f>
        <v/>
      </c>
      <c r="Z336" s="215">
        <f>U336*O336</f>
        <v/>
      </c>
      <c r="AA336" s="215">
        <f>V336*O336</f>
        <v/>
      </c>
      <c r="AB336" s="215">
        <f>W336*O336</f>
        <v/>
      </c>
      <c r="AC336" s="197">
        <f>X336*O336</f>
        <v/>
      </c>
      <c r="AD336" s="215" t="n">
        <v>0</v>
      </c>
      <c r="AE336" s="215" t="n">
        <v>0</v>
      </c>
      <c r="AF336" s="207">
        <f>SUM(Y336:AE336)</f>
        <v/>
      </c>
      <c r="AG336" s="254">
        <f>_xlfn.XLOOKUP(G336,[1]Fx!$A$16:$A$22,[1]Fx!$B$16:$B$22)</f>
        <v/>
      </c>
      <c r="AH336" s="207">
        <f>AG336*R336</f>
        <v/>
      </c>
      <c r="AI336" s="207">
        <f>$AI$3*Z336</f>
        <v/>
      </c>
      <c r="AJ336" s="207">
        <f>$AJ$3*AA336</f>
        <v/>
      </c>
      <c r="AK336" s="207">
        <f>$AK$3*AB336</f>
        <v/>
      </c>
      <c r="AL336" s="207">
        <f>$AL$3*AC336</f>
        <v/>
      </c>
      <c r="AM336" s="220">
        <f>SUM(AH336:AL336)</f>
        <v/>
      </c>
      <c r="AN336" s="220" t="n">
        <v>0</v>
      </c>
      <c r="AO336" s="220">
        <f>AN336*AH336</f>
        <v/>
      </c>
      <c r="AP336" s="220">
        <f>AD336</f>
        <v/>
      </c>
      <c r="AQ336" s="220">
        <f>AE336</f>
        <v/>
      </c>
      <c r="AR336" s="208">
        <f>AM336-AO336</f>
        <v/>
      </c>
      <c r="AS336" s="220">
        <f>AR336-AK336</f>
        <v/>
      </c>
      <c r="AT336" s="208">
        <f>AS336*1.075</f>
        <v/>
      </c>
      <c r="AU336" s="208">
        <f>AT336+AK336</f>
        <v/>
      </c>
      <c r="AV336" s="198" t="n">
        <v>394806.5987221971</v>
      </c>
      <c r="AW336" s="264">
        <f>BO336*2</f>
        <v/>
      </c>
      <c r="AX336" s="220">
        <f>AV336-AR336</f>
        <v/>
      </c>
      <c r="AY336" s="35">
        <f>AX336/AR336</f>
        <v/>
      </c>
      <c r="AZ336" s="220">
        <f>AV336-AF336</f>
        <v/>
      </c>
      <c r="BA336" s="215">
        <f>AV336-SUM(Z336:AC336)</f>
        <v/>
      </c>
      <c r="BB336" s="215">
        <f>BA336-Y336</f>
        <v/>
      </c>
      <c r="BC336" s="35">
        <f>BB336/BA336</f>
        <v/>
      </c>
      <c r="BD336" s="35">
        <f>IFERROR(AZ336/AV336,)</f>
        <v/>
      </c>
      <c r="BE336" s="255">
        <f>AV336-SUM(Z336:AC336)</f>
        <v/>
      </c>
      <c r="BF336" s="255">
        <f>AV336-BE336-AC336-AB336</f>
        <v/>
      </c>
      <c r="BG336" s="255">
        <f>AV336-BE336-BF336-AB336</f>
        <v/>
      </c>
      <c r="BH336" s="255">
        <f>AB336</f>
        <v/>
      </c>
      <c r="BI336" s="263" t="inlineStr">
        <is>
          <t>Approved</t>
        </is>
      </c>
    </row>
    <row r="337">
      <c r="C337" s="23" t="inlineStr">
        <is>
          <t>ASINI/Yekeni</t>
        </is>
      </c>
      <c r="D337">
        <f>CONCATENATE(G337,"-",H337,"-",F337)</f>
        <v/>
      </c>
      <c r="E337" s="24" t="inlineStr">
        <is>
          <t>JMG-10T-Hiabs Logistics-Upcountry</t>
        </is>
      </c>
      <c r="F337" s="23" t="inlineStr">
        <is>
          <t>Upcountry</t>
        </is>
      </c>
      <c r="G337" s="25" t="inlineStr">
        <is>
          <t>Hiabs Logistics</t>
        </is>
      </c>
      <c r="H337" s="24" t="inlineStr">
        <is>
          <t>10T</t>
        </is>
      </c>
      <c r="I337" s="73" t="inlineStr">
        <is>
          <t>JMG</t>
        </is>
      </c>
      <c r="J337" s="74" t="inlineStr">
        <is>
          <t>Port Harcourt</t>
        </is>
      </c>
      <c r="K337" s="117" t="inlineStr">
        <is>
          <t>Calabar</t>
        </is>
      </c>
      <c r="L337" s="67" t="inlineStr">
        <is>
          <t>Cross River</t>
        </is>
      </c>
      <c r="M337" s="68" t="n"/>
      <c r="N337" s="199">
        <f>O337/2</f>
        <v/>
      </c>
      <c r="O337" s="200" t="n">
        <v>456</v>
      </c>
      <c r="P337" s="220">
        <f>ROUNDUP(O337/300,)</f>
        <v/>
      </c>
      <c r="Q337" s="220" t="n">
        <v>1</v>
      </c>
      <c r="R337" s="220">
        <f>Q337+P337</f>
        <v/>
      </c>
      <c r="S337" s="198">
        <f>ROUNDDOWN(O337*0.51,)+60</f>
        <v/>
      </c>
      <c r="T337" s="207">
        <f>_xlfn.XLOOKUP(G337,[1]Fx!$A$4:$A$10,[1]Fx!$B$4:$B$10)</f>
        <v/>
      </c>
      <c r="U337" s="207">
        <f>_xlfn.XLOOKUP(G337,'[1]BP Setup'!$B$6:$B$72,'[1]BP Setup'!$Q$6:$Q$72)</f>
        <v/>
      </c>
      <c r="V337" s="207">
        <f>_xlfn.XLOOKUP(G337,'[1]BP Setup'!$B$6:$B$72,'[1]BP Setup'!$R$6:$R$72)</f>
        <v/>
      </c>
      <c r="W337" s="207">
        <f>$W$3</f>
        <v/>
      </c>
      <c r="X337" s="207" t="n">
        <v>80</v>
      </c>
      <c r="Y337" s="215">
        <f>T337*R337</f>
        <v/>
      </c>
      <c r="Z337" s="215">
        <f>U337*O337</f>
        <v/>
      </c>
      <c r="AA337" s="215">
        <f>V337*O337</f>
        <v/>
      </c>
      <c r="AB337" s="215">
        <f>W337*O337</f>
        <v/>
      </c>
      <c r="AC337" s="197">
        <f>X337*O337</f>
        <v/>
      </c>
      <c r="AD337" s="215" t="n">
        <v>0</v>
      </c>
      <c r="AE337" s="215" t="n">
        <v>0</v>
      </c>
      <c r="AF337" s="207">
        <f>SUM(Y337:AE337)</f>
        <v/>
      </c>
      <c r="AG337" s="254">
        <f>_xlfn.XLOOKUP(G337,[1]Fx!$A$16:$A$22,[1]Fx!$B$16:$B$22)</f>
        <v/>
      </c>
      <c r="AH337" s="207">
        <f>AG337*R337</f>
        <v/>
      </c>
      <c r="AI337" s="207">
        <f>$AI$3*Z337</f>
        <v/>
      </c>
      <c r="AJ337" s="207">
        <f>$AJ$3*AA337</f>
        <v/>
      </c>
      <c r="AK337" s="207">
        <f>$AK$3*AB337</f>
        <v/>
      </c>
      <c r="AL337" s="207">
        <f>$AL$3*AC337</f>
        <v/>
      </c>
      <c r="AM337" s="220">
        <f>SUM(AH337:AL337)</f>
        <v/>
      </c>
      <c r="AN337" s="220" t="n">
        <v>0</v>
      </c>
      <c r="AO337" s="220">
        <f>AN337*AH337</f>
        <v/>
      </c>
      <c r="AP337" s="220">
        <f>AD337</f>
        <v/>
      </c>
      <c r="AQ337" s="220">
        <f>AE337</f>
        <v/>
      </c>
      <c r="AR337" s="208">
        <f>AM337-AO337</f>
        <v/>
      </c>
      <c r="AS337" s="220">
        <f>AR337-AK337</f>
        <v/>
      </c>
      <c r="AT337" s="208">
        <f>AS337*1.075</f>
        <v/>
      </c>
      <c r="AU337" s="208">
        <f>AT337+AK337</f>
        <v/>
      </c>
      <c r="AV337" s="198" t="n">
        <v>394806.5987221971</v>
      </c>
      <c r="AW337" s="264">
        <f>BO337*2</f>
        <v/>
      </c>
      <c r="AX337" s="220">
        <f>AV337-AR337</f>
        <v/>
      </c>
      <c r="AY337" s="35">
        <f>AX337/AR337</f>
        <v/>
      </c>
      <c r="AZ337" s="220">
        <f>AV337-AF337</f>
        <v/>
      </c>
      <c r="BA337" s="215">
        <f>AV337-SUM(Z337:AC337)</f>
        <v/>
      </c>
      <c r="BB337" s="215">
        <f>BA337-Y337</f>
        <v/>
      </c>
      <c r="BC337" s="35">
        <f>BB337/BA337</f>
        <v/>
      </c>
      <c r="BD337" s="35">
        <f>IFERROR(AZ337/AV337,)</f>
        <v/>
      </c>
      <c r="BE337" s="255">
        <f>AV337-SUM(Z337:AC337)</f>
        <v/>
      </c>
      <c r="BF337" s="255">
        <f>AV337-BE337-AC337-AB337</f>
        <v/>
      </c>
      <c r="BG337" s="255">
        <f>AV337-BE337-BF337-AB337</f>
        <v/>
      </c>
      <c r="BH337" s="255">
        <f>AB337</f>
        <v/>
      </c>
      <c r="BI337" s="263" t="inlineStr">
        <is>
          <t>Worst Case Approved</t>
        </is>
      </c>
    </row>
    <row r="338">
      <c r="C338" s="23" t="inlineStr">
        <is>
          <t>ASINI/Yekeni</t>
        </is>
      </c>
      <c r="D338">
        <f>CONCATENATE(G338,"-",H338,"-",F338)</f>
        <v/>
      </c>
      <c r="E338" s="24" t="inlineStr">
        <is>
          <t>JMG-10T-Hiabs Logistics-Upcountry</t>
        </is>
      </c>
      <c r="F338" s="23" t="inlineStr">
        <is>
          <t>Upcountry</t>
        </is>
      </c>
      <c r="G338" s="25" t="inlineStr">
        <is>
          <t>Hiabs Logistics</t>
        </is>
      </c>
      <c r="H338" s="24" t="inlineStr">
        <is>
          <t>10T</t>
        </is>
      </c>
      <c r="I338" s="73" t="inlineStr">
        <is>
          <t>JMG</t>
        </is>
      </c>
      <c r="J338" s="74" t="inlineStr">
        <is>
          <t>Port Harcourt</t>
        </is>
      </c>
      <c r="K338" s="115" t="inlineStr">
        <is>
          <t>Kwale</t>
        </is>
      </c>
      <c r="L338" s="67" t="inlineStr">
        <is>
          <t>Delta</t>
        </is>
      </c>
      <c r="M338" s="68" t="n"/>
      <c r="N338" s="199">
        <f>O338/2</f>
        <v/>
      </c>
      <c r="O338" s="200" t="n">
        <v>454</v>
      </c>
      <c r="P338" s="220">
        <f>ROUNDUP(O338/300,)</f>
        <v/>
      </c>
      <c r="Q338" s="220" t="n">
        <v>1</v>
      </c>
      <c r="R338" s="220">
        <f>Q338+P338</f>
        <v/>
      </c>
      <c r="S338" s="198">
        <f>ROUNDDOWN(O338*0.51,)+60</f>
        <v/>
      </c>
      <c r="T338" s="207">
        <f>_xlfn.XLOOKUP(G338,[1]Fx!$A$4:$A$10,[1]Fx!$B$4:$B$10)</f>
        <v/>
      </c>
      <c r="U338" s="207">
        <f>_xlfn.XLOOKUP(G338,'[1]BP Setup'!$B$6:$B$72,'[1]BP Setup'!$Q$6:$Q$72)</f>
        <v/>
      </c>
      <c r="V338" s="207">
        <f>_xlfn.XLOOKUP(G338,'[1]BP Setup'!$B$6:$B$72,'[1]BP Setup'!$R$6:$R$72)</f>
        <v/>
      </c>
      <c r="W338" s="207">
        <f>$W$3</f>
        <v/>
      </c>
      <c r="X338" s="207" t="n">
        <v>80</v>
      </c>
      <c r="Y338" s="215">
        <f>T338*R338</f>
        <v/>
      </c>
      <c r="Z338" s="215">
        <f>U338*O338</f>
        <v/>
      </c>
      <c r="AA338" s="215">
        <f>V338*O338</f>
        <v/>
      </c>
      <c r="AB338" s="215">
        <f>W338*O338</f>
        <v/>
      </c>
      <c r="AC338" s="197">
        <f>X338*O338</f>
        <v/>
      </c>
      <c r="AD338" s="215" t="n">
        <v>0</v>
      </c>
      <c r="AE338" s="215" t="n">
        <v>0</v>
      </c>
      <c r="AF338" s="207">
        <f>SUM(Y338:AE338)</f>
        <v/>
      </c>
      <c r="AG338" s="254">
        <f>_xlfn.XLOOKUP(G338,[1]Fx!$A$16:$A$22,[1]Fx!$B$16:$B$22)</f>
        <v/>
      </c>
      <c r="AH338" s="207">
        <f>AG338*R338</f>
        <v/>
      </c>
      <c r="AI338" s="207">
        <f>$AI$3*Z338</f>
        <v/>
      </c>
      <c r="AJ338" s="207">
        <f>$AJ$3*AA338</f>
        <v/>
      </c>
      <c r="AK338" s="207">
        <f>$AK$3*AB338</f>
        <v/>
      </c>
      <c r="AL338" s="207">
        <f>$AL$3*AC338</f>
        <v/>
      </c>
      <c r="AM338" s="220">
        <f>SUM(AH338:AL338)</f>
        <v/>
      </c>
      <c r="AN338" s="220" t="n">
        <v>0</v>
      </c>
      <c r="AO338" s="220">
        <f>AN338*AH338</f>
        <v/>
      </c>
      <c r="AP338" s="220">
        <f>AD338</f>
        <v/>
      </c>
      <c r="AQ338" s="220">
        <f>AE338</f>
        <v/>
      </c>
      <c r="AR338" s="208">
        <f>AM338-AO338</f>
        <v/>
      </c>
      <c r="AS338" s="220">
        <f>AR338-AK338</f>
        <v/>
      </c>
      <c r="AT338" s="208">
        <f>AS338*1.075</f>
        <v/>
      </c>
      <c r="AU338" s="208">
        <f>AT338+AK338</f>
        <v/>
      </c>
      <c r="AV338" s="198" t="n">
        <v>394806.5987221971</v>
      </c>
      <c r="AW338" s="264">
        <f>BO338*2</f>
        <v/>
      </c>
      <c r="AX338" s="220">
        <f>AV338-AR338</f>
        <v/>
      </c>
      <c r="AY338" s="35">
        <f>AX338/AR338</f>
        <v/>
      </c>
      <c r="AZ338" s="220">
        <f>AV338-AF338</f>
        <v/>
      </c>
      <c r="BA338" s="215">
        <f>AV338-SUM(Z338:AC338)</f>
        <v/>
      </c>
      <c r="BB338" s="215">
        <f>BA338-Y338</f>
        <v/>
      </c>
      <c r="BC338" s="35">
        <f>BB338/BA338</f>
        <v/>
      </c>
      <c r="BD338" s="35">
        <f>IFERROR(AZ338/AV338,)</f>
        <v/>
      </c>
      <c r="BE338" s="255">
        <f>AV338-SUM(Z338:AC338)</f>
        <v/>
      </c>
      <c r="BF338" s="255">
        <f>AV338-BE338-AC338-AB338</f>
        <v/>
      </c>
      <c r="BG338" s="255">
        <f>AV338-BE338-BF338-AB338</f>
        <v/>
      </c>
      <c r="BH338" s="255">
        <f>AB338</f>
        <v/>
      </c>
      <c r="BI338" s="263" t="inlineStr">
        <is>
          <t>Approved</t>
        </is>
      </c>
    </row>
    <row r="339">
      <c r="C339" s="23" t="inlineStr">
        <is>
          <t>ASINI/Yekeni</t>
        </is>
      </c>
      <c r="D339">
        <f>CONCATENATE(G339,"-",H339,"-",F339)</f>
        <v/>
      </c>
      <c r="E339" s="24" t="inlineStr">
        <is>
          <t>JMG-10T-Hiabs Logistics-Upcountry</t>
        </is>
      </c>
      <c r="F339" s="23" t="inlineStr">
        <is>
          <t>Upcountry</t>
        </is>
      </c>
      <c r="G339" s="25" t="inlineStr">
        <is>
          <t>Hiabs Logistics</t>
        </is>
      </c>
      <c r="H339" s="24" t="inlineStr">
        <is>
          <t>10T</t>
        </is>
      </c>
      <c r="I339" s="73" t="inlineStr">
        <is>
          <t>JMG</t>
        </is>
      </c>
      <c r="J339" s="74" t="inlineStr">
        <is>
          <t>Port Harcourt</t>
        </is>
      </c>
      <c r="K339" s="115" t="inlineStr">
        <is>
          <t>Anambra</t>
        </is>
      </c>
      <c r="L339" s="67" t="inlineStr">
        <is>
          <t>Anambra</t>
        </is>
      </c>
      <c r="M339" s="68" t="n"/>
      <c r="N339" s="199">
        <f>O339/2</f>
        <v/>
      </c>
      <c r="O339" s="200" t="n">
        <v>448</v>
      </c>
      <c r="P339" s="220">
        <f>ROUNDUP(O339/300,)</f>
        <v/>
      </c>
      <c r="Q339" s="220" t="n">
        <v>1</v>
      </c>
      <c r="R339" s="220">
        <f>Q339+P339</f>
        <v/>
      </c>
      <c r="S339" s="198">
        <f>ROUNDDOWN(O339*0.51,)+60</f>
        <v/>
      </c>
      <c r="T339" s="207">
        <f>_xlfn.XLOOKUP(G339,[1]Fx!$A$4:$A$10,[1]Fx!$B$4:$B$10)</f>
        <v/>
      </c>
      <c r="U339" s="207">
        <f>_xlfn.XLOOKUP(G339,'[1]BP Setup'!$B$6:$B$72,'[1]BP Setup'!$Q$6:$Q$72)</f>
        <v/>
      </c>
      <c r="V339" s="207">
        <f>_xlfn.XLOOKUP(G339,'[1]BP Setup'!$B$6:$B$72,'[1]BP Setup'!$R$6:$R$72)</f>
        <v/>
      </c>
      <c r="W339" s="207">
        <f>$W$3</f>
        <v/>
      </c>
      <c r="X339" s="207" t="n">
        <v>80</v>
      </c>
      <c r="Y339" s="215">
        <f>T339*R339</f>
        <v/>
      </c>
      <c r="Z339" s="215">
        <f>U339*O339</f>
        <v/>
      </c>
      <c r="AA339" s="215">
        <f>V339*O339</f>
        <v/>
      </c>
      <c r="AB339" s="215">
        <f>W339*O339</f>
        <v/>
      </c>
      <c r="AC339" s="197">
        <f>X339*O339</f>
        <v/>
      </c>
      <c r="AD339" s="215" t="n">
        <v>0</v>
      </c>
      <c r="AE339" s="215" t="n">
        <v>0</v>
      </c>
      <c r="AF339" s="207">
        <f>SUM(Y339:AE339)</f>
        <v/>
      </c>
      <c r="AG339" s="254">
        <f>_xlfn.XLOOKUP(G339,[1]Fx!$A$16:$A$22,[1]Fx!$B$16:$B$22)</f>
        <v/>
      </c>
      <c r="AH339" s="207">
        <f>AG339*R339</f>
        <v/>
      </c>
      <c r="AI339" s="207">
        <f>$AI$3*Z339</f>
        <v/>
      </c>
      <c r="AJ339" s="207">
        <f>$AJ$3*AA339</f>
        <v/>
      </c>
      <c r="AK339" s="207">
        <f>$AK$3*AB339</f>
        <v/>
      </c>
      <c r="AL339" s="207">
        <f>$AL$3*AC339</f>
        <v/>
      </c>
      <c r="AM339" s="220">
        <f>SUM(AH339:AL339)</f>
        <v/>
      </c>
      <c r="AN339" s="220" t="n">
        <v>0</v>
      </c>
      <c r="AO339" s="220">
        <f>AN339*AH339</f>
        <v/>
      </c>
      <c r="AP339" s="220">
        <f>AD339</f>
        <v/>
      </c>
      <c r="AQ339" s="220">
        <f>AE339</f>
        <v/>
      </c>
      <c r="AR339" s="208">
        <f>AM339-AO339</f>
        <v/>
      </c>
      <c r="AS339" s="220">
        <f>AR339-AK339</f>
        <v/>
      </c>
      <c r="AT339" s="208">
        <f>AS339*1.075</f>
        <v/>
      </c>
      <c r="AU339" s="208">
        <f>AT339+AK339</f>
        <v/>
      </c>
      <c r="AV339" s="198" t="n">
        <v>394806.5987221971</v>
      </c>
      <c r="AW339" s="264">
        <f>BO339*2</f>
        <v/>
      </c>
      <c r="AX339" s="220">
        <f>AV339-AR339</f>
        <v/>
      </c>
      <c r="AY339" s="35">
        <f>AX339/AR339</f>
        <v/>
      </c>
      <c r="AZ339" s="220">
        <f>AV339-AF339</f>
        <v/>
      </c>
      <c r="BA339" s="215">
        <f>AV339-SUM(Z339:AC339)</f>
        <v/>
      </c>
      <c r="BB339" s="215">
        <f>BA339-Y339</f>
        <v/>
      </c>
      <c r="BC339" s="35">
        <f>BB339/BA339</f>
        <v/>
      </c>
      <c r="BD339" s="35">
        <f>IFERROR(AZ339/AV339,)</f>
        <v/>
      </c>
      <c r="BE339" s="255">
        <f>AV339-SUM(Z339:AC339)</f>
        <v/>
      </c>
      <c r="BF339" s="255">
        <f>AV339-BE339-AC339-AB339</f>
        <v/>
      </c>
      <c r="BG339" s="255">
        <f>AV339-BE339-BF339-AB339</f>
        <v/>
      </c>
      <c r="BH339" s="255">
        <f>AB339</f>
        <v/>
      </c>
      <c r="BI339" s="263" t="inlineStr">
        <is>
          <t xml:space="preserve">To Check </t>
        </is>
      </c>
    </row>
    <row r="340">
      <c r="C340" s="23" t="inlineStr">
        <is>
          <t>ASINI/Yekeni</t>
        </is>
      </c>
      <c r="D340">
        <f>CONCATENATE(G340,"-",H340,"-",F340)</f>
        <v/>
      </c>
      <c r="E340" s="24" t="inlineStr">
        <is>
          <t>JMG-10T-Hiabs Logistics-Upcountry</t>
        </is>
      </c>
      <c r="F340" s="23" t="inlineStr">
        <is>
          <t>Upcountry</t>
        </is>
      </c>
      <c r="G340" s="25" t="inlineStr">
        <is>
          <t>Hiabs Logistics</t>
        </is>
      </c>
      <c r="H340" s="24" t="inlineStr">
        <is>
          <t>10T</t>
        </is>
      </c>
      <c r="I340" s="73" t="inlineStr">
        <is>
          <t>JMG</t>
        </is>
      </c>
      <c r="J340" s="74" t="inlineStr">
        <is>
          <t>Port Harcourt</t>
        </is>
      </c>
      <c r="K340" s="115" t="inlineStr">
        <is>
          <t>Akamkpa</t>
        </is>
      </c>
      <c r="L340" s="67" t="inlineStr">
        <is>
          <t>Cross River</t>
        </is>
      </c>
      <c r="M340" s="68" t="n"/>
      <c r="N340" s="199">
        <f>O340/2</f>
        <v/>
      </c>
      <c r="O340" s="200" t="n">
        <v>440</v>
      </c>
      <c r="P340" s="220">
        <f>ROUNDUP(O340/300,)</f>
        <v/>
      </c>
      <c r="Q340" s="220" t="n">
        <v>1</v>
      </c>
      <c r="R340" s="220">
        <f>Q340+P340</f>
        <v/>
      </c>
      <c r="S340" s="198">
        <f>ROUNDDOWN(O340*0.51,)+60</f>
        <v/>
      </c>
      <c r="T340" s="207">
        <f>_xlfn.XLOOKUP(G340,[1]Fx!$A$4:$A$10,[1]Fx!$B$4:$B$10)</f>
        <v/>
      </c>
      <c r="U340" s="207">
        <f>_xlfn.XLOOKUP(G340,'[1]BP Setup'!$B$6:$B$72,'[1]BP Setup'!$Q$6:$Q$72)</f>
        <v/>
      </c>
      <c r="V340" s="207">
        <f>_xlfn.XLOOKUP(G340,'[1]BP Setup'!$B$6:$B$72,'[1]BP Setup'!$R$6:$R$72)</f>
        <v/>
      </c>
      <c r="W340" s="207">
        <f>$W$3</f>
        <v/>
      </c>
      <c r="X340" s="207" t="n">
        <v>80</v>
      </c>
      <c r="Y340" s="215">
        <f>T340*R340</f>
        <v/>
      </c>
      <c r="Z340" s="215">
        <f>U340*O340</f>
        <v/>
      </c>
      <c r="AA340" s="215">
        <f>V340*O340</f>
        <v/>
      </c>
      <c r="AB340" s="215">
        <f>W340*O340</f>
        <v/>
      </c>
      <c r="AC340" s="197">
        <f>X340*O340</f>
        <v/>
      </c>
      <c r="AD340" s="215" t="n">
        <v>0</v>
      </c>
      <c r="AE340" s="215" t="n">
        <v>0</v>
      </c>
      <c r="AF340" s="207">
        <f>SUM(Y340:AE340)</f>
        <v/>
      </c>
      <c r="AG340" s="254">
        <f>_xlfn.XLOOKUP(G340,[1]Fx!$A$16:$A$22,[1]Fx!$B$16:$B$22)</f>
        <v/>
      </c>
      <c r="AH340" s="207">
        <f>AG340*R340</f>
        <v/>
      </c>
      <c r="AI340" s="207">
        <f>$AI$3*Z340</f>
        <v/>
      </c>
      <c r="AJ340" s="207">
        <f>$AJ$3*AA340</f>
        <v/>
      </c>
      <c r="AK340" s="207">
        <f>$AK$3*AB340</f>
        <v/>
      </c>
      <c r="AL340" s="207">
        <f>$AL$3*AC340</f>
        <v/>
      </c>
      <c r="AM340" s="220">
        <f>SUM(AH340:AL340)</f>
        <v/>
      </c>
      <c r="AN340" s="220" t="n">
        <v>0</v>
      </c>
      <c r="AO340" s="220">
        <f>AN340*AH340</f>
        <v/>
      </c>
      <c r="AP340" s="220">
        <f>AD340</f>
        <v/>
      </c>
      <c r="AQ340" s="220">
        <f>AE340</f>
        <v/>
      </c>
      <c r="AR340" s="208">
        <f>AM340-AO340</f>
        <v/>
      </c>
      <c r="AS340" s="220">
        <f>AR340-AK340</f>
        <v/>
      </c>
      <c r="AT340" s="208">
        <f>AS340*1.075</f>
        <v/>
      </c>
      <c r="AU340" s="208">
        <f>AT340+AK340</f>
        <v/>
      </c>
      <c r="AV340" s="198" t="n">
        <v>394806.5987221971</v>
      </c>
      <c r="AW340" s="264">
        <f>BO340*2</f>
        <v/>
      </c>
      <c r="AX340" s="220">
        <f>AV340-AR340</f>
        <v/>
      </c>
      <c r="AY340" s="35">
        <f>AX340/AR340</f>
        <v/>
      </c>
      <c r="AZ340" s="220">
        <f>AV340-AF340</f>
        <v/>
      </c>
      <c r="BA340" s="215">
        <f>AV340-SUM(Z340:AC340)</f>
        <v/>
      </c>
      <c r="BB340" s="215">
        <f>BA340-Y340</f>
        <v/>
      </c>
      <c r="BC340" s="35">
        <f>BB340/BA340</f>
        <v/>
      </c>
      <c r="BD340" s="35">
        <f>IFERROR(AZ340/AV340,)</f>
        <v/>
      </c>
      <c r="BE340" s="255">
        <f>AV340-SUM(Z340:AC340)</f>
        <v/>
      </c>
      <c r="BF340" s="255">
        <f>AV340-BE340-AC340-AB340</f>
        <v/>
      </c>
      <c r="BG340" s="255">
        <f>AV340-BE340-BF340-AB340</f>
        <v/>
      </c>
      <c r="BH340" s="255">
        <f>AB340</f>
        <v/>
      </c>
      <c r="BI340" s="263" t="inlineStr">
        <is>
          <t>Worst Case Approved</t>
        </is>
      </c>
    </row>
    <row r="341">
      <c r="C341" s="23" t="inlineStr">
        <is>
          <t>ASINI/Yekeni</t>
        </is>
      </c>
      <c r="D341">
        <f>CONCATENATE(G341,"-",H341,"-",F341)</f>
        <v/>
      </c>
      <c r="E341" s="24" t="inlineStr">
        <is>
          <t>JMG-10T-Hiabs Logistics-Upcountry</t>
        </is>
      </c>
      <c r="F341" s="23" t="inlineStr">
        <is>
          <t>Upcountry</t>
        </is>
      </c>
      <c r="G341" s="25" t="inlineStr">
        <is>
          <t>Hiabs Logistics</t>
        </is>
      </c>
      <c r="H341" s="24" t="inlineStr">
        <is>
          <t>10T</t>
        </is>
      </c>
      <c r="I341" s="73" t="inlineStr">
        <is>
          <t>JMG</t>
        </is>
      </c>
      <c r="J341" s="74" t="inlineStr">
        <is>
          <t>Port Harcourt</t>
        </is>
      </c>
      <c r="K341" s="117" t="inlineStr">
        <is>
          <t>Awka</t>
        </is>
      </c>
      <c r="L341" s="25" t="inlineStr">
        <is>
          <t>Anambra</t>
        </is>
      </c>
      <c r="M341" s="68" t="n"/>
      <c r="N341" s="199">
        <f>O341/2</f>
        <v/>
      </c>
      <c r="O341" s="200" t="n">
        <v>432</v>
      </c>
      <c r="P341" s="220">
        <f>ROUNDUP(O341/300,)</f>
        <v/>
      </c>
      <c r="Q341" s="220" t="n">
        <v>1</v>
      </c>
      <c r="R341" s="220">
        <f>Q341+P341</f>
        <v/>
      </c>
      <c r="S341" s="198">
        <f>ROUNDDOWN(O341*0.51,)+60</f>
        <v/>
      </c>
      <c r="T341" s="207">
        <f>_xlfn.XLOOKUP(G341,[1]Fx!$A$4:$A$10,[1]Fx!$B$4:$B$10)</f>
        <v/>
      </c>
      <c r="U341" s="207">
        <f>_xlfn.XLOOKUP(G341,'[1]BP Setup'!$B$6:$B$72,'[1]BP Setup'!$Q$6:$Q$72)</f>
        <v/>
      </c>
      <c r="V341" s="207">
        <f>_xlfn.XLOOKUP(G341,'[1]BP Setup'!$B$6:$B$72,'[1]BP Setup'!$R$6:$R$72)</f>
        <v/>
      </c>
      <c r="W341" s="207">
        <f>$W$3</f>
        <v/>
      </c>
      <c r="X341" s="207" t="n">
        <v>80</v>
      </c>
      <c r="Y341" s="215">
        <f>T341*R341</f>
        <v/>
      </c>
      <c r="Z341" s="215">
        <f>U341*O341</f>
        <v/>
      </c>
      <c r="AA341" s="215">
        <f>V341*O341</f>
        <v/>
      </c>
      <c r="AB341" s="215">
        <f>W341*O341</f>
        <v/>
      </c>
      <c r="AC341" s="197">
        <f>X341*O341</f>
        <v/>
      </c>
      <c r="AD341" s="215" t="n">
        <v>0</v>
      </c>
      <c r="AE341" s="215" t="n">
        <v>0</v>
      </c>
      <c r="AF341" s="207">
        <f>SUM(Y341:AE341)</f>
        <v/>
      </c>
      <c r="AG341" s="254">
        <f>_xlfn.XLOOKUP(G341,[1]Fx!$A$16:$A$22,[1]Fx!$B$16:$B$22)</f>
        <v/>
      </c>
      <c r="AH341" s="207">
        <f>AG341*R341</f>
        <v/>
      </c>
      <c r="AI341" s="207">
        <f>$AI$3*Z341</f>
        <v/>
      </c>
      <c r="AJ341" s="207">
        <f>$AJ$3*AA341</f>
        <v/>
      </c>
      <c r="AK341" s="207">
        <f>$AK$3*AB341</f>
        <v/>
      </c>
      <c r="AL341" s="207">
        <f>$AL$3*AC341</f>
        <v/>
      </c>
      <c r="AM341" s="220">
        <f>SUM(AH341:AL341)</f>
        <v/>
      </c>
      <c r="AN341" s="220" t="n">
        <v>0</v>
      </c>
      <c r="AO341" s="220">
        <f>AN341*AH341</f>
        <v/>
      </c>
      <c r="AP341" s="220">
        <f>AD341</f>
        <v/>
      </c>
      <c r="AQ341" s="220">
        <f>AE341</f>
        <v/>
      </c>
      <c r="AR341" s="208">
        <f>AM341-AO341</f>
        <v/>
      </c>
      <c r="AS341" s="220">
        <f>AR341-AK341</f>
        <v/>
      </c>
      <c r="AT341" s="208">
        <f>AS341*1.075</f>
        <v/>
      </c>
      <c r="AU341" s="208">
        <f>AT341+AK341</f>
        <v/>
      </c>
      <c r="AV341" s="198" t="n">
        <v>394806.5987221971</v>
      </c>
      <c r="AW341" s="264">
        <f>BO341*2</f>
        <v/>
      </c>
      <c r="AX341" s="220">
        <f>AV341-AR341</f>
        <v/>
      </c>
      <c r="AY341" s="35">
        <f>AX341/AR341</f>
        <v/>
      </c>
      <c r="AZ341" s="220">
        <f>AV341-AF341</f>
        <v/>
      </c>
      <c r="BA341" s="215">
        <f>AV341-SUM(Z341:AC341)</f>
        <v/>
      </c>
      <c r="BB341" s="215">
        <f>BA341-Y341</f>
        <v/>
      </c>
      <c r="BC341" s="35">
        <f>BB341/BA341</f>
        <v/>
      </c>
      <c r="BD341" s="35">
        <f>IFERROR(AZ341/AV341,)</f>
        <v/>
      </c>
      <c r="BE341" s="255">
        <f>AV341-SUM(Z341:AC341)</f>
        <v/>
      </c>
      <c r="BF341" s="255">
        <f>AV341-BE341-AC341-AB341</f>
        <v/>
      </c>
      <c r="BG341" s="255">
        <f>AV341-BE341-BF341-AB341</f>
        <v/>
      </c>
      <c r="BH341" s="255">
        <f>AB341</f>
        <v/>
      </c>
      <c r="BI341" s="263" t="inlineStr">
        <is>
          <t>Approved</t>
        </is>
      </c>
    </row>
    <row r="342">
      <c r="C342" s="23" t="inlineStr">
        <is>
          <t>ASINI/Yekeni</t>
        </is>
      </c>
      <c r="D342">
        <f>CONCATENATE(G342,"-",H342,"-",F342)</f>
        <v/>
      </c>
      <c r="E342" s="24" t="inlineStr">
        <is>
          <t>JMG-10T-Hiabs Logistics-Upcountry</t>
        </is>
      </c>
      <c r="F342" s="23" t="inlineStr">
        <is>
          <t>Upcountry</t>
        </is>
      </c>
      <c r="G342" s="25" t="inlineStr">
        <is>
          <t>Hiabs Logistics</t>
        </is>
      </c>
      <c r="H342" s="24" t="inlineStr">
        <is>
          <t>10T</t>
        </is>
      </c>
      <c r="I342" s="73" t="inlineStr">
        <is>
          <t>JMG</t>
        </is>
      </c>
      <c r="J342" s="74" t="inlineStr">
        <is>
          <t>Port Harcourt</t>
        </is>
      </c>
      <c r="K342" s="115" t="inlineStr">
        <is>
          <t>Odukpani</t>
        </is>
      </c>
      <c r="L342" s="67" t="inlineStr">
        <is>
          <t>Cross River</t>
        </is>
      </c>
      <c r="M342" s="68" t="n"/>
      <c r="N342" s="199">
        <f>O342/2</f>
        <v/>
      </c>
      <c r="O342" s="200" t="n">
        <v>428</v>
      </c>
      <c r="P342" s="220">
        <f>ROUNDUP(O342/300,)</f>
        <v/>
      </c>
      <c r="Q342" s="220" t="n">
        <v>1</v>
      </c>
      <c r="R342" s="220">
        <f>Q342+P342</f>
        <v/>
      </c>
      <c r="S342" s="198">
        <f>ROUNDDOWN(O342*0.51,)+60</f>
        <v/>
      </c>
      <c r="T342" s="207">
        <f>_xlfn.XLOOKUP(G342,[1]Fx!$A$4:$A$10,[1]Fx!$B$4:$B$10)</f>
        <v/>
      </c>
      <c r="U342" s="207">
        <f>_xlfn.XLOOKUP(G342,'[1]BP Setup'!$B$6:$B$72,'[1]BP Setup'!$Q$6:$Q$72)</f>
        <v/>
      </c>
      <c r="V342" s="207">
        <f>_xlfn.XLOOKUP(G342,'[1]BP Setup'!$B$6:$B$72,'[1]BP Setup'!$R$6:$R$72)</f>
        <v/>
      </c>
      <c r="W342" s="207">
        <f>$W$3</f>
        <v/>
      </c>
      <c r="X342" s="207" t="n">
        <v>80</v>
      </c>
      <c r="Y342" s="215">
        <f>T342*R342</f>
        <v/>
      </c>
      <c r="Z342" s="215">
        <f>U342*O342</f>
        <v/>
      </c>
      <c r="AA342" s="215">
        <f>V342*O342</f>
        <v/>
      </c>
      <c r="AB342" s="215">
        <f>W342*O342</f>
        <v/>
      </c>
      <c r="AC342" s="197">
        <f>X342*O342</f>
        <v/>
      </c>
      <c r="AD342" s="215" t="n">
        <v>0</v>
      </c>
      <c r="AE342" s="215" t="n">
        <v>0</v>
      </c>
      <c r="AF342" s="207">
        <f>SUM(Y342:AE342)</f>
        <v/>
      </c>
      <c r="AG342" s="254">
        <f>_xlfn.XLOOKUP(G342,[1]Fx!$A$16:$A$22,[1]Fx!$B$16:$B$22)</f>
        <v/>
      </c>
      <c r="AH342" s="207">
        <f>AG342*R342</f>
        <v/>
      </c>
      <c r="AI342" s="207">
        <f>$AI$3*Z342</f>
        <v/>
      </c>
      <c r="AJ342" s="207">
        <f>$AJ$3*AA342</f>
        <v/>
      </c>
      <c r="AK342" s="207">
        <f>$AK$3*AB342</f>
        <v/>
      </c>
      <c r="AL342" s="207">
        <f>$AL$3*AC342</f>
        <v/>
      </c>
      <c r="AM342" s="220">
        <f>SUM(AH342:AL342)</f>
        <v/>
      </c>
      <c r="AN342" s="220" t="n">
        <v>0</v>
      </c>
      <c r="AO342" s="220">
        <f>AN342*AH342</f>
        <v/>
      </c>
      <c r="AP342" s="220">
        <f>AD342</f>
        <v/>
      </c>
      <c r="AQ342" s="220">
        <f>AE342</f>
        <v/>
      </c>
      <c r="AR342" s="208">
        <f>AM342-AO342</f>
        <v/>
      </c>
      <c r="AS342" s="220">
        <f>AR342-AK342</f>
        <v/>
      </c>
      <c r="AT342" s="208">
        <f>AS342*1.075</f>
        <v/>
      </c>
      <c r="AU342" s="208">
        <f>AT342+AK342</f>
        <v/>
      </c>
      <c r="AV342" s="198" t="n">
        <v>394806.5987221971</v>
      </c>
      <c r="AW342" s="264">
        <f>BO342*2</f>
        <v/>
      </c>
      <c r="AX342" s="220">
        <f>AV342-AR342</f>
        <v/>
      </c>
      <c r="AY342" s="35">
        <f>AX342/AR342</f>
        <v/>
      </c>
      <c r="AZ342" s="220">
        <f>AV342-AF342</f>
        <v/>
      </c>
      <c r="BA342" s="215">
        <f>AV342-SUM(Z342:AC342)</f>
        <v/>
      </c>
      <c r="BB342" s="215">
        <f>BA342-Y342</f>
        <v/>
      </c>
      <c r="BC342" s="35">
        <f>BB342/BA342</f>
        <v/>
      </c>
      <c r="BD342" s="35">
        <f>IFERROR(AZ342/AV342,)</f>
        <v/>
      </c>
      <c r="BE342" s="255">
        <f>AV342-SUM(Z342:AC342)</f>
        <v/>
      </c>
      <c r="BF342" s="255">
        <f>AV342-BE342-AC342-AB342</f>
        <v/>
      </c>
      <c r="BG342" s="255">
        <f>AV342-BE342-BF342-AB342</f>
        <v/>
      </c>
      <c r="BH342" s="255">
        <f>AB342</f>
        <v/>
      </c>
      <c r="BI342" s="263" t="inlineStr">
        <is>
          <t>Approved</t>
        </is>
      </c>
    </row>
    <row r="343">
      <c r="C343" s="23" t="inlineStr">
        <is>
          <t>ASINI/Yekeni</t>
        </is>
      </c>
      <c r="D343">
        <f>CONCATENATE(G343,"-",H343,"-",F343)</f>
        <v/>
      </c>
      <c r="E343" s="24" t="inlineStr">
        <is>
          <t>JMG-10T-Hiabs Logistics-Upcountry</t>
        </is>
      </c>
      <c r="F343" s="23" t="inlineStr">
        <is>
          <t>Upcountry</t>
        </is>
      </c>
      <c r="G343" s="25" t="inlineStr">
        <is>
          <t>Hiabs Logistics</t>
        </is>
      </c>
      <c r="H343" s="24" t="inlineStr">
        <is>
          <t>10T</t>
        </is>
      </c>
      <c r="I343" s="73" t="inlineStr">
        <is>
          <t>JMG</t>
        </is>
      </c>
      <c r="J343" s="74" t="inlineStr">
        <is>
          <t>Port Harcourt</t>
        </is>
      </c>
      <c r="K343" s="115" t="inlineStr">
        <is>
          <t>Abraka</t>
        </is>
      </c>
      <c r="L343" s="67" t="inlineStr">
        <is>
          <t>Delta</t>
        </is>
      </c>
      <c r="M343" s="68" t="n"/>
      <c r="N343" s="199">
        <f>O343/2</f>
        <v/>
      </c>
      <c r="O343" s="200" t="n">
        <v>425</v>
      </c>
      <c r="P343" s="220">
        <f>ROUNDUP(O343/300,)</f>
        <v/>
      </c>
      <c r="Q343" s="220" t="n">
        <v>1</v>
      </c>
      <c r="R343" s="220">
        <f>Q343+P343</f>
        <v/>
      </c>
      <c r="S343" s="198">
        <f>ROUNDDOWN(O343*0.51,)+60</f>
        <v/>
      </c>
      <c r="T343" s="207">
        <f>_xlfn.XLOOKUP(G343,[1]Fx!$A$4:$A$10,[1]Fx!$B$4:$B$10)</f>
        <v/>
      </c>
      <c r="U343" s="207">
        <f>_xlfn.XLOOKUP(G343,'[1]BP Setup'!$B$6:$B$72,'[1]BP Setup'!$Q$6:$Q$72)</f>
        <v/>
      </c>
      <c r="V343" s="207">
        <f>_xlfn.XLOOKUP(G343,'[1]BP Setup'!$B$6:$B$72,'[1]BP Setup'!$R$6:$R$72)</f>
        <v/>
      </c>
      <c r="W343" s="207">
        <f>$W$3</f>
        <v/>
      </c>
      <c r="X343" s="207" t="n">
        <v>80</v>
      </c>
      <c r="Y343" s="215">
        <f>T343*R343</f>
        <v/>
      </c>
      <c r="Z343" s="215">
        <f>U343*O343</f>
        <v/>
      </c>
      <c r="AA343" s="215">
        <f>V343*O343</f>
        <v/>
      </c>
      <c r="AB343" s="215">
        <f>W343*O343</f>
        <v/>
      </c>
      <c r="AC343" s="197">
        <f>X343*O343</f>
        <v/>
      </c>
      <c r="AD343" s="215" t="n">
        <v>0</v>
      </c>
      <c r="AE343" s="215" t="n">
        <v>0</v>
      </c>
      <c r="AF343" s="207">
        <f>SUM(Y343:AE343)</f>
        <v/>
      </c>
      <c r="AG343" s="254">
        <f>_xlfn.XLOOKUP(G343,[1]Fx!$A$16:$A$22,[1]Fx!$B$16:$B$22)</f>
        <v/>
      </c>
      <c r="AH343" s="207">
        <f>AG343*R343</f>
        <v/>
      </c>
      <c r="AI343" s="207">
        <f>$AI$3*Z343</f>
        <v/>
      </c>
      <c r="AJ343" s="207">
        <f>$AJ$3*AA343</f>
        <v/>
      </c>
      <c r="AK343" s="207">
        <f>$AK$3*AB343</f>
        <v/>
      </c>
      <c r="AL343" s="207">
        <f>$AL$3*AC343</f>
        <v/>
      </c>
      <c r="AM343" s="220">
        <f>SUM(AH343:AL343)</f>
        <v/>
      </c>
      <c r="AN343" s="220" t="n">
        <v>0</v>
      </c>
      <c r="AO343" s="220">
        <f>AN343*AH343</f>
        <v/>
      </c>
      <c r="AP343" s="220">
        <f>AD343</f>
        <v/>
      </c>
      <c r="AQ343" s="220">
        <f>AE343</f>
        <v/>
      </c>
      <c r="AR343" s="208">
        <f>AM343-AO343</f>
        <v/>
      </c>
      <c r="AS343" s="220">
        <f>AR343-AK343</f>
        <v/>
      </c>
      <c r="AT343" s="208">
        <f>AS343*1.075</f>
        <v/>
      </c>
      <c r="AU343" s="208">
        <f>AT343+AK343</f>
        <v/>
      </c>
      <c r="AV343" s="198" t="n">
        <v>394806.5987221971</v>
      </c>
      <c r="AW343" s="264">
        <f>BO343*2</f>
        <v/>
      </c>
      <c r="AX343" s="220">
        <f>AV343-AR343</f>
        <v/>
      </c>
      <c r="AY343" s="35">
        <f>AX343/AR343</f>
        <v/>
      </c>
      <c r="AZ343" s="220">
        <f>AV343-AF343</f>
        <v/>
      </c>
      <c r="BA343" s="215">
        <f>AV343-SUM(Z343:AC343)</f>
        <v/>
      </c>
      <c r="BB343" s="215">
        <f>BA343-Y343</f>
        <v/>
      </c>
      <c r="BC343" s="35">
        <f>BB343/BA343</f>
        <v/>
      </c>
      <c r="BD343" s="35">
        <f>IFERROR(AZ343/AV343,)</f>
        <v/>
      </c>
      <c r="BE343" s="255">
        <f>AV343-SUM(Z343:AC343)</f>
        <v/>
      </c>
      <c r="BF343" s="255">
        <f>AV343-BE343-AC343-AB343</f>
        <v/>
      </c>
      <c r="BG343" s="255">
        <f>AV343-BE343-BF343-AB343</f>
        <v/>
      </c>
      <c r="BH343" s="255">
        <f>AB343</f>
        <v/>
      </c>
      <c r="BI343" s="263" t="inlineStr">
        <is>
          <t>Worst Case Approved</t>
        </is>
      </c>
    </row>
    <row r="344">
      <c r="C344" s="23" t="inlineStr">
        <is>
          <t>ASINI/Yekeni</t>
        </is>
      </c>
      <c r="D344">
        <f>CONCATENATE(G344,"-",H344,"-",F344)</f>
        <v/>
      </c>
      <c r="E344" s="24" t="inlineStr">
        <is>
          <t>JMG-10T-Hiabs Logistics-Upcountry</t>
        </is>
      </c>
      <c r="F344" s="23" t="inlineStr">
        <is>
          <t>Upcountry</t>
        </is>
      </c>
      <c r="G344" s="25" t="inlineStr">
        <is>
          <t>Hiabs Logistics</t>
        </is>
      </c>
      <c r="H344" s="24" t="inlineStr">
        <is>
          <t>10T</t>
        </is>
      </c>
      <c r="I344" s="73" t="inlineStr">
        <is>
          <t>JMG</t>
        </is>
      </c>
      <c r="J344" s="74" t="inlineStr">
        <is>
          <t>Port Harcourt</t>
        </is>
      </c>
      <c r="K344" s="115" t="inlineStr">
        <is>
          <t>Oji River</t>
        </is>
      </c>
      <c r="L344" s="25" t="inlineStr">
        <is>
          <t>Enugu</t>
        </is>
      </c>
      <c r="M344" s="68" t="n"/>
      <c r="N344" s="199">
        <f>O344/2</f>
        <v/>
      </c>
      <c r="O344" s="200" t="n">
        <v>417</v>
      </c>
      <c r="P344" s="220">
        <f>ROUNDUP(O344/300,)</f>
        <v/>
      </c>
      <c r="Q344" s="220" t="n">
        <v>1</v>
      </c>
      <c r="R344" s="220">
        <f>Q344+P344</f>
        <v/>
      </c>
      <c r="S344" s="198">
        <f>ROUNDDOWN(O344*0.51,)+60</f>
        <v/>
      </c>
      <c r="T344" s="207">
        <f>_xlfn.XLOOKUP(G344,[1]Fx!$A$4:$A$10,[1]Fx!$B$4:$B$10)</f>
        <v/>
      </c>
      <c r="U344" s="207">
        <f>_xlfn.XLOOKUP(G344,'[1]BP Setup'!$B$6:$B$72,'[1]BP Setup'!$Q$6:$Q$72)</f>
        <v/>
      </c>
      <c r="V344" s="207">
        <f>_xlfn.XLOOKUP(G344,'[1]BP Setup'!$B$6:$B$72,'[1]BP Setup'!$R$6:$R$72)</f>
        <v/>
      </c>
      <c r="W344" s="207">
        <f>$W$3</f>
        <v/>
      </c>
      <c r="X344" s="207" t="n">
        <v>80</v>
      </c>
      <c r="Y344" s="215">
        <f>T344*R344</f>
        <v/>
      </c>
      <c r="Z344" s="215">
        <f>U344*O344</f>
        <v/>
      </c>
      <c r="AA344" s="215">
        <f>V344*O344</f>
        <v/>
      </c>
      <c r="AB344" s="215">
        <f>W344*O344</f>
        <v/>
      </c>
      <c r="AC344" s="197">
        <f>X344*O344</f>
        <v/>
      </c>
      <c r="AD344" s="215" t="n">
        <v>0</v>
      </c>
      <c r="AE344" s="215" t="n">
        <v>0</v>
      </c>
      <c r="AF344" s="207">
        <f>SUM(Y344:AE344)</f>
        <v/>
      </c>
      <c r="AG344" s="254">
        <f>_xlfn.XLOOKUP(G344,[1]Fx!$A$16:$A$22,[1]Fx!$B$16:$B$22)</f>
        <v/>
      </c>
      <c r="AH344" s="207">
        <f>AG344*R344</f>
        <v/>
      </c>
      <c r="AI344" s="207">
        <f>$AI$3*Z344</f>
        <v/>
      </c>
      <c r="AJ344" s="207">
        <f>$AJ$3*AA344</f>
        <v/>
      </c>
      <c r="AK344" s="207">
        <f>$AK$3*AB344</f>
        <v/>
      </c>
      <c r="AL344" s="207">
        <f>$AL$3*AC344</f>
        <v/>
      </c>
      <c r="AM344" s="220">
        <f>SUM(AH344:AL344)</f>
        <v/>
      </c>
      <c r="AN344" s="220" t="n">
        <v>0</v>
      </c>
      <c r="AO344" s="220">
        <f>AN344*AH344</f>
        <v/>
      </c>
      <c r="AP344" s="220">
        <f>AD344</f>
        <v/>
      </c>
      <c r="AQ344" s="220">
        <f>AE344</f>
        <v/>
      </c>
      <c r="AR344" s="208">
        <f>AM344-AO344</f>
        <v/>
      </c>
      <c r="AS344" s="220">
        <f>AR344-AK344</f>
        <v/>
      </c>
      <c r="AT344" s="208">
        <f>AS344*1.075</f>
        <v/>
      </c>
      <c r="AU344" s="208">
        <f>AT344+AK344</f>
        <v/>
      </c>
      <c r="AV344" s="198" t="n">
        <v>394806.5987221971</v>
      </c>
      <c r="AW344" s="264">
        <f>BO344*2</f>
        <v/>
      </c>
      <c r="AX344" s="220">
        <f>AV344-AR344</f>
        <v/>
      </c>
      <c r="AY344" s="35">
        <f>AX344/AR344</f>
        <v/>
      </c>
      <c r="AZ344" s="220">
        <f>AV344-AF344</f>
        <v/>
      </c>
      <c r="BA344" s="215">
        <f>AV344-SUM(Z344:AC344)</f>
        <v/>
      </c>
      <c r="BB344" s="215">
        <f>BA344-Y344</f>
        <v/>
      </c>
      <c r="BC344" s="35">
        <f>BB344/BA344</f>
        <v/>
      </c>
      <c r="BD344" s="35">
        <f>IFERROR(AZ344/AV344,)</f>
        <v/>
      </c>
      <c r="BE344" s="255">
        <f>AV344-SUM(Z344:AC344)</f>
        <v/>
      </c>
      <c r="BF344" s="255">
        <f>AV344-BE344-AC344-AB344</f>
        <v/>
      </c>
      <c r="BG344" s="255">
        <f>AV344-BE344-BF344-AB344</f>
        <v/>
      </c>
      <c r="BH344" s="255">
        <f>AB344</f>
        <v/>
      </c>
      <c r="BI344" s="263" t="inlineStr">
        <is>
          <t xml:space="preserve">To Check </t>
        </is>
      </c>
    </row>
    <row r="345">
      <c r="C345" s="23" t="inlineStr">
        <is>
          <t>ASINI/Yekeni</t>
        </is>
      </c>
      <c r="D345">
        <f>CONCATENATE(G345,"-",H345,"-",F345)</f>
        <v/>
      </c>
      <c r="E345" s="24" t="inlineStr">
        <is>
          <t>JMG-10T-Hiabs Logistics-Upcountry</t>
        </is>
      </c>
      <c r="F345" s="23" t="inlineStr">
        <is>
          <t>Upcountry</t>
        </is>
      </c>
      <c r="G345" s="25" t="inlineStr">
        <is>
          <t>Hiabs Logistics</t>
        </is>
      </c>
      <c r="H345" s="24" t="inlineStr">
        <is>
          <t>10T</t>
        </is>
      </c>
      <c r="I345" s="73" t="inlineStr">
        <is>
          <t>JMG</t>
        </is>
      </c>
      <c r="J345" s="74" t="inlineStr">
        <is>
          <t>Port Harcourt</t>
        </is>
      </c>
      <c r="K345" s="116" t="inlineStr">
        <is>
          <t>Asaba</t>
        </is>
      </c>
      <c r="L345" s="25" t="inlineStr">
        <is>
          <t>Delta</t>
        </is>
      </c>
      <c r="M345" s="68" t="n"/>
      <c r="N345" s="199">
        <f>O345/2</f>
        <v/>
      </c>
      <c r="O345" s="200" t="n">
        <v>410</v>
      </c>
      <c r="P345" s="220">
        <f>ROUNDUP(O345/300,)</f>
        <v/>
      </c>
      <c r="Q345" s="220" t="n">
        <v>1</v>
      </c>
      <c r="R345" s="220">
        <f>Q345+P345</f>
        <v/>
      </c>
      <c r="S345" s="198">
        <f>ROUNDDOWN(O345*0.51,)+60</f>
        <v/>
      </c>
      <c r="T345" s="207">
        <f>_xlfn.XLOOKUP(G345,[1]Fx!$A$4:$A$10,[1]Fx!$B$4:$B$10)</f>
        <v/>
      </c>
      <c r="U345" s="207">
        <f>_xlfn.XLOOKUP(G345,'[1]BP Setup'!$B$6:$B$72,'[1]BP Setup'!$Q$6:$Q$72)</f>
        <v/>
      </c>
      <c r="V345" s="207">
        <f>_xlfn.XLOOKUP(G345,'[1]BP Setup'!$B$6:$B$72,'[1]BP Setup'!$R$6:$R$72)</f>
        <v/>
      </c>
      <c r="W345" s="207">
        <f>$W$3</f>
        <v/>
      </c>
      <c r="X345" s="207" t="n">
        <v>80</v>
      </c>
      <c r="Y345" s="215">
        <f>T345*R345</f>
        <v/>
      </c>
      <c r="Z345" s="215">
        <f>U345*O345</f>
        <v/>
      </c>
      <c r="AA345" s="215">
        <f>V345*O345</f>
        <v/>
      </c>
      <c r="AB345" s="215">
        <f>W345*O345</f>
        <v/>
      </c>
      <c r="AC345" s="197">
        <f>X345*O345</f>
        <v/>
      </c>
      <c r="AD345" s="215" t="n">
        <v>0</v>
      </c>
      <c r="AE345" s="215" t="n">
        <v>0</v>
      </c>
      <c r="AF345" s="207">
        <f>SUM(Y345:AE345)</f>
        <v/>
      </c>
      <c r="AG345" s="254">
        <f>_xlfn.XLOOKUP(G345,[1]Fx!$A$16:$A$22,[1]Fx!$B$16:$B$22)</f>
        <v/>
      </c>
      <c r="AH345" s="207">
        <f>AG345*R345</f>
        <v/>
      </c>
      <c r="AI345" s="207">
        <f>$AI$3*Z345</f>
        <v/>
      </c>
      <c r="AJ345" s="207">
        <f>$AJ$3*AA345</f>
        <v/>
      </c>
      <c r="AK345" s="207">
        <f>$AK$3*AB345</f>
        <v/>
      </c>
      <c r="AL345" s="207">
        <f>$AL$3*AC345</f>
        <v/>
      </c>
      <c r="AM345" s="220">
        <f>SUM(AH345:AL345)</f>
        <v/>
      </c>
      <c r="AN345" s="220" t="n">
        <v>0</v>
      </c>
      <c r="AO345" s="220">
        <f>AN345*AH345</f>
        <v/>
      </c>
      <c r="AP345" s="220">
        <f>AD345</f>
        <v/>
      </c>
      <c r="AQ345" s="220">
        <f>AE345</f>
        <v/>
      </c>
      <c r="AR345" s="208">
        <f>AM345-AO345</f>
        <v/>
      </c>
      <c r="AS345" s="220">
        <f>AR345-AK345</f>
        <v/>
      </c>
      <c r="AT345" s="208">
        <f>AS345*1.075</f>
        <v/>
      </c>
      <c r="AU345" s="208">
        <f>AT345+AK345</f>
        <v/>
      </c>
      <c r="AV345" s="198" t="n">
        <v>394806.5987221971</v>
      </c>
      <c r="AW345" s="264">
        <f>BO345*2</f>
        <v/>
      </c>
      <c r="AX345" s="220">
        <f>AV345-AR345</f>
        <v/>
      </c>
      <c r="AY345" s="35">
        <f>AX345/AR345</f>
        <v/>
      </c>
      <c r="AZ345" s="220">
        <f>AV345-AF345</f>
        <v/>
      </c>
      <c r="BA345" s="215">
        <f>AV345-SUM(Z345:AC345)</f>
        <v/>
      </c>
      <c r="BB345" s="215">
        <f>BA345-Y345</f>
        <v/>
      </c>
      <c r="BC345" s="35">
        <f>BB345/BA345</f>
        <v/>
      </c>
      <c r="BD345" s="35">
        <f>IFERROR(AZ345/AV345,)</f>
        <v/>
      </c>
      <c r="BE345" s="255">
        <f>AV345-SUM(Z345:AC345)</f>
        <v/>
      </c>
      <c r="BF345" s="255">
        <f>AV345-BE345-AC345-AB345</f>
        <v/>
      </c>
      <c r="BG345" s="255">
        <f>AV345-BE345-BF345-AB345</f>
        <v/>
      </c>
      <c r="BH345" s="255">
        <f>AB345</f>
        <v/>
      </c>
      <c r="BI345" s="263" t="inlineStr">
        <is>
          <t>Approved</t>
        </is>
      </c>
    </row>
    <row r="346">
      <c r="C346" s="23" t="inlineStr">
        <is>
          <t>ASINI/Yekeni</t>
        </is>
      </c>
      <c r="D346">
        <f>CONCATENATE(G346,"-",H346,"-",F346)</f>
        <v/>
      </c>
      <c r="E346" s="24" t="inlineStr">
        <is>
          <t>JMG-10T-Hiabs Logistics-Upcountry</t>
        </is>
      </c>
      <c r="F346" s="23" t="inlineStr">
        <is>
          <t>Upcountry</t>
        </is>
      </c>
      <c r="G346" s="25" t="inlineStr">
        <is>
          <t>Hiabs Logistics</t>
        </is>
      </c>
      <c r="H346" s="24" t="inlineStr">
        <is>
          <t>10T</t>
        </is>
      </c>
      <c r="I346" s="73" t="inlineStr">
        <is>
          <t>JMG</t>
        </is>
      </c>
      <c r="J346" s="74" t="inlineStr">
        <is>
          <t>Port Harcourt</t>
        </is>
      </c>
      <c r="K346" s="115" t="inlineStr">
        <is>
          <t>Warri</t>
        </is>
      </c>
      <c r="L346" s="25" t="inlineStr">
        <is>
          <t>Delta</t>
        </is>
      </c>
      <c r="M346" s="68" t="n"/>
      <c r="N346" s="199">
        <f>O346/2</f>
        <v/>
      </c>
      <c r="O346" s="200" t="n">
        <v>394</v>
      </c>
      <c r="P346" s="220">
        <f>ROUNDUP(O346/300,)</f>
        <v/>
      </c>
      <c r="Q346" s="220" t="n">
        <v>1</v>
      </c>
      <c r="R346" s="220">
        <f>Q346+P346</f>
        <v/>
      </c>
      <c r="S346" s="198">
        <f>ROUNDDOWN(O346*0.51,)+60</f>
        <v/>
      </c>
      <c r="T346" s="207">
        <f>_xlfn.XLOOKUP(G346,[1]Fx!$A$4:$A$10,[1]Fx!$B$4:$B$10)</f>
        <v/>
      </c>
      <c r="U346" s="207">
        <f>_xlfn.XLOOKUP(G346,'[1]BP Setup'!$B$6:$B$72,'[1]BP Setup'!$Q$6:$Q$72)</f>
        <v/>
      </c>
      <c r="V346" s="207">
        <f>_xlfn.XLOOKUP(G346,'[1]BP Setup'!$B$6:$B$72,'[1]BP Setup'!$R$6:$R$72)</f>
        <v/>
      </c>
      <c r="W346" s="207">
        <f>$W$3</f>
        <v/>
      </c>
      <c r="X346" s="207" t="n">
        <v>80</v>
      </c>
      <c r="Y346" s="215">
        <f>T346*R346</f>
        <v/>
      </c>
      <c r="Z346" s="215">
        <f>U346*O346</f>
        <v/>
      </c>
      <c r="AA346" s="215">
        <f>V346*O346</f>
        <v/>
      </c>
      <c r="AB346" s="215">
        <f>W346*O346</f>
        <v/>
      </c>
      <c r="AC346" s="197">
        <f>X346*O346</f>
        <v/>
      </c>
      <c r="AD346" s="215" t="n">
        <v>0</v>
      </c>
      <c r="AE346" s="215" t="n">
        <v>0</v>
      </c>
      <c r="AF346" s="207">
        <f>SUM(Y346:AE346)</f>
        <v/>
      </c>
      <c r="AG346" s="254">
        <f>_xlfn.XLOOKUP(G346,[1]Fx!$A$16:$A$22,[1]Fx!$B$16:$B$22)</f>
        <v/>
      </c>
      <c r="AH346" s="207">
        <f>AG346*R346</f>
        <v/>
      </c>
      <c r="AI346" s="207">
        <f>$AI$3*Z346</f>
        <v/>
      </c>
      <c r="AJ346" s="207">
        <f>$AJ$3*AA346</f>
        <v/>
      </c>
      <c r="AK346" s="207">
        <f>$AK$3*AB346</f>
        <v/>
      </c>
      <c r="AL346" s="207">
        <f>$AL$3*AC346</f>
        <v/>
      </c>
      <c r="AM346" s="220">
        <f>SUM(AH346:AL346)</f>
        <v/>
      </c>
      <c r="AN346" s="220" t="n">
        <v>0</v>
      </c>
      <c r="AO346" s="220">
        <f>AN346*AH346</f>
        <v/>
      </c>
      <c r="AP346" s="220">
        <f>AD346</f>
        <v/>
      </c>
      <c r="AQ346" s="220">
        <f>AE346</f>
        <v/>
      </c>
      <c r="AR346" s="208">
        <f>AM346-AO346</f>
        <v/>
      </c>
      <c r="AS346" s="220">
        <f>AR346-AK346</f>
        <v/>
      </c>
      <c r="AT346" s="208">
        <f>AS346*1.075</f>
        <v/>
      </c>
      <c r="AU346" s="208">
        <f>AT346+AK346</f>
        <v/>
      </c>
      <c r="AV346" s="198" t="n">
        <v>394806.5987221971</v>
      </c>
      <c r="AW346" s="264">
        <f>BO346*2</f>
        <v/>
      </c>
      <c r="AX346" s="220">
        <f>AV346-AR346</f>
        <v/>
      </c>
      <c r="AY346" s="35">
        <f>AX346/AR346</f>
        <v/>
      </c>
      <c r="AZ346" s="220">
        <f>AV346-AF346</f>
        <v/>
      </c>
      <c r="BA346" s="215">
        <f>AV346-SUM(Z346:AC346)</f>
        <v/>
      </c>
      <c r="BB346" s="215">
        <f>BA346-Y346</f>
        <v/>
      </c>
      <c r="BC346" s="35">
        <f>BB346/BA346</f>
        <v/>
      </c>
      <c r="BD346" s="35">
        <f>IFERROR(AZ346/AV346,)</f>
        <v/>
      </c>
      <c r="BE346" s="255">
        <f>AV346-SUM(Z346:AC346)</f>
        <v/>
      </c>
      <c r="BF346" s="255">
        <f>AV346-BE346-AC346-AB346</f>
        <v/>
      </c>
      <c r="BG346" s="255">
        <f>AV346-BE346-BF346-AB346</f>
        <v/>
      </c>
      <c r="BH346" s="255">
        <f>AB346</f>
        <v/>
      </c>
      <c r="BI346" s="263" t="inlineStr">
        <is>
          <t>Approved</t>
        </is>
      </c>
    </row>
    <row r="347">
      <c r="C347" s="23" t="inlineStr">
        <is>
          <t>ASINI/Yekeni</t>
        </is>
      </c>
      <c r="D347">
        <f>CONCATENATE(G347,"-",H347,"-",F347)</f>
        <v/>
      </c>
      <c r="E347" s="24" t="inlineStr">
        <is>
          <t>JMG-10T-Hiabs Logistics-Upcountry</t>
        </is>
      </c>
      <c r="F347" s="23" t="inlineStr">
        <is>
          <t>Upcountry</t>
        </is>
      </c>
      <c r="G347" s="25" t="inlineStr">
        <is>
          <t>Hiabs Logistics</t>
        </is>
      </c>
      <c r="H347" s="24" t="inlineStr">
        <is>
          <t>10T</t>
        </is>
      </c>
      <c r="I347" s="73" t="inlineStr">
        <is>
          <t>JMG</t>
        </is>
      </c>
      <c r="J347" s="74" t="inlineStr">
        <is>
          <t>Port Harcourt</t>
        </is>
      </c>
      <c r="K347" s="115" t="inlineStr">
        <is>
          <t>Arochukwu</t>
        </is>
      </c>
      <c r="L347" s="25" t="inlineStr">
        <is>
          <t>Abia</t>
        </is>
      </c>
      <c r="M347" s="68" t="n"/>
      <c r="N347" s="199">
        <f>O347/2</f>
        <v/>
      </c>
      <c r="O347" s="200" t="n">
        <v>378</v>
      </c>
      <c r="P347" s="220">
        <f>ROUNDUP(O347/300,)</f>
        <v/>
      </c>
      <c r="Q347" s="220" t="n">
        <v>1</v>
      </c>
      <c r="R347" s="220">
        <f>Q347+P347</f>
        <v/>
      </c>
      <c r="S347" s="198">
        <f>ROUNDDOWN(O347*0.51,)+60</f>
        <v/>
      </c>
      <c r="T347" s="207">
        <f>_xlfn.XLOOKUP(G347,[1]Fx!$A$4:$A$10,[1]Fx!$B$4:$B$10)</f>
        <v/>
      </c>
      <c r="U347" s="207">
        <f>_xlfn.XLOOKUP(G347,'[1]BP Setup'!$B$6:$B$72,'[1]BP Setup'!$Q$6:$Q$72)</f>
        <v/>
      </c>
      <c r="V347" s="207">
        <f>_xlfn.XLOOKUP(G347,'[1]BP Setup'!$B$6:$B$72,'[1]BP Setup'!$R$6:$R$72)</f>
        <v/>
      </c>
      <c r="W347" s="207">
        <f>$W$3</f>
        <v/>
      </c>
      <c r="X347" s="207" t="n">
        <v>80</v>
      </c>
      <c r="Y347" s="215">
        <f>T347*R347</f>
        <v/>
      </c>
      <c r="Z347" s="215">
        <f>U347*O347</f>
        <v/>
      </c>
      <c r="AA347" s="215">
        <f>V347*O347</f>
        <v/>
      </c>
      <c r="AB347" s="215">
        <f>W347*O347</f>
        <v/>
      </c>
      <c r="AC347" s="197">
        <f>X347*O347</f>
        <v/>
      </c>
      <c r="AD347" s="215" t="n">
        <v>0</v>
      </c>
      <c r="AE347" s="215" t="n">
        <v>0</v>
      </c>
      <c r="AF347" s="207">
        <f>SUM(Y347:AE347)</f>
        <v/>
      </c>
      <c r="AG347" s="254">
        <f>_xlfn.XLOOKUP(G347,[1]Fx!$A$16:$A$22,[1]Fx!$B$16:$B$22)</f>
        <v/>
      </c>
      <c r="AH347" s="207">
        <f>AG347*R347</f>
        <v/>
      </c>
      <c r="AI347" s="207">
        <f>$AI$3*Z347</f>
        <v/>
      </c>
      <c r="AJ347" s="207">
        <f>$AJ$3*AA347</f>
        <v/>
      </c>
      <c r="AK347" s="207">
        <f>$AK$3*AB347</f>
        <v/>
      </c>
      <c r="AL347" s="207">
        <f>$AL$3*AC347</f>
        <v/>
      </c>
      <c r="AM347" s="220">
        <f>SUM(AH347:AL347)</f>
        <v/>
      </c>
      <c r="AN347" s="220" t="n">
        <v>0</v>
      </c>
      <c r="AO347" s="220">
        <f>AN347*AH347</f>
        <v/>
      </c>
      <c r="AP347" s="220">
        <f>AD347</f>
        <v/>
      </c>
      <c r="AQ347" s="220">
        <f>AE347</f>
        <v/>
      </c>
      <c r="AR347" s="208">
        <f>AM347-AO347</f>
        <v/>
      </c>
      <c r="AS347" s="220">
        <f>AR347-AK347</f>
        <v/>
      </c>
      <c r="AT347" s="208">
        <f>AS347*1.075</f>
        <v/>
      </c>
      <c r="AU347" s="208">
        <f>AT347+AK347</f>
        <v/>
      </c>
      <c r="AV347" s="198" t="n">
        <v>394806.5987221971</v>
      </c>
      <c r="AW347" s="264">
        <f>BO347*2</f>
        <v/>
      </c>
      <c r="AX347" s="220">
        <f>AV347-AR347</f>
        <v/>
      </c>
      <c r="AY347" s="35">
        <f>AX347/AR347</f>
        <v/>
      </c>
      <c r="AZ347" s="220">
        <f>AV347-AF347</f>
        <v/>
      </c>
      <c r="BA347" s="215">
        <f>AV347-SUM(Z347:AC347)</f>
        <v/>
      </c>
      <c r="BB347" s="215">
        <f>BA347-Y347</f>
        <v/>
      </c>
      <c r="BC347" s="35">
        <f>BB347/BA347</f>
        <v/>
      </c>
      <c r="BD347" s="35">
        <f>IFERROR(AZ347/AV347,)</f>
        <v/>
      </c>
      <c r="BE347" s="255">
        <f>AV347-SUM(Z347:AC347)</f>
        <v/>
      </c>
      <c r="BF347" s="255">
        <f>AV347-BE347-AC347-AB347</f>
        <v/>
      </c>
      <c r="BG347" s="255">
        <f>AV347-BE347-BF347-AB347</f>
        <v/>
      </c>
      <c r="BH347" s="255">
        <f>AB347</f>
        <v/>
      </c>
      <c r="BI347" s="263" t="inlineStr">
        <is>
          <t>Approved</t>
        </is>
      </c>
    </row>
    <row r="348">
      <c r="C348" s="23" t="inlineStr">
        <is>
          <t>ASINI/Yekeni</t>
        </is>
      </c>
      <c r="D348">
        <f>CONCATENATE(G348,"-",H348,"-",F348)</f>
        <v/>
      </c>
      <c r="E348" s="24" t="inlineStr">
        <is>
          <t>JMG-10T-Hiabs Logistics-Upcountry</t>
        </is>
      </c>
      <c r="F348" s="23" t="inlineStr">
        <is>
          <t>Upcountry</t>
        </is>
      </c>
      <c r="G348" s="25" t="inlineStr">
        <is>
          <t>Hiabs Logistics</t>
        </is>
      </c>
      <c r="H348" s="24" t="inlineStr">
        <is>
          <t>10T</t>
        </is>
      </c>
      <c r="I348" s="73" t="inlineStr">
        <is>
          <t>JMG</t>
        </is>
      </c>
      <c r="J348" s="74" t="inlineStr">
        <is>
          <t>Port Harcourt</t>
        </is>
      </c>
      <c r="K348" s="116" t="inlineStr">
        <is>
          <t>Onitsha</t>
        </is>
      </c>
      <c r="L348" s="67" t="inlineStr">
        <is>
          <t>Anambra</t>
        </is>
      </c>
      <c r="M348" s="68" t="n"/>
      <c r="N348" s="199">
        <f>O348/2</f>
        <v/>
      </c>
      <c r="O348" s="200" t="n">
        <v>377</v>
      </c>
      <c r="P348" s="220">
        <f>ROUNDUP(O348/300,)</f>
        <v/>
      </c>
      <c r="Q348" s="220" t="n">
        <v>1</v>
      </c>
      <c r="R348" s="220">
        <f>Q348+P348</f>
        <v/>
      </c>
      <c r="S348" s="198">
        <f>ROUNDDOWN(O348*0.51,)+60</f>
        <v/>
      </c>
      <c r="T348" s="207">
        <f>_xlfn.XLOOKUP(G348,[1]Fx!$A$4:$A$10,[1]Fx!$B$4:$B$10)</f>
        <v/>
      </c>
      <c r="U348" s="207">
        <f>_xlfn.XLOOKUP(G348,'[1]BP Setup'!$B$6:$B$72,'[1]BP Setup'!$Q$6:$Q$72)</f>
        <v/>
      </c>
      <c r="V348" s="207">
        <f>_xlfn.XLOOKUP(G348,'[1]BP Setup'!$B$6:$B$72,'[1]BP Setup'!$R$6:$R$72)</f>
        <v/>
      </c>
      <c r="W348" s="207">
        <f>$W$3</f>
        <v/>
      </c>
      <c r="X348" s="207" t="n">
        <v>80</v>
      </c>
      <c r="Y348" s="215">
        <f>T348*R348</f>
        <v/>
      </c>
      <c r="Z348" s="215">
        <f>U348*O348</f>
        <v/>
      </c>
      <c r="AA348" s="215">
        <f>V348*O348</f>
        <v/>
      </c>
      <c r="AB348" s="215">
        <f>W348*O348</f>
        <v/>
      </c>
      <c r="AC348" s="197">
        <f>X348*O348</f>
        <v/>
      </c>
      <c r="AD348" s="215" t="n">
        <v>0</v>
      </c>
      <c r="AE348" s="215" t="n">
        <v>0</v>
      </c>
      <c r="AF348" s="207">
        <f>SUM(Y348:AE348)</f>
        <v/>
      </c>
      <c r="AG348" s="254">
        <f>_xlfn.XLOOKUP(G348,[1]Fx!$A$16:$A$22,[1]Fx!$B$16:$B$22)</f>
        <v/>
      </c>
      <c r="AH348" s="207">
        <f>AG348*R348</f>
        <v/>
      </c>
      <c r="AI348" s="207">
        <f>$AI$3*Z348</f>
        <v/>
      </c>
      <c r="AJ348" s="207">
        <f>$AJ$3*AA348</f>
        <v/>
      </c>
      <c r="AK348" s="207">
        <f>$AK$3*AB348</f>
        <v/>
      </c>
      <c r="AL348" s="207">
        <f>$AL$3*AC348</f>
        <v/>
      </c>
      <c r="AM348" s="220">
        <f>SUM(AH348:AL348)</f>
        <v/>
      </c>
      <c r="AN348" s="220" t="n">
        <v>0</v>
      </c>
      <c r="AO348" s="220">
        <f>AN348*AH348</f>
        <v/>
      </c>
      <c r="AP348" s="220">
        <f>AD348</f>
        <v/>
      </c>
      <c r="AQ348" s="220">
        <f>AE348</f>
        <v/>
      </c>
      <c r="AR348" s="208">
        <f>AM348-AO348</f>
        <v/>
      </c>
      <c r="AS348" s="220">
        <f>AR348-AK348</f>
        <v/>
      </c>
      <c r="AT348" s="208">
        <f>AS348*1.075</f>
        <v/>
      </c>
      <c r="AU348" s="208">
        <f>AT348+AK348</f>
        <v/>
      </c>
      <c r="AV348" s="198" t="n">
        <v>394806.5987221971</v>
      </c>
      <c r="AW348" s="264">
        <f>BO348*2</f>
        <v/>
      </c>
      <c r="AX348" s="220">
        <f>AV348-AR348</f>
        <v/>
      </c>
      <c r="AY348" s="35">
        <f>AX348/AR348</f>
        <v/>
      </c>
      <c r="AZ348" s="220">
        <f>AV348-AF348</f>
        <v/>
      </c>
      <c r="BA348" s="215">
        <f>AV348-SUM(Z348:AC348)</f>
        <v/>
      </c>
      <c r="BB348" s="215">
        <f>BA348-Y348</f>
        <v/>
      </c>
      <c r="BC348" s="35">
        <f>BB348/BA348</f>
        <v/>
      </c>
      <c r="BD348" s="35">
        <f>IFERROR(AZ348/AV348,)</f>
        <v/>
      </c>
      <c r="BE348" s="255">
        <f>AV348-SUM(Z348:AC348)</f>
        <v/>
      </c>
      <c r="BF348" s="255">
        <f>AV348-BE348-AC348-AB348</f>
        <v/>
      </c>
      <c r="BG348" s="255">
        <f>AV348-BE348-BF348-AB348</f>
        <v/>
      </c>
      <c r="BH348" s="255">
        <f>AB348</f>
        <v/>
      </c>
      <c r="BI348" s="263" t="inlineStr">
        <is>
          <t>Worst Case Approved</t>
        </is>
      </c>
    </row>
    <row r="349">
      <c r="C349" s="23" t="inlineStr">
        <is>
          <t>ASINI/Yekeni</t>
        </is>
      </c>
      <c r="D349">
        <f>CONCATENATE(G349,"-",H349,"-",F349)</f>
        <v/>
      </c>
      <c r="E349" s="24" t="inlineStr">
        <is>
          <t>JMG-10T-Hiabs Logistics-Upcountry</t>
        </is>
      </c>
      <c r="F349" s="23" t="inlineStr">
        <is>
          <t>Upcountry</t>
        </is>
      </c>
      <c r="G349" s="25" t="inlineStr">
        <is>
          <t>Hiabs Logistics</t>
        </is>
      </c>
      <c r="H349" s="24" t="inlineStr">
        <is>
          <t>10T</t>
        </is>
      </c>
      <c r="I349" s="73" t="inlineStr">
        <is>
          <t>JMG</t>
        </is>
      </c>
      <c r="J349" s="74" t="inlineStr">
        <is>
          <t>Port Harcourt</t>
        </is>
      </c>
      <c r="K349" s="115" t="inlineStr">
        <is>
          <t>Nnewi</t>
        </is>
      </c>
      <c r="L349" s="25" t="inlineStr">
        <is>
          <t>Anambra</t>
        </is>
      </c>
      <c r="M349" s="68" t="n"/>
      <c r="N349" s="199">
        <f>O349/2</f>
        <v/>
      </c>
      <c r="O349" s="200" t="n">
        <v>358</v>
      </c>
      <c r="P349" s="220">
        <f>ROUNDUP(O349/300,)</f>
        <v/>
      </c>
      <c r="Q349" s="220" t="n">
        <v>1</v>
      </c>
      <c r="R349" s="220">
        <f>Q349+P349</f>
        <v/>
      </c>
      <c r="S349" s="198">
        <f>ROUNDDOWN(O349*0.51,)+60</f>
        <v/>
      </c>
      <c r="T349" s="207">
        <f>_xlfn.XLOOKUP(G349,[1]Fx!$A$4:$A$10,[1]Fx!$B$4:$B$10)</f>
        <v/>
      </c>
      <c r="U349" s="207">
        <f>_xlfn.XLOOKUP(G349,'[1]BP Setup'!$B$6:$B$72,'[1]BP Setup'!$Q$6:$Q$72)</f>
        <v/>
      </c>
      <c r="V349" s="207">
        <f>_xlfn.XLOOKUP(G349,'[1]BP Setup'!$B$6:$B$72,'[1]BP Setup'!$R$6:$R$72)</f>
        <v/>
      </c>
      <c r="W349" s="207">
        <f>$W$3</f>
        <v/>
      </c>
      <c r="X349" s="207" t="n">
        <v>80</v>
      </c>
      <c r="Y349" s="215">
        <f>T349*R349</f>
        <v/>
      </c>
      <c r="Z349" s="215">
        <f>U349*O349</f>
        <v/>
      </c>
      <c r="AA349" s="215">
        <f>V349*O349</f>
        <v/>
      </c>
      <c r="AB349" s="215">
        <f>W349*O349</f>
        <v/>
      </c>
      <c r="AC349" s="197">
        <f>X349*O349</f>
        <v/>
      </c>
      <c r="AD349" s="215" t="n">
        <v>0</v>
      </c>
      <c r="AE349" s="215" t="n">
        <v>0</v>
      </c>
      <c r="AF349" s="207">
        <f>SUM(Y349:AE349)</f>
        <v/>
      </c>
      <c r="AG349" s="254">
        <f>_xlfn.XLOOKUP(G349,[1]Fx!$A$16:$A$22,[1]Fx!$B$16:$B$22)</f>
        <v/>
      </c>
      <c r="AH349" s="207">
        <f>AG349*R349</f>
        <v/>
      </c>
      <c r="AI349" s="207">
        <f>$AI$3*Z349</f>
        <v/>
      </c>
      <c r="AJ349" s="207">
        <f>$AJ$3*AA349</f>
        <v/>
      </c>
      <c r="AK349" s="207">
        <f>$AK$3*AB349</f>
        <v/>
      </c>
      <c r="AL349" s="207">
        <f>$AL$3*AC349</f>
        <v/>
      </c>
      <c r="AM349" s="220">
        <f>SUM(AH349:AL349)</f>
        <v/>
      </c>
      <c r="AN349" s="220" t="n">
        <v>0</v>
      </c>
      <c r="AO349" s="220">
        <f>AN349*AH349</f>
        <v/>
      </c>
      <c r="AP349" s="220">
        <f>AD349</f>
        <v/>
      </c>
      <c r="AQ349" s="220">
        <f>AE349</f>
        <v/>
      </c>
      <c r="AR349" s="208">
        <f>AM349-AO349</f>
        <v/>
      </c>
      <c r="AS349" s="220">
        <f>AR349-AK349</f>
        <v/>
      </c>
      <c r="AT349" s="208">
        <f>AS349*1.075</f>
        <v/>
      </c>
      <c r="AU349" s="208">
        <f>AT349+AK349</f>
        <v/>
      </c>
      <c r="AV349" s="198" t="n">
        <v>394806.5987221971</v>
      </c>
      <c r="AW349" s="264">
        <f>BO349*2</f>
        <v/>
      </c>
      <c r="AX349" s="220">
        <f>AV349-AR349</f>
        <v/>
      </c>
      <c r="AY349" s="35">
        <f>AX349/AR349</f>
        <v/>
      </c>
      <c r="AZ349" s="220">
        <f>AV349-AF349</f>
        <v/>
      </c>
      <c r="BA349" s="215">
        <f>AV349-SUM(Z349:AC349)</f>
        <v/>
      </c>
      <c r="BB349" s="215">
        <f>BA349-Y349</f>
        <v/>
      </c>
      <c r="BC349" s="35">
        <f>BB349/BA349</f>
        <v/>
      </c>
      <c r="BD349" s="35">
        <f>IFERROR(AZ349/AV349,)</f>
        <v/>
      </c>
      <c r="BE349" s="255">
        <f>AV349-SUM(Z349:AC349)</f>
        <v/>
      </c>
      <c r="BF349" s="255">
        <f>AV349-BE349-AC349-AB349</f>
        <v/>
      </c>
      <c r="BG349" s="255">
        <f>AV349-BE349-BF349-AB349</f>
        <v/>
      </c>
      <c r="BH349" s="255">
        <f>AB349</f>
        <v/>
      </c>
      <c r="BI349" s="263" t="inlineStr">
        <is>
          <t>Approved</t>
        </is>
      </c>
    </row>
    <row r="350">
      <c r="C350" s="23" t="inlineStr">
        <is>
          <t>ASINI/Yekeni</t>
        </is>
      </c>
      <c r="D350">
        <f>CONCATENATE(G350,"-",H350,"-",F350)</f>
        <v/>
      </c>
      <c r="E350" s="24" t="inlineStr">
        <is>
          <t>JMG-10T-Hiabs Logistics-Upcountry</t>
        </is>
      </c>
      <c r="F350" s="23" t="inlineStr">
        <is>
          <t>Upcountry</t>
        </is>
      </c>
      <c r="G350" s="25" t="inlineStr">
        <is>
          <t>Hiabs Logistics</t>
        </is>
      </c>
      <c r="H350" s="24" t="inlineStr">
        <is>
          <t>10T</t>
        </is>
      </c>
      <c r="I350" s="73" t="inlineStr">
        <is>
          <t>JMG</t>
        </is>
      </c>
      <c r="J350" s="74" t="inlineStr">
        <is>
          <t>Port Harcourt</t>
        </is>
      </c>
      <c r="K350" s="115" t="inlineStr">
        <is>
          <t>Arondizuogu</t>
        </is>
      </c>
      <c r="L350" s="67" t="inlineStr">
        <is>
          <t>Imo</t>
        </is>
      </c>
      <c r="M350" s="68" t="n"/>
      <c r="N350" s="199">
        <f>O350/2</f>
        <v/>
      </c>
      <c r="O350" s="200" t="n">
        <v>352</v>
      </c>
      <c r="P350" s="220">
        <f>ROUNDUP(O350/300,)</f>
        <v/>
      </c>
      <c r="Q350" s="220" t="n">
        <v>1</v>
      </c>
      <c r="R350" s="220">
        <f>Q350+P350</f>
        <v/>
      </c>
      <c r="S350" s="198">
        <f>ROUNDDOWN(O350*0.51,)+60</f>
        <v/>
      </c>
      <c r="T350" s="207">
        <f>_xlfn.XLOOKUP(G350,[1]Fx!$A$4:$A$10,[1]Fx!$B$4:$B$10)</f>
        <v/>
      </c>
      <c r="U350" s="207">
        <f>_xlfn.XLOOKUP(G350,'[1]BP Setup'!$B$6:$B$72,'[1]BP Setup'!$Q$6:$Q$72)</f>
        <v/>
      </c>
      <c r="V350" s="207">
        <f>_xlfn.XLOOKUP(G350,'[1]BP Setup'!$B$6:$B$72,'[1]BP Setup'!$R$6:$R$72)</f>
        <v/>
      </c>
      <c r="W350" s="207">
        <f>$W$3</f>
        <v/>
      </c>
      <c r="X350" s="207" t="n">
        <v>80</v>
      </c>
      <c r="Y350" s="215">
        <f>T350*R350</f>
        <v/>
      </c>
      <c r="Z350" s="215">
        <f>U350*O350</f>
        <v/>
      </c>
      <c r="AA350" s="215">
        <f>V350*O350</f>
        <v/>
      </c>
      <c r="AB350" s="215">
        <f>W350*O350</f>
        <v/>
      </c>
      <c r="AC350" s="197">
        <f>X350*O350</f>
        <v/>
      </c>
      <c r="AD350" s="215" t="n">
        <v>0</v>
      </c>
      <c r="AE350" s="215" t="n">
        <v>0</v>
      </c>
      <c r="AF350" s="207">
        <f>SUM(Y350:AE350)</f>
        <v/>
      </c>
      <c r="AG350" s="254">
        <f>_xlfn.XLOOKUP(G350,[1]Fx!$A$16:$A$22,[1]Fx!$B$16:$B$22)</f>
        <v/>
      </c>
      <c r="AH350" s="207">
        <f>AG350*R350</f>
        <v/>
      </c>
      <c r="AI350" s="207">
        <f>$AI$3*Z350</f>
        <v/>
      </c>
      <c r="AJ350" s="207">
        <f>$AJ$3*AA350</f>
        <v/>
      </c>
      <c r="AK350" s="207">
        <f>$AK$3*AB350</f>
        <v/>
      </c>
      <c r="AL350" s="207">
        <f>$AL$3*AC350</f>
        <v/>
      </c>
      <c r="AM350" s="220">
        <f>SUM(AH350:AL350)</f>
        <v/>
      </c>
      <c r="AN350" s="220" t="n">
        <v>0</v>
      </c>
      <c r="AO350" s="220">
        <f>AN350*AH350</f>
        <v/>
      </c>
      <c r="AP350" s="220">
        <f>AD350</f>
        <v/>
      </c>
      <c r="AQ350" s="220">
        <f>AE350</f>
        <v/>
      </c>
      <c r="AR350" s="208">
        <f>AM350-AO350</f>
        <v/>
      </c>
      <c r="AS350" s="220">
        <f>AR350-AK350</f>
        <v/>
      </c>
      <c r="AT350" s="208">
        <f>AS350*1.075</f>
        <v/>
      </c>
      <c r="AU350" s="208">
        <f>AT350+AK350</f>
        <v/>
      </c>
      <c r="AV350" s="198" t="n">
        <v>394806.5987221971</v>
      </c>
      <c r="AW350" s="264">
        <f>BO350*2</f>
        <v/>
      </c>
      <c r="AX350" s="220">
        <f>AV350-AR350</f>
        <v/>
      </c>
      <c r="AY350" s="35">
        <f>AX350/AR350</f>
        <v/>
      </c>
      <c r="AZ350" s="220">
        <f>AV350-AF350</f>
        <v/>
      </c>
      <c r="BA350" s="215">
        <f>AV350-SUM(Z350:AC350)</f>
        <v/>
      </c>
      <c r="BB350" s="215">
        <f>BA350-Y350</f>
        <v/>
      </c>
      <c r="BC350" s="35">
        <f>BB350/BA350</f>
        <v/>
      </c>
      <c r="BD350" s="35">
        <f>IFERROR(AZ350/AV350,)</f>
        <v/>
      </c>
      <c r="BE350" s="255">
        <f>AV350-SUM(Z350:AC350)</f>
        <v/>
      </c>
      <c r="BF350" s="255">
        <f>AV350-BE350-AC350-AB350</f>
        <v/>
      </c>
      <c r="BG350" s="255">
        <f>AV350-BE350-BF350-AB350</f>
        <v/>
      </c>
      <c r="BH350" s="255">
        <f>AB350</f>
        <v/>
      </c>
      <c r="BI350" s="263" t="inlineStr">
        <is>
          <t>Approved</t>
        </is>
      </c>
    </row>
    <row r="351">
      <c r="C351" s="23" t="inlineStr">
        <is>
          <t>ASINI/Yekeni</t>
        </is>
      </c>
      <c r="D351">
        <f>CONCATENATE(G351,"-",H351,"-",F351)</f>
        <v/>
      </c>
      <c r="E351" s="24" t="inlineStr">
        <is>
          <t>JMG-10T-Hiabs Logistics-Upcountry</t>
        </is>
      </c>
      <c r="F351" s="23" t="inlineStr">
        <is>
          <t>Upcountry</t>
        </is>
      </c>
      <c r="G351" s="25" t="inlineStr">
        <is>
          <t>Hiabs Logistics</t>
        </is>
      </c>
      <c r="H351" s="24" t="inlineStr">
        <is>
          <t>10T</t>
        </is>
      </c>
      <c r="I351" s="73" t="inlineStr">
        <is>
          <t>JMG</t>
        </is>
      </c>
      <c r="J351" s="74" t="inlineStr">
        <is>
          <t>Port Harcourt</t>
        </is>
      </c>
      <c r="K351" s="115" t="inlineStr">
        <is>
          <t>Ughelli</t>
        </is>
      </c>
      <c r="L351" s="67" t="inlineStr">
        <is>
          <t>Delta</t>
        </is>
      </c>
      <c r="M351" s="68" t="n"/>
      <c r="N351" s="199">
        <f>O351/2</f>
        <v/>
      </c>
      <c r="O351" s="200" t="n">
        <v>338</v>
      </c>
      <c r="P351" s="220">
        <f>ROUNDUP(O351/300,)</f>
        <v/>
      </c>
      <c r="Q351" s="220" t="n">
        <v>1</v>
      </c>
      <c r="R351" s="220">
        <f>Q351+P351</f>
        <v/>
      </c>
      <c r="S351" s="198">
        <f>ROUNDDOWN(O351*0.51,)+60</f>
        <v/>
      </c>
      <c r="T351" s="207">
        <f>_xlfn.XLOOKUP(G351,[1]Fx!$A$4:$A$10,[1]Fx!$B$4:$B$10)</f>
        <v/>
      </c>
      <c r="U351" s="207">
        <f>_xlfn.XLOOKUP(G351,'[1]BP Setup'!$B$6:$B$72,'[1]BP Setup'!$Q$6:$Q$72)</f>
        <v/>
      </c>
      <c r="V351" s="207">
        <f>_xlfn.XLOOKUP(G351,'[1]BP Setup'!$B$6:$B$72,'[1]BP Setup'!$R$6:$R$72)</f>
        <v/>
      </c>
      <c r="W351" s="207">
        <f>$W$3</f>
        <v/>
      </c>
      <c r="X351" s="207" t="n">
        <v>80</v>
      </c>
      <c r="Y351" s="215">
        <f>T351*R351</f>
        <v/>
      </c>
      <c r="Z351" s="215">
        <f>U351*O351</f>
        <v/>
      </c>
      <c r="AA351" s="215">
        <f>V351*O351</f>
        <v/>
      </c>
      <c r="AB351" s="215">
        <f>W351*O351</f>
        <v/>
      </c>
      <c r="AC351" s="197">
        <f>X351*O351</f>
        <v/>
      </c>
      <c r="AD351" s="215" t="n">
        <v>0</v>
      </c>
      <c r="AE351" s="215" t="n">
        <v>0</v>
      </c>
      <c r="AF351" s="207">
        <f>SUM(Y351:AE351)</f>
        <v/>
      </c>
      <c r="AG351" s="254">
        <f>_xlfn.XLOOKUP(G351,[1]Fx!$A$16:$A$22,[1]Fx!$B$16:$B$22)</f>
        <v/>
      </c>
      <c r="AH351" s="207">
        <f>AG351*R351</f>
        <v/>
      </c>
      <c r="AI351" s="207">
        <f>$AI$3*Z351</f>
        <v/>
      </c>
      <c r="AJ351" s="207">
        <f>$AJ$3*AA351</f>
        <v/>
      </c>
      <c r="AK351" s="207">
        <f>$AK$3*AB351</f>
        <v/>
      </c>
      <c r="AL351" s="207">
        <f>$AL$3*AC351</f>
        <v/>
      </c>
      <c r="AM351" s="220">
        <f>SUM(AH351:AL351)</f>
        <v/>
      </c>
      <c r="AN351" s="220" t="n">
        <v>0</v>
      </c>
      <c r="AO351" s="220">
        <f>AN351*AH351</f>
        <v/>
      </c>
      <c r="AP351" s="220">
        <f>AD351</f>
        <v/>
      </c>
      <c r="AQ351" s="220">
        <f>AE351</f>
        <v/>
      </c>
      <c r="AR351" s="208">
        <f>AM351-AO351</f>
        <v/>
      </c>
      <c r="AS351" s="220">
        <f>AR351-AK351</f>
        <v/>
      </c>
      <c r="AT351" s="208">
        <f>AS351*1.075</f>
        <v/>
      </c>
      <c r="AU351" s="208">
        <f>AT351+AK351</f>
        <v/>
      </c>
      <c r="AV351" s="198" t="n">
        <v>394806.5987221971</v>
      </c>
      <c r="AW351" s="264">
        <f>BO351*2</f>
        <v/>
      </c>
      <c r="AX351" s="220">
        <f>AV351-AR351</f>
        <v/>
      </c>
      <c r="AY351" s="35">
        <f>AX351/AR351</f>
        <v/>
      </c>
      <c r="AZ351" s="220">
        <f>AV351-AF351</f>
        <v/>
      </c>
      <c r="BA351" s="215">
        <f>AV351-SUM(Z351:AC351)</f>
        <v/>
      </c>
      <c r="BB351" s="215">
        <f>BA351-Y351</f>
        <v/>
      </c>
      <c r="BC351" s="35">
        <f>BB351/BA351</f>
        <v/>
      </c>
      <c r="BD351" s="35">
        <f>IFERROR(AZ351/AV351,)</f>
        <v/>
      </c>
      <c r="BE351" s="255">
        <f>AV351-SUM(Z351:AC351)</f>
        <v/>
      </c>
      <c r="BF351" s="255">
        <f>AV351-BE351-AC351-AB351</f>
        <v/>
      </c>
      <c r="BG351" s="255">
        <f>AV351-BE351-BF351-AB351</f>
        <v/>
      </c>
      <c r="BH351" s="255">
        <f>AB351</f>
        <v/>
      </c>
      <c r="BI351" s="263" t="inlineStr">
        <is>
          <t>Worst Case Approved</t>
        </is>
      </c>
    </row>
    <row r="352">
      <c r="C352" s="23" t="inlineStr">
        <is>
          <t>ASINI/Yekeni</t>
        </is>
      </c>
      <c r="D352">
        <f>CONCATENATE(G352,"-",H352,"-",F352)</f>
        <v/>
      </c>
      <c r="E352" s="24" t="inlineStr">
        <is>
          <t>JMG-10T-Hiabs Logistics-Upcountry</t>
        </is>
      </c>
      <c r="F352" s="23" t="inlineStr">
        <is>
          <t>Upcountry</t>
        </is>
      </c>
      <c r="G352" s="25" t="inlineStr">
        <is>
          <t>Hiabs Logistics</t>
        </is>
      </c>
      <c r="H352" s="24" t="inlineStr">
        <is>
          <t>10T</t>
        </is>
      </c>
      <c r="I352" s="73" t="inlineStr">
        <is>
          <t>JMG</t>
        </is>
      </c>
      <c r="J352" s="74" t="inlineStr">
        <is>
          <t>Port Harcourt</t>
        </is>
      </c>
      <c r="K352" s="115" t="inlineStr">
        <is>
          <t>Ohafia</t>
        </is>
      </c>
      <c r="L352" s="67" t="inlineStr">
        <is>
          <t>Abia</t>
        </is>
      </c>
      <c r="M352" s="68" t="n"/>
      <c r="N352" s="199">
        <f>O352/2</f>
        <v/>
      </c>
      <c r="O352" s="200" t="n">
        <v>329</v>
      </c>
      <c r="P352" s="220">
        <f>ROUNDUP(O352/300,)</f>
        <v/>
      </c>
      <c r="Q352" s="220" t="n">
        <v>1</v>
      </c>
      <c r="R352" s="220">
        <f>Q352+P352</f>
        <v/>
      </c>
      <c r="S352" s="198">
        <f>ROUNDDOWN(O352*0.51,)+60</f>
        <v/>
      </c>
      <c r="T352" s="207">
        <f>_xlfn.XLOOKUP(G352,[1]Fx!$A$4:$A$10,[1]Fx!$B$4:$B$10)</f>
        <v/>
      </c>
      <c r="U352" s="207">
        <f>_xlfn.XLOOKUP(G352,'[1]BP Setup'!$B$6:$B$72,'[1]BP Setup'!$Q$6:$Q$72)</f>
        <v/>
      </c>
      <c r="V352" s="207">
        <f>_xlfn.XLOOKUP(G352,'[1]BP Setup'!$B$6:$B$72,'[1]BP Setup'!$R$6:$R$72)</f>
        <v/>
      </c>
      <c r="W352" s="207">
        <f>$W$3</f>
        <v/>
      </c>
      <c r="X352" s="207" t="n">
        <v>80</v>
      </c>
      <c r="Y352" s="215">
        <f>T352*R352</f>
        <v/>
      </c>
      <c r="Z352" s="215">
        <f>U352*O352</f>
        <v/>
      </c>
      <c r="AA352" s="215">
        <f>V352*O352</f>
        <v/>
      </c>
      <c r="AB352" s="215">
        <f>W352*O352</f>
        <v/>
      </c>
      <c r="AC352" s="197">
        <f>X352*O352</f>
        <v/>
      </c>
      <c r="AD352" s="215" t="n">
        <v>0</v>
      </c>
      <c r="AE352" s="215" t="n">
        <v>0</v>
      </c>
      <c r="AF352" s="207">
        <f>SUM(Y352:AE352)</f>
        <v/>
      </c>
      <c r="AG352" s="254">
        <f>_xlfn.XLOOKUP(G352,[1]Fx!$A$16:$A$22,[1]Fx!$B$16:$B$22)</f>
        <v/>
      </c>
      <c r="AH352" s="207">
        <f>AG352*R352</f>
        <v/>
      </c>
      <c r="AI352" s="207">
        <f>$AI$3*Z352</f>
        <v/>
      </c>
      <c r="AJ352" s="207">
        <f>$AJ$3*AA352</f>
        <v/>
      </c>
      <c r="AK352" s="207">
        <f>$AK$3*AB352</f>
        <v/>
      </c>
      <c r="AL352" s="207">
        <f>$AL$3*AC352</f>
        <v/>
      </c>
      <c r="AM352" s="220">
        <f>SUM(AH352:AL352)</f>
        <v/>
      </c>
      <c r="AN352" s="220" t="n">
        <v>0</v>
      </c>
      <c r="AO352" s="220">
        <f>AN352*AH352</f>
        <v/>
      </c>
      <c r="AP352" s="220">
        <f>AD352</f>
        <v/>
      </c>
      <c r="AQ352" s="220">
        <f>AE352</f>
        <v/>
      </c>
      <c r="AR352" s="208">
        <f>AM352-AO352</f>
        <v/>
      </c>
      <c r="AS352" s="220">
        <f>AR352-AK352</f>
        <v/>
      </c>
      <c r="AT352" s="208">
        <f>AS352*1.075</f>
        <v/>
      </c>
      <c r="AU352" s="208">
        <f>AT352+AK352</f>
        <v/>
      </c>
      <c r="AV352" s="198" t="n">
        <v>394806.5987221971</v>
      </c>
      <c r="AW352" s="264">
        <f>BO352*2</f>
        <v/>
      </c>
      <c r="AX352" s="220">
        <f>AV352-AR352</f>
        <v/>
      </c>
      <c r="AY352" s="35">
        <f>AX352/AR352</f>
        <v/>
      </c>
      <c r="AZ352" s="220">
        <f>AV352-AF352</f>
        <v/>
      </c>
      <c r="BA352" s="215">
        <f>AV352-SUM(Z352:AC352)</f>
        <v/>
      </c>
      <c r="BB352" s="215">
        <f>BA352-Y352</f>
        <v/>
      </c>
      <c r="BC352" s="35">
        <f>BB352/BA352</f>
        <v/>
      </c>
      <c r="BD352" s="35">
        <f>IFERROR(AZ352/AV352,)</f>
        <v/>
      </c>
      <c r="BE352" s="255">
        <f>AV352-SUM(Z352:AC352)</f>
        <v/>
      </c>
      <c r="BF352" s="255">
        <f>AV352-BE352-AC352-AB352</f>
        <v/>
      </c>
      <c r="BG352" s="255">
        <f>AV352-BE352-BF352-AB352</f>
        <v/>
      </c>
      <c r="BH352" s="255">
        <f>AB352</f>
        <v/>
      </c>
      <c r="BI352" s="263" t="inlineStr">
        <is>
          <t>Worst Case Approved</t>
        </is>
      </c>
    </row>
    <row r="353">
      <c r="C353" s="23" t="inlineStr">
        <is>
          <t>ASINI/Yekeni</t>
        </is>
      </c>
      <c r="D353">
        <f>CONCATENATE(G353,"-",H353,"-",F353)</f>
        <v/>
      </c>
      <c r="E353" s="24" t="inlineStr">
        <is>
          <t>JMG-10T-Hiabs Logistics-Upcountry</t>
        </is>
      </c>
      <c r="F353" s="23" t="inlineStr">
        <is>
          <t>Upcountry</t>
        </is>
      </c>
      <c r="G353" s="25" t="inlineStr">
        <is>
          <t>Hiabs Logistics</t>
        </is>
      </c>
      <c r="H353" s="24" t="inlineStr">
        <is>
          <t>10T</t>
        </is>
      </c>
      <c r="I353" s="73" t="inlineStr">
        <is>
          <t>JMG</t>
        </is>
      </c>
      <c r="J353" s="74" t="inlineStr">
        <is>
          <t>Port Harcourt</t>
        </is>
      </c>
      <c r="K353" s="115" t="inlineStr">
        <is>
          <t>Mbo</t>
        </is>
      </c>
      <c r="L353" s="67" t="inlineStr">
        <is>
          <t>Akwa Ibom</t>
        </is>
      </c>
      <c r="M353" s="68" t="n"/>
      <c r="N353" s="199">
        <f>O353/2</f>
        <v/>
      </c>
      <c r="O353" s="200" t="n">
        <v>327</v>
      </c>
      <c r="P353" s="220">
        <f>ROUNDUP(O353/300,)</f>
        <v/>
      </c>
      <c r="Q353" s="220" t="n">
        <v>1</v>
      </c>
      <c r="R353" s="220">
        <f>Q353+P353</f>
        <v/>
      </c>
      <c r="S353" s="198">
        <f>ROUNDDOWN(O353*0.51,)+60</f>
        <v/>
      </c>
      <c r="T353" s="207">
        <f>_xlfn.XLOOKUP(G353,[1]Fx!$A$4:$A$10,[1]Fx!$B$4:$B$10)</f>
        <v/>
      </c>
      <c r="U353" s="207">
        <f>_xlfn.XLOOKUP(G353,'[1]BP Setup'!$B$6:$B$72,'[1]BP Setup'!$Q$6:$Q$72)</f>
        <v/>
      </c>
      <c r="V353" s="207">
        <f>_xlfn.XLOOKUP(G353,'[1]BP Setup'!$B$6:$B$72,'[1]BP Setup'!$R$6:$R$72)</f>
        <v/>
      </c>
      <c r="W353" s="207">
        <f>$W$3</f>
        <v/>
      </c>
      <c r="X353" s="207" t="n">
        <v>80</v>
      </c>
      <c r="Y353" s="215">
        <f>T353*R353</f>
        <v/>
      </c>
      <c r="Z353" s="215">
        <f>U353*O353</f>
        <v/>
      </c>
      <c r="AA353" s="215">
        <f>V353*O353</f>
        <v/>
      </c>
      <c r="AB353" s="215">
        <f>W353*O353</f>
        <v/>
      </c>
      <c r="AC353" s="197">
        <f>X353*O353</f>
        <v/>
      </c>
      <c r="AD353" s="215" t="n">
        <v>0</v>
      </c>
      <c r="AE353" s="215" t="n">
        <v>0</v>
      </c>
      <c r="AF353" s="207">
        <f>SUM(Y353:AE353)</f>
        <v/>
      </c>
      <c r="AG353" s="254">
        <f>_xlfn.XLOOKUP(G353,[1]Fx!$A$16:$A$22,[1]Fx!$B$16:$B$22)</f>
        <v/>
      </c>
      <c r="AH353" s="207">
        <f>AG353*R353</f>
        <v/>
      </c>
      <c r="AI353" s="207">
        <f>$AI$3*Z353</f>
        <v/>
      </c>
      <c r="AJ353" s="207">
        <f>$AJ$3*AA353</f>
        <v/>
      </c>
      <c r="AK353" s="207">
        <f>$AK$3*AB353</f>
        <v/>
      </c>
      <c r="AL353" s="207">
        <f>$AL$3*AC353</f>
        <v/>
      </c>
      <c r="AM353" s="220">
        <f>SUM(AH353:AL353)</f>
        <v/>
      </c>
      <c r="AN353" s="220" t="n">
        <v>0</v>
      </c>
      <c r="AO353" s="220">
        <f>AN353*AH353</f>
        <v/>
      </c>
      <c r="AP353" s="220">
        <f>AD353</f>
        <v/>
      </c>
      <c r="AQ353" s="220">
        <f>AE353</f>
        <v/>
      </c>
      <c r="AR353" s="208">
        <f>AM353-AO353</f>
        <v/>
      </c>
      <c r="AS353" s="220">
        <f>AR353-AK353</f>
        <v/>
      </c>
      <c r="AT353" s="208">
        <f>AS353*1.075</f>
        <v/>
      </c>
      <c r="AU353" s="208">
        <f>AT353+AK353</f>
        <v/>
      </c>
      <c r="AV353" s="198" t="n">
        <v>394806.5987221971</v>
      </c>
      <c r="AW353" s="264">
        <f>BO353*2</f>
        <v/>
      </c>
      <c r="AX353" s="220">
        <f>AV353-AR353</f>
        <v/>
      </c>
      <c r="AY353" s="35">
        <f>AX353/AR353</f>
        <v/>
      </c>
      <c r="AZ353" s="220">
        <f>AV353-AF353</f>
        <v/>
      </c>
      <c r="BA353" s="215">
        <f>AV353-SUM(Z353:AC353)</f>
        <v/>
      </c>
      <c r="BB353" s="215">
        <f>BA353-Y353</f>
        <v/>
      </c>
      <c r="BC353" s="35">
        <f>BB353/BA353</f>
        <v/>
      </c>
      <c r="BD353" s="35">
        <f>IFERROR(AZ353/AV353,)</f>
        <v/>
      </c>
      <c r="BE353" s="255">
        <f>AV353-SUM(Z353:AC353)</f>
        <v/>
      </c>
      <c r="BF353" s="255">
        <f>AV353-BE353-AC353-AB353</f>
        <v/>
      </c>
      <c r="BG353" s="255">
        <f>AV353-BE353-BF353-AB353</f>
        <v/>
      </c>
      <c r="BH353" s="255">
        <f>AB353</f>
        <v/>
      </c>
      <c r="BI353" s="263" t="inlineStr">
        <is>
          <t>Approved</t>
        </is>
      </c>
    </row>
    <row r="354">
      <c r="C354" s="23" t="inlineStr">
        <is>
          <t>ASINI/Yekeni</t>
        </is>
      </c>
      <c r="D354">
        <f>CONCATENATE(G354,"-",H354,"-",F354)</f>
        <v/>
      </c>
      <c r="E354" s="24" t="inlineStr">
        <is>
          <t>JMG-10T-Hiabs Logistics-Upcountry</t>
        </is>
      </c>
      <c r="F354" s="23" t="inlineStr">
        <is>
          <t>Upcountry</t>
        </is>
      </c>
      <c r="G354" s="25" t="inlineStr">
        <is>
          <t>Hiabs Logistics</t>
        </is>
      </c>
      <c r="H354" s="24" t="inlineStr">
        <is>
          <t>10T</t>
        </is>
      </c>
      <c r="I354" s="73" t="inlineStr">
        <is>
          <t>JMG</t>
        </is>
      </c>
      <c r="J354" s="74" t="inlineStr">
        <is>
          <t>Port Harcourt</t>
        </is>
      </c>
      <c r="K354" s="115" t="inlineStr">
        <is>
          <t>Uturu</t>
        </is>
      </c>
      <c r="L354" s="25" t="inlineStr">
        <is>
          <t>Abia</t>
        </is>
      </c>
      <c r="M354" s="68" t="n"/>
      <c r="N354" s="199">
        <f>O354/2</f>
        <v/>
      </c>
      <c r="O354" s="200" t="n">
        <v>319</v>
      </c>
      <c r="P354" s="220">
        <f>ROUNDUP(O354/300,)</f>
        <v/>
      </c>
      <c r="Q354" s="220" t="n">
        <v>1</v>
      </c>
      <c r="R354" s="220">
        <f>Q354+P354</f>
        <v/>
      </c>
      <c r="S354" s="198">
        <f>ROUNDDOWN(O354*0.51,)+60</f>
        <v/>
      </c>
      <c r="T354" s="207">
        <f>_xlfn.XLOOKUP(G354,[1]Fx!$A$4:$A$10,[1]Fx!$B$4:$B$10)</f>
        <v/>
      </c>
      <c r="U354" s="207">
        <f>_xlfn.XLOOKUP(G354,'[1]BP Setup'!$B$6:$B$72,'[1]BP Setup'!$Q$6:$Q$72)</f>
        <v/>
      </c>
      <c r="V354" s="207">
        <f>_xlfn.XLOOKUP(G354,'[1]BP Setup'!$B$6:$B$72,'[1]BP Setup'!$R$6:$R$72)</f>
        <v/>
      </c>
      <c r="W354" s="207">
        <f>$W$3</f>
        <v/>
      </c>
      <c r="X354" s="207" t="n">
        <v>80</v>
      </c>
      <c r="Y354" s="215">
        <f>T354*R354</f>
        <v/>
      </c>
      <c r="Z354" s="215">
        <f>U354*O354</f>
        <v/>
      </c>
      <c r="AA354" s="215">
        <f>V354*O354</f>
        <v/>
      </c>
      <c r="AB354" s="215">
        <f>W354*O354</f>
        <v/>
      </c>
      <c r="AC354" s="197">
        <f>X354*O354</f>
        <v/>
      </c>
      <c r="AD354" s="215" t="n">
        <v>0</v>
      </c>
      <c r="AE354" s="215" t="n">
        <v>0</v>
      </c>
      <c r="AF354" s="207">
        <f>SUM(Y354:AE354)</f>
        <v/>
      </c>
      <c r="AG354" s="254">
        <f>_xlfn.XLOOKUP(G354,[1]Fx!$A$16:$A$22,[1]Fx!$B$16:$B$22)</f>
        <v/>
      </c>
      <c r="AH354" s="207">
        <f>AG354*R354</f>
        <v/>
      </c>
      <c r="AI354" s="207">
        <f>$AI$3*Z354</f>
        <v/>
      </c>
      <c r="AJ354" s="207">
        <f>$AJ$3*AA354</f>
        <v/>
      </c>
      <c r="AK354" s="207">
        <f>$AK$3*AB354</f>
        <v/>
      </c>
      <c r="AL354" s="207">
        <f>$AL$3*AC354</f>
        <v/>
      </c>
      <c r="AM354" s="220">
        <f>SUM(AH354:AL354)</f>
        <v/>
      </c>
      <c r="AN354" s="220" t="n">
        <v>0</v>
      </c>
      <c r="AO354" s="220">
        <f>AN354*AH354</f>
        <v/>
      </c>
      <c r="AP354" s="220">
        <f>AD354</f>
        <v/>
      </c>
      <c r="AQ354" s="220">
        <f>AE354</f>
        <v/>
      </c>
      <c r="AR354" s="208">
        <f>AM354-AO354</f>
        <v/>
      </c>
      <c r="AS354" s="220">
        <f>AR354-AK354</f>
        <v/>
      </c>
      <c r="AT354" s="208">
        <f>AS354*1.075</f>
        <v/>
      </c>
      <c r="AU354" s="208">
        <f>AT354+AK354</f>
        <v/>
      </c>
      <c r="AV354" s="198" t="n">
        <v>394806.5987221971</v>
      </c>
      <c r="AW354" s="264">
        <f>BO354*2</f>
        <v/>
      </c>
      <c r="AX354" s="220">
        <f>AV354-AR354</f>
        <v/>
      </c>
      <c r="AY354" s="35">
        <f>AX354/AR354</f>
        <v/>
      </c>
      <c r="AZ354" s="220">
        <f>AV354-AF354</f>
        <v/>
      </c>
      <c r="BA354" s="215">
        <f>AV354-SUM(Z354:AC354)</f>
        <v/>
      </c>
      <c r="BB354" s="215">
        <f>BA354-Y354</f>
        <v/>
      </c>
      <c r="BC354" s="35">
        <f>BB354/BA354</f>
        <v/>
      </c>
      <c r="BD354" s="35">
        <f>IFERROR(AZ354/AV354,)</f>
        <v/>
      </c>
      <c r="BE354" s="255">
        <f>AV354-SUM(Z354:AC354)</f>
        <v/>
      </c>
      <c r="BF354" s="255">
        <f>AV354-BE354-AC354-AB354</f>
        <v/>
      </c>
      <c r="BG354" s="255">
        <f>AV354-BE354-BF354-AB354</f>
        <v/>
      </c>
      <c r="BH354" s="255">
        <f>AB354</f>
        <v/>
      </c>
      <c r="BI354" s="263" t="inlineStr">
        <is>
          <t>Approved</t>
        </is>
      </c>
    </row>
    <row r="355">
      <c r="C355" s="23" t="inlineStr">
        <is>
          <t>ASINI/Yekeni</t>
        </is>
      </c>
      <c r="D355">
        <f>CONCATENATE(G355,"-",H355,"-",F355)</f>
        <v/>
      </c>
      <c r="E355" s="24" t="inlineStr">
        <is>
          <t>JMG-10T-Hiabs Logistics-Upcountry</t>
        </is>
      </c>
      <c r="F355" s="23" t="inlineStr">
        <is>
          <t>Upcountry</t>
        </is>
      </c>
      <c r="G355" s="25" t="inlineStr">
        <is>
          <t>Hiabs Logistics</t>
        </is>
      </c>
      <c r="H355" s="24" t="inlineStr">
        <is>
          <t>10T</t>
        </is>
      </c>
      <c r="I355" s="73" t="inlineStr">
        <is>
          <t>JMG</t>
        </is>
      </c>
      <c r="J355" s="74" t="inlineStr">
        <is>
          <t>Port Harcourt</t>
        </is>
      </c>
      <c r="K355" s="115" t="inlineStr">
        <is>
          <t>Okobo</t>
        </is>
      </c>
      <c r="L355" s="25" t="inlineStr">
        <is>
          <t>Akwa Ibom</t>
        </is>
      </c>
      <c r="M355" s="68" t="n"/>
      <c r="N355" s="199">
        <f>O355/2</f>
        <v/>
      </c>
      <c r="O355" s="200" t="n">
        <v>319</v>
      </c>
      <c r="P355" s="220">
        <f>ROUNDUP(O355/300,)</f>
        <v/>
      </c>
      <c r="Q355" s="220" t="n">
        <v>1</v>
      </c>
      <c r="R355" s="220">
        <f>Q355+P355</f>
        <v/>
      </c>
      <c r="S355" s="198">
        <f>ROUNDDOWN(O355*0.51,)+60</f>
        <v/>
      </c>
      <c r="T355" s="207">
        <f>_xlfn.XLOOKUP(G355,[1]Fx!$A$4:$A$10,[1]Fx!$B$4:$B$10)</f>
        <v/>
      </c>
      <c r="U355" s="207">
        <f>_xlfn.XLOOKUP(G355,'[1]BP Setup'!$B$6:$B$72,'[1]BP Setup'!$Q$6:$Q$72)</f>
        <v/>
      </c>
      <c r="V355" s="207">
        <f>_xlfn.XLOOKUP(G355,'[1]BP Setup'!$B$6:$B$72,'[1]BP Setup'!$R$6:$R$72)</f>
        <v/>
      </c>
      <c r="W355" s="207">
        <f>$W$3</f>
        <v/>
      </c>
      <c r="X355" s="207" t="n">
        <v>80</v>
      </c>
      <c r="Y355" s="215">
        <f>T355*R355</f>
        <v/>
      </c>
      <c r="Z355" s="215">
        <f>U355*O355</f>
        <v/>
      </c>
      <c r="AA355" s="215">
        <f>V355*O355</f>
        <v/>
      </c>
      <c r="AB355" s="215">
        <f>W355*O355</f>
        <v/>
      </c>
      <c r="AC355" s="197">
        <f>X355*O355</f>
        <v/>
      </c>
      <c r="AD355" s="215" t="n">
        <v>0</v>
      </c>
      <c r="AE355" s="215" t="n">
        <v>0</v>
      </c>
      <c r="AF355" s="207">
        <f>SUM(Y355:AE355)</f>
        <v/>
      </c>
      <c r="AG355" s="254">
        <f>_xlfn.XLOOKUP(G355,[1]Fx!$A$16:$A$22,[1]Fx!$B$16:$B$22)</f>
        <v/>
      </c>
      <c r="AH355" s="207">
        <f>AG355*R355</f>
        <v/>
      </c>
      <c r="AI355" s="207">
        <f>$AI$3*Z355</f>
        <v/>
      </c>
      <c r="AJ355" s="207">
        <f>$AJ$3*AA355</f>
        <v/>
      </c>
      <c r="AK355" s="207">
        <f>$AK$3*AB355</f>
        <v/>
      </c>
      <c r="AL355" s="207">
        <f>$AL$3*AC355</f>
        <v/>
      </c>
      <c r="AM355" s="220">
        <f>SUM(AH355:AL355)</f>
        <v/>
      </c>
      <c r="AN355" s="220" t="n">
        <v>0</v>
      </c>
      <c r="AO355" s="220">
        <f>AN355*AH355</f>
        <v/>
      </c>
      <c r="AP355" s="220">
        <f>AD355</f>
        <v/>
      </c>
      <c r="AQ355" s="220">
        <f>AE355</f>
        <v/>
      </c>
      <c r="AR355" s="208">
        <f>AM355-AO355</f>
        <v/>
      </c>
      <c r="AS355" s="220">
        <f>AR355-AK355</f>
        <v/>
      </c>
      <c r="AT355" s="208">
        <f>AS355*1.075</f>
        <v/>
      </c>
      <c r="AU355" s="208">
        <f>AT355+AK355</f>
        <v/>
      </c>
      <c r="AV355" s="198" t="n">
        <v>394806.5987221971</v>
      </c>
      <c r="AW355" s="264">
        <f>BO355*2</f>
        <v/>
      </c>
      <c r="AX355" s="220">
        <f>AV355-AR355</f>
        <v/>
      </c>
      <c r="AY355" s="35">
        <f>AX355/AR355</f>
        <v/>
      </c>
      <c r="AZ355" s="220">
        <f>AV355-AF355</f>
        <v/>
      </c>
      <c r="BA355" s="215">
        <f>AV355-SUM(Z355:AC355)</f>
        <v/>
      </c>
      <c r="BB355" s="215">
        <f>BA355-Y355</f>
        <v/>
      </c>
      <c r="BC355" s="35">
        <f>BB355/BA355</f>
        <v/>
      </c>
      <c r="BD355" s="35">
        <f>IFERROR(AZ355/AV355,)</f>
        <v/>
      </c>
      <c r="BE355" s="255">
        <f>AV355-SUM(Z355:AC355)</f>
        <v/>
      </c>
      <c r="BF355" s="255">
        <f>AV355-BE355-AC355-AB355</f>
        <v/>
      </c>
      <c r="BG355" s="255">
        <f>AV355-BE355-BF355-AB355</f>
        <v/>
      </c>
      <c r="BH355" s="255">
        <f>AB355</f>
        <v/>
      </c>
      <c r="BI355" s="263" t="inlineStr">
        <is>
          <t xml:space="preserve">To Check </t>
        </is>
      </c>
    </row>
    <row r="356">
      <c r="C356" s="23" t="inlineStr">
        <is>
          <t>ASINI/Yekeni</t>
        </is>
      </c>
      <c r="D356">
        <f>CONCATENATE(G356,"-",H356,"-",F356)</f>
        <v/>
      </c>
      <c r="E356" s="24" t="inlineStr">
        <is>
          <t>JMG-10T-Hiabs Logistics-Upcountry</t>
        </is>
      </c>
      <c r="F356" s="23" t="inlineStr">
        <is>
          <t>Upcountry</t>
        </is>
      </c>
      <c r="G356" s="25" t="inlineStr">
        <is>
          <t>Hiabs Logistics</t>
        </is>
      </c>
      <c r="H356" s="24" t="inlineStr">
        <is>
          <t>10T</t>
        </is>
      </c>
      <c r="I356" s="73" t="inlineStr">
        <is>
          <t>JMG</t>
        </is>
      </c>
      <c r="J356" s="74" t="inlineStr">
        <is>
          <t>Port Harcourt</t>
        </is>
      </c>
      <c r="K356" s="115" t="inlineStr">
        <is>
          <t>Oron</t>
        </is>
      </c>
      <c r="L356" s="67" t="inlineStr">
        <is>
          <t>Akwa Ibom</t>
        </is>
      </c>
      <c r="M356" s="68" t="n"/>
      <c r="N356" s="199">
        <f>O356/2</f>
        <v/>
      </c>
      <c r="O356" s="200" t="n">
        <v>313</v>
      </c>
      <c r="P356" s="220">
        <f>ROUNDUP(O356/300,)</f>
        <v/>
      </c>
      <c r="Q356" s="220" t="n">
        <v>1</v>
      </c>
      <c r="R356" s="220">
        <f>Q356+P356</f>
        <v/>
      </c>
      <c r="S356" s="198">
        <f>ROUNDDOWN(O356*0.51,)+60</f>
        <v/>
      </c>
      <c r="T356" s="207">
        <f>_xlfn.XLOOKUP(G356,[1]Fx!$A$4:$A$10,[1]Fx!$B$4:$B$10)</f>
        <v/>
      </c>
      <c r="U356" s="207">
        <f>_xlfn.XLOOKUP(G356,'[1]BP Setup'!$B$6:$B$72,'[1]BP Setup'!$Q$6:$Q$72)</f>
        <v/>
      </c>
      <c r="V356" s="207">
        <f>_xlfn.XLOOKUP(G356,'[1]BP Setup'!$B$6:$B$72,'[1]BP Setup'!$R$6:$R$72)</f>
        <v/>
      </c>
      <c r="W356" s="207">
        <f>$W$3</f>
        <v/>
      </c>
      <c r="X356" s="207" t="n">
        <v>80</v>
      </c>
      <c r="Y356" s="215">
        <f>T356*R356</f>
        <v/>
      </c>
      <c r="Z356" s="215">
        <f>U356*O356</f>
        <v/>
      </c>
      <c r="AA356" s="215">
        <f>V356*O356</f>
        <v/>
      </c>
      <c r="AB356" s="215">
        <f>W356*O356</f>
        <v/>
      </c>
      <c r="AC356" s="197">
        <f>X356*O356</f>
        <v/>
      </c>
      <c r="AD356" s="215" t="n">
        <v>0</v>
      </c>
      <c r="AE356" s="215" t="n">
        <v>0</v>
      </c>
      <c r="AF356" s="207">
        <f>SUM(Y356:AE356)</f>
        <v/>
      </c>
      <c r="AG356" s="254">
        <f>_xlfn.XLOOKUP(G356,[1]Fx!$A$16:$A$22,[1]Fx!$B$16:$B$22)</f>
        <v/>
      </c>
      <c r="AH356" s="207">
        <f>AG356*R356</f>
        <v/>
      </c>
      <c r="AI356" s="207">
        <f>$AI$3*Z356</f>
        <v/>
      </c>
      <c r="AJ356" s="207">
        <f>$AJ$3*AA356</f>
        <v/>
      </c>
      <c r="AK356" s="207">
        <f>$AK$3*AB356</f>
        <v/>
      </c>
      <c r="AL356" s="207">
        <f>$AL$3*AC356</f>
        <v/>
      </c>
      <c r="AM356" s="220">
        <f>SUM(AH356:AL356)</f>
        <v/>
      </c>
      <c r="AN356" s="220" t="n">
        <v>0</v>
      </c>
      <c r="AO356" s="220">
        <f>AN356*AH356</f>
        <v/>
      </c>
      <c r="AP356" s="220">
        <f>AD356</f>
        <v/>
      </c>
      <c r="AQ356" s="220">
        <f>AE356</f>
        <v/>
      </c>
      <c r="AR356" s="208">
        <f>AM356-AO356</f>
        <v/>
      </c>
      <c r="AS356" s="220">
        <f>AR356-AK356</f>
        <v/>
      </c>
      <c r="AT356" s="208">
        <f>AS356*1.075</f>
        <v/>
      </c>
      <c r="AU356" s="208">
        <f>AT356+AK356</f>
        <v/>
      </c>
      <c r="AV356" s="198" t="n">
        <v>394806.5987221971</v>
      </c>
      <c r="AW356" s="264">
        <f>BO356*2</f>
        <v/>
      </c>
      <c r="AX356" s="220">
        <f>AV356-AR356</f>
        <v/>
      </c>
      <c r="AY356" s="35">
        <f>AX356/AR356</f>
        <v/>
      </c>
      <c r="AZ356" s="220">
        <f>AV356-AF356</f>
        <v/>
      </c>
      <c r="BA356" s="215">
        <f>AV356-SUM(Z356:AC356)</f>
        <v/>
      </c>
      <c r="BB356" s="215">
        <f>BA356-Y356</f>
        <v/>
      </c>
      <c r="BC356" s="35">
        <f>BB356/BA356</f>
        <v/>
      </c>
      <c r="BD356" s="35">
        <f>IFERROR(AZ356/AV356,)</f>
        <v/>
      </c>
      <c r="BE356" s="255">
        <f>AV356-SUM(Z356:AC356)</f>
        <v/>
      </c>
      <c r="BF356" s="255">
        <f>AV356-BE356-AC356-AB356</f>
        <v/>
      </c>
      <c r="BG356" s="255">
        <f>AV356-BE356-BF356-AB356</f>
        <v/>
      </c>
      <c r="BH356" s="255">
        <f>AB356</f>
        <v/>
      </c>
      <c r="BI356" s="263" t="inlineStr">
        <is>
          <t>Approved</t>
        </is>
      </c>
    </row>
    <row r="357">
      <c r="C357" s="23" t="inlineStr">
        <is>
          <t>ASINI/Yekeni</t>
        </is>
      </c>
      <c r="D357">
        <f>CONCATENATE(G357,"-",H357,"-",F357)</f>
        <v/>
      </c>
      <c r="E357" s="24" t="inlineStr">
        <is>
          <t>JMG-10T-Hiabs Logistics-Upcountry</t>
        </is>
      </c>
      <c r="F357" s="23" t="inlineStr">
        <is>
          <t>Upcountry</t>
        </is>
      </c>
      <c r="G357" s="25" t="inlineStr">
        <is>
          <t>Hiabs Logistics</t>
        </is>
      </c>
      <c r="H357" s="24" t="inlineStr">
        <is>
          <t>10T</t>
        </is>
      </c>
      <c r="I357" s="73" t="inlineStr">
        <is>
          <t>JMG</t>
        </is>
      </c>
      <c r="J357" s="74" t="inlineStr">
        <is>
          <t>Port Harcourt</t>
        </is>
      </c>
      <c r="K357" s="115" t="inlineStr">
        <is>
          <t>Oguta</t>
        </is>
      </c>
      <c r="L357" s="67" t="inlineStr">
        <is>
          <t>Imo</t>
        </is>
      </c>
      <c r="M357" s="68" t="n"/>
      <c r="N357" s="199">
        <f>O357/2</f>
        <v/>
      </c>
      <c r="O357" s="200" t="n">
        <v>295</v>
      </c>
      <c r="P357" s="220">
        <f>ROUNDUP(O357/300,)</f>
        <v/>
      </c>
      <c r="Q357" s="220" t="n">
        <v>1</v>
      </c>
      <c r="R357" s="220">
        <f>Q357+P357</f>
        <v/>
      </c>
      <c r="S357" s="198">
        <f>ROUNDDOWN(O357*0.51,)+60</f>
        <v/>
      </c>
      <c r="T357" s="207">
        <f>_xlfn.XLOOKUP(G357,[1]Fx!$A$4:$A$10,[1]Fx!$B$4:$B$10)</f>
        <v/>
      </c>
      <c r="U357" s="207">
        <f>_xlfn.XLOOKUP(G357,'[1]BP Setup'!$B$6:$B$72,'[1]BP Setup'!$Q$6:$Q$72)</f>
        <v/>
      </c>
      <c r="V357" s="207">
        <f>_xlfn.XLOOKUP(G357,'[1]BP Setup'!$B$6:$B$72,'[1]BP Setup'!$R$6:$R$72)</f>
        <v/>
      </c>
      <c r="W357" s="207">
        <f>$W$3</f>
        <v/>
      </c>
      <c r="X357" s="207" t="n">
        <v>80</v>
      </c>
      <c r="Y357" s="215">
        <f>T357*R357</f>
        <v/>
      </c>
      <c r="Z357" s="215">
        <f>U357*O357</f>
        <v/>
      </c>
      <c r="AA357" s="215">
        <f>V357*O357</f>
        <v/>
      </c>
      <c r="AB357" s="215">
        <f>W357*O357</f>
        <v/>
      </c>
      <c r="AC357" s="197">
        <f>X357*O357</f>
        <v/>
      </c>
      <c r="AD357" s="215" t="n">
        <v>0</v>
      </c>
      <c r="AE357" s="215" t="n">
        <v>0</v>
      </c>
      <c r="AF357" s="207">
        <f>SUM(Y357:AE357)</f>
        <v/>
      </c>
      <c r="AG357" s="254">
        <f>_xlfn.XLOOKUP(G357,[1]Fx!$A$16:$A$22,[1]Fx!$B$16:$B$22)</f>
        <v/>
      </c>
      <c r="AH357" s="207">
        <f>AG357*R357</f>
        <v/>
      </c>
      <c r="AI357" s="207">
        <f>$AI$3*Z357</f>
        <v/>
      </c>
      <c r="AJ357" s="207">
        <f>$AJ$3*AA357</f>
        <v/>
      </c>
      <c r="AK357" s="207">
        <f>$AK$3*AB357</f>
        <v/>
      </c>
      <c r="AL357" s="207">
        <f>$AL$3*AC357</f>
        <v/>
      </c>
      <c r="AM357" s="220">
        <f>SUM(AH357:AL357)</f>
        <v/>
      </c>
      <c r="AN357" s="220" t="n">
        <v>0</v>
      </c>
      <c r="AO357" s="220">
        <f>AN357*AH357</f>
        <v/>
      </c>
      <c r="AP357" s="220">
        <f>AD357</f>
        <v/>
      </c>
      <c r="AQ357" s="220">
        <f>AE357</f>
        <v/>
      </c>
      <c r="AR357" s="208">
        <f>AM357-AO357</f>
        <v/>
      </c>
      <c r="AS357" s="220">
        <f>AR357-AK357</f>
        <v/>
      </c>
      <c r="AT357" s="208">
        <f>AS357*1.075</f>
        <v/>
      </c>
      <c r="AU357" s="208">
        <f>AT357+AK357</f>
        <v/>
      </c>
      <c r="AV357" s="198" t="n">
        <v>263204.3991481314</v>
      </c>
      <c r="AW357" s="264">
        <f>BO357*2</f>
        <v/>
      </c>
      <c r="AX357" s="220">
        <f>AV357-AR357</f>
        <v/>
      </c>
      <c r="AY357" s="35">
        <f>AX357/AR357</f>
        <v/>
      </c>
      <c r="AZ357" s="220">
        <f>AV357-AF357</f>
        <v/>
      </c>
      <c r="BA357" s="215">
        <f>AV357-SUM(Z357:AC357)</f>
        <v/>
      </c>
      <c r="BB357" s="215">
        <f>BA357-Y357</f>
        <v/>
      </c>
      <c r="BC357" s="35">
        <f>BB357/BA357</f>
        <v/>
      </c>
      <c r="BD357" s="35">
        <f>IFERROR(AZ357/AV357,)</f>
        <v/>
      </c>
      <c r="BE357" s="255">
        <f>AV357-SUM(Z357:AC357)</f>
        <v/>
      </c>
      <c r="BF357" s="255">
        <f>AV357-BE357-AC357-AB357</f>
        <v/>
      </c>
      <c r="BG357" s="255">
        <f>AV357-BE357-BF357-AB357</f>
        <v/>
      </c>
      <c r="BH357" s="255">
        <f>AB357</f>
        <v/>
      </c>
      <c r="BI357" s="263" t="inlineStr">
        <is>
          <t>Approved</t>
        </is>
      </c>
    </row>
    <row r="358">
      <c r="C358" s="23" t="inlineStr">
        <is>
          <t>ASINI/Yekeni</t>
        </is>
      </c>
      <c r="D358">
        <f>CONCATENATE(G358,"-",H358,"-",F358)</f>
        <v/>
      </c>
      <c r="E358" s="24" t="inlineStr">
        <is>
          <t>JMG-10T-Hiabs Logistics-Upcountry</t>
        </is>
      </c>
      <c r="F358" s="23" t="inlineStr">
        <is>
          <t>Upcountry</t>
        </is>
      </c>
      <c r="G358" s="25" t="inlineStr">
        <is>
          <t>Hiabs Logistics</t>
        </is>
      </c>
      <c r="H358" s="24" t="inlineStr">
        <is>
          <t>10T</t>
        </is>
      </c>
      <c r="I358" s="73" t="inlineStr">
        <is>
          <t>JMG</t>
        </is>
      </c>
      <c r="J358" s="74" t="inlineStr">
        <is>
          <t>Port Harcourt</t>
        </is>
      </c>
      <c r="K358" s="115" t="inlineStr">
        <is>
          <t>Okigwe</t>
        </is>
      </c>
      <c r="L358" s="67" t="inlineStr">
        <is>
          <t>Imo</t>
        </is>
      </c>
      <c r="M358" s="68" t="n"/>
      <c r="N358" s="199">
        <f>O358/2</f>
        <v/>
      </c>
      <c r="O358" s="200" t="n">
        <v>294</v>
      </c>
      <c r="P358" s="220">
        <f>ROUNDUP(O358/300,)</f>
        <v/>
      </c>
      <c r="Q358" s="220" t="n">
        <v>1</v>
      </c>
      <c r="R358" s="220">
        <f>Q358+P358</f>
        <v/>
      </c>
      <c r="S358" s="198">
        <f>ROUNDDOWN(O358*0.51,)+60</f>
        <v/>
      </c>
      <c r="T358" s="207">
        <f>_xlfn.XLOOKUP(G358,[1]Fx!$A$4:$A$10,[1]Fx!$B$4:$B$10)</f>
        <v/>
      </c>
      <c r="U358" s="207">
        <f>_xlfn.XLOOKUP(G358,'[1]BP Setup'!$B$6:$B$72,'[1]BP Setup'!$Q$6:$Q$72)</f>
        <v/>
      </c>
      <c r="V358" s="207">
        <f>_xlfn.XLOOKUP(G358,'[1]BP Setup'!$B$6:$B$72,'[1]BP Setup'!$R$6:$R$72)</f>
        <v/>
      </c>
      <c r="W358" s="207">
        <f>$W$3</f>
        <v/>
      </c>
      <c r="X358" s="207" t="n">
        <v>80</v>
      </c>
      <c r="Y358" s="215">
        <f>T358*R358</f>
        <v/>
      </c>
      <c r="Z358" s="215">
        <f>U358*O358</f>
        <v/>
      </c>
      <c r="AA358" s="215">
        <f>V358*O358</f>
        <v/>
      </c>
      <c r="AB358" s="215">
        <f>W358*O358</f>
        <v/>
      </c>
      <c r="AC358" s="197">
        <f>X358*O358</f>
        <v/>
      </c>
      <c r="AD358" s="215" t="n">
        <v>0</v>
      </c>
      <c r="AE358" s="215" t="n">
        <v>0</v>
      </c>
      <c r="AF358" s="207">
        <f>SUM(Y358:AE358)</f>
        <v/>
      </c>
      <c r="AG358" s="254">
        <f>_xlfn.XLOOKUP(G358,[1]Fx!$A$16:$A$22,[1]Fx!$B$16:$B$22)</f>
        <v/>
      </c>
      <c r="AH358" s="207">
        <f>AG358*R358</f>
        <v/>
      </c>
      <c r="AI358" s="207">
        <f>$AI$3*Z358</f>
        <v/>
      </c>
      <c r="AJ358" s="207">
        <f>$AJ$3*AA358</f>
        <v/>
      </c>
      <c r="AK358" s="207">
        <f>$AK$3*AB358</f>
        <v/>
      </c>
      <c r="AL358" s="207">
        <f>$AL$3*AC358</f>
        <v/>
      </c>
      <c r="AM358" s="220">
        <f>SUM(AH358:AL358)</f>
        <v/>
      </c>
      <c r="AN358" s="220" t="n">
        <v>0</v>
      </c>
      <c r="AO358" s="220">
        <f>AN358*AH358</f>
        <v/>
      </c>
      <c r="AP358" s="220">
        <f>AD358</f>
        <v/>
      </c>
      <c r="AQ358" s="220">
        <f>AE358</f>
        <v/>
      </c>
      <c r="AR358" s="208">
        <f>AM358-AO358</f>
        <v/>
      </c>
      <c r="AS358" s="220">
        <f>AR358-AK358</f>
        <v/>
      </c>
      <c r="AT358" s="208">
        <f>AS358*1.075</f>
        <v/>
      </c>
      <c r="AU358" s="208">
        <f>AT358+AK358</f>
        <v/>
      </c>
      <c r="AV358" s="198" t="n">
        <v>263204.3991481314</v>
      </c>
      <c r="AW358" s="264">
        <f>BO358*2</f>
        <v/>
      </c>
      <c r="AX358" s="220">
        <f>AV358-AR358</f>
        <v/>
      </c>
      <c r="AY358" s="35">
        <f>AX358/AR358</f>
        <v/>
      </c>
      <c r="AZ358" s="220">
        <f>AV358-AF358</f>
        <v/>
      </c>
      <c r="BA358" s="215">
        <f>AV358-SUM(Z358:AC358)</f>
        <v/>
      </c>
      <c r="BB358" s="215">
        <f>BA358-Y358</f>
        <v/>
      </c>
      <c r="BC358" s="35">
        <f>BB358/BA358</f>
        <v/>
      </c>
      <c r="BD358" s="35">
        <f>IFERROR(AZ358/AV358,)</f>
        <v/>
      </c>
      <c r="BE358" s="255">
        <f>AV358-SUM(Z358:AC358)</f>
        <v/>
      </c>
      <c r="BF358" s="255">
        <f>AV358-BE358-AC358-AB358</f>
        <v/>
      </c>
      <c r="BG358" s="255">
        <f>AV358-BE358-BF358-AB358</f>
        <v/>
      </c>
      <c r="BH358" s="255">
        <f>AB358</f>
        <v/>
      </c>
      <c r="BI358" s="263" t="inlineStr">
        <is>
          <t>Approved</t>
        </is>
      </c>
    </row>
    <row r="359">
      <c r="C359" s="23" t="inlineStr">
        <is>
          <t>ASINI/Yekeni</t>
        </is>
      </c>
      <c r="D359">
        <f>CONCATENATE(G359,"-",H359,"-",F359)</f>
        <v/>
      </c>
      <c r="E359" s="24" t="inlineStr">
        <is>
          <t>JMG-10T-Hiabs Logistics-Upcountry</t>
        </is>
      </c>
      <c r="F359" s="23" t="inlineStr">
        <is>
          <t>Upcountry</t>
        </is>
      </c>
      <c r="G359" s="25" t="inlineStr">
        <is>
          <t>Hiabs Logistics</t>
        </is>
      </c>
      <c r="H359" s="24" t="inlineStr">
        <is>
          <t>10T</t>
        </is>
      </c>
      <c r="I359" s="73" t="inlineStr">
        <is>
          <t>JMG</t>
        </is>
      </c>
      <c r="J359" s="74" t="inlineStr">
        <is>
          <t>Port Harcourt</t>
        </is>
      </c>
      <c r="K359" s="115" t="inlineStr">
        <is>
          <t>Itu</t>
        </is>
      </c>
      <c r="L359" s="67" t="inlineStr">
        <is>
          <t>Akwa Ibom</t>
        </is>
      </c>
      <c r="M359" s="68" t="n"/>
      <c r="N359" s="199">
        <f>O359/2</f>
        <v/>
      </c>
      <c r="O359" s="200" t="n">
        <v>290</v>
      </c>
      <c r="P359" s="220">
        <f>ROUNDUP(O359/300,)</f>
        <v/>
      </c>
      <c r="Q359" s="220" t="n">
        <v>1</v>
      </c>
      <c r="R359" s="220">
        <f>Q359+P359</f>
        <v/>
      </c>
      <c r="S359" s="198">
        <f>ROUNDDOWN(O359*0.51,)+60</f>
        <v/>
      </c>
      <c r="T359" s="207">
        <f>_xlfn.XLOOKUP(G359,[1]Fx!$A$4:$A$10,[1]Fx!$B$4:$B$10)</f>
        <v/>
      </c>
      <c r="U359" s="207">
        <f>_xlfn.XLOOKUP(G359,'[1]BP Setup'!$B$6:$B$72,'[1]BP Setup'!$Q$6:$Q$72)</f>
        <v/>
      </c>
      <c r="V359" s="207">
        <f>_xlfn.XLOOKUP(G359,'[1]BP Setup'!$B$6:$B$72,'[1]BP Setup'!$R$6:$R$72)</f>
        <v/>
      </c>
      <c r="W359" s="207">
        <f>$W$3</f>
        <v/>
      </c>
      <c r="X359" s="207" t="n">
        <v>80</v>
      </c>
      <c r="Y359" s="215">
        <f>T359*R359</f>
        <v/>
      </c>
      <c r="Z359" s="215">
        <f>U359*O359</f>
        <v/>
      </c>
      <c r="AA359" s="215">
        <f>V359*O359</f>
        <v/>
      </c>
      <c r="AB359" s="215">
        <f>W359*O359</f>
        <v/>
      </c>
      <c r="AC359" s="197">
        <f>X359*O359</f>
        <v/>
      </c>
      <c r="AD359" s="215" t="n">
        <v>0</v>
      </c>
      <c r="AE359" s="215" t="n">
        <v>0</v>
      </c>
      <c r="AF359" s="207">
        <f>SUM(Y359:AE359)</f>
        <v/>
      </c>
      <c r="AG359" s="254">
        <f>_xlfn.XLOOKUP(G359,[1]Fx!$A$16:$A$22,[1]Fx!$B$16:$B$22)</f>
        <v/>
      </c>
      <c r="AH359" s="207">
        <f>AG359*R359</f>
        <v/>
      </c>
      <c r="AI359" s="207">
        <f>$AI$3*Z359</f>
        <v/>
      </c>
      <c r="AJ359" s="207">
        <f>$AJ$3*AA359</f>
        <v/>
      </c>
      <c r="AK359" s="207">
        <f>$AK$3*AB359</f>
        <v/>
      </c>
      <c r="AL359" s="207">
        <f>$AL$3*AC359</f>
        <v/>
      </c>
      <c r="AM359" s="220">
        <f>SUM(AH359:AL359)</f>
        <v/>
      </c>
      <c r="AN359" s="220" t="n">
        <v>0</v>
      </c>
      <c r="AO359" s="220">
        <f>AN359*AH359</f>
        <v/>
      </c>
      <c r="AP359" s="220">
        <f>AD359</f>
        <v/>
      </c>
      <c r="AQ359" s="220">
        <f>AE359</f>
        <v/>
      </c>
      <c r="AR359" s="208">
        <f>AM359-AO359</f>
        <v/>
      </c>
      <c r="AS359" s="220">
        <f>AR359-AK359</f>
        <v/>
      </c>
      <c r="AT359" s="208">
        <f>AS359*1.075</f>
        <v/>
      </c>
      <c r="AU359" s="208">
        <f>AT359+AK359</f>
        <v/>
      </c>
      <c r="AV359" s="198" t="n">
        <v>263204.3991481314</v>
      </c>
      <c r="AW359" s="264">
        <f>BO359*2</f>
        <v/>
      </c>
      <c r="AX359" s="220">
        <f>AV359-AR359</f>
        <v/>
      </c>
      <c r="AY359" s="35">
        <f>AX359/AR359</f>
        <v/>
      </c>
      <c r="AZ359" s="220">
        <f>AV359-AF359</f>
        <v/>
      </c>
      <c r="BA359" s="215">
        <f>AV359-SUM(Z359:AC359)</f>
        <v/>
      </c>
      <c r="BB359" s="215">
        <f>BA359-Y359</f>
        <v/>
      </c>
      <c r="BC359" s="35">
        <f>BB359/BA359</f>
        <v/>
      </c>
      <c r="BD359" s="35">
        <f>IFERROR(AZ359/AV359,)</f>
        <v/>
      </c>
      <c r="BE359" s="255">
        <f>AV359-SUM(Z359:AC359)</f>
        <v/>
      </c>
      <c r="BF359" s="255">
        <f>AV359-BE359-AC359-AB359</f>
        <v/>
      </c>
      <c r="BG359" s="255">
        <f>AV359-BE359-BF359-AB359</f>
        <v/>
      </c>
      <c r="BH359" s="255">
        <f>AB359</f>
        <v/>
      </c>
      <c r="BI359" s="263" t="inlineStr">
        <is>
          <t>Approved</t>
        </is>
      </c>
    </row>
    <row r="360">
      <c r="C360" s="23" t="inlineStr">
        <is>
          <t>ASINI/Yekeni</t>
        </is>
      </c>
      <c r="D360">
        <f>CONCATENATE(G360,"-",H360,"-",F360)</f>
        <v/>
      </c>
      <c r="E360" s="24" t="inlineStr">
        <is>
          <t>JMG-10T-Hiabs Logistics-Upcountry</t>
        </is>
      </c>
      <c r="F360" s="23" t="inlineStr">
        <is>
          <t>Upcountry</t>
        </is>
      </c>
      <c r="G360" s="25" t="inlineStr">
        <is>
          <t>Hiabs Logistics</t>
        </is>
      </c>
      <c r="H360" s="24" t="inlineStr">
        <is>
          <t>10T</t>
        </is>
      </c>
      <c r="I360" s="73" t="inlineStr">
        <is>
          <t>JMG</t>
        </is>
      </c>
      <c r="J360" s="74" t="inlineStr">
        <is>
          <t>Port Harcourt</t>
        </is>
      </c>
      <c r="K360" s="115" t="inlineStr">
        <is>
          <t>Uyo</t>
        </is>
      </c>
      <c r="L360" s="67" t="inlineStr">
        <is>
          <t>Akwa Ibom</t>
        </is>
      </c>
      <c r="M360" s="68" t="n"/>
      <c r="N360" s="199">
        <f>O360/2</f>
        <v/>
      </c>
      <c r="O360" s="200" t="n">
        <v>290</v>
      </c>
      <c r="P360" s="220">
        <f>ROUNDUP(O360/300,)</f>
        <v/>
      </c>
      <c r="Q360" s="220" t="n">
        <v>1</v>
      </c>
      <c r="R360" s="220">
        <f>Q360+P360</f>
        <v/>
      </c>
      <c r="S360" s="198">
        <f>ROUNDDOWN(O360*0.51,)+60</f>
        <v/>
      </c>
      <c r="T360" s="207">
        <f>_xlfn.XLOOKUP(G360,[1]Fx!$A$4:$A$10,[1]Fx!$B$4:$B$10)</f>
        <v/>
      </c>
      <c r="U360" s="207">
        <f>_xlfn.XLOOKUP(G360,'[1]BP Setup'!$B$6:$B$72,'[1]BP Setup'!$Q$6:$Q$72)</f>
        <v/>
      </c>
      <c r="V360" s="207">
        <f>_xlfn.XLOOKUP(G360,'[1]BP Setup'!$B$6:$B$72,'[1]BP Setup'!$R$6:$R$72)</f>
        <v/>
      </c>
      <c r="W360" s="207">
        <f>$W$3</f>
        <v/>
      </c>
      <c r="X360" s="207" t="n">
        <v>80</v>
      </c>
      <c r="Y360" s="215">
        <f>T360*R360</f>
        <v/>
      </c>
      <c r="Z360" s="215">
        <f>U360*O360</f>
        <v/>
      </c>
      <c r="AA360" s="215">
        <f>V360*O360</f>
        <v/>
      </c>
      <c r="AB360" s="215">
        <f>W360*O360</f>
        <v/>
      </c>
      <c r="AC360" s="197">
        <f>X360*O360</f>
        <v/>
      </c>
      <c r="AD360" s="215" t="n">
        <v>0</v>
      </c>
      <c r="AE360" s="215" t="n">
        <v>0</v>
      </c>
      <c r="AF360" s="207">
        <f>SUM(Y360:AE360)</f>
        <v/>
      </c>
      <c r="AG360" s="254">
        <f>_xlfn.XLOOKUP(G360,[1]Fx!$A$16:$A$22,[1]Fx!$B$16:$B$22)</f>
        <v/>
      </c>
      <c r="AH360" s="207">
        <f>AG360*R360</f>
        <v/>
      </c>
      <c r="AI360" s="207">
        <f>$AI$3*Z360</f>
        <v/>
      </c>
      <c r="AJ360" s="207">
        <f>$AJ$3*AA360</f>
        <v/>
      </c>
      <c r="AK360" s="207">
        <f>$AK$3*AB360</f>
        <v/>
      </c>
      <c r="AL360" s="207">
        <f>$AL$3*AC360</f>
        <v/>
      </c>
      <c r="AM360" s="220">
        <f>SUM(AH360:AL360)</f>
        <v/>
      </c>
      <c r="AN360" s="220" t="n">
        <v>0</v>
      </c>
      <c r="AO360" s="220">
        <f>AN360*AH360</f>
        <v/>
      </c>
      <c r="AP360" s="220">
        <f>AD360</f>
        <v/>
      </c>
      <c r="AQ360" s="220">
        <f>AE360</f>
        <v/>
      </c>
      <c r="AR360" s="208">
        <f>AM360-AO360</f>
        <v/>
      </c>
      <c r="AS360" s="220">
        <f>AR360-AK360</f>
        <v/>
      </c>
      <c r="AT360" s="208">
        <f>AS360*1.075</f>
        <v/>
      </c>
      <c r="AU360" s="208">
        <f>AT360+AK360</f>
        <v/>
      </c>
      <c r="AV360" s="198" t="n">
        <v>263204.3991481314</v>
      </c>
      <c r="AW360" s="264">
        <f>BO360*2</f>
        <v/>
      </c>
      <c r="AX360" s="220">
        <f>AV360-AR360</f>
        <v/>
      </c>
      <c r="AY360" s="35">
        <f>AX360/AR360</f>
        <v/>
      </c>
      <c r="AZ360" s="220">
        <f>AV360-AF360</f>
        <v/>
      </c>
      <c r="BA360" s="215">
        <f>AV360-SUM(Z360:AC360)</f>
        <v/>
      </c>
      <c r="BB360" s="215">
        <f>BA360-Y360</f>
        <v/>
      </c>
      <c r="BC360" s="35">
        <f>BB360/BA360</f>
        <v/>
      </c>
      <c r="BD360" s="35">
        <f>IFERROR(AZ360/AV360,)</f>
        <v/>
      </c>
      <c r="BE360" s="255">
        <f>AV360-SUM(Z360:AC360)</f>
        <v/>
      </c>
      <c r="BF360" s="255">
        <f>AV360-BE360-AC360-AB360</f>
        <v/>
      </c>
      <c r="BG360" s="255">
        <f>AV360-BE360-BF360-AB360</f>
        <v/>
      </c>
      <c r="BH360" s="255">
        <f>AB360</f>
        <v/>
      </c>
      <c r="BI360" s="263" t="inlineStr">
        <is>
          <t>Worst Case Approved</t>
        </is>
      </c>
    </row>
    <row r="361">
      <c r="C361" s="23" t="inlineStr">
        <is>
          <t>ASINI/Yekeni</t>
        </is>
      </c>
      <c r="D361">
        <f>CONCATENATE(G361,"-",H361,"-",F361)</f>
        <v/>
      </c>
      <c r="E361" s="24" t="inlineStr">
        <is>
          <t>JMG-10T-Hiabs Logistics-Upcountry</t>
        </is>
      </c>
      <c r="F361" s="23" t="inlineStr">
        <is>
          <t>Upcountry</t>
        </is>
      </c>
      <c r="G361" s="25" t="inlineStr">
        <is>
          <t>Hiabs Logistics</t>
        </is>
      </c>
      <c r="H361" s="24" t="inlineStr">
        <is>
          <t>10T</t>
        </is>
      </c>
      <c r="I361" s="73" t="inlineStr">
        <is>
          <t>JMG</t>
        </is>
      </c>
      <c r="J361" s="74" t="inlineStr">
        <is>
          <t>Port Harcourt</t>
        </is>
      </c>
      <c r="K361" s="115" t="inlineStr">
        <is>
          <t>Ikot Ekpene</t>
        </is>
      </c>
      <c r="L361" s="67" t="inlineStr">
        <is>
          <t>Akwa Ibom</t>
        </is>
      </c>
      <c r="M361" s="68" t="n"/>
      <c r="N361" s="199">
        <f>O361/2</f>
        <v/>
      </c>
      <c r="O361" s="200" t="n">
        <v>280</v>
      </c>
      <c r="P361" s="220">
        <f>ROUNDUP(O361/300,)</f>
        <v/>
      </c>
      <c r="Q361" s="220" t="n">
        <v>1</v>
      </c>
      <c r="R361" s="220">
        <f>Q361+P361</f>
        <v/>
      </c>
      <c r="S361" s="198">
        <f>ROUNDDOWN(O361*0.51,)+60</f>
        <v/>
      </c>
      <c r="T361" s="207">
        <f>_xlfn.XLOOKUP(G361,[1]Fx!$A$4:$A$10,[1]Fx!$B$4:$B$10)</f>
        <v/>
      </c>
      <c r="U361" s="207">
        <f>_xlfn.XLOOKUP(G361,'[1]BP Setup'!$B$6:$B$72,'[1]BP Setup'!$Q$6:$Q$72)</f>
        <v/>
      </c>
      <c r="V361" s="207">
        <f>_xlfn.XLOOKUP(G361,'[1]BP Setup'!$B$6:$B$72,'[1]BP Setup'!$R$6:$R$72)</f>
        <v/>
      </c>
      <c r="W361" s="207">
        <f>$W$3</f>
        <v/>
      </c>
      <c r="X361" s="207" t="n">
        <v>80</v>
      </c>
      <c r="Y361" s="215">
        <f>T361*R361</f>
        <v/>
      </c>
      <c r="Z361" s="215">
        <f>U361*O361</f>
        <v/>
      </c>
      <c r="AA361" s="215">
        <f>V361*O361</f>
        <v/>
      </c>
      <c r="AB361" s="215">
        <f>W361*O361</f>
        <v/>
      </c>
      <c r="AC361" s="197">
        <f>X361*O361</f>
        <v/>
      </c>
      <c r="AD361" s="215" t="n">
        <v>0</v>
      </c>
      <c r="AE361" s="215" t="n">
        <v>0</v>
      </c>
      <c r="AF361" s="207">
        <f>SUM(Y361:AE361)</f>
        <v/>
      </c>
      <c r="AG361" s="254">
        <f>_xlfn.XLOOKUP(G361,[1]Fx!$A$16:$A$22,[1]Fx!$B$16:$B$22)</f>
        <v/>
      </c>
      <c r="AH361" s="207">
        <f>AG361*R361</f>
        <v/>
      </c>
      <c r="AI361" s="207">
        <f>$AI$3*Z361</f>
        <v/>
      </c>
      <c r="AJ361" s="207">
        <f>$AJ$3*AA361</f>
        <v/>
      </c>
      <c r="AK361" s="207">
        <f>$AK$3*AB361</f>
        <v/>
      </c>
      <c r="AL361" s="207">
        <f>$AL$3*AC361</f>
        <v/>
      </c>
      <c r="AM361" s="220">
        <f>SUM(AH361:AL361)</f>
        <v/>
      </c>
      <c r="AN361" s="220" t="n">
        <v>0</v>
      </c>
      <c r="AO361" s="220">
        <f>AN361*AH361</f>
        <v/>
      </c>
      <c r="AP361" s="220">
        <f>AD361</f>
        <v/>
      </c>
      <c r="AQ361" s="220">
        <f>AE361</f>
        <v/>
      </c>
      <c r="AR361" s="208">
        <f>AM361-AO361</f>
        <v/>
      </c>
      <c r="AS361" s="220">
        <f>AR361-AK361</f>
        <v/>
      </c>
      <c r="AT361" s="208">
        <f>AS361*1.075</f>
        <v/>
      </c>
      <c r="AU361" s="208">
        <f>AT361+AK361</f>
        <v/>
      </c>
      <c r="AV361" s="198" t="n">
        <v>263204.3991481314</v>
      </c>
      <c r="AW361" s="264">
        <f>BO361*2</f>
        <v/>
      </c>
      <c r="AX361" s="220">
        <f>AV361-AR361</f>
        <v/>
      </c>
      <c r="AY361" s="35">
        <f>AX361/AR361</f>
        <v/>
      </c>
      <c r="AZ361" s="220">
        <f>AV361-AF361</f>
        <v/>
      </c>
      <c r="BA361" s="215">
        <f>AV361-SUM(Z361:AC361)</f>
        <v/>
      </c>
      <c r="BB361" s="215">
        <f>BA361-Y361</f>
        <v/>
      </c>
      <c r="BC361" s="35">
        <f>BB361/BA361</f>
        <v/>
      </c>
      <c r="BD361" s="35">
        <f>IFERROR(AZ361/AV361,)</f>
        <v/>
      </c>
      <c r="BE361" s="255">
        <f>AV361-SUM(Z361:AC361)</f>
        <v/>
      </c>
      <c r="BF361" s="255">
        <f>AV361-BE361-AC361-AB361</f>
        <v/>
      </c>
      <c r="BG361" s="255">
        <f>AV361-BE361-BF361-AB361</f>
        <v/>
      </c>
      <c r="BH361" s="255">
        <f>AB361</f>
        <v/>
      </c>
      <c r="BI361" s="263" t="inlineStr">
        <is>
          <t>Approved</t>
        </is>
      </c>
    </row>
    <row r="362">
      <c r="C362" s="23" t="inlineStr">
        <is>
          <t>ASINI/Yekeni</t>
        </is>
      </c>
      <c r="D362">
        <f>CONCATENATE(G362,"-",H362,"-",F362)</f>
        <v/>
      </c>
      <c r="E362" s="24" t="inlineStr">
        <is>
          <t>JMG-10T-Hiabs Logistics-Upcountry</t>
        </is>
      </c>
      <c r="F362" s="23" t="inlineStr">
        <is>
          <t>Upcountry</t>
        </is>
      </c>
      <c r="G362" s="25" t="inlineStr">
        <is>
          <t>Hiabs Logistics</t>
        </is>
      </c>
      <c r="H362" s="24" t="inlineStr">
        <is>
          <t>10T</t>
        </is>
      </c>
      <c r="I362" s="73" t="inlineStr">
        <is>
          <t>JMG</t>
        </is>
      </c>
      <c r="J362" s="74" t="inlineStr">
        <is>
          <t>Port Harcourt</t>
        </is>
      </c>
      <c r="K362" s="115" t="inlineStr">
        <is>
          <t>Akwa Ibom</t>
        </is>
      </c>
      <c r="L362" s="67" t="inlineStr">
        <is>
          <t>Akwa Ibom</t>
        </is>
      </c>
      <c r="M362" s="68" t="n"/>
      <c r="N362" s="199">
        <f>O362/2</f>
        <v/>
      </c>
      <c r="O362" s="200" t="n">
        <v>278</v>
      </c>
      <c r="P362" s="220">
        <f>ROUNDUP(O362/300,)</f>
        <v/>
      </c>
      <c r="Q362" s="220" t="n">
        <v>1</v>
      </c>
      <c r="R362" s="220">
        <f>Q362+P362</f>
        <v/>
      </c>
      <c r="S362" s="198">
        <f>ROUNDDOWN(O362*0.51,)+60</f>
        <v/>
      </c>
      <c r="T362" s="207">
        <f>_xlfn.XLOOKUP(G362,[1]Fx!$A$4:$A$10,[1]Fx!$B$4:$B$10)</f>
        <v/>
      </c>
      <c r="U362" s="207">
        <f>_xlfn.XLOOKUP(G362,'[1]BP Setup'!$B$6:$B$72,'[1]BP Setup'!$Q$6:$Q$72)</f>
        <v/>
      </c>
      <c r="V362" s="207">
        <f>_xlfn.XLOOKUP(G362,'[1]BP Setup'!$B$6:$B$72,'[1]BP Setup'!$R$6:$R$72)</f>
        <v/>
      </c>
      <c r="W362" s="207">
        <f>$W$3</f>
        <v/>
      </c>
      <c r="X362" s="207" t="n">
        <v>80</v>
      </c>
      <c r="Y362" s="215">
        <f>T362*R362</f>
        <v/>
      </c>
      <c r="Z362" s="215">
        <f>U362*O362</f>
        <v/>
      </c>
      <c r="AA362" s="215">
        <f>V362*O362</f>
        <v/>
      </c>
      <c r="AB362" s="215">
        <f>W362*O362</f>
        <v/>
      </c>
      <c r="AC362" s="197">
        <f>X362*O362</f>
        <v/>
      </c>
      <c r="AD362" s="215" t="n">
        <v>0</v>
      </c>
      <c r="AE362" s="215" t="n">
        <v>0</v>
      </c>
      <c r="AF362" s="207">
        <f>SUM(Y362:AE362)</f>
        <v/>
      </c>
      <c r="AG362" s="254">
        <f>_xlfn.XLOOKUP(G362,[1]Fx!$A$16:$A$22,[1]Fx!$B$16:$B$22)</f>
        <v/>
      </c>
      <c r="AH362" s="207">
        <f>AG362*R362</f>
        <v/>
      </c>
      <c r="AI362" s="207">
        <f>$AI$3*Z362</f>
        <v/>
      </c>
      <c r="AJ362" s="207">
        <f>$AJ$3*AA362</f>
        <v/>
      </c>
      <c r="AK362" s="207">
        <f>$AK$3*AB362</f>
        <v/>
      </c>
      <c r="AL362" s="207">
        <f>$AL$3*AC362</f>
        <v/>
      </c>
      <c r="AM362" s="220">
        <f>SUM(AH362:AL362)</f>
        <v/>
      </c>
      <c r="AN362" s="220" t="n">
        <v>0</v>
      </c>
      <c r="AO362" s="220">
        <f>AN362*AH362</f>
        <v/>
      </c>
      <c r="AP362" s="220">
        <f>AD362</f>
        <v/>
      </c>
      <c r="AQ362" s="220">
        <f>AE362</f>
        <v/>
      </c>
      <c r="AR362" s="208">
        <f>AM362-AO362</f>
        <v/>
      </c>
      <c r="AS362" s="220">
        <f>AR362-AK362</f>
        <v/>
      </c>
      <c r="AT362" s="208">
        <f>AS362*1.075</f>
        <v/>
      </c>
      <c r="AU362" s="208">
        <f>AT362+AK362</f>
        <v/>
      </c>
      <c r="AV362" s="198" t="n">
        <v>263204.3991481314</v>
      </c>
      <c r="AW362" s="264">
        <f>BO362*2</f>
        <v/>
      </c>
      <c r="AX362" s="220">
        <f>AV362-AR362</f>
        <v/>
      </c>
      <c r="AY362" s="35">
        <f>AX362/AR362</f>
        <v/>
      </c>
      <c r="AZ362" s="220">
        <f>AV362-AF362</f>
        <v/>
      </c>
      <c r="BA362" s="215">
        <f>AV362-SUM(Z362:AC362)</f>
        <v/>
      </c>
      <c r="BB362" s="215">
        <f>BA362-Y362</f>
        <v/>
      </c>
      <c r="BC362" s="35">
        <f>BB362/BA362</f>
        <v/>
      </c>
      <c r="BD362" s="35">
        <f>IFERROR(AZ362/AV362,)</f>
        <v/>
      </c>
      <c r="BE362" s="255">
        <f>AV362-SUM(Z362:AC362)</f>
        <v/>
      </c>
      <c r="BF362" s="255">
        <f>AV362-BE362-AC362-AB362</f>
        <v/>
      </c>
      <c r="BG362" s="255">
        <f>AV362-BE362-BF362-AB362</f>
        <v/>
      </c>
      <c r="BH362" s="255">
        <f>AB362</f>
        <v/>
      </c>
      <c r="BI362" s="263" t="inlineStr">
        <is>
          <t>Approved</t>
        </is>
      </c>
    </row>
    <row r="363">
      <c r="C363" s="23" t="inlineStr">
        <is>
          <t>ASINI/Yekeni</t>
        </is>
      </c>
      <c r="D363">
        <f>CONCATENATE(G363,"-",H363,"-",F363)</f>
        <v/>
      </c>
      <c r="E363" s="24" t="inlineStr">
        <is>
          <t>JMG-10T-Hiabs Logistics-Upcountry</t>
        </is>
      </c>
      <c r="F363" s="23" t="inlineStr">
        <is>
          <t>Upcountry</t>
        </is>
      </c>
      <c r="G363" s="25" t="inlineStr">
        <is>
          <t>Hiabs Logistics</t>
        </is>
      </c>
      <c r="H363" s="24" t="inlineStr">
        <is>
          <t>10T</t>
        </is>
      </c>
      <c r="I363" s="73" t="inlineStr">
        <is>
          <t>JMG</t>
        </is>
      </c>
      <c r="J363" s="74" t="inlineStr">
        <is>
          <t>Port Harcourt</t>
        </is>
      </c>
      <c r="K363" s="74" t="inlineStr">
        <is>
          <t>Nsit Ibom</t>
        </is>
      </c>
      <c r="L363" s="25" t="inlineStr">
        <is>
          <t>Akwa Ibom</t>
        </is>
      </c>
      <c r="M363" s="63" t="n"/>
      <c r="N363" s="199">
        <f>O363/2</f>
        <v/>
      </c>
      <c r="O363" s="200" t="n">
        <v>272</v>
      </c>
      <c r="P363" s="220">
        <f>ROUNDUP(O363/300,)</f>
        <v/>
      </c>
      <c r="Q363" s="220" t="n">
        <v>2</v>
      </c>
      <c r="R363" s="220">
        <f>Q363+P363</f>
        <v/>
      </c>
      <c r="S363" s="198">
        <f>ROUNDDOWN(O363*0.51,)+60</f>
        <v/>
      </c>
      <c r="T363" s="207">
        <f>_xlfn.XLOOKUP(G363,[1]Fx!$A$4:$A$10,[1]Fx!$B$4:$B$10)</f>
        <v/>
      </c>
      <c r="U363" s="207">
        <f>_xlfn.XLOOKUP(G363,'[1]BP Setup'!$B$6:$B$72,'[1]BP Setup'!$Q$6:$Q$72)</f>
        <v/>
      </c>
      <c r="V363" s="207">
        <f>_xlfn.XLOOKUP(G363,'[1]BP Setup'!$B$6:$B$72,'[1]BP Setup'!$R$6:$R$72)</f>
        <v/>
      </c>
      <c r="W363" s="207">
        <f>$W$3</f>
        <v/>
      </c>
      <c r="X363" s="207" t="n">
        <v>80</v>
      </c>
      <c r="Y363" s="215">
        <f>T363*R363</f>
        <v/>
      </c>
      <c r="Z363" s="215">
        <f>U363*O363</f>
        <v/>
      </c>
      <c r="AA363" s="215">
        <f>V363*O363</f>
        <v/>
      </c>
      <c r="AB363" s="215">
        <f>W363*O363</f>
        <v/>
      </c>
      <c r="AC363" s="197">
        <f>X363*O363</f>
        <v/>
      </c>
      <c r="AD363" s="215" t="n">
        <v>0</v>
      </c>
      <c r="AE363" s="215" t="n">
        <v>0</v>
      </c>
      <c r="AF363" s="207">
        <f>SUM(Y363:AE363)</f>
        <v/>
      </c>
      <c r="AG363" s="254">
        <f>_xlfn.XLOOKUP(G363,[1]Fx!$A$16:$A$22,[1]Fx!$B$16:$B$22)</f>
        <v/>
      </c>
      <c r="AH363" s="207">
        <f>AG363*R363</f>
        <v/>
      </c>
      <c r="AI363" s="207">
        <f>$AI$3*Z363</f>
        <v/>
      </c>
      <c r="AJ363" s="207">
        <f>$AJ$3*AA363</f>
        <v/>
      </c>
      <c r="AK363" s="207">
        <f>$AK$3*AB363</f>
        <v/>
      </c>
      <c r="AL363" s="207">
        <f>$AL$3*AC363</f>
        <v/>
      </c>
      <c r="AM363" s="220">
        <f>SUM(AH363:AL363)</f>
        <v/>
      </c>
      <c r="AN363" s="220" t="n">
        <v>0</v>
      </c>
      <c r="AO363" s="220">
        <f>AN363*AH363</f>
        <v/>
      </c>
      <c r="AP363" s="220">
        <f>AD363</f>
        <v/>
      </c>
      <c r="AQ363" s="220">
        <f>AE363</f>
        <v/>
      </c>
      <c r="AR363" s="208">
        <f>AM363-AO363</f>
        <v/>
      </c>
      <c r="AS363" s="220">
        <f>AR363-AK363</f>
        <v/>
      </c>
      <c r="AT363" s="208">
        <f>AS363*1.075</f>
        <v/>
      </c>
      <c r="AU363" s="208">
        <f>AT363+AK363</f>
        <v/>
      </c>
      <c r="AV363" s="198" t="n">
        <v>394806.5987221971</v>
      </c>
      <c r="AW363" s="264">
        <f>BO363*2</f>
        <v/>
      </c>
      <c r="AX363" s="220">
        <f>AV363-AR363</f>
        <v/>
      </c>
      <c r="AY363" s="35">
        <f>AX363/AR363</f>
        <v/>
      </c>
      <c r="AZ363" s="220">
        <f>AV363-AF363</f>
        <v/>
      </c>
      <c r="BA363" s="215">
        <f>AV363-SUM(Z363:AC363)</f>
        <v/>
      </c>
      <c r="BB363" s="215">
        <f>BA363-Y363</f>
        <v/>
      </c>
      <c r="BC363" s="35">
        <f>BB363/BA363</f>
        <v/>
      </c>
      <c r="BD363" s="35">
        <f>IFERROR(AZ363/AV363,)</f>
        <v/>
      </c>
      <c r="BE363" s="255">
        <f>AV363-SUM(Z363:AC363)</f>
        <v/>
      </c>
      <c r="BF363" s="255">
        <f>AV363-BE363-AC363-AB363</f>
        <v/>
      </c>
      <c r="BG363" s="255">
        <f>AV363-BE363-BF363-AB363</f>
        <v/>
      </c>
      <c r="BH363" s="255">
        <f>AB363</f>
        <v/>
      </c>
      <c r="BI363" s="263" t="inlineStr">
        <is>
          <t>Worst Case Approved</t>
        </is>
      </c>
    </row>
    <row r="364">
      <c r="C364" s="23" t="inlineStr">
        <is>
          <t>ASINI/Yekeni</t>
        </is>
      </c>
      <c r="D364">
        <f>CONCATENATE(G364,"-",H364,"-",F364)</f>
        <v/>
      </c>
      <c r="E364" s="24" t="inlineStr">
        <is>
          <t>JMG-10T-Hiabs Logistics-Upcountry</t>
        </is>
      </c>
      <c r="F364" s="23" t="inlineStr">
        <is>
          <t>Upcountry</t>
        </is>
      </c>
      <c r="G364" s="25" t="inlineStr">
        <is>
          <t>Hiabs Logistics</t>
        </is>
      </c>
      <c r="H364" s="24" t="inlineStr">
        <is>
          <t>10T</t>
        </is>
      </c>
      <c r="I364" s="73" t="inlineStr">
        <is>
          <t>JMG</t>
        </is>
      </c>
      <c r="J364" s="74" t="inlineStr">
        <is>
          <t>Port Harcourt</t>
        </is>
      </c>
      <c r="K364" s="115" t="inlineStr">
        <is>
          <t>Sagbama</t>
        </is>
      </c>
      <c r="L364" s="25" t="inlineStr">
        <is>
          <t>Bayelsa</t>
        </is>
      </c>
      <c r="M364" s="63" t="n"/>
      <c r="N364" s="199">
        <f>O364/2</f>
        <v/>
      </c>
      <c r="O364" s="200" t="n">
        <v>247</v>
      </c>
      <c r="P364" s="220">
        <f>ROUNDUP(O364/300,)</f>
        <v/>
      </c>
      <c r="Q364" s="220" t="n">
        <v>2</v>
      </c>
      <c r="R364" s="220">
        <f>Q364+P364</f>
        <v/>
      </c>
      <c r="S364" s="198">
        <f>ROUNDDOWN(O364*0.51,)+60</f>
        <v/>
      </c>
      <c r="T364" s="207">
        <f>_xlfn.XLOOKUP(G364,[1]Fx!$A$4:$A$10,[1]Fx!$B$4:$B$10)</f>
        <v/>
      </c>
      <c r="U364" s="207">
        <f>_xlfn.XLOOKUP(G364,'[1]BP Setup'!$B$6:$B$72,'[1]BP Setup'!$Q$6:$Q$72)</f>
        <v/>
      </c>
      <c r="V364" s="207">
        <f>_xlfn.XLOOKUP(G364,'[1]BP Setup'!$B$6:$B$72,'[1]BP Setup'!$R$6:$R$72)</f>
        <v/>
      </c>
      <c r="W364" s="207">
        <f>$W$3</f>
        <v/>
      </c>
      <c r="X364" s="207" t="n">
        <v>80</v>
      </c>
      <c r="Y364" s="215">
        <f>T364*R364</f>
        <v/>
      </c>
      <c r="Z364" s="215">
        <f>U364*O364</f>
        <v/>
      </c>
      <c r="AA364" s="215">
        <f>V364*O364</f>
        <v/>
      </c>
      <c r="AB364" s="215">
        <f>W364*O364</f>
        <v/>
      </c>
      <c r="AC364" s="197">
        <f>X364*O364</f>
        <v/>
      </c>
      <c r="AD364" s="215" t="n">
        <v>0</v>
      </c>
      <c r="AE364" s="215" t="n">
        <v>0</v>
      </c>
      <c r="AF364" s="207">
        <f>SUM(Y364:AE364)</f>
        <v/>
      </c>
      <c r="AG364" s="254">
        <f>_xlfn.XLOOKUP(G364,[1]Fx!$A$16:$A$22,[1]Fx!$B$16:$B$22)</f>
        <v/>
      </c>
      <c r="AH364" s="207">
        <f>AG364*R364</f>
        <v/>
      </c>
      <c r="AI364" s="207">
        <f>$AI$3*Z364</f>
        <v/>
      </c>
      <c r="AJ364" s="207">
        <f>$AJ$3*AA364</f>
        <v/>
      </c>
      <c r="AK364" s="207">
        <f>$AK$3*AB364</f>
        <v/>
      </c>
      <c r="AL364" s="207">
        <f>$AL$3*AC364</f>
        <v/>
      </c>
      <c r="AM364" s="220">
        <f>SUM(AH364:AL364)</f>
        <v/>
      </c>
      <c r="AN364" s="220" t="n">
        <v>0</v>
      </c>
      <c r="AO364" s="220">
        <f>AN364*AH364</f>
        <v/>
      </c>
      <c r="AP364" s="220">
        <f>AD364</f>
        <v/>
      </c>
      <c r="AQ364" s="220">
        <f>AE364</f>
        <v/>
      </c>
      <c r="AR364" s="208">
        <f>AM364-AO364</f>
        <v/>
      </c>
      <c r="AS364" s="220">
        <f>AR364-AK364</f>
        <v/>
      </c>
      <c r="AT364" s="208">
        <f>AS364*1.075</f>
        <v/>
      </c>
      <c r="AU364" s="208">
        <f>AT364+AK364</f>
        <v/>
      </c>
      <c r="AV364" s="198" t="n">
        <v>394806.5987221971</v>
      </c>
      <c r="AW364" s="264">
        <f>BO364*2</f>
        <v/>
      </c>
      <c r="AX364" s="220">
        <f>AV364-AR364</f>
        <v/>
      </c>
      <c r="AY364" s="35">
        <f>AX364/AR364</f>
        <v/>
      </c>
      <c r="AZ364" s="220">
        <f>AV364-AF364</f>
        <v/>
      </c>
      <c r="BA364" s="215">
        <f>AV364-SUM(Z364:AC364)</f>
        <v/>
      </c>
      <c r="BB364" s="215">
        <f>BA364-Y364</f>
        <v/>
      </c>
      <c r="BC364" s="35">
        <f>BB364/BA364</f>
        <v/>
      </c>
      <c r="BD364" s="35">
        <f>IFERROR(AZ364/AV364,)</f>
        <v/>
      </c>
      <c r="BE364" s="255">
        <f>AV364-SUM(Z364:AC364)</f>
        <v/>
      </c>
      <c r="BF364" s="255">
        <f>AV364-BE364-AC364-AB364</f>
        <v/>
      </c>
      <c r="BG364" s="255">
        <f>AV364-BE364-BF364-AB364</f>
        <v/>
      </c>
      <c r="BH364" s="255">
        <f>AB364</f>
        <v/>
      </c>
      <c r="BI364" s="263" t="inlineStr">
        <is>
          <t>Worst Case Approved</t>
        </is>
      </c>
    </row>
    <row r="365">
      <c r="C365" s="23" t="inlineStr">
        <is>
          <t>ASINI/Yekeni</t>
        </is>
      </c>
      <c r="D365">
        <f>CONCATENATE(G365,"-",H365,"-",F365)</f>
        <v/>
      </c>
      <c r="E365" s="24" t="inlineStr">
        <is>
          <t>JMG-10T-Hiabs Logistics-Upcountry</t>
        </is>
      </c>
      <c r="F365" s="23" t="inlineStr">
        <is>
          <t>Upcountry</t>
        </is>
      </c>
      <c r="G365" s="25" t="inlineStr">
        <is>
          <t>Hiabs Logistics</t>
        </is>
      </c>
      <c r="H365" s="24" t="inlineStr">
        <is>
          <t>10T</t>
        </is>
      </c>
      <c r="I365" s="73" t="inlineStr">
        <is>
          <t>JMG</t>
        </is>
      </c>
      <c r="J365" s="74" t="inlineStr">
        <is>
          <t>Port Harcourt</t>
        </is>
      </c>
      <c r="K365" s="117" t="inlineStr">
        <is>
          <t>Imo</t>
        </is>
      </c>
      <c r="L365" s="25" t="inlineStr">
        <is>
          <t>Imo</t>
        </is>
      </c>
      <c r="M365" s="63" t="n"/>
      <c r="N365" s="199">
        <f>O365/2</f>
        <v/>
      </c>
      <c r="O365" s="200" t="n">
        <v>241</v>
      </c>
      <c r="P365" s="220">
        <f>ROUNDUP(O365/300,)</f>
        <v/>
      </c>
      <c r="Q365" s="220" t="n">
        <v>2</v>
      </c>
      <c r="R365" s="220">
        <f>Q365+P365</f>
        <v/>
      </c>
      <c r="S365" s="198">
        <f>ROUNDDOWN(O365*0.51,)+60</f>
        <v/>
      </c>
      <c r="T365" s="207">
        <f>_xlfn.XLOOKUP(G365,[1]Fx!$A$4:$A$10,[1]Fx!$B$4:$B$10)</f>
        <v/>
      </c>
      <c r="U365" s="207">
        <f>_xlfn.XLOOKUP(G365,'[1]BP Setup'!$B$6:$B$72,'[1]BP Setup'!$Q$6:$Q$72)</f>
        <v/>
      </c>
      <c r="V365" s="207">
        <f>_xlfn.XLOOKUP(G365,'[1]BP Setup'!$B$6:$B$72,'[1]BP Setup'!$R$6:$R$72)</f>
        <v/>
      </c>
      <c r="W365" s="207">
        <f>$W$3</f>
        <v/>
      </c>
      <c r="X365" s="207" t="n">
        <v>80</v>
      </c>
      <c r="Y365" s="215">
        <f>T365*R365</f>
        <v/>
      </c>
      <c r="Z365" s="215">
        <f>U365*O365</f>
        <v/>
      </c>
      <c r="AA365" s="215">
        <f>V365*O365</f>
        <v/>
      </c>
      <c r="AB365" s="215">
        <f>W365*O365</f>
        <v/>
      </c>
      <c r="AC365" s="197">
        <f>X365*O365</f>
        <v/>
      </c>
      <c r="AD365" s="215" t="n">
        <v>0</v>
      </c>
      <c r="AE365" s="215" t="n">
        <v>0</v>
      </c>
      <c r="AF365" s="207">
        <f>SUM(Y365:AE365)</f>
        <v/>
      </c>
      <c r="AG365" s="254">
        <f>_xlfn.XLOOKUP(G365,[1]Fx!$A$16:$A$22,[1]Fx!$B$16:$B$22)</f>
        <v/>
      </c>
      <c r="AH365" s="207">
        <f>AG365*R365</f>
        <v/>
      </c>
      <c r="AI365" s="207">
        <f>$AI$3*Z365</f>
        <v/>
      </c>
      <c r="AJ365" s="207">
        <f>$AJ$3*AA365</f>
        <v/>
      </c>
      <c r="AK365" s="207">
        <f>$AK$3*AB365</f>
        <v/>
      </c>
      <c r="AL365" s="207">
        <f>$AL$3*AC365</f>
        <v/>
      </c>
      <c r="AM365" s="220">
        <f>SUM(AH365:AL365)</f>
        <v/>
      </c>
      <c r="AN365" s="220" t="n">
        <v>0</v>
      </c>
      <c r="AO365" s="220">
        <f>AN365*AH365</f>
        <v/>
      </c>
      <c r="AP365" s="220">
        <f>AD365</f>
        <v/>
      </c>
      <c r="AQ365" s="220">
        <f>AE365</f>
        <v/>
      </c>
      <c r="AR365" s="208">
        <f>AM365-AO365</f>
        <v/>
      </c>
      <c r="AS365" s="220">
        <f>AR365-AK365</f>
        <v/>
      </c>
      <c r="AT365" s="208">
        <f>AS365*1.075</f>
        <v/>
      </c>
      <c r="AU365" s="208">
        <f>AT365+AK365</f>
        <v/>
      </c>
      <c r="AV365" s="198" t="n">
        <v>394806.5987221971</v>
      </c>
      <c r="AW365" s="264">
        <f>BO365*2</f>
        <v/>
      </c>
      <c r="AX365" s="220">
        <f>AV365-AR365</f>
        <v/>
      </c>
      <c r="AY365" s="35">
        <f>AX365/AR365</f>
        <v/>
      </c>
      <c r="AZ365" s="220">
        <f>AV365-AF365</f>
        <v/>
      </c>
      <c r="BA365" s="215">
        <f>AV365-SUM(Z365:AC365)</f>
        <v/>
      </c>
      <c r="BB365" s="215">
        <f>BA365-Y365</f>
        <v/>
      </c>
      <c r="BC365" s="35">
        <f>BB365/BA365</f>
        <v/>
      </c>
      <c r="BD365" s="35">
        <f>IFERROR(AZ365/AV365,)</f>
        <v/>
      </c>
      <c r="BE365" s="255">
        <f>AV365-SUM(Z365:AC365)</f>
        <v/>
      </c>
      <c r="BF365" s="255">
        <f>AV365-BE365-AC365-AB365</f>
        <v/>
      </c>
      <c r="BG365" s="255">
        <f>AV365-BE365-BF365-AB365</f>
        <v/>
      </c>
      <c r="BH365" s="255">
        <f>AB365</f>
        <v/>
      </c>
      <c r="BI365" s="263" t="inlineStr">
        <is>
          <t>Worst Case Approved</t>
        </is>
      </c>
    </row>
    <row r="366">
      <c r="C366" s="23" t="inlineStr">
        <is>
          <t>ASINI/Yekeni</t>
        </is>
      </c>
      <c r="D366">
        <f>CONCATENATE(G366,"-",H366,"-",F366)</f>
        <v/>
      </c>
      <c r="E366" s="24" t="inlineStr">
        <is>
          <t>JMG-10T-Hiabs Logistics-Upcountry</t>
        </is>
      </c>
      <c r="F366" s="23" t="inlineStr">
        <is>
          <t>Upcountry</t>
        </is>
      </c>
      <c r="G366" s="25" t="inlineStr">
        <is>
          <t>Hiabs Logistics</t>
        </is>
      </c>
      <c r="H366" s="24" t="inlineStr">
        <is>
          <t>10T</t>
        </is>
      </c>
      <c r="I366" s="73" t="inlineStr">
        <is>
          <t>JMG</t>
        </is>
      </c>
      <c r="J366" s="74" t="inlineStr">
        <is>
          <t>Port Harcourt</t>
        </is>
      </c>
      <c r="K366" s="115" t="inlineStr">
        <is>
          <t>Yenagoa</t>
        </is>
      </c>
      <c r="L366" s="25" t="inlineStr">
        <is>
          <t>Bayelsa</t>
        </is>
      </c>
      <c r="M366" s="63" t="n"/>
      <c r="N366" s="199">
        <f>O366/2</f>
        <v/>
      </c>
      <c r="O366" s="200" t="n">
        <v>236</v>
      </c>
      <c r="P366" s="220">
        <f>ROUNDUP(O366/300,)</f>
        <v/>
      </c>
      <c r="Q366" s="220" t="n">
        <v>2</v>
      </c>
      <c r="R366" s="220">
        <f>Q366+P366</f>
        <v/>
      </c>
      <c r="S366" s="198">
        <f>ROUNDDOWN(O366*0.51,)+60</f>
        <v/>
      </c>
      <c r="T366" s="207">
        <f>_xlfn.XLOOKUP(G366,[1]Fx!$A$4:$A$10,[1]Fx!$B$4:$B$10)</f>
        <v/>
      </c>
      <c r="U366" s="207">
        <f>_xlfn.XLOOKUP(G366,'[1]BP Setup'!$B$6:$B$72,'[1]BP Setup'!$Q$6:$Q$72)</f>
        <v/>
      </c>
      <c r="V366" s="207">
        <f>_xlfn.XLOOKUP(G366,'[1]BP Setup'!$B$6:$B$72,'[1]BP Setup'!$R$6:$R$72)</f>
        <v/>
      </c>
      <c r="W366" s="207">
        <f>$W$3</f>
        <v/>
      </c>
      <c r="X366" s="207" t="n">
        <v>80</v>
      </c>
      <c r="Y366" s="215">
        <f>T366*R366</f>
        <v/>
      </c>
      <c r="Z366" s="215">
        <f>U366*O366</f>
        <v/>
      </c>
      <c r="AA366" s="215">
        <f>V366*O366</f>
        <v/>
      </c>
      <c r="AB366" s="215">
        <f>W366*O366</f>
        <v/>
      </c>
      <c r="AC366" s="197">
        <f>X366*O366</f>
        <v/>
      </c>
      <c r="AD366" s="215" t="n">
        <v>0</v>
      </c>
      <c r="AE366" s="215" t="n">
        <v>0</v>
      </c>
      <c r="AF366" s="207">
        <f>SUM(Y366:AE366)</f>
        <v/>
      </c>
      <c r="AG366" s="254">
        <f>_xlfn.XLOOKUP(G366,[1]Fx!$A$16:$A$22,[1]Fx!$B$16:$B$22)</f>
        <v/>
      </c>
      <c r="AH366" s="207">
        <f>AG366*R366</f>
        <v/>
      </c>
      <c r="AI366" s="207">
        <f>$AI$3*Z366</f>
        <v/>
      </c>
      <c r="AJ366" s="207">
        <f>$AJ$3*AA366</f>
        <v/>
      </c>
      <c r="AK366" s="207">
        <f>$AK$3*AB366</f>
        <v/>
      </c>
      <c r="AL366" s="207">
        <f>$AL$3*AC366</f>
        <v/>
      </c>
      <c r="AM366" s="220">
        <f>SUM(AH366:AL366)</f>
        <v/>
      </c>
      <c r="AN366" s="220" t="n">
        <v>0</v>
      </c>
      <c r="AO366" s="220">
        <f>AN366*AH366</f>
        <v/>
      </c>
      <c r="AP366" s="220">
        <f>AD366</f>
        <v/>
      </c>
      <c r="AQ366" s="220">
        <f>AE366</f>
        <v/>
      </c>
      <c r="AR366" s="208">
        <f>AM366-AO366</f>
        <v/>
      </c>
      <c r="AS366" s="220">
        <f>AR366-AK366</f>
        <v/>
      </c>
      <c r="AT366" s="208">
        <f>AS366*1.075</f>
        <v/>
      </c>
      <c r="AU366" s="208">
        <f>AT366+AK366</f>
        <v/>
      </c>
      <c r="AV366" s="198" t="n">
        <v>394806.5987221971</v>
      </c>
      <c r="AW366" s="264">
        <f>BO366*2</f>
        <v/>
      </c>
      <c r="AX366" s="220">
        <f>AV366-AR366</f>
        <v/>
      </c>
      <c r="AY366" s="35">
        <f>AX366/AR366</f>
        <v/>
      </c>
      <c r="AZ366" s="220">
        <f>AV366-AF366</f>
        <v/>
      </c>
      <c r="BA366" s="215">
        <f>AV366-SUM(Z366:AC366)</f>
        <v/>
      </c>
      <c r="BB366" s="215">
        <f>BA366-Y366</f>
        <v/>
      </c>
      <c r="BC366" s="35">
        <f>BB366/BA366</f>
        <v/>
      </c>
      <c r="BD366" s="35">
        <f>IFERROR(AZ366/AV366,)</f>
        <v/>
      </c>
      <c r="BE366" s="255">
        <f>AV366-SUM(Z366:AC366)</f>
        <v/>
      </c>
      <c r="BF366" s="255">
        <f>AV366-BE366-AC366-AB366</f>
        <v/>
      </c>
      <c r="BG366" s="255">
        <f>AV366-BE366-BF366-AB366</f>
        <v/>
      </c>
      <c r="BH366" s="255">
        <f>AB366</f>
        <v/>
      </c>
      <c r="BI366" s="263" t="inlineStr">
        <is>
          <t>Worst Case Approved</t>
        </is>
      </c>
    </row>
    <row r="367">
      <c r="C367" s="23" t="inlineStr">
        <is>
          <t>ASINI/Yekeni</t>
        </is>
      </c>
      <c r="D367">
        <f>CONCATENATE(G367,"-",H367,"-",F367)</f>
        <v/>
      </c>
      <c r="E367" s="24" t="inlineStr">
        <is>
          <t>JMG-10T-Hiabs Logistics-Upcountry</t>
        </is>
      </c>
      <c r="F367" s="23" t="inlineStr">
        <is>
          <t>Upcountry</t>
        </is>
      </c>
      <c r="G367" s="25" t="inlineStr">
        <is>
          <t>Hiabs Logistics</t>
        </is>
      </c>
      <c r="H367" s="24" t="inlineStr">
        <is>
          <t>10T</t>
        </is>
      </c>
      <c r="I367" s="73" t="inlineStr">
        <is>
          <t>JMG</t>
        </is>
      </c>
      <c r="J367" s="74" t="inlineStr">
        <is>
          <t>Port Harcourt</t>
        </is>
      </c>
      <c r="K367" s="115" t="inlineStr">
        <is>
          <t>Bayelsa</t>
        </is>
      </c>
      <c r="L367" s="25" t="inlineStr">
        <is>
          <t>Bayelsa</t>
        </is>
      </c>
      <c r="M367" s="63" t="n"/>
      <c r="N367" s="199">
        <f>O367/2</f>
        <v/>
      </c>
      <c r="O367" s="200" t="n">
        <v>234</v>
      </c>
      <c r="P367" s="220">
        <f>ROUNDUP(O367/300,)</f>
        <v/>
      </c>
      <c r="Q367" s="220" t="n">
        <v>1</v>
      </c>
      <c r="R367" s="220">
        <f>Q367+P367</f>
        <v/>
      </c>
      <c r="S367" s="198">
        <f>ROUNDDOWN(O367*0.51,)+60</f>
        <v/>
      </c>
      <c r="T367" s="207">
        <f>_xlfn.XLOOKUP(G367,[1]Fx!$A$4:$A$10,[1]Fx!$B$4:$B$10)</f>
        <v/>
      </c>
      <c r="U367" s="207">
        <f>_xlfn.XLOOKUP(G367,'[1]BP Setup'!$B$6:$B$72,'[1]BP Setup'!$Q$6:$Q$72)</f>
        <v/>
      </c>
      <c r="V367" s="207">
        <f>_xlfn.XLOOKUP(G367,'[1]BP Setup'!$B$6:$B$72,'[1]BP Setup'!$R$6:$R$72)</f>
        <v/>
      </c>
      <c r="W367" s="207">
        <f>$W$3</f>
        <v/>
      </c>
      <c r="X367" s="207" t="n">
        <v>80</v>
      </c>
      <c r="Y367" s="215">
        <f>T367*R367</f>
        <v/>
      </c>
      <c r="Z367" s="215">
        <f>U367*O367</f>
        <v/>
      </c>
      <c r="AA367" s="215">
        <f>V367*O367</f>
        <v/>
      </c>
      <c r="AB367" s="215">
        <f>W367*O367</f>
        <v/>
      </c>
      <c r="AC367" s="197">
        <f>X367*O367</f>
        <v/>
      </c>
      <c r="AD367" s="215" t="n">
        <v>0</v>
      </c>
      <c r="AE367" s="215" t="n">
        <v>0</v>
      </c>
      <c r="AF367" s="207">
        <f>SUM(Y367:AE367)</f>
        <v/>
      </c>
      <c r="AG367" s="254">
        <f>_xlfn.XLOOKUP(G367,[1]Fx!$A$16:$A$22,[1]Fx!$B$16:$B$22)</f>
        <v/>
      </c>
      <c r="AH367" s="207">
        <f>AG367*R367</f>
        <v/>
      </c>
      <c r="AI367" s="207">
        <f>$AI$3*Z367</f>
        <v/>
      </c>
      <c r="AJ367" s="207">
        <f>$AJ$3*AA367</f>
        <v/>
      </c>
      <c r="AK367" s="207">
        <f>$AK$3*AB367</f>
        <v/>
      </c>
      <c r="AL367" s="207">
        <f>$AL$3*AC367</f>
        <v/>
      </c>
      <c r="AM367" s="220">
        <f>SUM(AH367:AL367)</f>
        <v/>
      </c>
      <c r="AN367" s="220" t="n">
        <v>0</v>
      </c>
      <c r="AO367" s="220">
        <f>AN367*AH367</f>
        <v/>
      </c>
      <c r="AP367" s="220">
        <f>AD367</f>
        <v/>
      </c>
      <c r="AQ367" s="220">
        <f>AE367</f>
        <v/>
      </c>
      <c r="AR367" s="208">
        <f>AM367-AO367</f>
        <v/>
      </c>
      <c r="AS367" s="220">
        <f>AR367-AK367</f>
        <v/>
      </c>
      <c r="AT367" s="208">
        <f>AS367*1.075</f>
        <v/>
      </c>
      <c r="AU367" s="208">
        <f>AT367+AK367</f>
        <v/>
      </c>
      <c r="AV367" s="198" t="n">
        <v>263204.3991481314</v>
      </c>
      <c r="AW367" s="264">
        <f>BO367*2</f>
        <v/>
      </c>
      <c r="AX367" s="220">
        <f>AV367-AR367</f>
        <v/>
      </c>
      <c r="AY367" s="35">
        <f>AX367/AR367</f>
        <v/>
      </c>
      <c r="AZ367" s="220">
        <f>AV367-AF367</f>
        <v/>
      </c>
      <c r="BA367" s="215">
        <f>AV367-SUM(Z367:AC367)</f>
        <v/>
      </c>
      <c r="BB367" s="215">
        <f>BA367-Y367</f>
        <v/>
      </c>
      <c r="BC367" s="35">
        <f>BB367/BA367</f>
        <v/>
      </c>
      <c r="BD367" s="35">
        <f>IFERROR(AZ367/AV367,)</f>
        <v/>
      </c>
      <c r="BE367" s="255">
        <f>AV367-SUM(Z367:AC367)</f>
        <v/>
      </c>
      <c r="BF367" s="255">
        <f>AV367-BE367-AC367-AB367</f>
        <v/>
      </c>
      <c r="BG367" s="255">
        <f>AV367-BE367-BF367-AB367</f>
        <v/>
      </c>
      <c r="BH367" s="255">
        <f>AB367</f>
        <v/>
      </c>
      <c r="BI367" s="263" t="inlineStr">
        <is>
          <t>Worst Case Approved</t>
        </is>
      </c>
    </row>
    <row r="368">
      <c r="C368" s="23" t="inlineStr">
        <is>
          <t>ASINI/Yekeni</t>
        </is>
      </c>
      <c r="D368">
        <f>CONCATENATE(G368,"-",H368,"-",F368)</f>
        <v/>
      </c>
      <c r="E368" s="24" t="inlineStr">
        <is>
          <t>JMG-10T-Hiabs Logistics-Upcountry</t>
        </is>
      </c>
      <c r="F368" s="23" t="inlineStr">
        <is>
          <t>Upcountry</t>
        </is>
      </c>
      <c r="G368" s="25" t="inlineStr">
        <is>
          <t>Hiabs Logistics</t>
        </is>
      </c>
      <c r="H368" s="24" t="inlineStr">
        <is>
          <t>10T</t>
        </is>
      </c>
      <c r="I368" s="73" t="inlineStr">
        <is>
          <t>JMG</t>
        </is>
      </c>
      <c r="J368" s="74" t="inlineStr">
        <is>
          <t>Port Harcourt</t>
        </is>
      </c>
      <c r="K368" s="117" t="inlineStr">
        <is>
          <t>Umuahia</t>
        </is>
      </c>
      <c r="L368" s="25" t="inlineStr">
        <is>
          <t>Abia</t>
        </is>
      </c>
      <c r="M368" s="63" t="n"/>
      <c r="N368" s="199">
        <f>O368/2</f>
        <v/>
      </c>
      <c r="O368" s="200" t="n">
        <v>232</v>
      </c>
      <c r="P368" s="220">
        <f>ROUNDUP(O368/300,)</f>
        <v/>
      </c>
      <c r="Q368" s="220" t="n">
        <v>2</v>
      </c>
      <c r="R368" s="220">
        <f>Q368+P368</f>
        <v/>
      </c>
      <c r="S368" s="198">
        <f>ROUNDDOWN(O368*0.51,)+60</f>
        <v/>
      </c>
      <c r="T368" s="207">
        <f>_xlfn.XLOOKUP(G368,[1]Fx!$A$4:$A$10,[1]Fx!$B$4:$B$10)</f>
        <v/>
      </c>
      <c r="U368" s="207">
        <f>_xlfn.XLOOKUP(G368,'[1]BP Setup'!$B$6:$B$72,'[1]BP Setup'!$Q$6:$Q$72)</f>
        <v/>
      </c>
      <c r="V368" s="207">
        <f>_xlfn.XLOOKUP(G368,'[1]BP Setup'!$B$6:$B$72,'[1]BP Setup'!$R$6:$R$72)</f>
        <v/>
      </c>
      <c r="W368" s="207">
        <f>$W$3</f>
        <v/>
      </c>
      <c r="X368" s="207" t="n">
        <v>80</v>
      </c>
      <c r="Y368" s="215">
        <f>T368*R368</f>
        <v/>
      </c>
      <c r="Z368" s="215">
        <f>U368*O368</f>
        <v/>
      </c>
      <c r="AA368" s="215">
        <f>V368*O368</f>
        <v/>
      </c>
      <c r="AB368" s="215">
        <f>W368*O368</f>
        <v/>
      </c>
      <c r="AC368" s="197">
        <f>X368*O368</f>
        <v/>
      </c>
      <c r="AD368" s="215" t="n">
        <v>0</v>
      </c>
      <c r="AE368" s="215" t="n">
        <v>0</v>
      </c>
      <c r="AF368" s="207">
        <f>SUM(Y368:AE368)</f>
        <v/>
      </c>
      <c r="AG368" s="254">
        <f>_xlfn.XLOOKUP(G368,[1]Fx!$A$16:$A$22,[1]Fx!$B$16:$B$22)</f>
        <v/>
      </c>
      <c r="AH368" s="207">
        <f>AG368*R368</f>
        <v/>
      </c>
      <c r="AI368" s="207">
        <f>$AI$3*Z368</f>
        <v/>
      </c>
      <c r="AJ368" s="207">
        <f>$AJ$3*AA368</f>
        <v/>
      </c>
      <c r="AK368" s="207">
        <f>$AK$3*AB368</f>
        <v/>
      </c>
      <c r="AL368" s="207">
        <f>$AL$3*AC368</f>
        <v/>
      </c>
      <c r="AM368" s="220">
        <f>SUM(AH368:AL368)</f>
        <v/>
      </c>
      <c r="AN368" s="220" t="n">
        <v>0</v>
      </c>
      <c r="AO368" s="220">
        <f>AN368*AH368</f>
        <v/>
      </c>
      <c r="AP368" s="220">
        <f>AD368</f>
        <v/>
      </c>
      <c r="AQ368" s="220">
        <f>AE368</f>
        <v/>
      </c>
      <c r="AR368" s="208">
        <f>AM368-AO368</f>
        <v/>
      </c>
      <c r="AS368" s="220">
        <f>AR368-AK368</f>
        <v/>
      </c>
      <c r="AT368" s="208">
        <f>AS368*1.075</f>
        <v/>
      </c>
      <c r="AU368" s="208">
        <f>AT368+AK368</f>
        <v/>
      </c>
      <c r="AV368" s="198" t="n">
        <v>394806.5987221971</v>
      </c>
      <c r="AW368" s="264">
        <f>BO368*2</f>
        <v/>
      </c>
      <c r="AX368" s="220">
        <f>AV368-AR368</f>
        <v/>
      </c>
      <c r="AY368" s="35">
        <f>AX368/AR368</f>
        <v/>
      </c>
      <c r="AZ368" s="220">
        <f>AV368-AF368</f>
        <v/>
      </c>
      <c r="BA368" s="215">
        <f>AV368-SUM(Z368:AC368)</f>
        <v/>
      </c>
      <c r="BB368" s="215">
        <f>BA368-Y368</f>
        <v/>
      </c>
      <c r="BC368" s="35">
        <f>BB368/BA368</f>
        <v/>
      </c>
      <c r="BD368" s="35">
        <f>IFERROR(AZ368/AV368,)</f>
        <v/>
      </c>
      <c r="BE368" s="255">
        <f>AV368-SUM(Z368:AC368)</f>
        <v/>
      </c>
      <c r="BF368" s="255">
        <f>AV368-BE368-AC368-AB368</f>
        <v/>
      </c>
      <c r="BG368" s="255">
        <f>AV368-BE368-BF368-AB368</f>
        <v/>
      </c>
      <c r="BH368" s="255">
        <f>AB368</f>
        <v/>
      </c>
      <c r="BI368" s="263" t="inlineStr">
        <is>
          <t>Worst Case Approved</t>
        </is>
      </c>
    </row>
    <row r="369">
      <c r="C369" s="23" t="inlineStr">
        <is>
          <t>ASINI/Yekeni</t>
        </is>
      </c>
      <c r="D369">
        <f>CONCATENATE(G369,"-",H369,"-",F369)</f>
        <v/>
      </c>
      <c r="E369" s="24" t="inlineStr">
        <is>
          <t>JMG-10T-Hiabs Logistics-Upcountry</t>
        </is>
      </c>
      <c r="F369" s="23" t="inlineStr">
        <is>
          <t>Upcountry</t>
        </is>
      </c>
      <c r="G369" s="25" t="inlineStr">
        <is>
          <t>Hiabs Logistics</t>
        </is>
      </c>
      <c r="H369" s="24" t="inlineStr">
        <is>
          <t>10T</t>
        </is>
      </c>
      <c r="I369" s="73" t="inlineStr">
        <is>
          <t>JMG</t>
        </is>
      </c>
      <c r="J369" s="74" t="inlineStr">
        <is>
          <t>Port Harcourt</t>
        </is>
      </c>
      <c r="K369" s="115" t="inlineStr">
        <is>
          <t>Eket</t>
        </is>
      </c>
      <c r="L369" s="69" t="inlineStr">
        <is>
          <t>Akwa Ibom</t>
        </is>
      </c>
      <c r="M369" s="70" t="n"/>
      <c r="N369" s="199">
        <f>O369/2</f>
        <v/>
      </c>
      <c r="O369" s="200" t="n">
        <v>231</v>
      </c>
      <c r="P369" s="220">
        <f>ROUNDUP(O369/300,)</f>
        <v/>
      </c>
      <c r="Q369" s="220" t="n">
        <v>2</v>
      </c>
      <c r="R369" s="220">
        <f>Q369+P369</f>
        <v/>
      </c>
      <c r="S369" s="198">
        <f>ROUNDDOWN(O369*0.51,)+60</f>
        <v/>
      </c>
      <c r="T369" s="207">
        <f>_xlfn.XLOOKUP(G369,[1]Fx!$A$4:$A$10,[1]Fx!$B$4:$B$10)</f>
        <v/>
      </c>
      <c r="U369" s="207">
        <f>_xlfn.XLOOKUP(G369,'[1]BP Setup'!$B$6:$B$72,'[1]BP Setup'!$Q$6:$Q$72)</f>
        <v/>
      </c>
      <c r="V369" s="207">
        <f>_xlfn.XLOOKUP(G369,'[1]BP Setup'!$B$6:$B$72,'[1]BP Setup'!$R$6:$R$72)</f>
        <v/>
      </c>
      <c r="W369" s="207">
        <f>$W$3</f>
        <v/>
      </c>
      <c r="X369" s="207" t="n">
        <v>80</v>
      </c>
      <c r="Y369" s="215">
        <f>T369*R369</f>
        <v/>
      </c>
      <c r="Z369" s="215">
        <f>U369*O369</f>
        <v/>
      </c>
      <c r="AA369" s="215">
        <f>V369*O369</f>
        <v/>
      </c>
      <c r="AB369" s="215">
        <f>W369*O369</f>
        <v/>
      </c>
      <c r="AC369" s="197">
        <f>X369*O369</f>
        <v/>
      </c>
      <c r="AD369" s="215" t="n">
        <v>0</v>
      </c>
      <c r="AE369" s="215" t="n">
        <v>0</v>
      </c>
      <c r="AF369" s="207">
        <f>SUM(Y369:AE369)</f>
        <v/>
      </c>
      <c r="AG369" s="254">
        <f>_xlfn.XLOOKUP(G369,[1]Fx!$A$16:$A$22,[1]Fx!$B$16:$B$22)</f>
        <v/>
      </c>
      <c r="AH369" s="207">
        <f>AG369*R369</f>
        <v/>
      </c>
      <c r="AI369" s="207">
        <f>$AI$3*Z369</f>
        <v/>
      </c>
      <c r="AJ369" s="207">
        <f>$AJ$3*AA369</f>
        <v/>
      </c>
      <c r="AK369" s="207">
        <f>$AK$3*AB369</f>
        <v/>
      </c>
      <c r="AL369" s="207">
        <f>$AL$3*AC369</f>
        <v/>
      </c>
      <c r="AM369" s="220">
        <f>SUM(AH369:AL369)</f>
        <v/>
      </c>
      <c r="AN369" s="220" t="n">
        <v>0</v>
      </c>
      <c r="AO369" s="220">
        <f>AN369*AH369</f>
        <v/>
      </c>
      <c r="AP369" s="220">
        <f>AD369</f>
        <v/>
      </c>
      <c r="AQ369" s="220">
        <f>AE369</f>
        <v/>
      </c>
      <c r="AR369" s="208">
        <f>AM369-AO369</f>
        <v/>
      </c>
      <c r="AS369" s="220">
        <f>AR369-AK369</f>
        <v/>
      </c>
      <c r="AT369" s="208">
        <f>AS369*1.075</f>
        <v/>
      </c>
      <c r="AU369" s="208">
        <f>AT369+AK369</f>
        <v/>
      </c>
      <c r="AV369" s="198" t="n">
        <v>394806.5987221971</v>
      </c>
      <c r="AW369" s="264">
        <f>BO369*2</f>
        <v/>
      </c>
      <c r="AX369" s="220">
        <f>AV369-AR369</f>
        <v/>
      </c>
      <c r="AY369" s="35">
        <f>AX369/AR369</f>
        <v/>
      </c>
      <c r="AZ369" s="220">
        <f>AV369-AF369</f>
        <v/>
      </c>
      <c r="BA369" s="215">
        <f>AV369-SUM(Z369:AC369)</f>
        <v/>
      </c>
      <c r="BB369" s="215">
        <f>BA369-Y369</f>
        <v/>
      </c>
      <c r="BC369" s="35">
        <f>BB369/BA369</f>
        <v/>
      </c>
      <c r="BD369" s="35">
        <f>IFERROR(AZ369/AV369,)</f>
        <v/>
      </c>
      <c r="BE369" s="255">
        <f>AV369-SUM(Z369:AC369)</f>
        <v/>
      </c>
      <c r="BF369" s="255">
        <f>AV369-BE369-AC369-AB369</f>
        <v/>
      </c>
      <c r="BG369" s="255">
        <f>AV369-BE369-BF369-AB369</f>
        <v/>
      </c>
      <c r="BH369" s="255">
        <f>AB369</f>
        <v/>
      </c>
      <c r="BI369" s="263" t="inlineStr">
        <is>
          <t>Worst Case Approved</t>
        </is>
      </c>
    </row>
    <row r="370">
      <c r="C370" s="23" t="inlineStr">
        <is>
          <t>ASINI/Yekeni</t>
        </is>
      </c>
      <c r="D370">
        <f>CONCATENATE(G370,"-",H370,"-",F370)</f>
        <v/>
      </c>
      <c r="E370" s="24" t="inlineStr">
        <is>
          <t>JMG-10T-Hiabs Logistics-Upcountry</t>
        </is>
      </c>
      <c r="F370" s="23" t="inlineStr">
        <is>
          <t>Upcountry</t>
        </is>
      </c>
      <c r="G370" s="25" t="inlineStr">
        <is>
          <t>Hiabs Logistics</t>
        </is>
      </c>
      <c r="H370" s="24" t="inlineStr">
        <is>
          <t>10T</t>
        </is>
      </c>
      <c r="I370" s="73" t="inlineStr">
        <is>
          <t>JMG</t>
        </is>
      </c>
      <c r="J370" s="74" t="inlineStr">
        <is>
          <t>Port Harcourt</t>
        </is>
      </c>
      <c r="K370" s="117" t="inlineStr">
        <is>
          <t>Owerri</t>
        </is>
      </c>
      <c r="L370" s="25" t="inlineStr">
        <is>
          <t>Imo</t>
        </is>
      </c>
      <c r="M370" s="63" t="n"/>
      <c r="N370" s="199">
        <f>O370/2</f>
        <v/>
      </c>
      <c r="O370" s="200" t="n">
        <v>212</v>
      </c>
      <c r="P370" s="220">
        <f>ROUNDUP(O370/300,)</f>
        <v/>
      </c>
      <c r="Q370" s="220" t="n">
        <v>2</v>
      </c>
      <c r="R370" s="220">
        <f>Q370+P370</f>
        <v/>
      </c>
      <c r="S370" s="198">
        <f>ROUNDDOWN(O370*0.51,)+60</f>
        <v/>
      </c>
      <c r="T370" s="207">
        <f>_xlfn.XLOOKUP(G370,[1]Fx!$A$4:$A$10,[1]Fx!$B$4:$B$10)</f>
        <v/>
      </c>
      <c r="U370" s="207">
        <f>_xlfn.XLOOKUP(G370,'[1]BP Setup'!$B$6:$B$72,'[1]BP Setup'!$Q$6:$Q$72)</f>
        <v/>
      </c>
      <c r="V370" s="207">
        <f>_xlfn.XLOOKUP(G370,'[1]BP Setup'!$B$6:$B$72,'[1]BP Setup'!$R$6:$R$72)</f>
        <v/>
      </c>
      <c r="W370" s="207">
        <f>$W$3</f>
        <v/>
      </c>
      <c r="X370" s="207" t="n">
        <v>80</v>
      </c>
      <c r="Y370" s="215">
        <f>T370*R370</f>
        <v/>
      </c>
      <c r="Z370" s="215">
        <f>U370*O370</f>
        <v/>
      </c>
      <c r="AA370" s="215">
        <f>V370*O370</f>
        <v/>
      </c>
      <c r="AB370" s="215">
        <f>W370*O370</f>
        <v/>
      </c>
      <c r="AC370" s="197">
        <f>X370*O370</f>
        <v/>
      </c>
      <c r="AD370" s="215" t="n">
        <v>0</v>
      </c>
      <c r="AE370" s="215" t="n">
        <v>0</v>
      </c>
      <c r="AF370" s="207">
        <f>SUM(Y370:AE370)</f>
        <v/>
      </c>
      <c r="AG370" s="254">
        <f>_xlfn.XLOOKUP(G370,[1]Fx!$A$16:$A$22,[1]Fx!$B$16:$B$22)</f>
        <v/>
      </c>
      <c r="AH370" s="207">
        <f>AG370*R370</f>
        <v/>
      </c>
      <c r="AI370" s="207">
        <f>$AI$3*Z370</f>
        <v/>
      </c>
      <c r="AJ370" s="207">
        <f>$AJ$3*AA370</f>
        <v/>
      </c>
      <c r="AK370" s="207">
        <f>$AK$3*AB370</f>
        <v/>
      </c>
      <c r="AL370" s="207">
        <f>$AL$3*AC370</f>
        <v/>
      </c>
      <c r="AM370" s="220">
        <f>SUM(AH370:AL370)</f>
        <v/>
      </c>
      <c r="AN370" s="220" t="n">
        <v>0</v>
      </c>
      <c r="AO370" s="220">
        <f>AN370*AH370</f>
        <v/>
      </c>
      <c r="AP370" s="220">
        <f>AD370</f>
        <v/>
      </c>
      <c r="AQ370" s="220">
        <f>AE370</f>
        <v/>
      </c>
      <c r="AR370" s="208">
        <f>AM370-AO370</f>
        <v/>
      </c>
      <c r="AS370" s="220">
        <f>AR370-AK370</f>
        <v/>
      </c>
      <c r="AT370" s="208">
        <f>AS370*1.075</f>
        <v/>
      </c>
      <c r="AU370" s="208">
        <f>AT370+AK370</f>
        <v/>
      </c>
      <c r="AV370" s="198" t="n">
        <v>394806.5987221971</v>
      </c>
      <c r="AW370" s="264">
        <f>BO370*2</f>
        <v/>
      </c>
      <c r="AX370" s="220">
        <f>AV370-AR370</f>
        <v/>
      </c>
      <c r="AY370" s="35">
        <f>AX370/AR370</f>
        <v/>
      </c>
      <c r="AZ370" s="220">
        <f>AV370-AF370</f>
        <v/>
      </c>
      <c r="BA370" s="215">
        <f>AV370-SUM(Z370:AC370)</f>
        <v/>
      </c>
      <c r="BB370" s="215">
        <f>BA370-Y370</f>
        <v/>
      </c>
      <c r="BC370" s="35">
        <f>BB370/BA370</f>
        <v/>
      </c>
      <c r="BD370" s="35">
        <f>IFERROR(AZ370/AV370,)</f>
        <v/>
      </c>
      <c r="BE370" s="255">
        <f>AV370-SUM(Z370:AC370)</f>
        <v/>
      </c>
      <c r="BF370" s="255">
        <f>AV370-BE370-AC370-AB370</f>
        <v/>
      </c>
      <c r="BG370" s="255">
        <f>AV370-BE370-BF370-AB370</f>
        <v/>
      </c>
      <c r="BH370" s="255">
        <f>AB370</f>
        <v/>
      </c>
      <c r="BI370" s="263" t="inlineStr">
        <is>
          <t>Worst Case Approved</t>
        </is>
      </c>
    </row>
    <row r="371">
      <c r="C371" s="23" t="inlineStr">
        <is>
          <t>ASINI/Yekeni</t>
        </is>
      </c>
      <c r="D371">
        <f>CONCATENATE(G371,"-",H371,"-",F371)</f>
        <v/>
      </c>
      <c r="E371" s="24" t="inlineStr">
        <is>
          <t>JMG-10T-Hiabs Logistics-Upcountry</t>
        </is>
      </c>
      <c r="F371" s="23" t="inlineStr">
        <is>
          <t>Upcountry</t>
        </is>
      </c>
      <c r="G371" s="25" t="inlineStr">
        <is>
          <t>Hiabs Logistics</t>
        </is>
      </c>
      <c r="H371" s="24" t="inlineStr">
        <is>
          <t>10T</t>
        </is>
      </c>
      <c r="I371" s="73" t="inlineStr">
        <is>
          <t>JMG</t>
        </is>
      </c>
      <c r="J371" s="74" t="inlineStr">
        <is>
          <t>Port Harcourt</t>
        </is>
      </c>
      <c r="K371" s="115" t="inlineStr">
        <is>
          <t>Ikot Abasi</t>
        </is>
      </c>
      <c r="L371" s="25" t="inlineStr">
        <is>
          <t>Akwa Ibom</t>
        </is>
      </c>
      <c r="M371" s="63" t="n"/>
      <c r="N371" s="199">
        <f>O371/2</f>
        <v/>
      </c>
      <c r="O371" s="200" t="n">
        <v>186</v>
      </c>
      <c r="P371" s="220">
        <f>ROUNDUP(O371/300,)</f>
        <v/>
      </c>
      <c r="Q371" s="220" t="n">
        <v>2</v>
      </c>
      <c r="R371" s="220">
        <f>Q371+P371</f>
        <v/>
      </c>
      <c r="S371" s="198">
        <f>ROUNDDOWN(O371*0.51,)+60</f>
        <v/>
      </c>
      <c r="T371" s="207">
        <f>_xlfn.XLOOKUP(G371,[1]Fx!$A$4:$A$10,[1]Fx!$B$4:$B$10)</f>
        <v/>
      </c>
      <c r="U371" s="207">
        <f>_xlfn.XLOOKUP(G371,'[1]BP Setup'!$B$6:$B$72,'[1]BP Setup'!$Q$6:$Q$72)</f>
        <v/>
      </c>
      <c r="V371" s="207">
        <f>_xlfn.XLOOKUP(G371,'[1]BP Setup'!$B$6:$B$72,'[1]BP Setup'!$R$6:$R$72)</f>
        <v/>
      </c>
      <c r="W371" s="207">
        <f>$W$3</f>
        <v/>
      </c>
      <c r="X371" s="207" t="n">
        <v>80</v>
      </c>
      <c r="Y371" s="215">
        <f>T371*R371</f>
        <v/>
      </c>
      <c r="Z371" s="215">
        <f>U371*O371</f>
        <v/>
      </c>
      <c r="AA371" s="215">
        <f>V371*O371</f>
        <v/>
      </c>
      <c r="AB371" s="215">
        <f>W371*O371</f>
        <v/>
      </c>
      <c r="AC371" s="197">
        <f>X371*O371</f>
        <v/>
      </c>
      <c r="AD371" s="215" t="n">
        <v>0</v>
      </c>
      <c r="AE371" s="215" t="n">
        <v>0</v>
      </c>
      <c r="AF371" s="207">
        <f>SUM(Y371:AE371)</f>
        <v/>
      </c>
      <c r="AG371" s="254">
        <f>_xlfn.XLOOKUP(G371,[1]Fx!$A$16:$A$22,[1]Fx!$B$16:$B$22)</f>
        <v/>
      </c>
      <c r="AH371" s="207">
        <f>AG371*R371</f>
        <v/>
      </c>
      <c r="AI371" s="207">
        <f>$AI$3*Z371</f>
        <v/>
      </c>
      <c r="AJ371" s="207">
        <f>$AJ$3*AA371</f>
        <v/>
      </c>
      <c r="AK371" s="207">
        <f>$AK$3*AB371</f>
        <v/>
      </c>
      <c r="AL371" s="207">
        <f>$AL$3*AC371</f>
        <v/>
      </c>
      <c r="AM371" s="220">
        <f>SUM(AH371:AL371)</f>
        <v/>
      </c>
      <c r="AN371" s="220" t="n">
        <v>0</v>
      </c>
      <c r="AO371" s="220">
        <f>AN371*AH371</f>
        <v/>
      </c>
      <c r="AP371" s="220">
        <f>AD371</f>
        <v/>
      </c>
      <c r="AQ371" s="220">
        <f>AE371</f>
        <v/>
      </c>
      <c r="AR371" s="208">
        <f>AM371-AO371</f>
        <v/>
      </c>
      <c r="AS371" s="220">
        <f>AR371-AK371</f>
        <v/>
      </c>
      <c r="AT371" s="208">
        <f>AS371*1.075</f>
        <v/>
      </c>
      <c r="AU371" s="208">
        <f>AT371+AK371</f>
        <v/>
      </c>
      <c r="AV371" s="198" t="n">
        <v>394806.5987221971</v>
      </c>
      <c r="AW371" s="264">
        <f>BO371*2</f>
        <v/>
      </c>
      <c r="AX371" s="220">
        <f>AV371-AR371</f>
        <v/>
      </c>
      <c r="AY371" s="35">
        <f>AX371/AR371</f>
        <v/>
      </c>
      <c r="AZ371" s="220">
        <f>AV371-AF371</f>
        <v/>
      </c>
      <c r="BA371" s="215">
        <f>AV371-SUM(Z371:AC371)</f>
        <v/>
      </c>
      <c r="BB371" s="215">
        <f>BA371-Y371</f>
        <v/>
      </c>
      <c r="BC371" s="35">
        <f>BB371/BA371</f>
        <v/>
      </c>
      <c r="BD371" s="35">
        <f>IFERROR(AZ371/AV371,)</f>
        <v/>
      </c>
      <c r="BE371" s="255">
        <f>AV371-SUM(Z371:AC371)</f>
        <v/>
      </c>
      <c r="BF371" s="255">
        <f>AV371-BE371-AC371-AB371</f>
        <v/>
      </c>
      <c r="BG371" s="255">
        <f>AV371-BE371-BF371-AB371</f>
        <v/>
      </c>
      <c r="BH371" s="255">
        <f>AB371</f>
        <v/>
      </c>
      <c r="BI371" s="263" t="inlineStr">
        <is>
          <t>Worst Case Approved</t>
        </is>
      </c>
    </row>
    <row r="372">
      <c r="C372" s="23" t="inlineStr">
        <is>
          <t>ASINI/Yekeni</t>
        </is>
      </c>
      <c r="D372">
        <f>CONCATENATE(G372,"-",H372,"-",F372)</f>
        <v/>
      </c>
      <c r="E372" s="24" t="inlineStr">
        <is>
          <t>JMG-10T-Hiabs Logistics-Upcountry</t>
        </is>
      </c>
      <c r="F372" s="23" t="inlineStr">
        <is>
          <t>Upcountry</t>
        </is>
      </c>
      <c r="G372" s="25" t="inlineStr">
        <is>
          <t>Hiabs Logistics</t>
        </is>
      </c>
      <c r="H372" s="24" t="inlineStr">
        <is>
          <t>10T</t>
        </is>
      </c>
      <c r="I372" s="73" t="inlineStr">
        <is>
          <t>JMG</t>
        </is>
      </c>
      <c r="J372" s="74" t="inlineStr">
        <is>
          <t>Port Harcourt</t>
        </is>
      </c>
      <c r="K372" s="115" t="inlineStr">
        <is>
          <t>Omoku</t>
        </is>
      </c>
      <c r="L372" s="25" t="inlineStr">
        <is>
          <t>Rivers</t>
        </is>
      </c>
      <c r="M372" s="63" t="n"/>
      <c r="N372" s="199">
        <f>O372/2</f>
        <v/>
      </c>
      <c r="O372" s="200" t="n">
        <v>177</v>
      </c>
      <c r="P372" s="220">
        <f>ROUNDUP(O372/300,)</f>
        <v/>
      </c>
      <c r="Q372" s="220" t="n">
        <v>2</v>
      </c>
      <c r="R372" s="220">
        <f>Q372+P372</f>
        <v/>
      </c>
      <c r="S372" s="198">
        <f>ROUNDDOWN(O372*0.51,)+60</f>
        <v/>
      </c>
      <c r="T372" s="207">
        <f>_xlfn.XLOOKUP(G372,[1]Fx!$A$4:$A$10,[1]Fx!$B$4:$B$10)</f>
        <v/>
      </c>
      <c r="U372" s="207">
        <f>_xlfn.XLOOKUP(G372,'[1]BP Setup'!$B$6:$B$72,'[1]BP Setup'!$Q$6:$Q$72)</f>
        <v/>
      </c>
      <c r="V372" s="207">
        <f>_xlfn.XLOOKUP(G372,'[1]BP Setup'!$B$6:$B$72,'[1]BP Setup'!$R$6:$R$72)</f>
        <v/>
      </c>
      <c r="W372" s="207">
        <f>$W$3</f>
        <v/>
      </c>
      <c r="X372" s="207" t="n">
        <v>80</v>
      </c>
      <c r="Y372" s="215">
        <f>T372*R372</f>
        <v/>
      </c>
      <c r="Z372" s="215">
        <f>U372*O372</f>
        <v/>
      </c>
      <c r="AA372" s="215">
        <f>V372*O372</f>
        <v/>
      </c>
      <c r="AB372" s="215">
        <f>W372*O372</f>
        <v/>
      </c>
      <c r="AC372" s="197">
        <f>X372*O372</f>
        <v/>
      </c>
      <c r="AD372" s="215" t="n">
        <v>0</v>
      </c>
      <c r="AE372" s="215" t="n">
        <v>0</v>
      </c>
      <c r="AF372" s="207">
        <f>SUM(Y372:AE372)</f>
        <v/>
      </c>
      <c r="AG372" s="254">
        <f>_xlfn.XLOOKUP(G372,[1]Fx!$A$16:$A$22,[1]Fx!$B$16:$B$22)</f>
        <v/>
      </c>
      <c r="AH372" s="207">
        <f>AG372*R372</f>
        <v/>
      </c>
      <c r="AI372" s="207">
        <f>$AI$3*Z372</f>
        <v/>
      </c>
      <c r="AJ372" s="207">
        <f>$AJ$3*AA372</f>
        <v/>
      </c>
      <c r="AK372" s="207">
        <f>$AK$3*AB372</f>
        <v/>
      </c>
      <c r="AL372" s="207">
        <f>$AL$3*AC372</f>
        <v/>
      </c>
      <c r="AM372" s="220">
        <f>SUM(AH372:AL372)</f>
        <v/>
      </c>
      <c r="AN372" s="220" t="n">
        <v>0</v>
      </c>
      <c r="AO372" s="220">
        <f>AN372*AH372</f>
        <v/>
      </c>
      <c r="AP372" s="220">
        <f>AD372</f>
        <v/>
      </c>
      <c r="AQ372" s="220">
        <f>AE372</f>
        <v/>
      </c>
      <c r="AR372" s="208">
        <f>AM372-AO372</f>
        <v/>
      </c>
      <c r="AS372" s="220">
        <f>AR372-AK372</f>
        <v/>
      </c>
      <c r="AT372" s="208">
        <f>AS372*1.075</f>
        <v/>
      </c>
      <c r="AU372" s="208">
        <f>AT372+AK372</f>
        <v/>
      </c>
      <c r="AV372" s="198" t="n">
        <v>394806.5987221971</v>
      </c>
      <c r="AW372" s="264">
        <f>BO372*2</f>
        <v/>
      </c>
      <c r="AX372" s="220">
        <f>AV372-AR372</f>
        <v/>
      </c>
      <c r="AY372" s="35">
        <f>AX372/AR372</f>
        <v/>
      </c>
      <c r="AZ372" s="220">
        <f>AV372-AF372</f>
        <v/>
      </c>
      <c r="BA372" s="215">
        <f>AV372-SUM(Z372:AC372)</f>
        <v/>
      </c>
      <c r="BB372" s="215">
        <f>BA372-Y372</f>
        <v/>
      </c>
      <c r="BC372" s="35">
        <f>BB372/BA372</f>
        <v/>
      </c>
      <c r="BD372" s="35">
        <f>IFERROR(AZ372/AV372,)</f>
        <v/>
      </c>
      <c r="BE372" s="255">
        <f>AV372-SUM(Z372:AC372)</f>
        <v/>
      </c>
      <c r="BF372" s="255">
        <f>AV372-BE372-AC372-AB372</f>
        <v/>
      </c>
      <c r="BG372" s="255">
        <f>AV372-BE372-BF372-AB372</f>
        <v/>
      </c>
      <c r="BH372" s="255">
        <f>AB372</f>
        <v/>
      </c>
      <c r="BI372" s="263" t="inlineStr">
        <is>
          <t>Worst Case Approved</t>
        </is>
      </c>
    </row>
    <row r="373">
      <c r="C373" s="23" t="inlineStr">
        <is>
          <t>ASINI/Yekeni</t>
        </is>
      </c>
      <c r="D373">
        <f>CONCATENATE(G373,"-",H373,"-",F373)</f>
        <v/>
      </c>
      <c r="E373" s="24" t="inlineStr">
        <is>
          <t>JMG-10T-Hiabs Logistics-Upcountry</t>
        </is>
      </c>
      <c r="F373" s="23" t="inlineStr">
        <is>
          <t>Upcountry</t>
        </is>
      </c>
      <c r="G373" s="25" t="inlineStr">
        <is>
          <t>Hiabs Logistics</t>
        </is>
      </c>
      <c r="H373" s="24" t="inlineStr">
        <is>
          <t>10T</t>
        </is>
      </c>
      <c r="I373" s="73" t="inlineStr">
        <is>
          <t>JMG</t>
        </is>
      </c>
      <c r="J373" s="74" t="inlineStr">
        <is>
          <t>Port Harcourt</t>
        </is>
      </c>
      <c r="K373" s="115" t="inlineStr">
        <is>
          <t>Mbiama</t>
        </is>
      </c>
      <c r="L373" s="25" t="inlineStr">
        <is>
          <t>Rivers</t>
        </is>
      </c>
      <c r="M373" s="63" t="n"/>
      <c r="N373" s="199">
        <f>O373/2</f>
        <v/>
      </c>
      <c r="O373" s="200" t="n">
        <v>175</v>
      </c>
      <c r="P373" s="220">
        <f>ROUNDUP(O373/300,)</f>
        <v/>
      </c>
      <c r="Q373" s="220" t="n">
        <v>2</v>
      </c>
      <c r="R373" s="220">
        <f>Q373+P373</f>
        <v/>
      </c>
      <c r="S373" s="198">
        <f>ROUNDDOWN(O373*0.51,)+60</f>
        <v/>
      </c>
      <c r="T373" s="207">
        <f>_xlfn.XLOOKUP(G373,[1]Fx!$A$4:$A$10,[1]Fx!$B$4:$B$10)</f>
        <v/>
      </c>
      <c r="U373" s="207">
        <f>_xlfn.XLOOKUP(G373,'[1]BP Setup'!$B$6:$B$72,'[1]BP Setup'!$Q$6:$Q$72)</f>
        <v/>
      </c>
      <c r="V373" s="207">
        <f>_xlfn.XLOOKUP(G373,'[1]BP Setup'!$B$6:$B$72,'[1]BP Setup'!$R$6:$R$72)</f>
        <v/>
      </c>
      <c r="W373" s="207">
        <f>$W$3</f>
        <v/>
      </c>
      <c r="X373" s="207" t="n">
        <v>80</v>
      </c>
      <c r="Y373" s="215">
        <f>T373*R373</f>
        <v/>
      </c>
      <c r="Z373" s="215">
        <f>U373*O373</f>
        <v/>
      </c>
      <c r="AA373" s="215">
        <f>V373*O373</f>
        <v/>
      </c>
      <c r="AB373" s="215">
        <f>W373*O373</f>
        <v/>
      </c>
      <c r="AC373" s="197">
        <f>X373*O373</f>
        <v/>
      </c>
      <c r="AD373" s="215" t="n">
        <v>0</v>
      </c>
      <c r="AE373" s="215" t="n">
        <v>0</v>
      </c>
      <c r="AF373" s="207">
        <f>SUM(Y373:AE373)</f>
        <v/>
      </c>
      <c r="AG373" s="254">
        <f>_xlfn.XLOOKUP(G373,[1]Fx!$A$16:$A$22,[1]Fx!$B$16:$B$22)</f>
        <v/>
      </c>
      <c r="AH373" s="207">
        <f>AG373*R373</f>
        <v/>
      </c>
      <c r="AI373" s="207">
        <f>$AI$3*Z373</f>
        <v/>
      </c>
      <c r="AJ373" s="207">
        <f>$AJ$3*AA373</f>
        <v/>
      </c>
      <c r="AK373" s="207">
        <f>$AK$3*AB373</f>
        <v/>
      </c>
      <c r="AL373" s="207">
        <f>$AL$3*AC373</f>
        <v/>
      </c>
      <c r="AM373" s="220">
        <f>SUM(AH373:AL373)</f>
        <v/>
      </c>
      <c r="AN373" s="220" t="n">
        <v>0</v>
      </c>
      <c r="AO373" s="220">
        <f>AN373*AH373</f>
        <v/>
      </c>
      <c r="AP373" s="220">
        <f>AD373</f>
        <v/>
      </c>
      <c r="AQ373" s="220">
        <f>AE373</f>
        <v/>
      </c>
      <c r="AR373" s="208">
        <f>AM373-AO373</f>
        <v/>
      </c>
      <c r="AS373" s="220">
        <f>AR373-AK373</f>
        <v/>
      </c>
      <c r="AT373" s="208">
        <f>AS373*1.075</f>
        <v/>
      </c>
      <c r="AU373" s="208">
        <f>AT373+AK373</f>
        <v/>
      </c>
      <c r="AV373" s="198" t="n">
        <v>394806.5987221971</v>
      </c>
      <c r="AW373" s="264">
        <f>BO373*2</f>
        <v/>
      </c>
      <c r="AX373" s="220">
        <f>AV373-AR373</f>
        <v/>
      </c>
      <c r="AY373" s="35">
        <f>AX373/AR373</f>
        <v/>
      </c>
      <c r="AZ373" s="220">
        <f>AV373-AF373</f>
        <v/>
      </c>
      <c r="BA373" s="215">
        <f>AV373-SUM(Z373:AC373)</f>
        <v/>
      </c>
      <c r="BB373" s="215">
        <f>BA373-Y373</f>
        <v/>
      </c>
      <c r="BC373" s="35">
        <f>BB373/BA373</f>
        <v/>
      </c>
      <c r="BD373" s="35">
        <f>IFERROR(AZ373/AV373,)</f>
        <v/>
      </c>
      <c r="BE373" s="255">
        <f>AV373-SUM(Z373:AC373)</f>
        <v/>
      </c>
      <c r="BF373" s="255">
        <f>AV373-BE373-AC373-AB373</f>
        <v/>
      </c>
      <c r="BG373" s="255">
        <f>AV373-BE373-BF373-AB373</f>
        <v/>
      </c>
      <c r="BH373" s="255">
        <f>AB373</f>
        <v/>
      </c>
      <c r="BI373" s="263" t="inlineStr">
        <is>
          <t>Worst Case Approved</t>
        </is>
      </c>
    </row>
    <row r="374">
      <c r="C374" s="23" t="inlineStr">
        <is>
          <t>ASINI/Yekeni</t>
        </is>
      </c>
      <c r="D374">
        <f>CONCATENATE(G374,"-",H374,"-",F374)</f>
        <v/>
      </c>
      <c r="E374" s="24" t="inlineStr">
        <is>
          <t>JMG-10T-Hiabs Logistics-Upcountry</t>
        </is>
      </c>
      <c r="F374" s="23" t="inlineStr">
        <is>
          <t>Upcountry</t>
        </is>
      </c>
      <c r="G374" s="25" t="inlineStr">
        <is>
          <t>Hiabs Logistics</t>
        </is>
      </c>
      <c r="H374" s="24" t="inlineStr">
        <is>
          <t>10T</t>
        </is>
      </c>
      <c r="I374" s="73" t="inlineStr">
        <is>
          <t>JMG</t>
        </is>
      </c>
      <c r="J374" s="74" t="inlineStr">
        <is>
          <t>Port Harcourt</t>
        </is>
      </c>
      <c r="K374" s="115" t="inlineStr">
        <is>
          <t>Abua</t>
        </is>
      </c>
      <c r="L374" s="25" t="inlineStr">
        <is>
          <t>Rivers</t>
        </is>
      </c>
      <c r="M374" s="63" t="n"/>
      <c r="N374" s="199">
        <f>O374/2</f>
        <v/>
      </c>
      <c r="O374" s="200" t="n">
        <v>156</v>
      </c>
      <c r="P374" s="220">
        <f>ROUNDUP(O374/300,)</f>
        <v/>
      </c>
      <c r="Q374" s="220" t="n">
        <v>1</v>
      </c>
      <c r="R374" s="220">
        <f>Q374+P374</f>
        <v/>
      </c>
      <c r="S374" s="198">
        <f>ROUNDDOWN(O374*0.51,)+60</f>
        <v/>
      </c>
      <c r="T374" s="207">
        <f>_xlfn.XLOOKUP(G374,[1]Fx!$A$4:$A$10,[1]Fx!$B$4:$B$10)</f>
        <v/>
      </c>
      <c r="U374" s="207">
        <f>_xlfn.XLOOKUP(G374,'[1]BP Setup'!$B$6:$B$72,'[1]BP Setup'!$Q$6:$Q$72)</f>
        <v/>
      </c>
      <c r="V374" s="207">
        <f>_xlfn.XLOOKUP(G374,'[1]BP Setup'!$B$6:$B$72,'[1]BP Setup'!$R$6:$R$72)</f>
        <v/>
      </c>
      <c r="W374" s="207">
        <f>$W$3</f>
        <v/>
      </c>
      <c r="X374" s="207" t="n">
        <v>80</v>
      </c>
      <c r="Y374" s="215">
        <f>T374*R374</f>
        <v/>
      </c>
      <c r="Z374" s="215">
        <f>U374*O374</f>
        <v/>
      </c>
      <c r="AA374" s="215">
        <f>V374*O374</f>
        <v/>
      </c>
      <c r="AB374" s="215">
        <f>W374*O374</f>
        <v/>
      </c>
      <c r="AC374" s="197">
        <f>X374*O374</f>
        <v/>
      </c>
      <c r="AD374" s="215" t="n">
        <v>0</v>
      </c>
      <c r="AE374" s="215" t="n">
        <v>0</v>
      </c>
      <c r="AF374" s="207">
        <f>SUM(Y374:AE374)</f>
        <v/>
      </c>
      <c r="AG374" s="254">
        <f>_xlfn.XLOOKUP(G374,[1]Fx!$A$16:$A$22,[1]Fx!$B$16:$B$22)</f>
        <v/>
      </c>
      <c r="AH374" s="207">
        <f>AG374*R374</f>
        <v/>
      </c>
      <c r="AI374" s="207">
        <f>$AI$3*Z374</f>
        <v/>
      </c>
      <c r="AJ374" s="207">
        <f>$AJ$3*AA374</f>
        <v/>
      </c>
      <c r="AK374" s="207">
        <f>$AK$3*AB374</f>
        <v/>
      </c>
      <c r="AL374" s="207">
        <f>$AL$3*AC374</f>
        <v/>
      </c>
      <c r="AM374" s="220">
        <f>SUM(AH374:AL374)</f>
        <v/>
      </c>
      <c r="AN374" s="220" t="n">
        <v>0</v>
      </c>
      <c r="AO374" s="220">
        <f>AN374*AH374</f>
        <v/>
      </c>
      <c r="AP374" s="220">
        <f>AD374</f>
        <v/>
      </c>
      <c r="AQ374" s="220">
        <f>AE374</f>
        <v/>
      </c>
      <c r="AR374" s="208">
        <f>AM374-AO374</f>
        <v/>
      </c>
      <c r="AS374" s="220">
        <f>AR374-AK374</f>
        <v/>
      </c>
      <c r="AT374" s="208">
        <f>AS374*1.075</f>
        <v/>
      </c>
      <c r="AU374" s="208">
        <f>AT374+AK374</f>
        <v/>
      </c>
      <c r="AV374" s="198" t="n">
        <v>263204.3991481314</v>
      </c>
      <c r="AW374" s="264">
        <f>BO374*2</f>
        <v/>
      </c>
      <c r="AX374" s="220">
        <f>AV374-AR374</f>
        <v/>
      </c>
      <c r="AY374" s="35">
        <f>AX374/AR374</f>
        <v/>
      </c>
      <c r="AZ374" s="220">
        <f>AV374-AF374</f>
        <v/>
      </c>
      <c r="BA374" s="215">
        <f>AV374-SUM(Z374:AC374)</f>
        <v/>
      </c>
      <c r="BB374" s="215">
        <f>BA374-Y374</f>
        <v/>
      </c>
      <c r="BC374" s="35">
        <f>BB374/BA374</f>
        <v/>
      </c>
      <c r="BD374" s="35">
        <f>IFERROR(AZ374/AV374,)</f>
        <v/>
      </c>
      <c r="BE374" s="255">
        <f>AV374-SUM(Z374:AC374)</f>
        <v/>
      </c>
      <c r="BF374" s="255">
        <f>AV374-BE374-AC374-AB374</f>
        <v/>
      </c>
      <c r="BG374" s="255">
        <f>AV374-BE374-BF374-AB374</f>
        <v/>
      </c>
      <c r="BH374" s="255">
        <f>AB374</f>
        <v/>
      </c>
      <c r="BI374" s="263" t="inlineStr">
        <is>
          <t>Worst Case Approved</t>
        </is>
      </c>
    </row>
    <row r="375">
      <c r="C375" s="23" t="inlineStr">
        <is>
          <t>ASINI/Yekeni</t>
        </is>
      </c>
      <c r="D375">
        <f>CONCATENATE(G375,"-",H375,"-",F375)</f>
        <v/>
      </c>
      <c r="E375" s="24" t="inlineStr">
        <is>
          <t>JMG-10T-Hiabs Logistics-Upcountry</t>
        </is>
      </c>
      <c r="F375" s="23" t="inlineStr">
        <is>
          <t>Upcountry</t>
        </is>
      </c>
      <c r="G375" s="25" t="inlineStr">
        <is>
          <t>Hiabs Logistics</t>
        </is>
      </c>
      <c r="H375" s="24" t="inlineStr">
        <is>
          <t>10T</t>
        </is>
      </c>
      <c r="I375" s="73" t="inlineStr">
        <is>
          <t>JMG</t>
        </is>
      </c>
      <c r="J375" s="74" t="inlineStr">
        <is>
          <t>Port Harcourt</t>
        </is>
      </c>
      <c r="K375" s="115" t="inlineStr">
        <is>
          <t>Ahoada</t>
        </is>
      </c>
      <c r="L375" s="25" t="inlineStr">
        <is>
          <t>Rivers</t>
        </is>
      </c>
      <c r="M375" s="63" t="n"/>
      <c r="N375" s="199">
        <f>O375/2</f>
        <v/>
      </c>
      <c r="O375" s="200" t="n">
        <v>139</v>
      </c>
      <c r="P375" s="220">
        <f>ROUNDUP(O375/300,)</f>
        <v/>
      </c>
      <c r="Q375" s="220" t="n">
        <v>1</v>
      </c>
      <c r="R375" s="220">
        <f>Q375+P375</f>
        <v/>
      </c>
      <c r="S375" s="198">
        <f>ROUNDDOWN(O375*0.51,)+60</f>
        <v/>
      </c>
      <c r="T375" s="207">
        <f>_xlfn.XLOOKUP(G375,[1]Fx!$A$4:$A$10,[1]Fx!$B$4:$B$10)</f>
        <v/>
      </c>
      <c r="U375" s="207">
        <f>_xlfn.XLOOKUP(G375,'[1]BP Setup'!$B$6:$B$72,'[1]BP Setup'!$Q$6:$Q$72)</f>
        <v/>
      </c>
      <c r="V375" s="207">
        <f>_xlfn.XLOOKUP(G375,'[1]BP Setup'!$B$6:$B$72,'[1]BP Setup'!$R$6:$R$72)</f>
        <v/>
      </c>
      <c r="W375" s="207">
        <f>$W$3</f>
        <v/>
      </c>
      <c r="X375" s="207" t="n">
        <v>80</v>
      </c>
      <c r="Y375" s="215">
        <f>T375*R375</f>
        <v/>
      </c>
      <c r="Z375" s="215">
        <f>U375*O375</f>
        <v/>
      </c>
      <c r="AA375" s="215">
        <f>V375*O375</f>
        <v/>
      </c>
      <c r="AB375" s="215">
        <f>W375*O375</f>
        <v/>
      </c>
      <c r="AC375" s="197">
        <f>X375*O375</f>
        <v/>
      </c>
      <c r="AD375" s="215" t="n">
        <v>0</v>
      </c>
      <c r="AE375" s="215" t="n">
        <v>0</v>
      </c>
      <c r="AF375" s="207">
        <f>SUM(Y375:AE375)</f>
        <v/>
      </c>
      <c r="AG375" s="254">
        <f>_xlfn.XLOOKUP(G375,[1]Fx!$A$16:$A$22,[1]Fx!$B$16:$B$22)</f>
        <v/>
      </c>
      <c r="AH375" s="207">
        <f>AG375*R375</f>
        <v/>
      </c>
      <c r="AI375" s="207">
        <f>$AI$3*Z375</f>
        <v/>
      </c>
      <c r="AJ375" s="207">
        <f>$AJ$3*AA375</f>
        <v/>
      </c>
      <c r="AK375" s="207">
        <f>$AK$3*AB375</f>
        <v/>
      </c>
      <c r="AL375" s="207">
        <f>$AL$3*AC375</f>
        <v/>
      </c>
      <c r="AM375" s="220">
        <f>SUM(AH375:AL375)</f>
        <v/>
      </c>
      <c r="AN375" s="220" t="n">
        <v>0</v>
      </c>
      <c r="AO375" s="220">
        <f>AN375*AH375</f>
        <v/>
      </c>
      <c r="AP375" s="220">
        <f>AD375</f>
        <v/>
      </c>
      <c r="AQ375" s="220">
        <f>AE375</f>
        <v/>
      </c>
      <c r="AR375" s="208">
        <f>AM375-AO375</f>
        <v/>
      </c>
      <c r="AS375" s="220">
        <f>AR375-AK375</f>
        <v/>
      </c>
      <c r="AT375" s="208">
        <f>AS375*1.075</f>
        <v/>
      </c>
      <c r="AU375" s="208">
        <f>AT375+AK375</f>
        <v/>
      </c>
      <c r="AV375" s="198" t="n">
        <v>263204.3991481314</v>
      </c>
      <c r="AW375" s="264">
        <f>BO375*2</f>
        <v/>
      </c>
      <c r="AX375" s="220">
        <f>AV375-AR375</f>
        <v/>
      </c>
      <c r="AY375" s="35">
        <f>AX375/AR375</f>
        <v/>
      </c>
      <c r="AZ375" s="220">
        <f>AV375-AF375</f>
        <v/>
      </c>
      <c r="BA375" s="215">
        <f>AV375-SUM(Z375:AC375)</f>
        <v/>
      </c>
      <c r="BB375" s="215">
        <f>BA375-Y375</f>
        <v/>
      </c>
      <c r="BC375" s="35">
        <f>BB375/BA375</f>
        <v/>
      </c>
      <c r="BD375" s="35">
        <f>IFERROR(AZ375/AV375,)</f>
        <v/>
      </c>
      <c r="BE375" s="255">
        <f>AV375-SUM(Z375:AC375)</f>
        <v/>
      </c>
      <c r="BF375" s="255">
        <f>AV375-BE375-AC375-AB375</f>
        <v/>
      </c>
      <c r="BG375" s="255">
        <f>AV375-BE375-BF375-AB375</f>
        <v/>
      </c>
      <c r="BH375" s="255">
        <f>AB375</f>
        <v/>
      </c>
      <c r="BI375" s="263" t="inlineStr">
        <is>
          <t xml:space="preserve">To Check </t>
        </is>
      </c>
    </row>
    <row r="376">
      <c r="C376" s="23" t="inlineStr">
        <is>
          <t>ASINI/Yekeni</t>
        </is>
      </c>
      <c r="D376">
        <f>CONCATENATE(G376,"-",H376,"-",F376)</f>
        <v/>
      </c>
      <c r="E376" s="24" t="inlineStr">
        <is>
          <t>JMG-10T-Hiabs Logistics-Upcountry</t>
        </is>
      </c>
      <c r="F376" s="23" t="inlineStr">
        <is>
          <t>Upcountry</t>
        </is>
      </c>
      <c r="G376" s="25" t="inlineStr">
        <is>
          <t>Hiabs Logistics</t>
        </is>
      </c>
      <c r="H376" s="24" t="inlineStr">
        <is>
          <t>10T</t>
        </is>
      </c>
      <c r="I376" s="73" t="inlineStr">
        <is>
          <t>JMG</t>
        </is>
      </c>
      <c r="J376" s="74" t="inlineStr">
        <is>
          <t>Port Harcourt</t>
        </is>
      </c>
      <c r="K376" s="115" t="inlineStr">
        <is>
          <t>Aba</t>
        </is>
      </c>
      <c r="L376" s="25" t="inlineStr">
        <is>
          <t>Abia</t>
        </is>
      </c>
      <c r="M376" s="63" t="n"/>
      <c r="N376" s="199">
        <f>O376/2</f>
        <v/>
      </c>
      <c r="O376" s="200" t="n">
        <v>127</v>
      </c>
      <c r="P376" s="220">
        <f>ROUNDUP(O376/300,)</f>
        <v/>
      </c>
      <c r="Q376" s="220" t="n">
        <v>1.5</v>
      </c>
      <c r="R376" s="220">
        <f>Q376+P376</f>
        <v/>
      </c>
      <c r="S376" s="198">
        <f>ROUNDDOWN(O376*0.51,)+60</f>
        <v/>
      </c>
      <c r="T376" s="207">
        <f>_xlfn.XLOOKUP(G376,[1]Fx!$A$4:$A$10,[1]Fx!$B$4:$B$10)</f>
        <v/>
      </c>
      <c r="U376" s="207">
        <f>_xlfn.XLOOKUP(G376,'[1]BP Setup'!$B$6:$B$72,'[1]BP Setup'!$Q$6:$Q$72)</f>
        <v/>
      </c>
      <c r="V376" s="207">
        <f>_xlfn.XLOOKUP(G376,'[1]BP Setup'!$B$6:$B$72,'[1]BP Setup'!$R$6:$R$72)</f>
        <v/>
      </c>
      <c r="W376" s="207">
        <f>$W$3</f>
        <v/>
      </c>
      <c r="X376" s="207" t="n">
        <v>80</v>
      </c>
      <c r="Y376" s="215">
        <f>T376*R376</f>
        <v/>
      </c>
      <c r="Z376" s="215">
        <f>U376*O376</f>
        <v/>
      </c>
      <c r="AA376" s="215">
        <f>V376*O376</f>
        <v/>
      </c>
      <c r="AB376" s="215">
        <f>W376*O376</f>
        <v/>
      </c>
      <c r="AC376" s="197">
        <f>X376*O376</f>
        <v/>
      </c>
      <c r="AD376" s="215" t="n">
        <v>0</v>
      </c>
      <c r="AE376" s="215" t="n">
        <v>0</v>
      </c>
      <c r="AF376" s="207">
        <f>SUM(Y376:AE376)</f>
        <v/>
      </c>
      <c r="AG376" s="254">
        <f>_xlfn.XLOOKUP(G376,[1]Fx!$A$16:$A$22,[1]Fx!$B$16:$B$22)</f>
        <v/>
      </c>
      <c r="AH376" s="207">
        <f>AG376*R376</f>
        <v/>
      </c>
      <c r="AI376" s="207">
        <f>$AI$3*Z376</f>
        <v/>
      </c>
      <c r="AJ376" s="207">
        <f>$AJ$3*AA376</f>
        <v/>
      </c>
      <c r="AK376" s="207">
        <f>$AK$3*AB376</f>
        <v/>
      </c>
      <c r="AL376" s="207">
        <f>$AL$3*AC376</f>
        <v/>
      </c>
      <c r="AM376" s="220">
        <f>SUM(AH376:AL376)</f>
        <v/>
      </c>
      <c r="AN376" s="220" t="n">
        <v>0</v>
      </c>
      <c r="AO376" s="220">
        <f>AN376*AH376</f>
        <v/>
      </c>
      <c r="AP376" s="220">
        <f>AD376</f>
        <v/>
      </c>
      <c r="AQ376" s="220">
        <f>AE376</f>
        <v/>
      </c>
      <c r="AR376" s="208">
        <f>AM376-AO376</f>
        <v/>
      </c>
      <c r="AS376" s="220">
        <f>AR376-AK376</f>
        <v/>
      </c>
      <c r="AT376" s="208">
        <f>AS376*1.075</f>
        <v/>
      </c>
      <c r="AU376" s="208">
        <f>AT376+AK376</f>
        <v/>
      </c>
      <c r="AV376" s="198" t="n">
        <v>329005.4989351642</v>
      </c>
      <c r="AW376" s="264">
        <f>BO376*2</f>
        <v/>
      </c>
      <c r="AX376" s="220">
        <f>AV376-AR376</f>
        <v/>
      </c>
      <c r="AY376" s="35">
        <f>AX376/AR376</f>
        <v/>
      </c>
      <c r="AZ376" s="220">
        <f>AV376-AF376</f>
        <v/>
      </c>
      <c r="BA376" s="215">
        <f>AV376-SUM(Z376:AC376)</f>
        <v/>
      </c>
      <c r="BB376" s="215">
        <f>BA376-Y376</f>
        <v/>
      </c>
      <c r="BC376" s="35">
        <f>BB376/BA376</f>
        <v/>
      </c>
      <c r="BD376" s="35">
        <f>IFERROR(AZ376/AV376,)</f>
        <v/>
      </c>
      <c r="BE376" s="255">
        <f>AV376-SUM(Z376:AC376)</f>
        <v/>
      </c>
      <c r="BF376" s="255">
        <f>AV376-BE376-AC376-AB376</f>
        <v/>
      </c>
      <c r="BG376" s="255">
        <f>AV376-BE376-BF376-AB376</f>
        <v/>
      </c>
      <c r="BH376" s="255">
        <f>AB376</f>
        <v/>
      </c>
      <c r="BI376" s="263" t="inlineStr">
        <is>
          <t>Worst Case Approved</t>
        </is>
      </c>
    </row>
    <row r="377">
      <c r="C377" s="23" t="inlineStr">
        <is>
          <t>ASINI/Yekeni</t>
        </is>
      </c>
      <c r="D377">
        <f>CONCATENATE(G377,"-",H377,"-",F377)</f>
        <v/>
      </c>
      <c r="E377" s="24" t="inlineStr">
        <is>
          <t>JMG-10T-Hiabs Logistics-Upcountry</t>
        </is>
      </c>
      <c r="F377" s="23" t="inlineStr">
        <is>
          <t>Upcountry</t>
        </is>
      </c>
      <c r="G377" s="25" t="inlineStr">
        <is>
          <t>Hiabs Logistics</t>
        </is>
      </c>
      <c r="H377" s="24" t="inlineStr">
        <is>
          <t>10T</t>
        </is>
      </c>
      <c r="I377" s="73" t="inlineStr">
        <is>
          <t>JMG</t>
        </is>
      </c>
      <c r="J377" s="74" t="inlineStr">
        <is>
          <t>Port Harcourt</t>
        </is>
      </c>
      <c r="K377" s="118" t="inlineStr">
        <is>
          <t>Mbaise</t>
        </is>
      </c>
      <c r="L377" s="25" t="inlineStr">
        <is>
          <t>Imo</t>
        </is>
      </c>
      <c r="M377" s="63" t="n"/>
      <c r="N377" s="199">
        <f>O377/2</f>
        <v/>
      </c>
      <c r="O377" s="200" t="n">
        <v>120</v>
      </c>
      <c r="P377" s="220">
        <f>ROUNDUP(O377/300,)</f>
        <v/>
      </c>
      <c r="Q377" s="220" t="n">
        <v>1</v>
      </c>
      <c r="R377" s="220">
        <f>Q377+P377</f>
        <v/>
      </c>
      <c r="S377" s="198">
        <f>ROUNDDOWN(O377*0.51,)+60</f>
        <v/>
      </c>
      <c r="T377" s="207">
        <f>_xlfn.XLOOKUP(G377,[1]Fx!$A$4:$A$10,[1]Fx!$B$4:$B$10)</f>
        <v/>
      </c>
      <c r="U377" s="207">
        <f>_xlfn.XLOOKUP(G377,'[1]BP Setup'!$B$6:$B$72,'[1]BP Setup'!$Q$6:$Q$72)</f>
        <v/>
      </c>
      <c r="V377" s="207">
        <f>_xlfn.XLOOKUP(G377,'[1]BP Setup'!$B$6:$B$72,'[1]BP Setup'!$R$6:$R$72)</f>
        <v/>
      </c>
      <c r="W377" s="207">
        <f>$W$3</f>
        <v/>
      </c>
      <c r="X377" s="207" t="n">
        <v>80</v>
      </c>
      <c r="Y377" s="215">
        <f>T377*R377</f>
        <v/>
      </c>
      <c r="Z377" s="215">
        <f>U377*O377</f>
        <v/>
      </c>
      <c r="AA377" s="215">
        <f>V377*O377</f>
        <v/>
      </c>
      <c r="AB377" s="215">
        <f>W377*O377</f>
        <v/>
      </c>
      <c r="AC377" s="197">
        <f>X377*O377</f>
        <v/>
      </c>
      <c r="AD377" s="215" t="n">
        <v>0</v>
      </c>
      <c r="AE377" s="215" t="n">
        <v>0</v>
      </c>
      <c r="AF377" s="207">
        <f>SUM(Y377:AE377)</f>
        <v/>
      </c>
      <c r="AG377" s="254">
        <f>_xlfn.XLOOKUP(G377,[1]Fx!$A$16:$A$22,[1]Fx!$B$16:$B$22)</f>
        <v/>
      </c>
      <c r="AH377" s="207">
        <f>AG377*R377</f>
        <v/>
      </c>
      <c r="AI377" s="207">
        <f>$AI$3*Z377</f>
        <v/>
      </c>
      <c r="AJ377" s="207">
        <f>$AJ$3*AA377</f>
        <v/>
      </c>
      <c r="AK377" s="207">
        <f>$AK$3*AB377</f>
        <v/>
      </c>
      <c r="AL377" s="207">
        <f>$AL$3*AC377</f>
        <v/>
      </c>
      <c r="AM377" s="220">
        <f>SUM(AH377:AL377)</f>
        <v/>
      </c>
      <c r="AN377" s="220" t="n">
        <v>0</v>
      </c>
      <c r="AO377" s="220">
        <f>AN377*AH377</f>
        <v/>
      </c>
      <c r="AP377" s="220">
        <f>AD377</f>
        <v/>
      </c>
      <c r="AQ377" s="220">
        <f>AE377</f>
        <v/>
      </c>
      <c r="AR377" s="208">
        <f>AM377-AO377</f>
        <v/>
      </c>
      <c r="AS377" s="220">
        <f>AR377-AK377</f>
        <v/>
      </c>
      <c r="AT377" s="208">
        <f>AS377*1.075</f>
        <v/>
      </c>
      <c r="AU377" s="208">
        <f>AT377+AK377</f>
        <v/>
      </c>
      <c r="AV377" s="198" t="n">
        <v>263204.3991481314</v>
      </c>
      <c r="AW377" s="264">
        <f>BO377*2</f>
        <v/>
      </c>
      <c r="AX377" s="220">
        <f>AV377-AR377</f>
        <v/>
      </c>
      <c r="AY377" s="35">
        <f>AX377/AR377</f>
        <v/>
      </c>
      <c r="AZ377" s="220">
        <f>AV377-AF377</f>
        <v/>
      </c>
      <c r="BA377" s="215">
        <f>AV377-SUM(Z377:AC377)</f>
        <v/>
      </c>
      <c r="BB377" s="215">
        <f>BA377-Y377</f>
        <v/>
      </c>
      <c r="BC377" s="35">
        <f>BB377/BA377</f>
        <v/>
      </c>
      <c r="BD377" s="35">
        <f>IFERROR(AZ377/AV377,)</f>
        <v/>
      </c>
      <c r="BE377" s="255">
        <f>AV377-SUM(Z377:AC377)</f>
        <v/>
      </c>
      <c r="BF377" s="255">
        <f>AV377-BE377-AC377-AB377</f>
        <v/>
      </c>
      <c r="BG377" s="255">
        <f>AV377-BE377-BF377-AB377</f>
        <v/>
      </c>
      <c r="BH377" s="255">
        <f>AB377</f>
        <v/>
      </c>
      <c r="BI377" s="263" t="inlineStr">
        <is>
          <t>Worst Case Approved</t>
        </is>
      </c>
    </row>
    <row r="378">
      <c r="C378" s="23" t="inlineStr">
        <is>
          <t>ASINI/Yekeni</t>
        </is>
      </c>
      <c r="D378">
        <f>CONCATENATE(G378,"-",H378,"-",F378)</f>
        <v/>
      </c>
      <c r="E378" s="24" t="inlineStr">
        <is>
          <t>JMG-10T-Hiabs Logistics-Upcountry</t>
        </is>
      </c>
      <c r="F378" s="23" t="inlineStr">
        <is>
          <t>Upcountry</t>
        </is>
      </c>
      <c r="G378" s="25" t="inlineStr">
        <is>
          <t>Hiabs Logistics</t>
        </is>
      </c>
      <c r="H378" s="24" t="inlineStr">
        <is>
          <t>10T</t>
        </is>
      </c>
      <c r="I378" s="73" t="inlineStr">
        <is>
          <t>JMG</t>
        </is>
      </c>
      <c r="J378" s="74" t="inlineStr">
        <is>
          <t>Port Harcourt</t>
        </is>
      </c>
      <c r="K378" s="115" t="inlineStr">
        <is>
          <t>Elele</t>
        </is>
      </c>
      <c r="L378" s="69" t="inlineStr">
        <is>
          <t>Rivers</t>
        </is>
      </c>
      <c r="M378" s="70" t="n"/>
      <c r="N378" s="199">
        <f>O378/2</f>
        <v/>
      </c>
      <c r="O378" s="200" t="n">
        <v>109</v>
      </c>
      <c r="P378" s="220">
        <f>ROUNDUP(O378/300,)</f>
        <v/>
      </c>
      <c r="Q378" s="220" t="n">
        <v>1</v>
      </c>
      <c r="R378" s="220">
        <f>Q378+P378</f>
        <v/>
      </c>
      <c r="S378" s="198">
        <f>ROUNDDOWN(O378*0.51,)+60</f>
        <v/>
      </c>
      <c r="T378" s="207">
        <f>_xlfn.XLOOKUP(G378,[1]Fx!$A$4:$A$10,[1]Fx!$B$4:$B$10)</f>
        <v/>
      </c>
      <c r="U378" s="207">
        <f>_xlfn.XLOOKUP(G378,'[1]BP Setup'!$B$6:$B$72,'[1]BP Setup'!$Q$6:$Q$72)</f>
        <v/>
      </c>
      <c r="V378" s="207">
        <f>_xlfn.XLOOKUP(G378,'[1]BP Setup'!$B$6:$B$72,'[1]BP Setup'!$R$6:$R$72)</f>
        <v/>
      </c>
      <c r="W378" s="207">
        <f>$W$3</f>
        <v/>
      </c>
      <c r="X378" s="207" t="n">
        <v>80</v>
      </c>
      <c r="Y378" s="215">
        <f>T378*R378</f>
        <v/>
      </c>
      <c r="Z378" s="215">
        <f>U378*O378</f>
        <v/>
      </c>
      <c r="AA378" s="215">
        <f>V378*O378</f>
        <v/>
      </c>
      <c r="AB378" s="215">
        <f>W378*O378</f>
        <v/>
      </c>
      <c r="AC378" s="197">
        <f>X378*O378</f>
        <v/>
      </c>
      <c r="AD378" s="215" t="n">
        <v>0</v>
      </c>
      <c r="AE378" s="215" t="n">
        <v>0</v>
      </c>
      <c r="AF378" s="207">
        <f>SUM(Y378:AE378)</f>
        <v/>
      </c>
      <c r="AG378" s="254">
        <f>_xlfn.XLOOKUP(G378,[1]Fx!$A$16:$A$22,[1]Fx!$B$16:$B$22)</f>
        <v/>
      </c>
      <c r="AH378" s="207">
        <f>AG378*R378</f>
        <v/>
      </c>
      <c r="AI378" s="207">
        <f>$AI$3*Z378</f>
        <v/>
      </c>
      <c r="AJ378" s="207">
        <f>$AJ$3*AA378</f>
        <v/>
      </c>
      <c r="AK378" s="207">
        <f>$AK$3*AB378</f>
        <v/>
      </c>
      <c r="AL378" s="207">
        <f>$AL$3*AC378</f>
        <v/>
      </c>
      <c r="AM378" s="220">
        <f>SUM(AH378:AL378)</f>
        <v/>
      </c>
      <c r="AN378" s="220" t="n">
        <v>0</v>
      </c>
      <c r="AO378" s="220">
        <f>AN378*AH378</f>
        <v/>
      </c>
      <c r="AP378" s="220">
        <f>AD378</f>
        <v/>
      </c>
      <c r="AQ378" s="220">
        <f>AE378</f>
        <v/>
      </c>
      <c r="AR378" s="208">
        <f>AM378-AO378</f>
        <v/>
      </c>
      <c r="AS378" s="220">
        <f>AR378-AK378</f>
        <v/>
      </c>
      <c r="AT378" s="208">
        <f>AS378*1.075</f>
        <v/>
      </c>
      <c r="AU378" s="208">
        <f>AT378+AK378</f>
        <v/>
      </c>
      <c r="AV378" s="198" t="n">
        <v>263204.3991481314</v>
      </c>
      <c r="AW378" s="264">
        <f>BO378*2</f>
        <v/>
      </c>
      <c r="AX378" s="220">
        <f>AV378-AR378</f>
        <v/>
      </c>
      <c r="AY378" s="35">
        <f>AX378/AR378</f>
        <v/>
      </c>
      <c r="AZ378" s="220">
        <f>AV378-AF378</f>
        <v/>
      </c>
      <c r="BA378" s="215">
        <f>AV378-SUM(Z378:AC378)</f>
        <v/>
      </c>
      <c r="BB378" s="215">
        <f>BA378-Y378</f>
        <v/>
      </c>
      <c r="BC378" s="35">
        <f>BB378/BA378</f>
        <v/>
      </c>
      <c r="BD378" s="35">
        <f>IFERROR(AZ378/AV378,)</f>
        <v/>
      </c>
      <c r="BE378" s="255">
        <f>AV378-SUM(Z378:AC378)</f>
        <v/>
      </c>
      <c r="BF378" s="255">
        <f>AV378-BE378-AC378-AB378</f>
        <v/>
      </c>
      <c r="BG378" s="255">
        <f>AV378-BE378-BF378-AB378</f>
        <v/>
      </c>
      <c r="BH378" s="255">
        <f>AB378</f>
        <v/>
      </c>
      <c r="BI378" s="263" t="inlineStr">
        <is>
          <t>Approved</t>
        </is>
      </c>
    </row>
    <row r="379">
      <c r="C379" s="23" t="inlineStr">
        <is>
          <t>ASINI/Yekeni</t>
        </is>
      </c>
      <c r="D379">
        <f>CONCATENATE(G379,"-",H379,"-",F379)</f>
        <v/>
      </c>
      <c r="E379" s="24" t="inlineStr">
        <is>
          <t>JMG-10T-Hiabs Logistics-Local</t>
        </is>
      </c>
      <c r="F379" s="23" t="inlineStr">
        <is>
          <t>Local</t>
        </is>
      </c>
      <c r="G379" s="25" t="inlineStr">
        <is>
          <t>Hiabs Logistics</t>
        </is>
      </c>
      <c r="H379" s="24" t="inlineStr">
        <is>
          <t>10T</t>
        </is>
      </c>
      <c r="I379" s="73" t="inlineStr">
        <is>
          <t>JMG</t>
        </is>
      </c>
      <c r="J379" s="74" t="inlineStr">
        <is>
          <t>Port Harcourt</t>
        </is>
      </c>
      <c r="K379" s="115" t="inlineStr">
        <is>
          <t>Bori</t>
        </is>
      </c>
      <c r="L379" s="25" t="inlineStr">
        <is>
          <t>Rivers</t>
        </is>
      </c>
      <c r="M379" s="63" t="n"/>
      <c r="N379" s="199">
        <f>O379/2</f>
        <v/>
      </c>
      <c r="O379" s="200" t="n">
        <v>89</v>
      </c>
      <c r="P379" s="220">
        <f>ROUNDUP(O379/300,)</f>
        <v/>
      </c>
      <c r="Q379" s="220" t="n">
        <v>1</v>
      </c>
      <c r="R379" s="220">
        <f>Q379+P379</f>
        <v/>
      </c>
      <c r="S379" s="198">
        <f>ROUNDDOWN(O379*0.51,)+60</f>
        <v/>
      </c>
      <c r="T379" s="207">
        <f>_xlfn.XLOOKUP(G379,[1]Fx!$A$4:$A$10,[1]Fx!$B$4:$B$10)</f>
        <v/>
      </c>
      <c r="U379" s="207">
        <f>_xlfn.XLOOKUP(G379,'[1]BP Setup'!$B$6:$B$72,'[1]BP Setup'!$Q$6:$Q$72)</f>
        <v/>
      </c>
      <c r="V379" s="207">
        <f>_xlfn.XLOOKUP(G379,'[1]BP Setup'!$B$6:$B$72,'[1]BP Setup'!$R$6:$R$72)</f>
        <v/>
      </c>
      <c r="W379" s="207">
        <f>$W$3</f>
        <v/>
      </c>
      <c r="X379" s="207" t="n">
        <v>80</v>
      </c>
      <c r="Y379" s="215">
        <f>T379*R379</f>
        <v/>
      </c>
      <c r="Z379" s="215">
        <f>U379*O379</f>
        <v/>
      </c>
      <c r="AA379" s="215">
        <f>V379*O379</f>
        <v/>
      </c>
      <c r="AB379" s="215">
        <f>W379*O379</f>
        <v/>
      </c>
      <c r="AC379" s="197">
        <f>X379*O379</f>
        <v/>
      </c>
      <c r="AD379" s="215" t="n">
        <v>0</v>
      </c>
      <c r="AE379" s="215" t="n">
        <v>0</v>
      </c>
      <c r="AF379" s="207">
        <f>SUM(Y379:AE379)</f>
        <v/>
      </c>
      <c r="AG379" s="254">
        <f>_xlfn.XLOOKUP(G379,[1]Fx!$A$16:$A$22,[1]Fx!$B$16:$B$22)</f>
        <v/>
      </c>
      <c r="AH379" s="207">
        <f>AG379*R379</f>
        <v/>
      </c>
      <c r="AI379" s="207">
        <f>$AI$3*Z379</f>
        <v/>
      </c>
      <c r="AJ379" s="207">
        <f>$AJ$3*AA379</f>
        <v/>
      </c>
      <c r="AK379" s="207">
        <f>$AK$3*AB379</f>
        <v/>
      </c>
      <c r="AL379" s="207">
        <f>$AL$3*AC379</f>
        <v/>
      </c>
      <c r="AM379" s="220">
        <f>SUM(AH379:AL379)</f>
        <v/>
      </c>
      <c r="AN379" s="220" t="n">
        <v>0</v>
      </c>
      <c r="AO379" s="220">
        <f>AN379*AH379</f>
        <v/>
      </c>
      <c r="AP379" s="220">
        <f>AD379</f>
        <v/>
      </c>
      <c r="AQ379" s="220">
        <f>AE379</f>
        <v/>
      </c>
      <c r="AR379" s="208">
        <f>AM379-AO379</f>
        <v/>
      </c>
      <c r="AS379" s="220">
        <f>AR379-AK379</f>
        <v/>
      </c>
      <c r="AT379" s="208">
        <f>AS379*1.075</f>
        <v/>
      </c>
      <c r="AU379" s="208">
        <f>AT379+AK379</f>
        <v/>
      </c>
      <c r="AV379" s="198" t="n">
        <v>263204.3991481314</v>
      </c>
      <c r="AW379" s="264">
        <f>BO379*2</f>
        <v/>
      </c>
      <c r="AX379" s="220">
        <f>AV379-AR379</f>
        <v/>
      </c>
      <c r="AY379" s="35">
        <f>AX379/AR379</f>
        <v/>
      </c>
      <c r="AZ379" s="220">
        <f>AV379-AF379</f>
        <v/>
      </c>
      <c r="BA379" s="215">
        <f>AV379-SUM(Z379:AC379)</f>
        <v/>
      </c>
      <c r="BB379" s="215">
        <f>BA379-Y379</f>
        <v/>
      </c>
      <c r="BC379" s="35">
        <f>BB379/BA379</f>
        <v/>
      </c>
      <c r="BD379" s="35">
        <f>IFERROR(AZ379/AV379,)</f>
        <v/>
      </c>
      <c r="BE379" s="255">
        <f>AV379-SUM(Z379:AC379)</f>
        <v/>
      </c>
      <c r="BF379" s="255">
        <f>AV379-BE379-AC379-AB379</f>
        <v/>
      </c>
      <c r="BG379" s="255">
        <f>AV379-BE379-BF379-AB379</f>
        <v/>
      </c>
      <c r="BH379" s="255">
        <f>AB379</f>
        <v/>
      </c>
      <c r="BI379" s="263" t="inlineStr">
        <is>
          <t>Worst Case Approved</t>
        </is>
      </c>
    </row>
    <row r="380">
      <c r="C380" s="23" t="inlineStr">
        <is>
          <t>ASINI/Yekeni</t>
        </is>
      </c>
      <c r="D380">
        <f>CONCATENATE(G380,"-",H380,"-",F380)</f>
        <v/>
      </c>
      <c r="E380" s="24" t="inlineStr">
        <is>
          <t>JMG-10T-Hiabs Logistics-Local</t>
        </is>
      </c>
      <c r="F380" s="23" t="inlineStr">
        <is>
          <t>Local</t>
        </is>
      </c>
      <c r="G380" s="25" t="inlineStr">
        <is>
          <t>Hiabs Logistics</t>
        </is>
      </c>
      <c r="H380" s="24" t="inlineStr">
        <is>
          <t>10T</t>
        </is>
      </c>
      <c r="I380" s="73" t="inlineStr">
        <is>
          <t>JMG</t>
        </is>
      </c>
      <c r="J380" s="74" t="inlineStr">
        <is>
          <t>Port Harcourt</t>
        </is>
      </c>
      <c r="K380" s="115" t="inlineStr">
        <is>
          <t>Isiokpo</t>
        </is>
      </c>
      <c r="L380" s="25" t="inlineStr">
        <is>
          <t>Rivers</t>
        </is>
      </c>
      <c r="M380" s="63" t="n"/>
      <c r="N380" s="199">
        <f>O380/2</f>
        <v/>
      </c>
      <c r="O380" s="200" t="n">
        <v>86</v>
      </c>
      <c r="P380" s="220">
        <f>ROUNDUP(O380/300,)</f>
        <v/>
      </c>
      <c r="Q380" s="220" t="n">
        <v>1</v>
      </c>
      <c r="R380" s="220">
        <f>Q380+P380</f>
        <v/>
      </c>
      <c r="S380" s="198">
        <f>ROUNDDOWN(O380*0.51,)+60</f>
        <v/>
      </c>
      <c r="T380" s="207">
        <f>_xlfn.XLOOKUP(G380,[1]Fx!$A$4:$A$10,[1]Fx!$B$4:$B$10)</f>
        <v/>
      </c>
      <c r="U380" s="207">
        <f>_xlfn.XLOOKUP(G380,'[1]BP Setup'!$B$6:$B$72,'[1]BP Setup'!$Q$6:$Q$72)</f>
        <v/>
      </c>
      <c r="V380" s="207">
        <f>_xlfn.XLOOKUP(G380,'[1]BP Setup'!$B$6:$B$72,'[1]BP Setup'!$R$6:$R$72)</f>
        <v/>
      </c>
      <c r="W380" s="207">
        <f>$W$3</f>
        <v/>
      </c>
      <c r="X380" s="207" t="n">
        <v>80</v>
      </c>
      <c r="Y380" s="215">
        <f>T380*R380</f>
        <v/>
      </c>
      <c r="Z380" s="215">
        <f>U380*O380</f>
        <v/>
      </c>
      <c r="AA380" s="215">
        <f>V380*O380</f>
        <v/>
      </c>
      <c r="AB380" s="215">
        <f>W380*O380</f>
        <v/>
      </c>
      <c r="AC380" s="197">
        <f>X380*O380</f>
        <v/>
      </c>
      <c r="AD380" s="215" t="n">
        <v>0</v>
      </c>
      <c r="AE380" s="215" t="n">
        <v>0</v>
      </c>
      <c r="AF380" s="207">
        <f>SUM(Y380:AE380)</f>
        <v/>
      </c>
      <c r="AG380" s="254">
        <f>_xlfn.XLOOKUP(G380,[1]Fx!$A$16:$A$22,[1]Fx!$B$16:$B$22)</f>
        <v/>
      </c>
      <c r="AH380" s="207">
        <f>AG380*R380</f>
        <v/>
      </c>
      <c r="AI380" s="207">
        <f>$AI$3*Z380</f>
        <v/>
      </c>
      <c r="AJ380" s="207">
        <f>$AJ$3*AA380</f>
        <v/>
      </c>
      <c r="AK380" s="207">
        <f>$AK$3*AB380</f>
        <v/>
      </c>
      <c r="AL380" s="207">
        <f>$AL$3*AC380</f>
        <v/>
      </c>
      <c r="AM380" s="220">
        <f>SUM(AH380:AL380)</f>
        <v/>
      </c>
      <c r="AN380" s="220" t="n">
        <v>0</v>
      </c>
      <c r="AO380" s="220">
        <f>AN380*AH380</f>
        <v/>
      </c>
      <c r="AP380" s="220">
        <f>AD380</f>
        <v/>
      </c>
      <c r="AQ380" s="220">
        <f>AE380</f>
        <v/>
      </c>
      <c r="AR380" s="208">
        <f>AM380-AO380</f>
        <v/>
      </c>
      <c r="AS380" s="220">
        <f>AR380-AK380</f>
        <v/>
      </c>
      <c r="AT380" s="208">
        <f>AS380*1.075</f>
        <v/>
      </c>
      <c r="AU380" s="208">
        <f>AT380+AK380</f>
        <v/>
      </c>
      <c r="AV380" s="198" t="n">
        <v>263204.3991481314</v>
      </c>
      <c r="AW380" s="264">
        <f>BO380*2</f>
        <v/>
      </c>
      <c r="AX380" s="220">
        <f>AV380-AR380</f>
        <v/>
      </c>
      <c r="AY380" s="35">
        <f>AX380/AR380</f>
        <v/>
      </c>
      <c r="AZ380" s="220">
        <f>AV380-AF380</f>
        <v/>
      </c>
      <c r="BA380" s="215">
        <f>AV380-SUM(Z380:AC380)</f>
        <v/>
      </c>
      <c r="BB380" s="215">
        <f>BA380-Y380</f>
        <v/>
      </c>
      <c r="BC380" s="35">
        <f>BB380/BA380</f>
        <v/>
      </c>
      <c r="BD380" s="35">
        <f>IFERROR(AZ380/AV380,)</f>
        <v/>
      </c>
      <c r="BE380" s="255">
        <f>AV380-SUM(Z380:AC380)</f>
        <v/>
      </c>
      <c r="BF380" s="255">
        <f>AV380-BE380-AC380-AB380</f>
        <v/>
      </c>
      <c r="BG380" s="255">
        <f>AV380-BE380-BF380-AB380</f>
        <v/>
      </c>
      <c r="BH380" s="255">
        <f>AB380</f>
        <v/>
      </c>
      <c r="BI380" s="263" t="inlineStr">
        <is>
          <t>Worst Case Approved</t>
        </is>
      </c>
    </row>
    <row r="381">
      <c r="C381" s="23" t="inlineStr">
        <is>
          <t>ASINI/Yekeni</t>
        </is>
      </c>
      <c r="D381">
        <f>CONCATENATE(G381,"-",H381,"-",F381)</f>
        <v/>
      </c>
      <c r="E381" s="24" t="inlineStr">
        <is>
          <t>JMG-10T-Hiabs Logistics-Local</t>
        </is>
      </c>
      <c r="F381" s="23" t="inlineStr">
        <is>
          <t>Local</t>
        </is>
      </c>
      <c r="G381" s="25" t="inlineStr">
        <is>
          <t>Hiabs Logistics</t>
        </is>
      </c>
      <c r="H381" s="24" t="inlineStr">
        <is>
          <t>10T</t>
        </is>
      </c>
      <c r="I381" s="73" t="inlineStr">
        <is>
          <t>JMG</t>
        </is>
      </c>
      <c r="J381" s="74" t="inlineStr">
        <is>
          <t>Port Harcourt</t>
        </is>
      </c>
      <c r="K381" s="115" t="inlineStr">
        <is>
          <t>Omagwa</t>
        </is>
      </c>
      <c r="L381" s="67" t="inlineStr">
        <is>
          <t>Rivers</t>
        </is>
      </c>
      <c r="M381" s="68" t="n"/>
      <c r="N381" s="199">
        <f>O381/2</f>
        <v/>
      </c>
      <c r="O381" s="200" t="n">
        <v>67.40000000000001</v>
      </c>
      <c r="P381" s="220">
        <f>ROUNDUP(O381/300,)</f>
        <v/>
      </c>
      <c r="Q381" s="220" t="n">
        <v>1</v>
      </c>
      <c r="R381" s="220">
        <f>Q381+P381</f>
        <v/>
      </c>
      <c r="S381" s="198">
        <f>ROUNDDOWN(O381*0.51,)+60</f>
        <v/>
      </c>
      <c r="T381" s="207">
        <f>_xlfn.XLOOKUP(G381,[1]Fx!$A$4:$A$10,[1]Fx!$B$4:$B$10)</f>
        <v/>
      </c>
      <c r="U381" s="207">
        <f>_xlfn.XLOOKUP(G381,'[1]BP Setup'!$B$6:$B$72,'[1]BP Setup'!$Q$6:$Q$72)</f>
        <v/>
      </c>
      <c r="V381" s="207">
        <f>_xlfn.XLOOKUP(G381,'[1]BP Setup'!$B$6:$B$72,'[1]BP Setup'!$R$6:$R$72)</f>
        <v/>
      </c>
      <c r="W381" s="207">
        <f>$W$3</f>
        <v/>
      </c>
      <c r="X381" s="207" t="n">
        <v>80</v>
      </c>
      <c r="Y381" s="215">
        <f>T381*R381</f>
        <v/>
      </c>
      <c r="Z381" s="215">
        <f>U381*O381</f>
        <v/>
      </c>
      <c r="AA381" s="215">
        <f>V381*O381</f>
        <v/>
      </c>
      <c r="AB381" s="215">
        <f>W381*O381</f>
        <v/>
      </c>
      <c r="AC381" s="197">
        <f>X381*O381</f>
        <v/>
      </c>
      <c r="AD381" s="215" t="n">
        <v>0</v>
      </c>
      <c r="AE381" s="215" t="n">
        <v>0</v>
      </c>
      <c r="AF381" s="207">
        <f>SUM(Y381:AE381)</f>
        <v/>
      </c>
      <c r="AG381" s="254">
        <f>_xlfn.XLOOKUP(G381,[1]Fx!$A$16:$A$22,[1]Fx!$B$16:$B$22)</f>
        <v/>
      </c>
      <c r="AH381" s="207">
        <f>AG381*R381</f>
        <v/>
      </c>
      <c r="AI381" s="207">
        <f>$AI$3*Z381</f>
        <v/>
      </c>
      <c r="AJ381" s="207">
        <f>$AJ$3*AA381</f>
        <v/>
      </c>
      <c r="AK381" s="207">
        <f>$AK$3*AB381</f>
        <v/>
      </c>
      <c r="AL381" s="207">
        <f>$AL$3*AC381</f>
        <v/>
      </c>
      <c r="AM381" s="220">
        <f>SUM(AH381:AL381)</f>
        <v/>
      </c>
      <c r="AN381" s="35" t="n">
        <v>0</v>
      </c>
      <c r="AO381" s="220">
        <f>AN381*AH381</f>
        <v/>
      </c>
      <c r="AP381" s="220">
        <f>AD381</f>
        <v/>
      </c>
      <c r="AQ381" s="220">
        <f>AE381</f>
        <v/>
      </c>
      <c r="AR381" s="208">
        <f>AM381-AO381</f>
        <v/>
      </c>
      <c r="AS381" s="220">
        <f>AR381-AK381</f>
        <v/>
      </c>
      <c r="AT381" s="208">
        <f>AS381*1.075</f>
        <v/>
      </c>
      <c r="AU381" s="208">
        <f>AT381+AK381</f>
        <v/>
      </c>
      <c r="AV381" s="198" t="n">
        <v>263204.3991481314</v>
      </c>
      <c r="AW381" s="264">
        <f>BO381*2</f>
        <v/>
      </c>
      <c r="AX381" s="220">
        <f>AV381-AR381</f>
        <v/>
      </c>
      <c r="AY381" s="35">
        <f>AX381/AR381</f>
        <v/>
      </c>
      <c r="AZ381" s="220">
        <f>AV381-AF381</f>
        <v/>
      </c>
      <c r="BA381" s="215">
        <f>AV381-SUM(Z381:AC381)</f>
        <v/>
      </c>
      <c r="BB381" s="215">
        <f>BA381-Y381</f>
        <v/>
      </c>
      <c r="BC381" s="35">
        <f>BB381/BA381</f>
        <v/>
      </c>
      <c r="BD381" s="35">
        <f>IFERROR(AZ381/AV381,)</f>
        <v/>
      </c>
      <c r="BE381" s="255">
        <f>AV381-SUM(Z381:AC381)</f>
        <v/>
      </c>
      <c r="BF381" s="255">
        <f>AV381-BE381-AC381-AB381</f>
        <v/>
      </c>
      <c r="BG381" s="255">
        <f>AV381-BE381-BF381-AB381</f>
        <v/>
      </c>
      <c r="BH381" s="255">
        <f>AB381</f>
        <v/>
      </c>
      <c r="BI381" s="263" t="inlineStr">
        <is>
          <t>Worst Case Approved</t>
        </is>
      </c>
    </row>
    <row r="382">
      <c r="C382" s="23" t="inlineStr">
        <is>
          <t>ASINI/Yekeni</t>
        </is>
      </c>
      <c r="D382">
        <f>CONCATENATE(G382,"-",H382,"-",F382)</f>
        <v/>
      </c>
      <c r="E382" s="24" t="inlineStr">
        <is>
          <t>JMG-10T-Hiabs Logistics-Local</t>
        </is>
      </c>
      <c r="F382" s="23" t="inlineStr">
        <is>
          <t>Local</t>
        </is>
      </c>
      <c r="G382" s="25" t="inlineStr">
        <is>
          <t>Hiabs Logistics</t>
        </is>
      </c>
      <c r="H382" s="24" t="inlineStr">
        <is>
          <t>10T</t>
        </is>
      </c>
      <c r="I382" s="73" t="inlineStr">
        <is>
          <t>JMG</t>
        </is>
      </c>
      <c r="J382" s="74" t="inlineStr">
        <is>
          <t>Port Harcourt</t>
        </is>
      </c>
      <c r="K382" s="115" t="inlineStr">
        <is>
          <t>Choba</t>
        </is>
      </c>
      <c r="L382" s="67" t="inlineStr">
        <is>
          <t>Rivers</t>
        </is>
      </c>
      <c r="M382" s="68" t="n"/>
      <c r="N382" s="199">
        <f>O382/2</f>
        <v/>
      </c>
      <c r="O382" s="200" t="n">
        <v>44.5</v>
      </c>
      <c r="P382" s="220">
        <f>ROUNDUP(O382/300,)</f>
        <v/>
      </c>
      <c r="Q382" s="220" t="n">
        <v>1</v>
      </c>
      <c r="R382" s="220">
        <f>Q382+P382</f>
        <v/>
      </c>
      <c r="S382" s="198">
        <f>ROUNDDOWN(O382*0.51,)+60</f>
        <v/>
      </c>
      <c r="T382" s="207">
        <f>_xlfn.XLOOKUP(G382,[1]Fx!$A$4:$A$10,[1]Fx!$B$4:$B$10)</f>
        <v/>
      </c>
      <c r="U382" s="207">
        <f>_xlfn.XLOOKUP(G382,'[1]BP Setup'!$B$6:$B$72,'[1]BP Setup'!$Q$6:$Q$72)</f>
        <v/>
      </c>
      <c r="V382" s="207">
        <f>_xlfn.XLOOKUP(G382,'[1]BP Setup'!$B$6:$B$72,'[1]BP Setup'!$R$6:$R$72)</f>
        <v/>
      </c>
      <c r="W382" s="207">
        <f>$W$3</f>
        <v/>
      </c>
      <c r="X382" s="207" t="n">
        <v>80</v>
      </c>
      <c r="Y382" s="215">
        <f>T382*R382</f>
        <v/>
      </c>
      <c r="Z382" s="215">
        <f>U382*O382</f>
        <v/>
      </c>
      <c r="AA382" s="215">
        <f>V382*O382</f>
        <v/>
      </c>
      <c r="AB382" s="215">
        <f>W382*O382</f>
        <v/>
      </c>
      <c r="AC382" s="197">
        <f>X382*O382</f>
        <v/>
      </c>
      <c r="AD382" s="215" t="n">
        <v>0</v>
      </c>
      <c r="AE382" s="215" t="n">
        <v>0</v>
      </c>
      <c r="AF382" s="207">
        <f>SUM(Y382:AE382)</f>
        <v/>
      </c>
      <c r="AG382" s="254">
        <f>_xlfn.XLOOKUP(G382,[1]Fx!$A$16:$A$22,[1]Fx!$B$16:$B$22)</f>
        <v/>
      </c>
      <c r="AH382" s="207">
        <f>AG382*R382</f>
        <v/>
      </c>
      <c r="AI382" s="207">
        <f>$AI$3*Z382</f>
        <v/>
      </c>
      <c r="AJ382" s="207">
        <f>$AJ$3*AA382</f>
        <v/>
      </c>
      <c r="AK382" s="207">
        <f>$AK$3*AB382</f>
        <v/>
      </c>
      <c r="AL382" s="207">
        <f>$AL$3*AC382</f>
        <v/>
      </c>
      <c r="AM382" s="220">
        <f>SUM(AH382:AL382)</f>
        <v/>
      </c>
      <c r="AN382" s="35" t="n">
        <v>0</v>
      </c>
      <c r="AO382" s="220">
        <f>AN382*AH382</f>
        <v/>
      </c>
      <c r="AP382" s="220">
        <f>AD382</f>
        <v/>
      </c>
      <c r="AQ382" s="220">
        <f>AE382</f>
        <v/>
      </c>
      <c r="AR382" s="208">
        <f>AM382-AO382</f>
        <v/>
      </c>
      <c r="AS382" s="220">
        <f>AR382-AK382</f>
        <v/>
      </c>
      <c r="AT382" s="208">
        <f>AS382*1.075</f>
        <v/>
      </c>
      <c r="AU382" s="208">
        <f>AT382+AK382</f>
        <v/>
      </c>
      <c r="AV382" s="198" t="n">
        <v>263204.3991481314</v>
      </c>
      <c r="AW382" s="264">
        <f>BO382*2</f>
        <v/>
      </c>
      <c r="AX382" s="220">
        <f>AV382-AR382</f>
        <v/>
      </c>
      <c r="AY382" s="35">
        <f>AX382/AR382</f>
        <v/>
      </c>
      <c r="AZ382" s="220">
        <f>AV382-AF382</f>
        <v/>
      </c>
      <c r="BA382" s="215">
        <f>AV382-SUM(Z382:AC382)</f>
        <v/>
      </c>
      <c r="BB382" s="215">
        <f>BA382-Y382</f>
        <v/>
      </c>
      <c r="BC382" s="35">
        <f>BB382/BA382</f>
        <v/>
      </c>
      <c r="BD382" s="35">
        <f>IFERROR(AZ382/AV382,)</f>
        <v/>
      </c>
      <c r="BE382" s="255">
        <f>AV382-SUM(Z382:AC382)</f>
        <v/>
      </c>
      <c r="BF382" s="255">
        <f>AV382-BE382-AC382-AB382</f>
        <v/>
      </c>
      <c r="BG382" s="255">
        <f>AV382-BE382-BF382-AB382</f>
        <v/>
      </c>
      <c r="BH382" s="255">
        <f>AB382</f>
        <v/>
      </c>
      <c r="BI382" s="263" t="inlineStr">
        <is>
          <t xml:space="preserve">To Check </t>
        </is>
      </c>
    </row>
    <row r="383">
      <c r="C383" s="23" t="inlineStr">
        <is>
          <t>ASINI/Yekeni</t>
        </is>
      </c>
      <c r="D383">
        <f>CONCATENATE(G383,"-",H383,"-",F383)</f>
        <v/>
      </c>
      <c r="E383" s="24" t="inlineStr">
        <is>
          <t>JMG-10T-Hiabs Logistics-Local</t>
        </is>
      </c>
      <c r="F383" s="23" t="inlineStr">
        <is>
          <t>Local</t>
        </is>
      </c>
      <c r="G383" s="25" t="inlineStr">
        <is>
          <t>Hiabs Logistics</t>
        </is>
      </c>
      <c r="H383" s="24" t="inlineStr">
        <is>
          <t>10T</t>
        </is>
      </c>
      <c r="I383" s="73" t="inlineStr">
        <is>
          <t>JMG</t>
        </is>
      </c>
      <c r="J383" s="74" t="inlineStr">
        <is>
          <t>Port Harcourt</t>
        </is>
      </c>
      <c r="K383" s="115" t="inlineStr">
        <is>
          <t>Onne</t>
        </is>
      </c>
      <c r="L383" s="25" t="inlineStr">
        <is>
          <t>Rivers</t>
        </is>
      </c>
      <c r="M383" s="63" t="n"/>
      <c r="N383" s="199">
        <f>O383/2</f>
        <v/>
      </c>
      <c r="O383" s="200" t="n">
        <v>43.5</v>
      </c>
      <c r="P383" s="220">
        <f>ROUNDUP(O383/300,)</f>
        <v/>
      </c>
      <c r="Q383" s="220" t="n">
        <v>1</v>
      </c>
      <c r="R383" s="220">
        <f>Q383+P383</f>
        <v/>
      </c>
      <c r="S383" s="198">
        <f>ROUNDDOWN(O383*0.51,)+60</f>
        <v/>
      </c>
      <c r="T383" s="207">
        <f>_xlfn.XLOOKUP(G383,[1]Fx!$A$4:$A$10,[1]Fx!$B$4:$B$10)</f>
        <v/>
      </c>
      <c r="U383" s="207">
        <f>_xlfn.XLOOKUP(G383,'[1]BP Setup'!$B$6:$B$72,'[1]BP Setup'!$Q$6:$Q$72)</f>
        <v/>
      </c>
      <c r="V383" s="207">
        <f>_xlfn.XLOOKUP(G383,'[1]BP Setup'!$B$6:$B$72,'[1]BP Setup'!$R$6:$R$72)</f>
        <v/>
      </c>
      <c r="W383" s="207">
        <f>$W$3</f>
        <v/>
      </c>
      <c r="X383" s="207" t="n">
        <v>80</v>
      </c>
      <c r="Y383" s="215">
        <f>T383*R383</f>
        <v/>
      </c>
      <c r="Z383" s="215">
        <f>U383*O383</f>
        <v/>
      </c>
      <c r="AA383" s="215">
        <f>V383*O383</f>
        <v/>
      </c>
      <c r="AB383" s="215">
        <f>W383*O383</f>
        <v/>
      </c>
      <c r="AC383" s="197">
        <f>X383*O383</f>
        <v/>
      </c>
      <c r="AD383" s="215" t="n">
        <v>0</v>
      </c>
      <c r="AE383" s="215" t="n">
        <v>0</v>
      </c>
      <c r="AF383" s="207">
        <f>SUM(Y383:AE383)</f>
        <v/>
      </c>
      <c r="AG383" s="254">
        <f>_xlfn.XLOOKUP(G383,[1]Fx!$A$16:$A$22,[1]Fx!$B$16:$B$22)</f>
        <v/>
      </c>
      <c r="AH383" s="207">
        <f>AG383*R383</f>
        <v/>
      </c>
      <c r="AI383" s="207">
        <f>$AI$3*Z383</f>
        <v/>
      </c>
      <c r="AJ383" s="207">
        <f>$AJ$3*AA383</f>
        <v/>
      </c>
      <c r="AK383" s="207">
        <f>$AK$3*AB383</f>
        <v/>
      </c>
      <c r="AL383" s="207">
        <f>$AL$3*AC383</f>
        <v/>
      </c>
      <c r="AM383" s="220">
        <f>SUM(AH383:AL383)</f>
        <v/>
      </c>
      <c r="AN383" s="35" t="n">
        <v>0</v>
      </c>
      <c r="AO383" s="220">
        <f>AN383*AH383</f>
        <v/>
      </c>
      <c r="AP383" s="220">
        <f>AD383</f>
        <v/>
      </c>
      <c r="AQ383" s="220">
        <f>AE383</f>
        <v/>
      </c>
      <c r="AR383" s="208">
        <f>AM383-AO383</f>
        <v/>
      </c>
      <c r="AS383" s="220">
        <f>AR383-AK383</f>
        <v/>
      </c>
      <c r="AT383" s="208">
        <f>AS383*1.075</f>
        <v/>
      </c>
      <c r="AU383" s="208">
        <f>AT383+AK383</f>
        <v/>
      </c>
      <c r="AV383" s="198" t="n">
        <v>263204.3991481314</v>
      </c>
      <c r="AW383" s="264">
        <f>BO383*2</f>
        <v/>
      </c>
      <c r="AX383" s="220">
        <f>AV383-AR383</f>
        <v/>
      </c>
      <c r="AY383" s="35">
        <f>AX383/AR383</f>
        <v/>
      </c>
      <c r="AZ383" s="220">
        <f>AV383-AF383</f>
        <v/>
      </c>
      <c r="BA383" s="215">
        <f>AV383-SUM(Z383:AC383)</f>
        <v/>
      </c>
      <c r="BB383" s="215">
        <f>BA383-Y383</f>
        <v/>
      </c>
      <c r="BC383" s="35">
        <f>BB383/BA383</f>
        <v/>
      </c>
      <c r="BD383" s="35">
        <f>IFERROR(AZ383/AV383,)</f>
        <v/>
      </c>
      <c r="BE383" s="255">
        <f>AV383-SUM(Z383:AC383)</f>
        <v/>
      </c>
      <c r="BF383" s="255">
        <f>AV383-BE383-AC383-AB383</f>
        <v/>
      </c>
      <c r="BG383" s="255">
        <f>AV383-BE383-BF383-AB383</f>
        <v/>
      </c>
      <c r="BH383" s="255">
        <f>AB383</f>
        <v/>
      </c>
      <c r="BI383" s="263" t="inlineStr">
        <is>
          <t>Worst Case Approved</t>
        </is>
      </c>
    </row>
    <row r="384">
      <c r="C384" s="23" t="inlineStr">
        <is>
          <t>ASINI/Yekeni</t>
        </is>
      </c>
      <c r="D384">
        <f>CONCATENATE(G384,"-",H384,"-",F384)</f>
        <v/>
      </c>
      <c r="E384" s="24" t="inlineStr">
        <is>
          <t>JMG-10T-Hiabs Logistics-Local</t>
        </is>
      </c>
      <c r="F384" s="23" t="inlineStr">
        <is>
          <t>Local</t>
        </is>
      </c>
      <c r="G384" s="25" t="inlineStr">
        <is>
          <t>Hiabs Logistics</t>
        </is>
      </c>
      <c r="H384" s="24" t="inlineStr">
        <is>
          <t>10T</t>
        </is>
      </c>
      <c r="I384" s="73" t="inlineStr">
        <is>
          <t>JMG</t>
        </is>
      </c>
      <c r="J384" s="74" t="inlineStr">
        <is>
          <t>Port Harcourt</t>
        </is>
      </c>
      <c r="K384" s="115" t="inlineStr">
        <is>
          <t>Alakahia</t>
        </is>
      </c>
      <c r="L384" s="67" t="inlineStr">
        <is>
          <t>Rivers</t>
        </is>
      </c>
      <c r="M384" s="68" t="n"/>
      <c r="N384" s="199">
        <f>O384/2</f>
        <v/>
      </c>
      <c r="O384" s="200" t="n">
        <v>40.9</v>
      </c>
      <c r="P384" s="220">
        <f>ROUNDUP(O384/300,)</f>
        <v/>
      </c>
      <c r="Q384" s="220" t="n">
        <v>1</v>
      </c>
      <c r="R384" s="220">
        <f>Q384+P384</f>
        <v/>
      </c>
      <c r="S384" s="198">
        <f>ROUNDDOWN(O384*0.51,)+60</f>
        <v/>
      </c>
      <c r="T384" s="207">
        <f>_xlfn.XLOOKUP(G384,[1]Fx!$A$4:$A$10,[1]Fx!$B$4:$B$10)</f>
        <v/>
      </c>
      <c r="U384" s="207">
        <f>_xlfn.XLOOKUP(G384,'[1]BP Setup'!$B$6:$B$72,'[1]BP Setup'!$Q$6:$Q$72)</f>
        <v/>
      </c>
      <c r="V384" s="207">
        <f>_xlfn.XLOOKUP(G384,'[1]BP Setup'!$B$6:$B$72,'[1]BP Setup'!$R$6:$R$72)</f>
        <v/>
      </c>
      <c r="W384" s="207">
        <f>$W$3</f>
        <v/>
      </c>
      <c r="X384" s="207" t="n">
        <v>80</v>
      </c>
      <c r="Y384" s="215">
        <f>T384*R384</f>
        <v/>
      </c>
      <c r="Z384" s="215">
        <f>U384*O384</f>
        <v/>
      </c>
      <c r="AA384" s="215">
        <f>V384*O384</f>
        <v/>
      </c>
      <c r="AB384" s="215">
        <f>W384*O384</f>
        <v/>
      </c>
      <c r="AC384" s="197">
        <f>X384*O384</f>
        <v/>
      </c>
      <c r="AD384" s="215" t="n">
        <v>0</v>
      </c>
      <c r="AE384" s="215" t="n">
        <v>0</v>
      </c>
      <c r="AF384" s="207">
        <f>SUM(Y384:AE384)</f>
        <v/>
      </c>
      <c r="AG384" s="254">
        <f>_xlfn.XLOOKUP(G384,[1]Fx!$A$16:$A$22,[1]Fx!$B$16:$B$22)</f>
        <v/>
      </c>
      <c r="AH384" s="207">
        <f>AG384*R384</f>
        <v/>
      </c>
      <c r="AI384" s="207">
        <f>$AI$3*Z384</f>
        <v/>
      </c>
      <c r="AJ384" s="207">
        <f>$AJ$3*AA384</f>
        <v/>
      </c>
      <c r="AK384" s="207">
        <f>$AK$3*AB384</f>
        <v/>
      </c>
      <c r="AL384" s="207">
        <f>$AL$3*AC384</f>
        <v/>
      </c>
      <c r="AM384" s="220">
        <f>SUM(AH384:AL384)</f>
        <v/>
      </c>
      <c r="AN384" s="35" t="n">
        <v>0</v>
      </c>
      <c r="AO384" s="220">
        <f>AN384*AH384</f>
        <v/>
      </c>
      <c r="AP384" s="220">
        <f>AD384</f>
        <v/>
      </c>
      <c r="AQ384" s="220">
        <f>AE384</f>
        <v/>
      </c>
      <c r="AR384" s="208">
        <f>AM384-AO384</f>
        <v/>
      </c>
      <c r="AS384" s="220">
        <f>AR384-AK384</f>
        <v/>
      </c>
      <c r="AT384" s="208">
        <f>AS384*1.075</f>
        <v/>
      </c>
      <c r="AU384" s="208">
        <f>AT384+AK384</f>
        <v/>
      </c>
      <c r="AV384" s="198" t="n">
        <v>263204.3991481314</v>
      </c>
      <c r="AW384" s="264">
        <f>BO384*2</f>
        <v/>
      </c>
      <c r="AX384" s="220">
        <f>AV384-AR384</f>
        <v/>
      </c>
      <c r="AY384" s="35">
        <f>AX384/AR384</f>
        <v/>
      </c>
      <c r="AZ384" s="220">
        <f>AV384-AF384</f>
        <v/>
      </c>
      <c r="BA384" s="215">
        <f>AV384-SUM(Z384:AC384)</f>
        <v/>
      </c>
      <c r="BB384" s="215">
        <f>BA384-Y384</f>
        <v/>
      </c>
      <c r="BC384" s="35">
        <f>BB384/BA384</f>
        <v/>
      </c>
      <c r="BD384" s="35">
        <f>IFERROR(AZ384/AV384,)</f>
        <v/>
      </c>
      <c r="BE384" s="255">
        <f>AV384-SUM(Z384:AC384)</f>
        <v/>
      </c>
      <c r="BF384" s="255">
        <f>AV384-BE384-AC384-AB384</f>
        <v/>
      </c>
      <c r="BG384" s="255">
        <f>AV384-BE384-BF384-AB384</f>
        <v/>
      </c>
      <c r="BH384" s="255">
        <f>AB384</f>
        <v/>
      </c>
      <c r="BI384" s="263" t="inlineStr">
        <is>
          <t>Approved</t>
        </is>
      </c>
    </row>
    <row r="385">
      <c r="C385" s="23" t="inlineStr">
        <is>
          <t>ASINI/Yekeni</t>
        </is>
      </c>
      <c r="D385">
        <f>CONCATENATE(G385,"-",H385,"-",F385)</f>
        <v/>
      </c>
      <c r="E385" s="24" t="inlineStr">
        <is>
          <t>JMG-10T-Hiabs Logistics-Local</t>
        </is>
      </c>
      <c r="F385" s="23" t="inlineStr">
        <is>
          <t>Local</t>
        </is>
      </c>
      <c r="G385" s="25" t="inlineStr">
        <is>
          <t>Hiabs Logistics</t>
        </is>
      </c>
      <c r="H385" s="24" t="inlineStr">
        <is>
          <t>10T</t>
        </is>
      </c>
      <c r="I385" s="73" t="inlineStr">
        <is>
          <t>JMG</t>
        </is>
      </c>
      <c r="J385" s="74" t="inlineStr">
        <is>
          <t>Port Harcourt</t>
        </is>
      </c>
      <c r="K385" s="115" t="inlineStr">
        <is>
          <t>Oyigbo</t>
        </is>
      </c>
      <c r="L385" s="71" t="inlineStr">
        <is>
          <t>Rivers</t>
        </is>
      </c>
      <c r="M385" s="72" t="n"/>
      <c r="N385" s="199">
        <f>O385/2</f>
        <v/>
      </c>
      <c r="O385" s="200" t="n">
        <v>40.7</v>
      </c>
      <c r="P385" s="208">
        <f>ROUNDUP(O385/300,)</f>
        <v/>
      </c>
      <c r="Q385" s="208" t="n">
        <v>1</v>
      </c>
      <c r="R385" s="208">
        <f>Q385+P385</f>
        <v/>
      </c>
      <c r="S385" s="195">
        <f>ROUNDDOWN(O385*0.51,)+60</f>
        <v/>
      </c>
      <c r="T385" s="207">
        <f>_xlfn.XLOOKUP(G385,[1]Fx!$A$4:$A$10,[1]Fx!$B$4:$B$10)</f>
        <v/>
      </c>
      <c r="U385" s="207">
        <f>_xlfn.XLOOKUP(G385,'[1]BP Setup'!$B$6:$B$72,'[1]BP Setup'!$Q$6:$Q$72)</f>
        <v/>
      </c>
      <c r="V385" s="207">
        <f>_xlfn.XLOOKUP(G385,'[1]BP Setup'!$B$6:$B$72,'[1]BP Setup'!$R$6:$R$72)</f>
        <v/>
      </c>
      <c r="W385" s="207">
        <f>$W$3</f>
        <v/>
      </c>
      <c r="X385" s="207" t="n">
        <v>80</v>
      </c>
      <c r="Y385" s="207">
        <f>T385*R385</f>
        <v/>
      </c>
      <c r="Z385" s="207">
        <f>U385*O385</f>
        <v/>
      </c>
      <c r="AA385" s="207">
        <f>V385*O385</f>
        <v/>
      </c>
      <c r="AB385" s="207">
        <f>W385*O385</f>
        <v/>
      </c>
      <c r="AC385" s="194">
        <f>X385*O385</f>
        <v/>
      </c>
      <c r="AD385" s="207" t="n">
        <v>0</v>
      </c>
      <c r="AE385" s="207" t="n">
        <v>0</v>
      </c>
      <c r="AF385" s="207">
        <f>SUM(Y385:AE385)</f>
        <v/>
      </c>
      <c r="AG385" s="254">
        <f>_xlfn.XLOOKUP(G385,[1]Fx!$A$16:$A$22,[1]Fx!$B$16:$B$22)</f>
        <v/>
      </c>
      <c r="AH385" s="207">
        <f>AG385*R385</f>
        <v/>
      </c>
      <c r="AI385" s="207">
        <f>$AI$3*Z385</f>
        <v/>
      </c>
      <c r="AJ385" s="207">
        <f>$AJ$3*AA385</f>
        <v/>
      </c>
      <c r="AK385" s="207">
        <f>$AK$3*AB385</f>
        <v/>
      </c>
      <c r="AL385" s="207">
        <f>$AL$3*AC385</f>
        <v/>
      </c>
      <c r="AM385" s="208">
        <f>SUM(AH385:AL385)</f>
        <v/>
      </c>
      <c r="AN385" s="208" t="n">
        <v>0</v>
      </c>
      <c r="AO385" s="220">
        <f>AN385*AH385</f>
        <v/>
      </c>
      <c r="AP385" s="208">
        <f>AD385</f>
        <v/>
      </c>
      <c r="AQ385" s="208">
        <f>AE385</f>
        <v/>
      </c>
      <c r="AR385" s="208">
        <f>AM385-AO385</f>
        <v/>
      </c>
      <c r="AS385" s="220">
        <f>AR385-AK385</f>
        <v/>
      </c>
      <c r="AT385" s="208">
        <f>AS385*1.075</f>
        <v/>
      </c>
      <c r="AU385" s="208">
        <f>AT385+AK385</f>
        <v/>
      </c>
      <c r="AV385" s="198" t="n">
        <v>263204.3991481314</v>
      </c>
      <c r="AW385" s="264">
        <f>BO385*2</f>
        <v/>
      </c>
      <c r="AX385" s="208">
        <f>AV385-AR385</f>
        <v/>
      </c>
      <c r="AY385" s="54">
        <f>AX385/AR385</f>
        <v/>
      </c>
      <c r="AZ385" s="208">
        <f>AV385-AF385</f>
        <v/>
      </c>
      <c r="BA385" s="207">
        <f>AV385-SUM(Z385:AC385)</f>
        <v/>
      </c>
      <c r="BB385" s="207">
        <f>BA385-Y385</f>
        <v/>
      </c>
      <c r="BC385" s="54">
        <f>BB385/BA385</f>
        <v/>
      </c>
      <c r="BD385" s="54">
        <f>IFERROR(AZ385/AV385,)</f>
        <v/>
      </c>
      <c r="BE385" s="255">
        <f>AV385-SUM(Z385:AC385)</f>
        <v/>
      </c>
      <c r="BF385" s="255">
        <f>AV385-BE385-AC385-AB385</f>
        <v/>
      </c>
      <c r="BG385" s="255">
        <f>AV385-BE385-BF385-AB385</f>
        <v/>
      </c>
      <c r="BH385" s="255">
        <f>AB385</f>
        <v/>
      </c>
      <c r="BI385" s="263" t="inlineStr">
        <is>
          <t>Approved</t>
        </is>
      </c>
    </row>
    <row r="386">
      <c r="C386" s="23" t="inlineStr">
        <is>
          <t>ASINI/Yekeni</t>
        </is>
      </c>
      <c r="D386">
        <f>CONCATENATE(G386,"-",H386,"-",F386)</f>
        <v/>
      </c>
      <c r="E386" s="24" t="inlineStr">
        <is>
          <t>JMG-10T-Hiabs Logistics-Local</t>
        </is>
      </c>
      <c r="F386" s="23" t="inlineStr">
        <is>
          <t>Local</t>
        </is>
      </c>
      <c r="G386" s="25" t="inlineStr">
        <is>
          <t>Hiabs Logistics</t>
        </is>
      </c>
      <c r="H386" s="24" t="inlineStr">
        <is>
          <t>10T</t>
        </is>
      </c>
      <c r="I386" s="73" t="inlineStr">
        <is>
          <t>JMG</t>
        </is>
      </c>
      <c r="J386" s="74" t="inlineStr">
        <is>
          <t>Port Harcourt</t>
        </is>
      </c>
      <c r="K386" s="115" t="inlineStr">
        <is>
          <t>Okrika</t>
        </is>
      </c>
      <c r="L386" s="67" t="inlineStr">
        <is>
          <t>Rivers</t>
        </is>
      </c>
      <c r="M386" s="68" t="n"/>
      <c r="N386" s="199">
        <f>O386/2</f>
        <v/>
      </c>
      <c r="O386" s="200" t="n">
        <v>38.8</v>
      </c>
      <c r="P386" s="220">
        <f>ROUNDUP(O386/300,)</f>
        <v/>
      </c>
      <c r="Q386" s="220" t="n">
        <v>1</v>
      </c>
      <c r="R386" s="220">
        <f>Q386+P386</f>
        <v/>
      </c>
      <c r="S386" s="198">
        <f>ROUNDDOWN(O386*0.51,)+60</f>
        <v/>
      </c>
      <c r="T386" s="207">
        <f>_xlfn.XLOOKUP(G386,[1]Fx!$A$4:$A$10,[1]Fx!$B$4:$B$10)</f>
        <v/>
      </c>
      <c r="U386" s="207">
        <f>_xlfn.XLOOKUP(G386,'[1]BP Setup'!$B$6:$B$72,'[1]BP Setup'!$Q$6:$Q$72)</f>
        <v/>
      </c>
      <c r="V386" s="207">
        <f>_xlfn.XLOOKUP(G386,'[1]BP Setup'!$B$6:$B$72,'[1]BP Setup'!$R$6:$R$72)</f>
        <v/>
      </c>
      <c r="W386" s="207">
        <f>$W$3</f>
        <v/>
      </c>
      <c r="X386" s="207" t="n">
        <v>80</v>
      </c>
      <c r="Y386" s="215">
        <f>T386*R386</f>
        <v/>
      </c>
      <c r="Z386" s="215">
        <f>U386*O386</f>
        <v/>
      </c>
      <c r="AA386" s="215">
        <f>V386*O386</f>
        <v/>
      </c>
      <c r="AB386" s="215">
        <f>W386*O386</f>
        <v/>
      </c>
      <c r="AC386" s="197">
        <f>X386*O386</f>
        <v/>
      </c>
      <c r="AD386" s="215" t="n">
        <v>0</v>
      </c>
      <c r="AE386" s="215" t="n">
        <v>0</v>
      </c>
      <c r="AF386" s="207">
        <f>SUM(Y386:AE386)</f>
        <v/>
      </c>
      <c r="AG386" s="254">
        <f>_xlfn.XLOOKUP(G386,[1]Fx!$A$16:$A$22,[1]Fx!$B$16:$B$22)</f>
        <v/>
      </c>
      <c r="AH386" s="207">
        <f>AG386*R386</f>
        <v/>
      </c>
      <c r="AI386" s="207">
        <f>$AI$3*Z386</f>
        <v/>
      </c>
      <c r="AJ386" s="207">
        <f>$AJ$3*AA386</f>
        <v/>
      </c>
      <c r="AK386" s="207">
        <f>$AK$3*AB386</f>
        <v/>
      </c>
      <c r="AL386" s="207">
        <f>$AL$3*AC386</f>
        <v/>
      </c>
      <c r="AM386" s="220">
        <f>SUM(AH386:AL386)</f>
        <v/>
      </c>
      <c r="AN386" s="220" t="n">
        <v>0</v>
      </c>
      <c r="AO386" s="220">
        <f>AN386*AH386</f>
        <v/>
      </c>
      <c r="AP386" s="220">
        <f>AD386</f>
        <v/>
      </c>
      <c r="AQ386" s="220">
        <f>AE386</f>
        <v/>
      </c>
      <c r="AR386" s="208">
        <f>AM386-AO386</f>
        <v/>
      </c>
      <c r="AS386" s="220">
        <f>AR386-AK386</f>
        <v/>
      </c>
      <c r="AT386" s="208">
        <f>AS386*1.075</f>
        <v/>
      </c>
      <c r="AU386" s="208">
        <f>AT386+AK386</f>
        <v/>
      </c>
      <c r="AV386" s="198" t="n">
        <v>263204.3991481314</v>
      </c>
      <c r="AW386" s="264">
        <f>BO386*2</f>
        <v/>
      </c>
      <c r="AX386" s="220">
        <f>AV386-AR386</f>
        <v/>
      </c>
      <c r="AY386" s="35">
        <f>AX386/AR386</f>
        <v/>
      </c>
      <c r="AZ386" s="220">
        <f>AV386-AF386</f>
        <v/>
      </c>
      <c r="BA386" s="215">
        <f>AV386-SUM(Z386:AC386)</f>
        <v/>
      </c>
      <c r="BB386" s="215">
        <f>BA386-Y386</f>
        <v/>
      </c>
      <c r="BC386" s="35">
        <f>BB386/BA386</f>
        <v/>
      </c>
      <c r="BD386" s="35">
        <f>IFERROR(AZ386/AV386,)</f>
        <v/>
      </c>
      <c r="BE386" s="255">
        <f>AV386-SUM(Z386:AC386)</f>
        <v/>
      </c>
      <c r="BF386" s="255">
        <f>AV386-BE386-AC386-AB386</f>
        <v/>
      </c>
      <c r="BG386" s="255">
        <f>AV386-BE386-BF386-AB386</f>
        <v/>
      </c>
      <c r="BH386" s="255">
        <f>AB386</f>
        <v/>
      </c>
      <c r="BI386" s="263" t="inlineStr">
        <is>
          <t>Approved</t>
        </is>
      </c>
    </row>
    <row r="387">
      <c r="C387" s="23" t="inlineStr">
        <is>
          <t>ASINI/Yekeni</t>
        </is>
      </c>
      <c r="D387">
        <f>CONCATENATE(G387,"-",H387,"-",F387)</f>
        <v/>
      </c>
      <c r="E387" s="24" t="inlineStr">
        <is>
          <t>JMG-10T-Hiabs Logistics-Local</t>
        </is>
      </c>
      <c r="F387" s="23" t="inlineStr">
        <is>
          <t>Local</t>
        </is>
      </c>
      <c r="G387" s="25" t="inlineStr">
        <is>
          <t>Hiabs Logistics</t>
        </is>
      </c>
      <c r="H387" s="24" t="inlineStr">
        <is>
          <t>10T</t>
        </is>
      </c>
      <c r="I387" s="73" t="inlineStr">
        <is>
          <t>JMG</t>
        </is>
      </c>
      <c r="J387" s="74" t="inlineStr">
        <is>
          <t>Port Harcourt</t>
        </is>
      </c>
      <c r="K387" s="115" t="inlineStr">
        <is>
          <t>Ogoni</t>
        </is>
      </c>
      <c r="L387" s="25" t="inlineStr">
        <is>
          <t>Rivers</t>
        </is>
      </c>
      <c r="M387" s="63" t="n"/>
      <c r="N387" s="199">
        <f>O387/2</f>
        <v/>
      </c>
      <c r="O387" s="200" t="n">
        <v>35.8</v>
      </c>
      <c r="P387" s="220">
        <f>ROUNDUP(O387/300,)</f>
        <v/>
      </c>
      <c r="Q387" s="220" t="n">
        <v>1</v>
      </c>
      <c r="R387" s="220">
        <f>Q387+P387</f>
        <v/>
      </c>
      <c r="S387" s="198">
        <f>ROUNDDOWN(O387*0.51,)+60</f>
        <v/>
      </c>
      <c r="T387" s="207">
        <f>_xlfn.XLOOKUP(G387,[1]Fx!$A$4:$A$10,[1]Fx!$B$4:$B$10)</f>
        <v/>
      </c>
      <c r="U387" s="207">
        <f>_xlfn.XLOOKUP(G387,'[1]BP Setup'!$B$6:$B$72,'[1]BP Setup'!$Q$6:$Q$72)</f>
        <v/>
      </c>
      <c r="V387" s="207">
        <f>_xlfn.XLOOKUP(G387,'[1]BP Setup'!$B$6:$B$72,'[1]BP Setup'!$R$6:$R$72)</f>
        <v/>
      </c>
      <c r="W387" s="207">
        <f>$W$3</f>
        <v/>
      </c>
      <c r="X387" s="207" t="n">
        <v>80</v>
      </c>
      <c r="Y387" s="215">
        <f>T387*R387</f>
        <v/>
      </c>
      <c r="Z387" s="215">
        <f>U387*O387</f>
        <v/>
      </c>
      <c r="AA387" s="215">
        <f>V387*O387</f>
        <v/>
      </c>
      <c r="AB387" s="215">
        <f>W387*O387</f>
        <v/>
      </c>
      <c r="AC387" s="197">
        <f>X387*O387</f>
        <v/>
      </c>
      <c r="AD387" s="215" t="n">
        <v>0</v>
      </c>
      <c r="AE387" s="215" t="n">
        <v>0</v>
      </c>
      <c r="AF387" s="207">
        <f>SUM(Y387:AE387)</f>
        <v/>
      </c>
      <c r="AG387" s="254">
        <f>_xlfn.XLOOKUP(G387,[1]Fx!$A$16:$A$22,[1]Fx!$B$16:$B$22)</f>
        <v/>
      </c>
      <c r="AH387" s="207">
        <f>AG387*R387</f>
        <v/>
      </c>
      <c r="AI387" s="207">
        <f>$AI$3*Z387</f>
        <v/>
      </c>
      <c r="AJ387" s="207">
        <f>$AJ$3*AA387</f>
        <v/>
      </c>
      <c r="AK387" s="207">
        <f>$AK$3*AB387</f>
        <v/>
      </c>
      <c r="AL387" s="207">
        <f>$AL$3*AC387</f>
        <v/>
      </c>
      <c r="AM387" s="220">
        <f>SUM(AH387:AL387)</f>
        <v/>
      </c>
      <c r="AN387" s="220" t="n">
        <v>0</v>
      </c>
      <c r="AO387" s="220">
        <f>AN387*AH387</f>
        <v/>
      </c>
      <c r="AP387" s="220">
        <f>AD387</f>
        <v/>
      </c>
      <c r="AQ387" s="220">
        <f>AE387</f>
        <v/>
      </c>
      <c r="AR387" s="208">
        <f>AM387-AO387</f>
        <v/>
      </c>
      <c r="AS387" s="220">
        <f>AR387-AK387</f>
        <v/>
      </c>
      <c r="AT387" s="208">
        <f>AS387*1.075</f>
        <v/>
      </c>
      <c r="AU387" s="208">
        <f>AT387+AK387</f>
        <v/>
      </c>
      <c r="AV387" s="198" t="n">
        <v>263204.3991481314</v>
      </c>
      <c r="AW387" s="264">
        <f>BO387*2</f>
        <v/>
      </c>
      <c r="AX387" s="220">
        <f>AV387-AR387</f>
        <v/>
      </c>
      <c r="AY387" s="35">
        <f>AX387/AR387</f>
        <v/>
      </c>
      <c r="AZ387" s="220">
        <f>AV387-AF387</f>
        <v/>
      </c>
      <c r="BA387" s="215">
        <f>AV387-SUM(Z387:AC387)</f>
        <v/>
      </c>
      <c r="BB387" s="215">
        <f>BA387-Y387</f>
        <v/>
      </c>
      <c r="BC387" s="35">
        <f>BB387/BA387</f>
        <v/>
      </c>
      <c r="BD387" s="35">
        <f>IFERROR(AZ387/AV387,)</f>
        <v/>
      </c>
      <c r="BE387" s="255">
        <f>AV387-SUM(Z387:AC387)</f>
        <v/>
      </c>
      <c r="BF387" s="255">
        <f>AV387-BE387-AC387-AB387</f>
        <v/>
      </c>
      <c r="BG387" s="255">
        <f>AV387-BE387-BF387-AB387</f>
        <v/>
      </c>
      <c r="BH387" s="255">
        <f>AB387</f>
        <v/>
      </c>
      <c r="BI387" s="263" t="inlineStr">
        <is>
          <t>Approved</t>
        </is>
      </c>
    </row>
    <row r="388">
      <c r="C388" s="23" t="inlineStr">
        <is>
          <t>ASINI/Yekeni</t>
        </is>
      </c>
      <c r="D388">
        <f>CONCATENATE(G388,"-",H388,"-",F388)</f>
        <v/>
      </c>
      <c r="E388" s="24" t="inlineStr">
        <is>
          <t>JMG-10T-Hiabs Logistics-Local</t>
        </is>
      </c>
      <c r="F388" s="23" t="inlineStr">
        <is>
          <t>Local</t>
        </is>
      </c>
      <c r="G388" s="25" t="inlineStr">
        <is>
          <t>Hiabs Logistics</t>
        </is>
      </c>
      <c r="H388" s="24" t="inlineStr">
        <is>
          <t>10T</t>
        </is>
      </c>
      <c r="I388" s="73" t="inlineStr">
        <is>
          <t>JMG</t>
        </is>
      </c>
      <c r="J388" s="74" t="inlineStr">
        <is>
          <t>Port Harcourt</t>
        </is>
      </c>
      <c r="K388" s="115" t="inlineStr">
        <is>
          <t>Airport Road (Port Harcourt)</t>
        </is>
      </c>
      <c r="L388" s="67" t="inlineStr">
        <is>
          <t>Rivers</t>
        </is>
      </c>
      <c r="M388" s="63" t="n"/>
      <c r="N388" s="199">
        <f>O388/2</f>
        <v/>
      </c>
      <c r="O388" s="200" t="n">
        <v>32</v>
      </c>
      <c r="P388" s="220">
        <f>ROUNDUP(O388/300,)</f>
        <v/>
      </c>
      <c r="Q388" s="220" t="n">
        <v>1</v>
      </c>
      <c r="R388" s="220">
        <f>Q388+P388</f>
        <v/>
      </c>
      <c r="S388" s="198">
        <f>ROUNDDOWN(O388*0.51,)+60</f>
        <v/>
      </c>
      <c r="T388" s="207">
        <f>_xlfn.XLOOKUP(G388,[1]Fx!$A$4:$A$10,[1]Fx!$B$4:$B$10)</f>
        <v/>
      </c>
      <c r="U388" s="207">
        <f>_xlfn.XLOOKUP(G388,'[1]BP Setup'!$B$6:$B$72,'[1]BP Setup'!$Q$6:$Q$72)</f>
        <v/>
      </c>
      <c r="V388" s="207">
        <f>_xlfn.XLOOKUP(G388,'[1]BP Setup'!$B$6:$B$72,'[1]BP Setup'!$R$6:$R$72)</f>
        <v/>
      </c>
      <c r="W388" s="207">
        <f>$W$3</f>
        <v/>
      </c>
      <c r="X388" s="207" t="n">
        <v>80</v>
      </c>
      <c r="Y388" s="215">
        <f>T388*R388</f>
        <v/>
      </c>
      <c r="Z388" s="215">
        <f>U388*O388</f>
        <v/>
      </c>
      <c r="AA388" s="215">
        <f>V388*O388</f>
        <v/>
      </c>
      <c r="AB388" s="215">
        <f>W388*O388</f>
        <v/>
      </c>
      <c r="AC388" s="197">
        <f>X388*O388</f>
        <v/>
      </c>
      <c r="AD388" s="215" t="n">
        <v>0</v>
      </c>
      <c r="AE388" s="215" t="n">
        <v>0</v>
      </c>
      <c r="AF388" s="207">
        <f>SUM(Y388:AE388)</f>
        <v/>
      </c>
      <c r="AG388" s="254">
        <f>_xlfn.XLOOKUP(G388,[1]Fx!$A$16:$A$22,[1]Fx!$B$16:$B$22)</f>
        <v/>
      </c>
      <c r="AH388" s="207">
        <f>AG388*R388</f>
        <v/>
      </c>
      <c r="AI388" s="207">
        <f>$AI$3*Z388</f>
        <v/>
      </c>
      <c r="AJ388" s="207">
        <f>$AJ$3*AA388</f>
        <v/>
      </c>
      <c r="AK388" s="207">
        <f>$AK$3*AB388</f>
        <v/>
      </c>
      <c r="AL388" s="207">
        <f>$AL$3*AC388</f>
        <v/>
      </c>
      <c r="AM388" s="220">
        <f>SUM(AH388:AL388)</f>
        <v/>
      </c>
      <c r="AN388" s="220" t="n">
        <v>0</v>
      </c>
      <c r="AO388" s="220">
        <f>AN388*AH388</f>
        <v/>
      </c>
      <c r="AP388" s="220">
        <f>AD388</f>
        <v/>
      </c>
      <c r="AQ388" s="220">
        <f>AE388</f>
        <v/>
      </c>
      <c r="AR388" s="208">
        <f>AM388-AO388</f>
        <v/>
      </c>
      <c r="AS388" s="220">
        <f>AR388-AK388</f>
        <v/>
      </c>
      <c r="AT388" s="208">
        <f>AS388*1.075</f>
        <v/>
      </c>
      <c r="AU388" s="208">
        <f>AT388+AK388</f>
        <v/>
      </c>
      <c r="AV388" s="198" t="n">
        <v>263204.3991481314</v>
      </c>
      <c r="AW388" s="264">
        <f>BO388*2</f>
        <v/>
      </c>
      <c r="AX388" s="220">
        <f>AV388-AR388</f>
        <v/>
      </c>
      <c r="AY388" s="35">
        <f>AX388/AR388</f>
        <v/>
      </c>
      <c r="AZ388" s="220">
        <f>AV388-AF388</f>
        <v/>
      </c>
      <c r="BA388" s="215">
        <f>AV388-SUM(Z388:AC388)</f>
        <v/>
      </c>
      <c r="BB388" s="215">
        <f>BA388-Y388</f>
        <v/>
      </c>
      <c r="BC388" s="35">
        <f>BB388/BA388</f>
        <v/>
      </c>
      <c r="BD388" s="35">
        <f>IFERROR(AZ388/AV388,)</f>
        <v/>
      </c>
      <c r="BE388" s="255">
        <f>AV388-SUM(Z388:AC388)</f>
        <v/>
      </c>
      <c r="BF388" s="255">
        <f>AV388-BE388-AC388-AB388</f>
        <v/>
      </c>
      <c r="BG388" s="255">
        <f>AV388-BE388-BF388-AB388</f>
        <v/>
      </c>
      <c r="BH388" s="255">
        <f>AB388</f>
        <v/>
      </c>
      <c r="BI388" s="263" t="inlineStr">
        <is>
          <t>Approved</t>
        </is>
      </c>
    </row>
    <row r="389">
      <c r="C389" s="23" t="inlineStr">
        <is>
          <t>ASINI/Yekeni</t>
        </is>
      </c>
      <c r="D389">
        <f>CONCATENATE(G389,"-",H389,"-",F389)</f>
        <v/>
      </c>
      <c r="E389" s="24" t="inlineStr">
        <is>
          <t>JMG-10T-Hiabs Logistics-Local</t>
        </is>
      </c>
      <c r="F389" s="23" t="inlineStr">
        <is>
          <t>Local</t>
        </is>
      </c>
      <c r="G389" s="25" t="inlineStr">
        <is>
          <t>Hiabs Logistics</t>
        </is>
      </c>
      <c r="H389" s="24" t="inlineStr">
        <is>
          <t>10T</t>
        </is>
      </c>
      <c r="I389" s="73" t="inlineStr">
        <is>
          <t>JMG</t>
        </is>
      </c>
      <c r="J389" s="74" t="inlineStr">
        <is>
          <t>Port Harcourt</t>
        </is>
      </c>
      <c r="K389" s="115" t="inlineStr">
        <is>
          <t>Eleme</t>
        </is>
      </c>
      <c r="L389" s="25" t="inlineStr">
        <is>
          <t>Rivers</t>
        </is>
      </c>
      <c r="M389" s="63" t="n"/>
      <c r="N389" s="199">
        <f>O389/2</f>
        <v/>
      </c>
      <c r="O389" s="200" t="n">
        <v>28.1</v>
      </c>
      <c r="P389" s="220">
        <f>ROUNDUP(O389/300,)</f>
        <v/>
      </c>
      <c r="Q389" s="220" t="n">
        <v>0</v>
      </c>
      <c r="R389" s="220">
        <f>Q389+P389</f>
        <v/>
      </c>
      <c r="S389" s="198">
        <f>ROUNDDOWN(O389*0.51,)+60</f>
        <v/>
      </c>
      <c r="T389" s="207">
        <f>_xlfn.XLOOKUP(G389,[1]Fx!$A$4:$A$10,[1]Fx!$B$4:$B$10)</f>
        <v/>
      </c>
      <c r="U389" s="207">
        <f>_xlfn.XLOOKUP(G389,'[1]BP Setup'!$B$6:$B$72,'[1]BP Setup'!$Q$6:$Q$72)</f>
        <v/>
      </c>
      <c r="V389" s="207">
        <f>_xlfn.XLOOKUP(G389,'[1]BP Setup'!$B$6:$B$72,'[1]BP Setup'!$R$6:$R$72)</f>
        <v/>
      </c>
      <c r="W389" s="207">
        <f>$W$3</f>
        <v/>
      </c>
      <c r="X389" s="207" t="n">
        <v>80</v>
      </c>
      <c r="Y389" s="215">
        <f>T389*R389</f>
        <v/>
      </c>
      <c r="Z389" s="215">
        <f>U389*O389</f>
        <v/>
      </c>
      <c r="AA389" s="215">
        <f>V389*O389</f>
        <v/>
      </c>
      <c r="AB389" s="215">
        <f>W389*O389</f>
        <v/>
      </c>
      <c r="AC389" s="197">
        <f>X389*O389</f>
        <v/>
      </c>
      <c r="AD389" s="215" t="n">
        <v>0</v>
      </c>
      <c r="AE389" s="215" t="n">
        <v>0</v>
      </c>
      <c r="AF389" s="207">
        <f>SUM(Y389:AE389)</f>
        <v/>
      </c>
      <c r="AG389" s="254">
        <f>_xlfn.XLOOKUP(G389,[1]Fx!$A$16:$A$22,[1]Fx!$B$16:$B$22)</f>
        <v/>
      </c>
      <c r="AH389" s="207">
        <f>AG389*R389</f>
        <v/>
      </c>
      <c r="AI389" s="207">
        <f>$AI$3*Z389</f>
        <v/>
      </c>
      <c r="AJ389" s="207">
        <f>$AJ$3*AA389</f>
        <v/>
      </c>
      <c r="AK389" s="207">
        <f>$AK$3*AB389</f>
        <v/>
      </c>
      <c r="AL389" s="207">
        <f>$AL$3*AC389</f>
        <v/>
      </c>
      <c r="AM389" s="220">
        <f>SUM(AH389:AL389)</f>
        <v/>
      </c>
      <c r="AN389" s="220" t="n">
        <v>0</v>
      </c>
      <c r="AO389" s="220">
        <f>AN389*AH389</f>
        <v/>
      </c>
      <c r="AP389" s="220">
        <f>AD389</f>
        <v/>
      </c>
      <c r="AQ389" s="220">
        <f>AE389</f>
        <v/>
      </c>
      <c r="AR389" s="208">
        <f>AM389-AO389</f>
        <v/>
      </c>
      <c r="AS389" s="220">
        <f>AR389-AK389</f>
        <v/>
      </c>
      <c r="AT389" s="208">
        <f>AS389*1.075</f>
        <v/>
      </c>
      <c r="AU389" s="208">
        <f>AT389+AK389</f>
        <v/>
      </c>
      <c r="AV389" s="198" t="n">
        <v>131602.1995740657</v>
      </c>
      <c r="AW389" s="264">
        <f>BO389*2</f>
        <v/>
      </c>
      <c r="AX389" s="220">
        <f>AV389-AR389</f>
        <v/>
      </c>
      <c r="AY389" s="35">
        <f>AX389/AR389</f>
        <v/>
      </c>
      <c r="AZ389" s="220">
        <f>AV389-AF389</f>
        <v/>
      </c>
      <c r="BA389" s="215">
        <f>AV389-SUM(Z389:AC389)</f>
        <v/>
      </c>
      <c r="BB389" s="215">
        <f>BA389-Y389</f>
        <v/>
      </c>
      <c r="BC389" s="35">
        <f>BB389/BA389</f>
        <v/>
      </c>
      <c r="BD389" s="35">
        <f>IFERROR(AZ389/AV389,)</f>
        <v/>
      </c>
      <c r="BE389" s="255">
        <f>AV389-SUM(Z389:AC389)</f>
        <v/>
      </c>
      <c r="BF389" s="255">
        <f>AV389-BE389-AC389-AB389</f>
        <v/>
      </c>
      <c r="BG389" s="255">
        <f>AV389-BE389-BF389-AB389</f>
        <v/>
      </c>
      <c r="BH389" s="255">
        <f>AB389</f>
        <v/>
      </c>
      <c r="BI389" s="263" t="inlineStr">
        <is>
          <t>Approved</t>
        </is>
      </c>
    </row>
    <row r="390">
      <c r="C390" s="23" t="inlineStr">
        <is>
          <t>ASINI/Yekeni</t>
        </is>
      </c>
      <c r="D390">
        <f>CONCATENATE(G390,"-",H390,"-",F390)</f>
        <v/>
      </c>
      <c r="E390" s="24" t="inlineStr">
        <is>
          <t>JMG-10T-Hiabs Logistics-Local</t>
        </is>
      </c>
      <c r="F390" s="23" t="inlineStr">
        <is>
          <t>Local</t>
        </is>
      </c>
      <c r="G390" s="25" t="inlineStr">
        <is>
          <t>Hiabs Logistics</t>
        </is>
      </c>
      <c r="H390" s="24" t="inlineStr">
        <is>
          <t>10T</t>
        </is>
      </c>
      <c r="I390" s="73" t="inlineStr">
        <is>
          <t>JMG</t>
        </is>
      </c>
      <c r="J390" s="74" t="inlineStr">
        <is>
          <t>Port Harcourt</t>
        </is>
      </c>
      <c r="K390" s="115" t="inlineStr">
        <is>
          <t>Rumukpakolosi</t>
        </is>
      </c>
      <c r="L390" s="25" t="inlineStr">
        <is>
          <t>Rivers</t>
        </is>
      </c>
      <c r="M390" s="63" t="n"/>
      <c r="N390" s="199">
        <f>O390/2</f>
        <v/>
      </c>
      <c r="O390" s="200" t="n">
        <v>20.4</v>
      </c>
      <c r="P390" s="220">
        <f>ROUNDUP(O390/300,)</f>
        <v/>
      </c>
      <c r="Q390" s="220" t="n">
        <v>1</v>
      </c>
      <c r="R390" s="220">
        <f>Q390+P390</f>
        <v/>
      </c>
      <c r="S390" s="198">
        <f>ROUNDDOWN(O390*0.51,)+60</f>
        <v/>
      </c>
      <c r="T390" s="207">
        <f>_xlfn.XLOOKUP(G390,[1]Fx!$A$4:$A$10,[1]Fx!$B$4:$B$10)</f>
        <v/>
      </c>
      <c r="U390" s="207">
        <f>_xlfn.XLOOKUP(G390,'[1]BP Setup'!$B$6:$B$72,'[1]BP Setup'!$Q$6:$Q$72)</f>
        <v/>
      </c>
      <c r="V390" s="207">
        <f>_xlfn.XLOOKUP(G390,'[1]BP Setup'!$B$6:$B$72,'[1]BP Setup'!$R$6:$R$72)</f>
        <v/>
      </c>
      <c r="W390" s="207">
        <f>$W$3</f>
        <v/>
      </c>
      <c r="X390" s="207" t="n">
        <v>80</v>
      </c>
      <c r="Y390" s="215">
        <f>T390*R390</f>
        <v/>
      </c>
      <c r="Z390" s="215">
        <f>U390*O390</f>
        <v/>
      </c>
      <c r="AA390" s="215">
        <f>V390*O390</f>
        <v/>
      </c>
      <c r="AB390" s="215">
        <f>W390*O390</f>
        <v/>
      </c>
      <c r="AC390" s="197">
        <f>X390*O390</f>
        <v/>
      </c>
      <c r="AD390" s="215" t="n">
        <v>0</v>
      </c>
      <c r="AE390" s="215" t="n">
        <v>0</v>
      </c>
      <c r="AF390" s="207">
        <f>SUM(Y390:AE390)</f>
        <v/>
      </c>
      <c r="AG390" s="254">
        <f>_xlfn.XLOOKUP(G390,[1]Fx!$A$16:$A$22,[1]Fx!$B$16:$B$22)</f>
        <v/>
      </c>
      <c r="AH390" s="207">
        <f>AG390*R390</f>
        <v/>
      </c>
      <c r="AI390" s="207">
        <f>$AI$3*Z390</f>
        <v/>
      </c>
      <c r="AJ390" s="207">
        <f>$AJ$3*AA390</f>
        <v/>
      </c>
      <c r="AK390" s="207">
        <f>$AK$3*AB390</f>
        <v/>
      </c>
      <c r="AL390" s="207">
        <f>$AL$3*AC390</f>
        <v/>
      </c>
      <c r="AM390" s="220">
        <f>SUM(AH390:AL390)</f>
        <v/>
      </c>
      <c r="AN390" s="220" t="n">
        <v>0</v>
      </c>
      <c r="AO390" s="220">
        <f>AN390*AH390</f>
        <v/>
      </c>
      <c r="AP390" s="220">
        <f>AD390</f>
        <v/>
      </c>
      <c r="AQ390" s="220">
        <f>AE390</f>
        <v/>
      </c>
      <c r="AR390" s="208">
        <f>AM390-AO390</f>
        <v/>
      </c>
      <c r="AS390" s="220">
        <f>AR390-AK390</f>
        <v/>
      </c>
      <c r="AT390" s="208">
        <f>AS390*1.075</f>
        <v/>
      </c>
      <c r="AU390" s="208">
        <f>AT390+AK390</f>
        <v/>
      </c>
      <c r="AV390" s="198" t="n">
        <v>263204.3991481314</v>
      </c>
      <c r="AW390" s="264">
        <f>BO390*2</f>
        <v/>
      </c>
      <c r="AX390" s="220">
        <f>AV390-AR390</f>
        <v/>
      </c>
      <c r="AY390" s="35">
        <f>AX390/AR390</f>
        <v/>
      </c>
      <c r="AZ390" s="220">
        <f>AV390-AF390</f>
        <v/>
      </c>
      <c r="BA390" s="215">
        <f>AV390-SUM(Z390:AC390)</f>
        <v/>
      </c>
      <c r="BB390" s="215">
        <f>BA390-Y390</f>
        <v/>
      </c>
      <c r="BC390" s="35">
        <f>BB390/BA390</f>
        <v/>
      </c>
      <c r="BD390" s="35">
        <f>IFERROR(AZ390/AV390,)</f>
        <v/>
      </c>
      <c r="BE390" s="255">
        <f>AV390-SUM(Z390:AC390)</f>
        <v/>
      </c>
      <c r="BF390" s="255">
        <f>AV390-BE390-AC390-AB390</f>
        <v/>
      </c>
      <c r="BG390" s="255">
        <f>AV390-BE390-BF390-AB390</f>
        <v/>
      </c>
      <c r="BH390" s="255">
        <f>AB390</f>
        <v/>
      </c>
      <c r="BI390" s="263" t="inlineStr">
        <is>
          <t>Approved</t>
        </is>
      </c>
    </row>
    <row r="391">
      <c r="C391" s="23" t="inlineStr">
        <is>
          <t>ASINI/Yekeni</t>
        </is>
      </c>
      <c r="D391">
        <f>CONCATENATE(G391,"-",H391,"-",F391)</f>
        <v/>
      </c>
      <c r="E391" s="24" t="inlineStr">
        <is>
          <t>JMG-10T-Hiabs Logistics-Local</t>
        </is>
      </c>
      <c r="F391" s="23" t="inlineStr">
        <is>
          <t>Local</t>
        </is>
      </c>
      <c r="G391" s="25" t="inlineStr">
        <is>
          <t>Hiabs Logistics</t>
        </is>
      </c>
      <c r="H391" s="24" t="inlineStr">
        <is>
          <t>10T</t>
        </is>
      </c>
      <c r="I391" s="73" t="inlineStr">
        <is>
          <t>JMG</t>
        </is>
      </c>
      <c r="J391" s="74" t="inlineStr">
        <is>
          <t>Port Harcourt</t>
        </is>
      </c>
      <c r="K391" s="115" t="inlineStr">
        <is>
          <t>Rumuepirikom</t>
        </is>
      </c>
      <c r="L391" s="25" t="inlineStr">
        <is>
          <t>Rivers</t>
        </is>
      </c>
      <c r="M391" s="63" t="n"/>
      <c r="N391" s="199">
        <f>O391/2</f>
        <v/>
      </c>
      <c r="O391" s="200" t="n">
        <v>17.5</v>
      </c>
      <c r="P391" s="220">
        <f>ROUNDUP(O391/300,)</f>
        <v/>
      </c>
      <c r="Q391" s="220" t="n">
        <v>1</v>
      </c>
      <c r="R391" s="220">
        <f>Q391+P391</f>
        <v/>
      </c>
      <c r="S391" s="198">
        <f>ROUNDDOWN(O391*0.51,)+60</f>
        <v/>
      </c>
      <c r="T391" s="207">
        <f>_xlfn.XLOOKUP(G391,[1]Fx!$A$4:$A$10,[1]Fx!$B$4:$B$10)</f>
        <v/>
      </c>
      <c r="U391" s="207">
        <f>_xlfn.XLOOKUP(G391,'[1]BP Setup'!$B$6:$B$72,'[1]BP Setup'!$Q$6:$Q$72)</f>
        <v/>
      </c>
      <c r="V391" s="207">
        <f>_xlfn.XLOOKUP(G391,'[1]BP Setup'!$B$6:$B$72,'[1]BP Setup'!$R$6:$R$72)</f>
        <v/>
      </c>
      <c r="W391" s="207">
        <f>$W$3</f>
        <v/>
      </c>
      <c r="X391" s="207" t="n">
        <v>80</v>
      </c>
      <c r="Y391" s="215">
        <f>T391*R391</f>
        <v/>
      </c>
      <c r="Z391" s="215">
        <f>U391*O391</f>
        <v/>
      </c>
      <c r="AA391" s="215">
        <f>V391*O391</f>
        <v/>
      </c>
      <c r="AB391" s="215">
        <f>W391*O391</f>
        <v/>
      </c>
      <c r="AC391" s="197">
        <f>X391*O391</f>
        <v/>
      </c>
      <c r="AD391" s="215" t="n">
        <v>0</v>
      </c>
      <c r="AE391" s="215" t="n">
        <v>0</v>
      </c>
      <c r="AF391" s="207">
        <f>SUM(Y391:AE391)</f>
        <v/>
      </c>
      <c r="AG391" s="254">
        <f>_xlfn.XLOOKUP(G391,[1]Fx!$A$16:$A$22,[1]Fx!$B$16:$B$22)</f>
        <v/>
      </c>
      <c r="AH391" s="207">
        <f>AG391*R391</f>
        <v/>
      </c>
      <c r="AI391" s="207">
        <f>$AI$3*Z391</f>
        <v/>
      </c>
      <c r="AJ391" s="207">
        <f>$AJ$3*AA391</f>
        <v/>
      </c>
      <c r="AK391" s="207">
        <f>$AK$3*AB391</f>
        <v/>
      </c>
      <c r="AL391" s="207">
        <f>$AL$3*AC391</f>
        <v/>
      </c>
      <c r="AM391" s="220">
        <f>SUM(AH391:AL391)</f>
        <v/>
      </c>
      <c r="AN391" s="220" t="n">
        <v>0</v>
      </c>
      <c r="AO391" s="220">
        <f>AN391*AH391</f>
        <v/>
      </c>
      <c r="AP391" s="220">
        <f>AD391</f>
        <v/>
      </c>
      <c r="AQ391" s="220">
        <f>AE391</f>
        <v/>
      </c>
      <c r="AR391" s="208">
        <f>AM391-AO391</f>
        <v/>
      </c>
      <c r="AS391" s="220">
        <f>AR391-AK391</f>
        <v/>
      </c>
      <c r="AT391" s="208">
        <f>AS391*1.075</f>
        <v/>
      </c>
      <c r="AU391" s="208">
        <f>AT391+AK391</f>
        <v/>
      </c>
      <c r="AV391" s="198" t="n">
        <v>263204.3991481314</v>
      </c>
      <c r="AW391" s="264">
        <f>BO391*2</f>
        <v/>
      </c>
      <c r="AX391" s="220">
        <f>AV391-AR391</f>
        <v/>
      </c>
      <c r="AY391" s="35">
        <f>AX391/AR391</f>
        <v/>
      </c>
      <c r="AZ391" s="220">
        <f>AV391-AF391</f>
        <v/>
      </c>
      <c r="BA391" s="215">
        <f>AV391-SUM(Z391:AC391)</f>
        <v/>
      </c>
      <c r="BB391" s="215">
        <f>BA391-Y391</f>
        <v/>
      </c>
      <c r="BC391" s="35">
        <f>BB391/BA391</f>
        <v/>
      </c>
      <c r="BD391" s="35">
        <f>IFERROR(AZ391/AV391,)</f>
        <v/>
      </c>
      <c r="BE391" s="255">
        <f>AV391-SUM(Z391:AC391)</f>
        <v/>
      </c>
      <c r="BF391" s="255">
        <f>AV391-BE391-AC391-AB391</f>
        <v/>
      </c>
      <c r="BG391" s="255">
        <f>AV391-BE391-BF391-AB391</f>
        <v/>
      </c>
      <c r="BH391" s="255">
        <f>AB391</f>
        <v/>
      </c>
      <c r="BI391" s="263" t="inlineStr">
        <is>
          <t>Approved</t>
        </is>
      </c>
    </row>
    <row r="392">
      <c r="C392" s="23" t="inlineStr">
        <is>
          <t>ASINI/Yekeni</t>
        </is>
      </c>
      <c r="D392">
        <f>CONCATENATE(G392,"-",H392,"-",F392)</f>
        <v/>
      </c>
      <c r="E392" s="24" t="inlineStr">
        <is>
          <t>JMG-10T-Hiabs Logistics-Local</t>
        </is>
      </c>
      <c r="F392" s="23" t="inlineStr">
        <is>
          <t>Local</t>
        </is>
      </c>
      <c r="G392" s="25" t="inlineStr">
        <is>
          <t>Hiabs Logistics</t>
        </is>
      </c>
      <c r="H392" s="24" t="inlineStr">
        <is>
          <t>10T</t>
        </is>
      </c>
      <c r="I392" s="73" t="inlineStr">
        <is>
          <t>JMG</t>
        </is>
      </c>
      <c r="J392" s="74" t="inlineStr">
        <is>
          <t>Port Harcourt</t>
        </is>
      </c>
      <c r="K392" s="115" t="inlineStr">
        <is>
          <t>Ogbunabali</t>
        </is>
      </c>
      <c r="L392" s="25" t="inlineStr">
        <is>
          <t>Rivers</t>
        </is>
      </c>
      <c r="M392" s="63" t="n"/>
      <c r="N392" s="199">
        <f>O392/2</f>
        <v/>
      </c>
      <c r="O392" s="200" t="n">
        <v>9.800000000000001</v>
      </c>
      <c r="P392" s="220">
        <f>ROUNDUP(O392/300,)</f>
        <v/>
      </c>
      <c r="Q392" s="220" t="n">
        <v>1</v>
      </c>
      <c r="R392" s="220">
        <f>Q392+P392</f>
        <v/>
      </c>
      <c r="S392" s="198">
        <f>ROUNDDOWN(O392*0.51,)+60</f>
        <v/>
      </c>
      <c r="T392" s="207">
        <f>_xlfn.XLOOKUP(G392,[1]Fx!$A$4:$A$10,[1]Fx!$B$4:$B$10)</f>
        <v/>
      </c>
      <c r="U392" s="207">
        <f>_xlfn.XLOOKUP(G392,'[1]BP Setup'!$B$6:$B$72,'[1]BP Setup'!$Q$6:$Q$72)</f>
        <v/>
      </c>
      <c r="V392" s="207">
        <f>_xlfn.XLOOKUP(G392,'[1]BP Setup'!$B$6:$B$72,'[1]BP Setup'!$R$6:$R$72)</f>
        <v/>
      </c>
      <c r="W392" s="207">
        <f>$W$3</f>
        <v/>
      </c>
      <c r="X392" s="207" t="n">
        <v>80</v>
      </c>
      <c r="Y392" s="215">
        <f>T392*R392</f>
        <v/>
      </c>
      <c r="Z392" s="215">
        <f>U392*O392</f>
        <v/>
      </c>
      <c r="AA392" s="215">
        <f>V392*O392</f>
        <v/>
      </c>
      <c r="AB392" s="215">
        <f>W392*O392</f>
        <v/>
      </c>
      <c r="AC392" s="197">
        <f>X392*O392</f>
        <v/>
      </c>
      <c r="AD392" s="215" t="n">
        <v>20000</v>
      </c>
      <c r="AE392" s="215" t="n">
        <v>0</v>
      </c>
      <c r="AF392" s="207">
        <f>SUM(Y392:AE392)</f>
        <v/>
      </c>
      <c r="AG392" s="254">
        <f>_xlfn.XLOOKUP(G392,[1]Fx!$A$16:$A$22,[1]Fx!$B$16:$B$22)</f>
        <v/>
      </c>
      <c r="AH392" s="207">
        <f>AG392*R392</f>
        <v/>
      </c>
      <c r="AI392" s="207">
        <f>$AI$3*Z392</f>
        <v/>
      </c>
      <c r="AJ392" s="207">
        <f>$AJ$3*AA392</f>
        <v/>
      </c>
      <c r="AK392" s="207">
        <f>$AK$3*AB392</f>
        <v/>
      </c>
      <c r="AL392" s="207">
        <f>$AL$3*AC392</f>
        <v/>
      </c>
      <c r="AM392" s="220">
        <f>SUM(AH392:AL392)</f>
        <v/>
      </c>
      <c r="AN392" s="220" t="n">
        <v>0</v>
      </c>
      <c r="AO392" s="220">
        <f>AN392*AH392</f>
        <v/>
      </c>
      <c r="AP392" s="220" t="n">
        <v>0</v>
      </c>
      <c r="AQ392" s="220">
        <f>AE392</f>
        <v/>
      </c>
      <c r="AR392" s="208">
        <f>AM392-AO392</f>
        <v/>
      </c>
      <c r="AS392" s="220">
        <f>AR392-AK392</f>
        <v/>
      </c>
      <c r="AT392" s="208">
        <f>AS392*1.075</f>
        <v/>
      </c>
      <c r="AU392" s="208">
        <f>AT392+AK392</f>
        <v/>
      </c>
      <c r="AV392" s="198" t="n">
        <v>263204.3991481314</v>
      </c>
      <c r="AW392" s="264">
        <f>BO392*2</f>
        <v/>
      </c>
      <c r="AX392" s="220">
        <f>AV392-AU392</f>
        <v/>
      </c>
      <c r="AY392" s="35">
        <f>AX392/AR392</f>
        <v/>
      </c>
      <c r="AZ392" s="220">
        <f>AV392-AF392</f>
        <v/>
      </c>
      <c r="BA392" s="215">
        <f>AV392-SUM(Z392:AC392)</f>
        <v/>
      </c>
      <c r="BB392" s="215">
        <f>BA392-Y392</f>
        <v/>
      </c>
      <c r="BC392" s="35">
        <f>BB392/BA392</f>
        <v/>
      </c>
      <c r="BD392" s="35">
        <f>IFERROR(AZ392/AV392,)</f>
        <v/>
      </c>
      <c r="BE392" s="255">
        <f>AV392-SUM(Z392:AC392)</f>
        <v/>
      </c>
      <c r="BF392" s="255">
        <f>AV392-BE392-AC392-AB392</f>
        <v/>
      </c>
      <c r="BG392" s="255">
        <f>AV392-BE392-BF392-AB392</f>
        <v/>
      </c>
      <c r="BH392" s="255">
        <f>AB392</f>
        <v/>
      </c>
      <c r="BI392" s="263" t="inlineStr">
        <is>
          <t xml:space="preserve">To Check </t>
        </is>
      </c>
    </row>
    <row r="393">
      <c r="C393" s="23" t="inlineStr">
        <is>
          <t>ASINI/Yekeni</t>
        </is>
      </c>
      <c r="D393">
        <f>CONCATENATE(G393,"-",H393,"-",F393)</f>
        <v/>
      </c>
      <c r="E393" s="24" t="inlineStr">
        <is>
          <t>JMG-10T-Hiabs Logistics-Local</t>
        </is>
      </c>
      <c r="F393" s="23" t="inlineStr">
        <is>
          <t>Local</t>
        </is>
      </c>
      <c r="G393" s="25" t="inlineStr">
        <is>
          <t>Hiabs Logistics</t>
        </is>
      </c>
      <c r="H393" s="24" t="inlineStr">
        <is>
          <t>10T</t>
        </is>
      </c>
      <c r="I393" s="73" t="inlineStr">
        <is>
          <t>JMG</t>
        </is>
      </c>
      <c r="J393" s="74" t="inlineStr">
        <is>
          <t>Port Harcourt</t>
        </is>
      </c>
      <c r="K393" s="115" t="inlineStr">
        <is>
          <t>Elekahia</t>
        </is>
      </c>
      <c r="L393" s="25" t="inlineStr">
        <is>
          <t>Rivers</t>
        </is>
      </c>
      <c r="M393" s="63" t="n"/>
      <c r="N393" s="199">
        <f>O393/2</f>
        <v/>
      </c>
      <c r="O393" s="200" t="n">
        <v>7.25</v>
      </c>
      <c r="P393" s="220">
        <f>ROUNDUP(O393/300,)</f>
        <v/>
      </c>
      <c r="Q393" s="220" t="n">
        <v>1</v>
      </c>
      <c r="R393" s="220">
        <f>Q393+P393</f>
        <v/>
      </c>
      <c r="S393" s="198">
        <f>ROUNDDOWN(O393*0.51,)</f>
        <v/>
      </c>
      <c r="T393" s="207">
        <f>_xlfn.XLOOKUP(G393,[1]Fx!$A$4:$A$10,[1]Fx!$B$4:$B$10)</f>
        <v/>
      </c>
      <c r="U393" s="207">
        <f>_xlfn.XLOOKUP(G393,'[1]BP Setup'!$B$6:$B$72,'[1]BP Setup'!$Q$6:$Q$72)</f>
        <v/>
      </c>
      <c r="V393" s="207">
        <f>_xlfn.XLOOKUP(G393,'[1]BP Setup'!$B$6:$B$72,'[1]BP Setup'!$R$6:$R$72)</f>
        <v/>
      </c>
      <c r="W393" s="207">
        <f>$W$3</f>
        <v/>
      </c>
      <c r="X393" s="207" t="n">
        <v>80</v>
      </c>
      <c r="Y393" s="215">
        <f>T393*R393</f>
        <v/>
      </c>
      <c r="Z393" s="215">
        <f>U393*O393</f>
        <v/>
      </c>
      <c r="AA393" s="215">
        <f>V393*O393</f>
        <v/>
      </c>
      <c r="AB393" s="215">
        <f>W393*O393</f>
        <v/>
      </c>
      <c r="AC393" s="197">
        <f>X393*O393</f>
        <v/>
      </c>
      <c r="AD393" s="215" t="n">
        <v>20000</v>
      </c>
      <c r="AE393" s="215" t="n">
        <v>0</v>
      </c>
      <c r="AF393" s="207">
        <f>SUM(Y393:AE393)</f>
        <v/>
      </c>
      <c r="AG393" s="254">
        <f>_xlfn.XLOOKUP(G393,[1]Fx!$A$16:$A$22,[1]Fx!$B$16:$B$22)</f>
        <v/>
      </c>
      <c r="AH393" s="207">
        <f>AG393*R393</f>
        <v/>
      </c>
      <c r="AI393" s="207">
        <f>$AI$3*Z393</f>
        <v/>
      </c>
      <c r="AJ393" s="207">
        <f>$AJ$3*AA393</f>
        <v/>
      </c>
      <c r="AK393" s="207">
        <f>$AK$3*AB393</f>
        <v/>
      </c>
      <c r="AL393" s="207">
        <f>$AL$3*AC393</f>
        <v/>
      </c>
      <c r="AM393" s="220">
        <f>SUM(AH393:AL393)</f>
        <v/>
      </c>
      <c r="AN393" s="220" t="n">
        <v>0</v>
      </c>
      <c r="AO393" s="220">
        <f>AN393*AH393</f>
        <v/>
      </c>
      <c r="AP393" s="220" t="n">
        <v>0</v>
      </c>
      <c r="AQ393" s="220">
        <f>AE393</f>
        <v/>
      </c>
      <c r="AR393" s="208">
        <f>AM393-AO393</f>
        <v/>
      </c>
      <c r="AS393" s="220">
        <f>AR393-AK393</f>
        <v/>
      </c>
      <c r="AT393" s="208">
        <f>AS393*1.075</f>
        <v/>
      </c>
      <c r="AU393" s="208">
        <f>AT393+AK393</f>
        <v/>
      </c>
      <c r="AV393" s="198" t="n">
        <v>263204.3991481314</v>
      </c>
      <c r="AW393" s="264">
        <f>BO393*2</f>
        <v/>
      </c>
      <c r="AX393" s="220">
        <f>AV393-AU393</f>
        <v/>
      </c>
      <c r="AY393" s="35">
        <f>AX393/AR393</f>
        <v/>
      </c>
      <c r="AZ393" s="220">
        <f>AV393-AF393</f>
        <v/>
      </c>
      <c r="BA393" s="215">
        <f>AV393-SUM(Z393:AC393)</f>
        <v/>
      </c>
      <c r="BB393" s="215">
        <f>BA393-Y393</f>
        <v/>
      </c>
      <c r="BC393" s="35">
        <f>BB393/BA393</f>
        <v/>
      </c>
      <c r="BD393" s="35">
        <f>IFERROR(AZ393/AV393,)</f>
        <v/>
      </c>
      <c r="BE393" s="255">
        <f>AV393-SUM(Z393:AC393)</f>
        <v/>
      </c>
      <c r="BF393" s="255">
        <f>AV393-BE393-AC393-AB393</f>
        <v/>
      </c>
      <c r="BG393" s="255">
        <f>AV393-BE393-BF393-AB393</f>
        <v/>
      </c>
      <c r="BH393" s="255">
        <f>AB393</f>
        <v/>
      </c>
      <c r="BI393" s="263" t="inlineStr">
        <is>
          <t xml:space="preserve">To Check </t>
        </is>
      </c>
    </row>
    <row r="394">
      <c r="C394" s="23" t="inlineStr">
        <is>
          <t>ASINI/Yekeni</t>
        </is>
      </c>
      <c r="D394">
        <f>CONCATENATE(G394,"-",H394,"-",F394)</f>
        <v/>
      </c>
      <c r="E394" s="24" t="inlineStr">
        <is>
          <t>JMG-10T-Hiabs Logistics-Local</t>
        </is>
      </c>
      <c r="F394" s="23" t="inlineStr">
        <is>
          <t>Local</t>
        </is>
      </c>
      <c r="G394" s="25" t="inlineStr">
        <is>
          <t>Hiabs Logistics</t>
        </is>
      </c>
      <c r="H394" s="24" t="inlineStr">
        <is>
          <t>10T</t>
        </is>
      </c>
      <c r="I394" s="73" t="inlineStr">
        <is>
          <t>JMG</t>
        </is>
      </c>
      <c r="J394" s="74" t="inlineStr">
        <is>
          <t>Port Harcourt</t>
        </is>
      </c>
      <c r="K394" s="115" t="inlineStr">
        <is>
          <t>Trans-Amadi</t>
        </is>
      </c>
      <c r="L394" s="67" t="inlineStr">
        <is>
          <t>Rivers</t>
        </is>
      </c>
      <c r="M394" s="68" t="n"/>
      <c r="N394" s="199">
        <f>O394/2</f>
        <v/>
      </c>
      <c r="O394" s="200" t="n">
        <v>5.5</v>
      </c>
      <c r="P394" s="220">
        <f>ROUNDUP(O394/300,)</f>
        <v/>
      </c>
      <c r="Q394" s="220">
        <f>ROUNDUP(P394/400,)</f>
        <v/>
      </c>
      <c r="R394" s="220">
        <f>Q394+P394</f>
        <v/>
      </c>
      <c r="S394" s="198">
        <f>ROUNDDOWN(O394*0.51,)+60</f>
        <v/>
      </c>
      <c r="T394" s="207">
        <f>_xlfn.XLOOKUP(G394,[1]Fx!$A$4:$A$10,[1]Fx!$B$4:$B$10)</f>
        <v/>
      </c>
      <c r="U394" s="207">
        <f>_xlfn.XLOOKUP(G394,'[1]BP Setup'!$B$6:$B$72,'[1]BP Setup'!$Q$6:$Q$72)</f>
        <v/>
      </c>
      <c r="V394" s="207">
        <f>_xlfn.XLOOKUP(G394,'[1]BP Setup'!$B$6:$B$72,'[1]BP Setup'!$R$6:$R$72)</f>
        <v/>
      </c>
      <c r="W394" s="207">
        <f>$W$3</f>
        <v/>
      </c>
      <c r="X394" s="207" t="n">
        <v>80</v>
      </c>
      <c r="Y394" s="215">
        <f>T394*R394</f>
        <v/>
      </c>
      <c r="Z394" s="215">
        <f>U394*O394</f>
        <v/>
      </c>
      <c r="AA394" s="215">
        <f>V394*O394</f>
        <v/>
      </c>
      <c r="AB394" s="215">
        <f>W394*O394</f>
        <v/>
      </c>
      <c r="AC394" s="197">
        <f>X394*O394</f>
        <v/>
      </c>
      <c r="AD394" s="215" t="n">
        <v>20000</v>
      </c>
      <c r="AE394" s="215" t="n">
        <v>0</v>
      </c>
      <c r="AF394" s="207">
        <f>SUM(Y394:AE394)</f>
        <v/>
      </c>
      <c r="AG394" s="254">
        <f>_xlfn.XLOOKUP(G394,[1]Fx!$A$16:$A$22,[1]Fx!$B$16:$B$22)</f>
        <v/>
      </c>
      <c r="AH394" s="207">
        <f>AG394*R394</f>
        <v/>
      </c>
      <c r="AI394" s="207">
        <f>$AI$3*Z394</f>
        <v/>
      </c>
      <c r="AJ394" s="207">
        <f>$AJ$3*AA394</f>
        <v/>
      </c>
      <c r="AK394" s="207">
        <f>$AK$3*AB394</f>
        <v/>
      </c>
      <c r="AL394" s="207">
        <f>$AL$3*AC394</f>
        <v/>
      </c>
      <c r="AM394" s="220">
        <f>SUM(AH394:AL394)</f>
        <v/>
      </c>
      <c r="AN394" s="220" t="n">
        <v>0</v>
      </c>
      <c r="AO394" s="220">
        <f>AN394*AH394</f>
        <v/>
      </c>
      <c r="AP394" s="220" t="n">
        <v>0</v>
      </c>
      <c r="AQ394" s="220">
        <f>AE394</f>
        <v/>
      </c>
      <c r="AR394" s="208">
        <f>AM394-AO394</f>
        <v/>
      </c>
      <c r="AS394" s="220">
        <f>AR394-AK394</f>
        <v/>
      </c>
      <c r="AT394" s="208">
        <f>AS394*1.075</f>
        <v/>
      </c>
      <c r="AU394" s="208">
        <f>AT394+AK394</f>
        <v/>
      </c>
      <c r="AV394" s="198" t="n">
        <v>263204.3991481314</v>
      </c>
      <c r="AW394" s="264">
        <f>BO394*2</f>
        <v/>
      </c>
      <c r="AX394" s="220">
        <f>AV394-AU394</f>
        <v/>
      </c>
      <c r="AY394" s="35">
        <f>AX394/AR394</f>
        <v/>
      </c>
      <c r="AZ394" s="220">
        <f>AV394-AF394</f>
        <v/>
      </c>
      <c r="BA394" s="215">
        <f>AV394-SUM(Z394:AC394)</f>
        <v/>
      </c>
      <c r="BB394" s="215">
        <f>BA394-Y394</f>
        <v/>
      </c>
      <c r="BC394" s="35">
        <f>BB394/BA394</f>
        <v/>
      </c>
      <c r="BD394" s="35">
        <f>IFERROR(AZ394/AV394,)</f>
        <v/>
      </c>
      <c r="BE394" s="255">
        <f>AV394-SUM(Z394:AC394)</f>
        <v/>
      </c>
      <c r="BF394" s="255">
        <f>AV394-BE394-AC394-AB394</f>
        <v/>
      </c>
      <c r="BG394" s="255">
        <f>AV394-BE394-BF394-AB394</f>
        <v/>
      </c>
      <c r="BH394" s="255">
        <f>AB394</f>
        <v/>
      </c>
      <c r="BI394" s="263" t="inlineStr">
        <is>
          <t>Approved</t>
        </is>
      </c>
    </row>
    <row r="395">
      <c r="C395" s="23" t="inlineStr">
        <is>
          <t>HARUNA/YEKINI</t>
        </is>
      </c>
      <c r="D395">
        <f>CONCATENATE(G395,"-",H395,"-",F395)</f>
        <v/>
      </c>
      <c r="E395" s="24" t="inlineStr">
        <is>
          <t>JMG-10T-Hiabs Logistics-Upcountry</t>
        </is>
      </c>
      <c r="F395" s="23" t="inlineStr">
        <is>
          <t>Upcountry</t>
        </is>
      </c>
      <c r="G395" s="24" t="inlineStr">
        <is>
          <t>Hiabs Logistics</t>
        </is>
      </c>
      <c r="H395" s="24" t="inlineStr">
        <is>
          <t>10T</t>
        </is>
      </c>
      <c r="I395" s="73" t="inlineStr">
        <is>
          <t>JMG</t>
        </is>
      </c>
      <c r="J395" s="74" t="inlineStr">
        <is>
          <t>Abuja</t>
        </is>
      </c>
      <c r="K395" s="74" t="inlineStr">
        <is>
          <t>Mubi</t>
        </is>
      </c>
      <c r="L395" s="67" t="inlineStr">
        <is>
          <t>Adamawa</t>
        </is>
      </c>
      <c r="M395" s="68" t="n"/>
      <c r="N395" s="201">
        <f>O395/2</f>
        <v/>
      </c>
      <c r="O395" s="200" t="n">
        <v>1931</v>
      </c>
      <c r="P395" s="220">
        <f>ROUNDUP(O395/300,)</f>
        <v/>
      </c>
      <c r="Q395" s="220">
        <f>ROUNDUP(P395/400,)</f>
        <v/>
      </c>
      <c r="R395" s="220">
        <f>Q395+P395</f>
        <v/>
      </c>
      <c r="S395" s="198">
        <f>ROUNDDOWN(O395*0.51,)+60</f>
        <v/>
      </c>
      <c r="T395" s="207">
        <f>_xlfn.XLOOKUP(G395,[1]Fx!$A$4:$A$10,[1]Fx!$B$4:$B$10)</f>
        <v/>
      </c>
      <c r="U395" s="207">
        <f>_xlfn.XLOOKUP(G395,'[1]BP Setup'!$B$6:$B$72,'[1]BP Setup'!$Q$6:$Q$72)</f>
        <v/>
      </c>
      <c r="V395" s="207">
        <f>_xlfn.XLOOKUP(G395,'[1]BP Setup'!$B$6:$B$72,'[1]BP Setup'!$R$6:$R$72)</f>
        <v/>
      </c>
      <c r="W395" s="207">
        <f>$W$3</f>
        <v/>
      </c>
      <c r="X395" s="207" t="n">
        <v>80</v>
      </c>
      <c r="Y395" s="215">
        <f>T395*R395</f>
        <v/>
      </c>
      <c r="Z395" s="215">
        <f>U395*O395</f>
        <v/>
      </c>
      <c r="AA395" s="215">
        <f>V395*O395</f>
        <v/>
      </c>
      <c r="AB395" s="215">
        <f>W395*O395</f>
        <v/>
      </c>
      <c r="AC395" s="197">
        <f>X395*O395</f>
        <v/>
      </c>
      <c r="AD395" s="215" t="n">
        <v>20000</v>
      </c>
      <c r="AE395" s="215" t="n">
        <v>0</v>
      </c>
      <c r="AF395" s="207">
        <f>SUM(Y395:AE395)</f>
        <v/>
      </c>
      <c r="AG395" s="254">
        <f>_xlfn.XLOOKUP(G395,[1]Fx!$A$16:$A$22,[1]Fx!$B$16:$B$22)</f>
        <v/>
      </c>
      <c r="AH395" s="207">
        <f>AG395*R395</f>
        <v/>
      </c>
      <c r="AI395" s="207">
        <f>$AI$3*Z395</f>
        <v/>
      </c>
      <c r="AJ395" s="207">
        <f>$AJ$3*AA395</f>
        <v/>
      </c>
      <c r="AK395" s="207">
        <f>$AK$3*AB395</f>
        <v/>
      </c>
      <c r="AL395" s="207">
        <f>$AL$3*AC395</f>
        <v/>
      </c>
      <c r="AM395" s="220">
        <f>SUM(AH395:AL395)</f>
        <v/>
      </c>
      <c r="AN395" s="220" t="n">
        <v>0</v>
      </c>
      <c r="AO395" s="220">
        <f>AN395*AH395</f>
        <v/>
      </c>
      <c r="AP395" s="220" t="n">
        <v>0</v>
      </c>
      <c r="AQ395" s="220">
        <f>AE395</f>
        <v/>
      </c>
      <c r="AR395" s="208">
        <f>AM395-AO395</f>
        <v/>
      </c>
      <c r="AS395" s="220">
        <f>AR395-AK395</f>
        <v/>
      </c>
      <c r="AT395" s="208">
        <f>AS395*1.075</f>
        <v/>
      </c>
      <c r="AU395" s="208">
        <f>AT395+AK395</f>
        <v/>
      </c>
      <c r="AV395" s="198" t="n">
        <v>1052817.596592525</v>
      </c>
      <c r="AW395" s="264">
        <f>BO395*2</f>
        <v/>
      </c>
      <c r="AX395" s="220">
        <f>AV395-AU395</f>
        <v/>
      </c>
      <c r="AY395" s="35">
        <f>AX395/AR395</f>
        <v/>
      </c>
      <c r="AZ395" s="220">
        <f>AV395-AF395</f>
        <v/>
      </c>
      <c r="BA395" s="215">
        <f>AV395-SUM(Z395:AC395)</f>
        <v/>
      </c>
      <c r="BB395" s="215">
        <f>BA395-Y395</f>
        <v/>
      </c>
      <c r="BC395" s="35">
        <f>BB395/BA395</f>
        <v/>
      </c>
      <c r="BD395" s="35">
        <f>IFERROR(AZ395/AV395,)</f>
        <v/>
      </c>
      <c r="BE395" s="255">
        <f>AV395-SUM(Z395:AC395)</f>
        <v/>
      </c>
      <c r="BF395" s="255">
        <f>AV395-BE395-AC395-AB395</f>
        <v/>
      </c>
      <c r="BG395" s="255">
        <f>AV395-BE395-BF395-AB395</f>
        <v/>
      </c>
      <c r="BH395" s="255">
        <f>AB395</f>
        <v/>
      </c>
      <c r="BI395" s="263" t="inlineStr">
        <is>
          <t>Worst Case Approved</t>
        </is>
      </c>
    </row>
    <row r="396">
      <c r="C396" s="23" t="inlineStr">
        <is>
          <t>HARUNA/YEKINI</t>
        </is>
      </c>
      <c r="D396">
        <f>CONCATENATE(G396,"-",H396,"-",F396)</f>
        <v/>
      </c>
      <c r="E396" s="24" t="inlineStr">
        <is>
          <t>JMG-10T-Hiabs Logistics-Upcountry</t>
        </is>
      </c>
      <c r="F396" s="23" t="inlineStr">
        <is>
          <t>Upcountry</t>
        </is>
      </c>
      <c r="G396" s="25" t="inlineStr">
        <is>
          <t>Hiabs Logistics</t>
        </is>
      </c>
      <c r="H396" s="24" t="inlineStr">
        <is>
          <t>10T</t>
        </is>
      </c>
      <c r="I396" s="73" t="inlineStr">
        <is>
          <t>JMG</t>
        </is>
      </c>
      <c r="J396" s="74" t="inlineStr">
        <is>
          <t>Abuja</t>
        </is>
      </c>
      <c r="K396" s="74" t="inlineStr">
        <is>
          <t>Maiduguri</t>
        </is>
      </c>
      <c r="L396" s="77" t="inlineStr">
        <is>
          <t>Borno</t>
        </is>
      </c>
      <c r="M396" s="66" t="n"/>
      <c r="N396" s="201">
        <f>O396/2</f>
        <v/>
      </c>
      <c r="O396" s="201" t="n">
        <v>1690</v>
      </c>
      <c r="P396" s="227">
        <f>ROUNDUP(O396/300,)</f>
        <v/>
      </c>
      <c r="Q396" s="227">
        <f>ROUNDUP(P396/400,)</f>
        <v/>
      </c>
      <c r="R396" s="227">
        <f>Q396+P396</f>
        <v/>
      </c>
      <c r="S396" s="198">
        <f>ROUNDDOWN(O396*0.51,)+60</f>
        <v/>
      </c>
      <c r="T396" s="207">
        <f>_xlfn.XLOOKUP(G396,[1]Fx!$A$4:$A$10,[1]Fx!$B$4:$B$10)</f>
        <v/>
      </c>
      <c r="U396" s="207">
        <f>_xlfn.XLOOKUP(G396,'[1]BP Setup'!$B$6:$B$72,'[1]BP Setup'!$Q$6:$Q$72)</f>
        <v/>
      </c>
      <c r="V396" s="207">
        <f>_xlfn.XLOOKUP(G396,'[1]BP Setup'!$B$6:$B$72,'[1]BP Setup'!$R$6:$R$72)</f>
        <v/>
      </c>
      <c r="W396" s="207">
        <f>$W$3</f>
        <v/>
      </c>
      <c r="X396" s="207" t="n">
        <v>80</v>
      </c>
      <c r="Y396" s="236">
        <f>T396*R396</f>
        <v/>
      </c>
      <c r="Z396" s="236">
        <f>U396*O396</f>
        <v/>
      </c>
      <c r="AA396" s="236">
        <f>V396*O396</f>
        <v/>
      </c>
      <c r="AB396" s="236">
        <f>W396*O396</f>
        <v/>
      </c>
      <c r="AC396" s="197">
        <f>X396*O396</f>
        <v/>
      </c>
      <c r="AD396" s="236" t="n">
        <v>20000</v>
      </c>
      <c r="AE396" s="236" t="n">
        <v>0</v>
      </c>
      <c r="AF396" s="207">
        <f>SUM(Y396:AE396)</f>
        <v/>
      </c>
      <c r="AG396" s="254">
        <f>_xlfn.XLOOKUP(G396,[1]Fx!$A$16:$A$22,[1]Fx!$B$16:$B$22)</f>
        <v/>
      </c>
      <c r="AH396" s="207">
        <f>AG396*R396</f>
        <v/>
      </c>
      <c r="AI396" s="207">
        <f>$AI$3*Z396</f>
        <v/>
      </c>
      <c r="AJ396" s="207">
        <f>$AJ$3*AA396</f>
        <v/>
      </c>
      <c r="AK396" s="207">
        <f>$AK$3*AB396</f>
        <v/>
      </c>
      <c r="AL396" s="207">
        <f>$AL$3*AC396</f>
        <v/>
      </c>
      <c r="AM396" s="227">
        <f>SUM(AH396:AL396)</f>
        <v/>
      </c>
      <c r="AN396" s="227" t="n">
        <v>0</v>
      </c>
      <c r="AO396" s="220">
        <f>AN396*AH396</f>
        <v/>
      </c>
      <c r="AP396" s="227" t="n">
        <v>0</v>
      </c>
      <c r="AQ396" s="227">
        <f>AE396</f>
        <v/>
      </c>
      <c r="AR396" s="208">
        <f>AM396-AO396</f>
        <v/>
      </c>
      <c r="AS396" s="220">
        <f>AR396-AK396</f>
        <v/>
      </c>
      <c r="AT396" s="208">
        <f>AS396*1.075</f>
        <v/>
      </c>
      <c r="AU396" s="208">
        <f>AT396+AK396</f>
        <v/>
      </c>
      <c r="AV396" s="198" t="n">
        <v>921215.3970184599</v>
      </c>
      <c r="AW396" s="264">
        <f>BO396*2</f>
        <v/>
      </c>
      <c r="AX396" s="220">
        <f>AV396-AU396</f>
        <v/>
      </c>
      <c r="AY396" s="35">
        <f>AX396/AR396</f>
        <v/>
      </c>
      <c r="AZ396" s="220">
        <f>AV396-AF396</f>
        <v/>
      </c>
      <c r="BA396" s="215">
        <f>AV396-SUM(Z396:AC396)</f>
        <v/>
      </c>
      <c r="BB396" s="215">
        <f>BA396-Y396</f>
        <v/>
      </c>
      <c r="BC396" s="35">
        <f>BB396/BA396</f>
        <v/>
      </c>
      <c r="BD396" s="35">
        <f>IFERROR(AZ396/AV396,)</f>
        <v/>
      </c>
      <c r="BE396" s="255">
        <f>AV396-SUM(Z396:AC396)</f>
        <v/>
      </c>
      <c r="BF396" s="255">
        <f>AV396-BE396-AC396-AB396</f>
        <v/>
      </c>
      <c r="BG396" s="255">
        <f>AV396-BE396-BF396-AB396</f>
        <v/>
      </c>
      <c r="BH396" s="255">
        <f>AB396</f>
        <v/>
      </c>
      <c r="BI396" s="263" t="inlineStr">
        <is>
          <t>Approved</t>
        </is>
      </c>
    </row>
    <row r="397">
      <c r="C397" s="23" t="inlineStr">
        <is>
          <t>HARUNA/YEKINI</t>
        </is>
      </c>
      <c r="D397">
        <f>CONCATENATE(G397,"-",H397,"-",F397)</f>
        <v/>
      </c>
      <c r="E397" s="24" t="inlineStr">
        <is>
          <t>JMG-10T-Hiabs Logistics-Upcountry</t>
        </is>
      </c>
      <c r="F397" s="23" t="inlineStr">
        <is>
          <t>Upcountry</t>
        </is>
      </c>
      <c r="G397" s="25" t="inlineStr">
        <is>
          <t>Hiabs Logistics</t>
        </is>
      </c>
      <c r="H397" s="24" t="inlineStr">
        <is>
          <t>10T</t>
        </is>
      </c>
      <c r="I397" s="73" t="inlineStr">
        <is>
          <t>JMG</t>
        </is>
      </c>
      <c r="J397" s="74" t="inlineStr">
        <is>
          <t>Abuja</t>
        </is>
      </c>
      <c r="K397" s="74" t="inlineStr">
        <is>
          <t>Yola</t>
        </is>
      </c>
      <c r="L397" s="67" t="inlineStr">
        <is>
          <t>Adamawa</t>
        </is>
      </c>
      <c r="M397" s="68" t="n"/>
      <c r="N397" s="201">
        <f>O397/2</f>
        <v/>
      </c>
      <c r="O397" s="201" t="n">
        <v>1593</v>
      </c>
      <c r="P397" s="220">
        <f>ROUNDUP(O397/300,)</f>
        <v/>
      </c>
      <c r="Q397" s="220" t="n">
        <v>1</v>
      </c>
      <c r="R397" s="220">
        <f>Q397+P397</f>
        <v/>
      </c>
      <c r="S397" s="198">
        <f>ROUNDDOWN(O397*0.51,)+60</f>
        <v/>
      </c>
      <c r="T397" s="207">
        <f>_xlfn.XLOOKUP(G397,[1]Fx!$A$4:$A$10,[1]Fx!$B$4:$B$10)</f>
        <v/>
      </c>
      <c r="U397" s="207">
        <f>_xlfn.XLOOKUP(G397,'[1]BP Setup'!$B$6:$B$72,'[1]BP Setup'!$Q$6:$Q$72)</f>
        <v/>
      </c>
      <c r="V397" s="207">
        <f>_xlfn.XLOOKUP(G397,'[1]BP Setup'!$B$6:$B$72,'[1]BP Setup'!$R$6:$R$72)</f>
        <v/>
      </c>
      <c r="W397" s="207">
        <f>$W$3</f>
        <v/>
      </c>
      <c r="X397" s="207" t="n">
        <v>80</v>
      </c>
      <c r="Y397" s="215">
        <f>T397*R397</f>
        <v/>
      </c>
      <c r="Z397" s="215">
        <f>U397*O397</f>
        <v/>
      </c>
      <c r="AA397" s="215">
        <f>V397*O397</f>
        <v/>
      </c>
      <c r="AB397" s="215">
        <f>W397*O397</f>
        <v/>
      </c>
      <c r="AC397" s="197">
        <f>X397*O397</f>
        <v/>
      </c>
      <c r="AD397" s="215" t="n">
        <v>20000</v>
      </c>
      <c r="AE397" s="215" t="n">
        <v>0</v>
      </c>
      <c r="AF397" s="207">
        <f>SUM(Y397:AE397)</f>
        <v/>
      </c>
      <c r="AG397" s="254">
        <f>_xlfn.XLOOKUP(G397,[1]Fx!$A$16:$A$22,[1]Fx!$B$16:$B$22)</f>
        <v/>
      </c>
      <c r="AH397" s="207">
        <f>AG397*R397</f>
        <v/>
      </c>
      <c r="AI397" s="207">
        <f>$AI$3*Z397</f>
        <v/>
      </c>
      <c r="AJ397" s="207">
        <f>$AJ$3*AA397</f>
        <v/>
      </c>
      <c r="AK397" s="207">
        <f>$AK$3*AB397</f>
        <v/>
      </c>
      <c r="AL397" s="207">
        <f>$AL$3*AC397</f>
        <v/>
      </c>
      <c r="AM397" s="220">
        <f>SUM(AH397:AL397)</f>
        <v/>
      </c>
      <c r="AN397" s="220" t="n">
        <v>0</v>
      </c>
      <c r="AO397" s="220">
        <f>AN397*AH397</f>
        <v/>
      </c>
      <c r="AP397" s="220" t="n">
        <v>0</v>
      </c>
      <c r="AQ397" s="220">
        <f>AE397</f>
        <v/>
      </c>
      <c r="AR397" s="208">
        <f>AM397-AO397</f>
        <v/>
      </c>
      <c r="AS397" s="220">
        <f>AR397-AK397</f>
        <v/>
      </c>
      <c r="AT397" s="208">
        <f>AS397*1.075</f>
        <v/>
      </c>
      <c r="AU397" s="208">
        <f>AT397+AK397</f>
        <v/>
      </c>
      <c r="AV397" s="198" t="n">
        <v>921215.3970184599</v>
      </c>
      <c r="AW397" s="264">
        <f>BO397*2</f>
        <v/>
      </c>
      <c r="AX397" s="220">
        <f>AV397-AU397</f>
        <v/>
      </c>
      <c r="AY397" s="35">
        <f>AX397/AR397</f>
        <v/>
      </c>
      <c r="AZ397" s="220">
        <f>AV397-AF397</f>
        <v/>
      </c>
      <c r="BA397" s="215">
        <f>AV397-SUM(Z397:AC397)</f>
        <v/>
      </c>
      <c r="BB397" s="215">
        <f>BA397-Y397</f>
        <v/>
      </c>
      <c r="BC397" s="35">
        <f>BB397/BA397</f>
        <v/>
      </c>
      <c r="BD397" s="35">
        <f>IFERROR(AZ397/AV397,)</f>
        <v/>
      </c>
      <c r="BE397" s="255">
        <f>AV397-SUM(Z397:AC397)</f>
        <v/>
      </c>
      <c r="BF397" s="255">
        <f>AV397-BE397-AC397-AB397</f>
        <v/>
      </c>
      <c r="BG397" s="255">
        <f>AV397-BE397-BF397-AB397</f>
        <v/>
      </c>
      <c r="BH397" s="255">
        <f>AB397</f>
        <v/>
      </c>
      <c r="BI397" s="263" t="inlineStr">
        <is>
          <t xml:space="preserve">To Check </t>
        </is>
      </c>
    </row>
    <row r="398">
      <c r="C398" s="23" t="inlineStr">
        <is>
          <t>HARUNA/YEKINI</t>
        </is>
      </c>
      <c r="D398">
        <f>CONCATENATE(G398,"-",H398,"-",F398)</f>
        <v/>
      </c>
      <c r="E398" s="24" t="inlineStr">
        <is>
          <t>JMG-10T-Hiabs Logistics-Upcountry</t>
        </is>
      </c>
      <c r="F398" s="23" t="inlineStr">
        <is>
          <t>Upcountry</t>
        </is>
      </c>
      <c r="G398" s="25" t="inlineStr">
        <is>
          <t>Hiabs Logistics</t>
        </is>
      </c>
      <c r="H398" s="24" t="inlineStr">
        <is>
          <t>10T</t>
        </is>
      </c>
      <c r="I398" s="73" t="inlineStr">
        <is>
          <t>JMG</t>
        </is>
      </c>
      <c r="J398" s="74" t="inlineStr">
        <is>
          <t>Abuja</t>
        </is>
      </c>
      <c r="K398" s="74" t="inlineStr">
        <is>
          <t>Yobe</t>
        </is>
      </c>
      <c r="L398" s="67" t="inlineStr">
        <is>
          <t>Yobe</t>
        </is>
      </c>
      <c r="M398" s="68" t="n"/>
      <c r="N398" s="201">
        <f>O398/2</f>
        <v/>
      </c>
      <c r="O398" s="201" t="n">
        <v>1421</v>
      </c>
      <c r="P398" s="220">
        <f>ROUNDUP(O398/300,)</f>
        <v/>
      </c>
      <c r="Q398" s="220" t="n">
        <v>0.2</v>
      </c>
      <c r="R398" s="220">
        <f>Q398+P398</f>
        <v/>
      </c>
      <c r="S398" s="198">
        <f>ROUNDDOWN(O398*0.51,)+60</f>
        <v/>
      </c>
      <c r="T398" s="207">
        <f>_xlfn.XLOOKUP(G398,[1]Fx!$A$4:$A$10,[1]Fx!$B$4:$B$10)</f>
        <v/>
      </c>
      <c r="U398" s="207">
        <f>_xlfn.XLOOKUP(G398,'[1]BP Setup'!$B$6:$B$72,'[1]BP Setup'!$Q$6:$Q$72)</f>
        <v/>
      </c>
      <c r="V398" s="207">
        <f>_xlfn.XLOOKUP(G398,'[1]BP Setup'!$B$6:$B$72,'[1]BP Setup'!$R$6:$R$72)</f>
        <v/>
      </c>
      <c r="W398" s="207">
        <f>$W$3</f>
        <v/>
      </c>
      <c r="X398" s="207" t="n">
        <v>80</v>
      </c>
      <c r="Y398" s="215">
        <f>T398*R398</f>
        <v/>
      </c>
      <c r="Z398" s="215">
        <f>U398*O398</f>
        <v/>
      </c>
      <c r="AA398" s="215">
        <f>V398*O398</f>
        <v/>
      </c>
      <c r="AB398" s="215">
        <f>W398*O398</f>
        <v/>
      </c>
      <c r="AC398" s="197">
        <f>X398*O398</f>
        <v/>
      </c>
      <c r="AD398" s="215" t="n">
        <v>20000</v>
      </c>
      <c r="AE398" s="215" t="n">
        <v>0</v>
      </c>
      <c r="AF398" s="207">
        <f>SUM(Y398:AE398)</f>
        <v/>
      </c>
      <c r="AG398" s="254">
        <f>_xlfn.XLOOKUP(G398,[1]Fx!$A$16:$A$22,[1]Fx!$B$16:$B$22)</f>
        <v/>
      </c>
      <c r="AH398" s="207">
        <f>AG398*R398</f>
        <v/>
      </c>
      <c r="AI398" s="207">
        <f>$AI$3*Z398</f>
        <v/>
      </c>
      <c r="AJ398" s="207">
        <f>$AJ$3*AA398</f>
        <v/>
      </c>
      <c r="AK398" s="207">
        <f>$AK$3*AB398</f>
        <v/>
      </c>
      <c r="AL398" s="207">
        <f>$AL$3*AC398</f>
        <v/>
      </c>
      <c r="AM398" s="220">
        <f>SUM(AH398:AL398)</f>
        <v/>
      </c>
      <c r="AN398" s="220" t="n">
        <v>0</v>
      </c>
      <c r="AO398" s="220">
        <f>AN398*AH398</f>
        <v/>
      </c>
      <c r="AP398" s="220" t="n">
        <v>0</v>
      </c>
      <c r="AQ398" s="220">
        <f>AE398</f>
        <v/>
      </c>
      <c r="AR398" s="208">
        <f>AM398-AO398</f>
        <v/>
      </c>
      <c r="AS398" s="220">
        <f>AR398-AK398</f>
        <v/>
      </c>
      <c r="AT398" s="208">
        <f>AS398*1.075</f>
        <v/>
      </c>
      <c r="AU398" s="208">
        <f>AT398+AK398</f>
        <v/>
      </c>
      <c r="AV398" s="198" t="n">
        <v>684331.4377851416</v>
      </c>
      <c r="AW398" s="264">
        <f>BO398*2</f>
        <v/>
      </c>
      <c r="AX398" s="220">
        <f>AV398-AU398</f>
        <v/>
      </c>
      <c r="AY398" s="35">
        <f>AX398/AR398</f>
        <v/>
      </c>
      <c r="AZ398" s="220">
        <f>AV398-AF398</f>
        <v/>
      </c>
      <c r="BA398" s="215">
        <f>AV398-SUM(Z398:AC398)</f>
        <v/>
      </c>
      <c r="BB398" s="215">
        <f>BA398-Y398</f>
        <v/>
      </c>
      <c r="BC398" s="35">
        <f>BB398/BA398</f>
        <v/>
      </c>
      <c r="BD398" s="35">
        <f>IFERROR(AZ398/AV398,)</f>
        <v/>
      </c>
      <c r="BE398" s="255">
        <f>AV398-SUM(Z398:AC398)</f>
        <v/>
      </c>
      <c r="BF398" s="255">
        <f>AV398-BE398-AC398-AB398</f>
        <v/>
      </c>
      <c r="BG398" s="255">
        <f>AV398-BE398-BF398-AB398</f>
        <v/>
      </c>
      <c r="BH398" s="255">
        <f>AB398</f>
        <v/>
      </c>
      <c r="BI398" s="263" t="inlineStr">
        <is>
          <t>Approved</t>
        </is>
      </c>
    </row>
    <row r="399">
      <c r="C399" s="23" t="inlineStr">
        <is>
          <t>HARUNA/YEKINI</t>
        </is>
      </c>
      <c r="D399">
        <f>CONCATENATE(G399,"-",H399,"-",F399)</f>
        <v/>
      </c>
      <c r="E399" s="24" t="inlineStr">
        <is>
          <t>JMG-10T-Hiabs Logistics-Upcountry</t>
        </is>
      </c>
      <c r="F399" s="23" t="inlineStr">
        <is>
          <t>Upcountry</t>
        </is>
      </c>
      <c r="G399" s="25" t="inlineStr">
        <is>
          <t>Hiabs Logistics</t>
        </is>
      </c>
      <c r="H399" s="24" t="inlineStr">
        <is>
          <t>10T</t>
        </is>
      </c>
      <c r="I399" s="73" t="inlineStr">
        <is>
          <t>JMG</t>
        </is>
      </c>
      <c r="J399" s="74" t="inlineStr">
        <is>
          <t>Abuja</t>
        </is>
      </c>
      <c r="K399" s="74" t="inlineStr">
        <is>
          <t>Lagos</t>
        </is>
      </c>
      <c r="L399" s="67" t="inlineStr">
        <is>
          <t>Lagos</t>
        </is>
      </c>
      <c r="M399" s="68" t="n"/>
      <c r="N399" s="201">
        <f>O399/2</f>
        <v/>
      </c>
      <c r="O399" s="201" t="n">
        <v>1391</v>
      </c>
      <c r="P399" s="220">
        <f>ROUNDUP(O399/300,)</f>
        <v/>
      </c>
      <c r="Q399" s="220" t="n">
        <v>0.2</v>
      </c>
      <c r="R399" s="220">
        <f>Q399+P399</f>
        <v/>
      </c>
      <c r="S399" s="198">
        <f>ROUNDDOWN(O399*0.51,)+60</f>
        <v/>
      </c>
      <c r="T399" s="207">
        <f>_xlfn.XLOOKUP(G399,[1]Fx!$A$4:$A$10,[1]Fx!$B$4:$B$10)</f>
        <v/>
      </c>
      <c r="U399" s="207">
        <f>_xlfn.XLOOKUP(G399,'[1]BP Setup'!$B$6:$B$72,'[1]BP Setup'!$Q$6:$Q$72)</f>
        <v/>
      </c>
      <c r="V399" s="207">
        <f>_xlfn.XLOOKUP(G399,'[1]BP Setup'!$B$6:$B$72,'[1]BP Setup'!$R$6:$R$72)</f>
        <v/>
      </c>
      <c r="W399" s="207">
        <f>$W$3</f>
        <v/>
      </c>
      <c r="X399" s="207" t="n">
        <v>80</v>
      </c>
      <c r="Y399" s="215">
        <f>T399*R399</f>
        <v/>
      </c>
      <c r="Z399" s="215">
        <f>U399*O399</f>
        <v/>
      </c>
      <c r="AA399" s="215">
        <f>V399*O399</f>
        <v/>
      </c>
      <c r="AB399" s="215">
        <f>W399*O399</f>
        <v/>
      </c>
      <c r="AC399" s="197">
        <f>X399*O399</f>
        <v/>
      </c>
      <c r="AD399" s="215" t="n">
        <v>20000</v>
      </c>
      <c r="AE399" s="215" t="n">
        <v>0</v>
      </c>
      <c r="AF399" s="207">
        <f>SUM(Y399:AE399)</f>
        <v/>
      </c>
      <c r="AG399" s="254">
        <f>_xlfn.XLOOKUP(G399,[1]Fx!$A$16:$A$22,[1]Fx!$B$16:$B$22)</f>
        <v/>
      </c>
      <c r="AH399" s="207">
        <f>AG399*R399</f>
        <v/>
      </c>
      <c r="AI399" s="207">
        <f>$AI$3*Z399</f>
        <v/>
      </c>
      <c r="AJ399" s="207">
        <f>$AJ$3*AA399</f>
        <v/>
      </c>
      <c r="AK399" s="207">
        <f>$AK$3*AB399</f>
        <v/>
      </c>
      <c r="AL399" s="207">
        <f>$AL$3*AC399</f>
        <v/>
      </c>
      <c r="AM399" s="220">
        <f>SUM(AH399:AL399)</f>
        <v/>
      </c>
      <c r="AN399" s="220" t="n">
        <v>0</v>
      </c>
      <c r="AO399" s="220">
        <f>AN399*AH399</f>
        <v/>
      </c>
      <c r="AP399" s="220" t="n">
        <v>0</v>
      </c>
      <c r="AQ399" s="220">
        <f>AE399</f>
        <v/>
      </c>
      <c r="AR399" s="208">
        <f>AM399-AO399</f>
        <v/>
      </c>
      <c r="AS399" s="220">
        <f>AR399-AK399</f>
        <v/>
      </c>
      <c r="AT399" s="208">
        <f>AS399*1.075</f>
        <v/>
      </c>
      <c r="AU399" s="208">
        <f>AT399+AK399</f>
        <v/>
      </c>
      <c r="AV399" s="198" t="n">
        <v>684331.4377851416</v>
      </c>
      <c r="AW399" s="264">
        <f>BO399*2</f>
        <v/>
      </c>
      <c r="AX399" s="220">
        <f>AV399-AU399</f>
        <v/>
      </c>
      <c r="AY399" s="35">
        <f>AX399/AR399</f>
        <v/>
      </c>
      <c r="AZ399" s="220">
        <f>AV399-AF399</f>
        <v/>
      </c>
      <c r="BA399" s="215">
        <f>AV399-SUM(Z399:AC399)</f>
        <v/>
      </c>
      <c r="BB399" s="215">
        <f>BA399-Y399</f>
        <v/>
      </c>
      <c r="BC399" s="35">
        <f>BB399/BA399</f>
        <v/>
      </c>
      <c r="BD399" s="35">
        <f>IFERROR(AZ399/AV399,)</f>
        <v/>
      </c>
      <c r="BE399" s="255">
        <f>AV399-SUM(Z399:AC399)</f>
        <v/>
      </c>
      <c r="BF399" s="255">
        <f>AV399-BE399-AC399-AB399</f>
        <v/>
      </c>
      <c r="BG399" s="255">
        <f>AV399-BE399-BF399-AB399</f>
        <v/>
      </c>
      <c r="BH399" s="255">
        <f>AB399</f>
        <v/>
      </c>
      <c r="BI399" s="263" t="inlineStr">
        <is>
          <t>Approved</t>
        </is>
      </c>
    </row>
    <row r="400">
      <c r="C400" s="23" t="inlineStr">
        <is>
          <t>HARUNA/YEKINI</t>
        </is>
      </c>
      <c r="D400">
        <f>CONCATENATE(G400,"-",H400,"-",F400)</f>
        <v/>
      </c>
      <c r="E400" s="24" t="inlineStr">
        <is>
          <t>JMG-10T-Hiabs Logistics-Upcountry</t>
        </is>
      </c>
      <c r="F400" s="23" t="inlineStr">
        <is>
          <t>Upcountry</t>
        </is>
      </c>
      <c r="G400" s="25" t="inlineStr">
        <is>
          <t>Hiabs Logistics</t>
        </is>
      </c>
      <c r="H400" s="24" t="inlineStr">
        <is>
          <t>10T</t>
        </is>
      </c>
      <c r="I400" s="73" t="inlineStr">
        <is>
          <t>JMG</t>
        </is>
      </c>
      <c r="J400" s="74" t="inlineStr">
        <is>
          <t>Abuja</t>
        </is>
      </c>
      <c r="K400" s="74" t="inlineStr">
        <is>
          <t>Port Harcourt</t>
        </is>
      </c>
      <c r="L400" s="67" t="inlineStr">
        <is>
          <t>Rivers</t>
        </is>
      </c>
      <c r="M400" s="68" t="n"/>
      <c r="N400" s="201">
        <f>O400/2</f>
        <v/>
      </c>
      <c r="O400" s="201" t="n">
        <v>1369</v>
      </c>
      <c r="P400" s="220">
        <f>ROUNDUP(O400/300,)</f>
        <v/>
      </c>
      <c r="Q400" s="220" t="n">
        <v>0.2</v>
      </c>
      <c r="R400" s="220">
        <f>Q400+P400</f>
        <v/>
      </c>
      <c r="S400" s="198">
        <f>ROUNDDOWN(O400*0.51,)+60</f>
        <v/>
      </c>
      <c r="T400" s="207">
        <f>_xlfn.XLOOKUP(G400,[1]Fx!$A$4:$A$10,[1]Fx!$B$4:$B$10)</f>
        <v/>
      </c>
      <c r="U400" s="207">
        <f>_xlfn.XLOOKUP(G400,'[1]BP Setup'!$B$6:$B$72,'[1]BP Setup'!$Q$6:$Q$72)</f>
        <v/>
      </c>
      <c r="V400" s="207">
        <f>_xlfn.XLOOKUP(G400,'[1]BP Setup'!$B$6:$B$72,'[1]BP Setup'!$R$6:$R$72)</f>
        <v/>
      </c>
      <c r="W400" s="207">
        <f>$W$3</f>
        <v/>
      </c>
      <c r="X400" s="207" t="n">
        <v>80</v>
      </c>
      <c r="Y400" s="215">
        <f>T400*R400</f>
        <v/>
      </c>
      <c r="Z400" s="215">
        <f>U400*O400</f>
        <v/>
      </c>
      <c r="AA400" s="215">
        <f>V400*O400</f>
        <v/>
      </c>
      <c r="AB400" s="215">
        <f>W400*O400</f>
        <v/>
      </c>
      <c r="AC400" s="197">
        <f>X400*O400</f>
        <v/>
      </c>
      <c r="AD400" s="215" t="n">
        <v>20000</v>
      </c>
      <c r="AE400" s="215" t="n">
        <v>0</v>
      </c>
      <c r="AF400" s="207">
        <f>SUM(Y400:AE400)</f>
        <v/>
      </c>
      <c r="AG400" s="254">
        <f>_xlfn.XLOOKUP(G400,[1]Fx!$A$16:$A$22,[1]Fx!$B$16:$B$22)</f>
        <v/>
      </c>
      <c r="AH400" s="207">
        <f>AG400*R400</f>
        <v/>
      </c>
      <c r="AI400" s="207">
        <f>$AI$3*Z400</f>
        <v/>
      </c>
      <c r="AJ400" s="207">
        <f>$AJ$3*AA400</f>
        <v/>
      </c>
      <c r="AK400" s="207">
        <f>$AK$3*AB400</f>
        <v/>
      </c>
      <c r="AL400" s="207">
        <f>$AL$3*AC400</f>
        <v/>
      </c>
      <c r="AM400" s="220">
        <f>SUM(AH400:AL400)</f>
        <v/>
      </c>
      <c r="AN400" s="220" t="n">
        <v>0</v>
      </c>
      <c r="AO400" s="220">
        <f>AN400*AH400</f>
        <v/>
      </c>
      <c r="AP400" s="220" t="n">
        <v>0</v>
      </c>
      <c r="AQ400" s="220">
        <f>AE400</f>
        <v/>
      </c>
      <c r="AR400" s="208">
        <f>AM400-AO400</f>
        <v/>
      </c>
      <c r="AS400" s="220">
        <f>AR400-AK400</f>
        <v/>
      </c>
      <c r="AT400" s="208">
        <f>AS400*1.075</f>
        <v/>
      </c>
      <c r="AU400" s="208">
        <f>AT400+AK400</f>
        <v/>
      </c>
      <c r="AV400" s="198" t="n">
        <v>684331.4377851416</v>
      </c>
      <c r="AW400" s="264">
        <f>BO400*2</f>
        <v/>
      </c>
      <c r="AX400" s="220">
        <f>AV400-AU400</f>
        <v/>
      </c>
      <c r="AY400" s="35">
        <f>AX400/AR400</f>
        <v/>
      </c>
      <c r="AZ400" s="220">
        <f>AV400-AF400</f>
        <v/>
      </c>
      <c r="BA400" s="215">
        <f>AV400-SUM(Z400:AC400)</f>
        <v/>
      </c>
      <c r="BB400" s="215">
        <f>BA400-Y400</f>
        <v/>
      </c>
      <c r="BC400" s="35">
        <f>BB400/BA400</f>
        <v/>
      </c>
      <c r="BD400" s="35">
        <f>IFERROR(AZ400/AV400,)</f>
        <v/>
      </c>
      <c r="BE400" s="255">
        <f>AV400-SUM(Z400:AC400)</f>
        <v/>
      </c>
      <c r="BF400" s="255">
        <f>AV400-BE400-AC400-AB400</f>
        <v/>
      </c>
      <c r="BG400" s="255">
        <f>AV400-BE400-BF400-AB400</f>
        <v/>
      </c>
      <c r="BH400" s="255">
        <f>AB400</f>
        <v/>
      </c>
      <c r="BI400" s="263" t="inlineStr">
        <is>
          <t>Approved</t>
        </is>
      </c>
    </row>
    <row r="401">
      <c r="C401" s="23" t="inlineStr">
        <is>
          <t>HARUNA/YEKINI</t>
        </is>
      </c>
      <c r="D401">
        <f>CONCATENATE(G401,"-",H401,"-",F401)</f>
        <v/>
      </c>
      <c r="E401" s="24" t="inlineStr">
        <is>
          <t>JMG-10T-Hiabs Logistics-Upcountry</t>
        </is>
      </c>
      <c r="F401" s="23" t="inlineStr">
        <is>
          <t>Upcountry</t>
        </is>
      </c>
      <c r="G401" s="25" t="inlineStr">
        <is>
          <t>Hiabs Logistics</t>
        </is>
      </c>
      <c r="H401" s="24" t="inlineStr">
        <is>
          <t>10T</t>
        </is>
      </c>
      <c r="I401" s="73" t="inlineStr">
        <is>
          <t>JMG</t>
        </is>
      </c>
      <c r="J401" s="74" t="inlineStr">
        <is>
          <t>Abuja</t>
        </is>
      </c>
      <c r="K401" s="74" t="inlineStr">
        <is>
          <t>Abeokuta</t>
        </is>
      </c>
      <c r="L401" s="67" t="inlineStr">
        <is>
          <t>Ogun</t>
        </is>
      </c>
      <c r="M401" s="68" t="n"/>
      <c r="N401" s="201">
        <f>O401/2</f>
        <v/>
      </c>
      <c r="O401" s="201" t="n">
        <v>1324</v>
      </c>
      <c r="P401" s="220">
        <f>ROUNDUP(O401/300,)</f>
        <v/>
      </c>
      <c r="Q401" s="220" t="n">
        <v>0.2</v>
      </c>
      <c r="R401" s="220">
        <f>Q401+P401</f>
        <v/>
      </c>
      <c r="S401" s="198">
        <f>ROUNDDOWN(O401*0.51,)+60</f>
        <v/>
      </c>
      <c r="T401" s="207">
        <f>_xlfn.XLOOKUP(G401,[1]Fx!$A$4:$A$10,[1]Fx!$B$4:$B$10)</f>
        <v/>
      </c>
      <c r="U401" s="207">
        <f>_xlfn.XLOOKUP(G401,'[1]BP Setup'!$B$6:$B$72,'[1]BP Setup'!$Q$6:$Q$72)</f>
        <v/>
      </c>
      <c r="V401" s="207">
        <f>_xlfn.XLOOKUP(G401,'[1]BP Setup'!$B$6:$B$72,'[1]BP Setup'!$R$6:$R$72)</f>
        <v/>
      </c>
      <c r="W401" s="207">
        <f>$W$3</f>
        <v/>
      </c>
      <c r="X401" s="207" t="n">
        <v>80</v>
      </c>
      <c r="Y401" s="215">
        <f>T401*R401</f>
        <v/>
      </c>
      <c r="Z401" s="215">
        <f>U401*O401</f>
        <v/>
      </c>
      <c r="AA401" s="215">
        <f>V401*O401</f>
        <v/>
      </c>
      <c r="AB401" s="215">
        <f>W401*O401</f>
        <v/>
      </c>
      <c r="AC401" s="197">
        <f>X401*O401</f>
        <v/>
      </c>
      <c r="AD401" s="215" t="n">
        <v>20000</v>
      </c>
      <c r="AE401" s="215" t="n">
        <v>0</v>
      </c>
      <c r="AF401" s="207">
        <f>SUM(Y401:AE401)</f>
        <v/>
      </c>
      <c r="AG401" s="254">
        <f>_xlfn.XLOOKUP(G401,[1]Fx!$A$16:$A$22,[1]Fx!$B$16:$B$22)</f>
        <v/>
      </c>
      <c r="AH401" s="207">
        <f>AG401*R401</f>
        <v/>
      </c>
      <c r="AI401" s="207">
        <f>$AI$3*Z401</f>
        <v/>
      </c>
      <c r="AJ401" s="207">
        <f>$AJ$3*AA401</f>
        <v/>
      </c>
      <c r="AK401" s="207">
        <f>$AK$3*AB401</f>
        <v/>
      </c>
      <c r="AL401" s="207">
        <f>$AL$3*AC401</f>
        <v/>
      </c>
      <c r="AM401" s="220">
        <f>SUM(AH401:AL401)</f>
        <v/>
      </c>
      <c r="AN401" s="220" t="n">
        <v>0</v>
      </c>
      <c r="AO401" s="220">
        <f>AN401*AH401</f>
        <v/>
      </c>
      <c r="AP401" s="220" t="n">
        <v>0</v>
      </c>
      <c r="AQ401" s="220">
        <f>AE401</f>
        <v/>
      </c>
      <c r="AR401" s="208">
        <f>AM401-AO401</f>
        <v/>
      </c>
      <c r="AS401" s="220">
        <f>AR401-AK401</f>
        <v/>
      </c>
      <c r="AT401" s="208">
        <f>AS401*1.075</f>
        <v/>
      </c>
      <c r="AU401" s="208">
        <f>AT401+AK401</f>
        <v/>
      </c>
      <c r="AV401" s="198" t="n">
        <v>684331.4377851416</v>
      </c>
      <c r="AW401" s="264">
        <f>BO401*2</f>
        <v/>
      </c>
      <c r="AX401" s="220">
        <f>AV401-AU401</f>
        <v/>
      </c>
      <c r="AY401" s="35">
        <f>AX401/AR401</f>
        <v/>
      </c>
      <c r="AZ401" s="220">
        <f>AV401-AF401</f>
        <v/>
      </c>
      <c r="BA401" s="215">
        <f>AV401-SUM(Z401:AC401)</f>
        <v/>
      </c>
      <c r="BB401" s="215">
        <f>BA401-Y401</f>
        <v/>
      </c>
      <c r="BC401" s="35">
        <f>BB401/BA401</f>
        <v/>
      </c>
      <c r="BD401" s="35">
        <f>IFERROR(AZ401/AV401,)</f>
        <v/>
      </c>
      <c r="BE401" s="255">
        <f>AV401-SUM(Z401:AC401)</f>
        <v/>
      </c>
      <c r="BF401" s="255">
        <f>AV401-BE401-AC401-AB401</f>
        <v/>
      </c>
      <c r="BG401" s="255">
        <f>AV401-BE401-BF401-AB401</f>
        <v/>
      </c>
      <c r="BH401" s="255">
        <f>AB401</f>
        <v/>
      </c>
      <c r="BI401" s="263" t="inlineStr">
        <is>
          <t>Approved</t>
        </is>
      </c>
    </row>
    <row r="402">
      <c r="C402" s="23" t="inlineStr">
        <is>
          <t>HARUNA/YEKINI</t>
        </is>
      </c>
      <c r="D402">
        <f>CONCATENATE(G402,"-",H402,"-",F402)</f>
        <v/>
      </c>
      <c r="E402" s="24" t="inlineStr">
        <is>
          <t>JMG-10T-Hiabs Logistics-Upcountry</t>
        </is>
      </c>
      <c r="F402" s="23" t="inlineStr">
        <is>
          <t>Upcountry</t>
        </is>
      </c>
      <c r="G402" s="25" t="inlineStr">
        <is>
          <t>Hiabs Logistics</t>
        </is>
      </c>
      <c r="H402" s="24" t="inlineStr">
        <is>
          <t>10T</t>
        </is>
      </c>
      <c r="I402" s="73" t="inlineStr">
        <is>
          <t>JMG</t>
        </is>
      </c>
      <c r="J402" s="74" t="inlineStr">
        <is>
          <t>Abuja</t>
        </is>
      </c>
      <c r="K402" s="74" t="inlineStr">
        <is>
          <t>Birnin Kebbi</t>
        </is>
      </c>
      <c r="L402" s="67" t="inlineStr">
        <is>
          <t>Kebbi</t>
        </is>
      </c>
      <c r="M402" s="68" t="n"/>
      <c r="N402" s="201">
        <f>O402/2</f>
        <v/>
      </c>
      <c r="O402" s="201" t="n">
        <v>1320</v>
      </c>
      <c r="P402" s="220">
        <f>ROUNDUP(O402/300,)</f>
        <v/>
      </c>
      <c r="Q402" s="220" t="n">
        <v>0.2</v>
      </c>
      <c r="R402" s="220">
        <f>Q402+P402</f>
        <v/>
      </c>
      <c r="S402" s="198">
        <f>ROUNDDOWN(O402*0.51,)+60</f>
        <v/>
      </c>
      <c r="T402" s="207">
        <f>_xlfn.XLOOKUP(G402,[1]Fx!$A$4:$A$10,[1]Fx!$B$4:$B$10)</f>
        <v/>
      </c>
      <c r="U402" s="207">
        <f>_xlfn.XLOOKUP(G402,'[1]BP Setup'!$B$6:$B$72,'[1]BP Setup'!$Q$6:$Q$72)</f>
        <v/>
      </c>
      <c r="V402" s="207">
        <f>_xlfn.XLOOKUP(G402,'[1]BP Setup'!$B$6:$B$72,'[1]BP Setup'!$R$6:$R$72)</f>
        <v/>
      </c>
      <c r="W402" s="207">
        <f>$W$3</f>
        <v/>
      </c>
      <c r="X402" s="207" t="n">
        <v>80</v>
      </c>
      <c r="Y402" s="215">
        <f>T402*R402</f>
        <v/>
      </c>
      <c r="Z402" s="215">
        <f>U402*O402</f>
        <v/>
      </c>
      <c r="AA402" s="215">
        <f>V402*O402</f>
        <v/>
      </c>
      <c r="AB402" s="215">
        <f>W402*O402</f>
        <v/>
      </c>
      <c r="AC402" s="197">
        <f>X402*O402</f>
        <v/>
      </c>
      <c r="AD402" s="215" t="n">
        <v>20000</v>
      </c>
      <c r="AE402" s="215" t="n">
        <v>0</v>
      </c>
      <c r="AF402" s="207">
        <f>SUM(Y402:AE402)</f>
        <v/>
      </c>
      <c r="AG402" s="254">
        <f>_xlfn.XLOOKUP(G402,[1]Fx!$A$16:$A$22,[1]Fx!$B$16:$B$22)</f>
        <v/>
      </c>
      <c r="AH402" s="207">
        <f>AG402*R402</f>
        <v/>
      </c>
      <c r="AI402" s="207">
        <f>$AI$3*Z402</f>
        <v/>
      </c>
      <c r="AJ402" s="207">
        <f>$AJ$3*AA402</f>
        <v/>
      </c>
      <c r="AK402" s="207">
        <f>$AK$3*AB402</f>
        <v/>
      </c>
      <c r="AL402" s="207">
        <f>$AL$3*AC402</f>
        <v/>
      </c>
      <c r="AM402" s="220">
        <f>SUM(AH402:AL402)</f>
        <v/>
      </c>
      <c r="AN402" s="220" t="n">
        <v>0</v>
      </c>
      <c r="AO402" s="220">
        <f>AN402*AH402</f>
        <v/>
      </c>
      <c r="AP402" s="220" t="n">
        <v>0</v>
      </c>
      <c r="AQ402" s="220">
        <f>AE402</f>
        <v/>
      </c>
      <c r="AR402" s="208">
        <f>AM402-AO402</f>
        <v/>
      </c>
      <c r="AS402" s="220">
        <f>AR402-AK402</f>
        <v/>
      </c>
      <c r="AT402" s="208">
        <f>AS402*1.075</f>
        <v/>
      </c>
      <c r="AU402" s="208">
        <f>AT402+AK402</f>
        <v/>
      </c>
      <c r="AV402" s="198" t="n">
        <v>684331.4377851416</v>
      </c>
      <c r="AW402" s="264">
        <f>BO402*2</f>
        <v/>
      </c>
      <c r="AX402" s="220">
        <f>AV402-AU402</f>
        <v/>
      </c>
      <c r="AY402" s="35">
        <f>AX402/AR402</f>
        <v/>
      </c>
      <c r="AZ402" s="220">
        <f>AV402-AF402</f>
        <v/>
      </c>
      <c r="BA402" s="215">
        <f>AV402-SUM(Z402:AC402)</f>
        <v/>
      </c>
      <c r="BB402" s="215">
        <f>BA402-Y402</f>
        <v/>
      </c>
      <c r="BC402" s="35">
        <f>BB402/BA402</f>
        <v/>
      </c>
      <c r="BD402" s="35">
        <f>IFERROR(AZ402/AV402,)</f>
        <v/>
      </c>
      <c r="BE402" s="255">
        <f>AV402-SUM(Z402:AC402)</f>
        <v/>
      </c>
      <c r="BF402" s="255">
        <f>AV402-BE402-AC402-AB402</f>
        <v/>
      </c>
      <c r="BG402" s="255">
        <f>AV402-BE402-BF402-AB402</f>
        <v/>
      </c>
      <c r="BH402" s="255">
        <f>AB402</f>
        <v/>
      </c>
      <c r="BI402" s="263" t="inlineStr">
        <is>
          <t>Approved</t>
        </is>
      </c>
    </row>
    <row r="403">
      <c r="C403" s="23" t="inlineStr">
        <is>
          <t>HARUNA/YEKINI</t>
        </is>
      </c>
      <c r="D403">
        <f>CONCATENATE(G403,"-",H403,"-",F403)</f>
        <v/>
      </c>
      <c r="E403" s="24" t="inlineStr">
        <is>
          <t>JMG-10T-Hiabs Logistics-Upcountry</t>
        </is>
      </c>
      <c r="F403" s="23" t="inlineStr">
        <is>
          <t>Upcountry</t>
        </is>
      </c>
      <c r="G403" s="25" t="inlineStr">
        <is>
          <t>Hiabs Logistics</t>
        </is>
      </c>
      <c r="H403" s="24" t="inlineStr">
        <is>
          <t>10T</t>
        </is>
      </c>
      <c r="I403" s="73" t="inlineStr">
        <is>
          <t>JMG</t>
        </is>
      </c>
      <c r="J403" s="74" t="inlineStr">
        <is>
          <t>Abuja</t>
        </is>
      </c>
      <c r="K403" s="74" t="inlineStr">
        <is>
          <t>Sokoto</t>
        </is>
      </c>
      <c r="L403" s="67" t="inlineStr">
        <is>
          <t>Sokoto</t>
        </is>
      </c>
      <c r="M403" s="68" t="n"/>
      <c r="N403" s="201">
        <f>O403/2</f>
        <v/>
      </c>
      <c r="O403" s="201" t="n">
        <v>1313</v>
      </c>
      <c r="P403" s="220">
        <f>ROUNDUP(O403/300,)</f>
        <v/>
      </c>
      <c r="Q403" s="220" t="n">
        <v>0.2</v>
      </c>
      <c r="R403" s="220">
        <f>Q403+P403</f>
        <v/>
      </c>
      <c r="S403" s="198">
        <f>ROUNDDOWN(O403*0.51,)+60</f>
        <v/>
      </c>
      <c r="T403" s="207">
        <f>_xlfn.XLOOKUP(G403,[1]Fx!$A$4:$A$10,[1]Fx!$B$4:$B$10)</f>
        <v/>
      </c>
      <c r="U403" s="207">
        <f>_xlfn.XLOOKUP(G403,'[1]BP Setup'!$B$6:$B$72,'[1]BP Setup'!$Q$6:$Q$72)</f>
        <v/>
      </c>
      <c r="V403" s="207">
        <f>_xlfn.XLOOKUP(G403,'[1]BP Setup'!$B$6:$B$72,'[1]BP Setup'!$R$6:$R$72)</f>
        <v/>
      </c>
      <c r="W403" s="207">
        <f>$W$3</f>
        <v/>
      </c>
      <c r="X403" s="207" t="n">
        <v>80</v>
      </c>
      <c r="Y403" s="215">
        <f>T403*R403</f>
        <v/>
      </c>
      <c r="Z403" s="215">
        <f>U403*O403</f>
        <v/>
      </c>
      <c r="AA403" s="215">
        <f>V403*O403</f>
        <v/>
      </c>
      <c r="AB403" s="215">
        <f>W403*O403</f>
        <v/>
      </c>
      <c r="AC403" s="197">
        <f>X403*O403</f>
        <v/>
      </c>
      <c r="AD403" s="215" t="n">
        <v>20000</v>
      </c>
      <c r="AE403" s="215" t="n">
        <v>0</v>
      </c>
      <c r="AF403" s="207">
        <f>SUM(Y403:AE403)</f>
        <v/>
      </c>
      <c r="AG403" s="254">
        <f>_xlfn.XLOOKUP(G403,[1]Fx!$A$16:$A$22,[1]Fx!$B$16:$B$22)</f>
        <v/>
      </c>
      <c r="AH403" s="207">
        <f>AG403*R403</f>
        <v/>
      </c>
      <c r="AI403" s="207">
        <f>$AI$3*Z403</f>
        <v/>
      </c>
      <c r="AJ403" s="207">
        <f>$AJ$3*AA403</f>
        <v/>
      </c>
      <c r="AK403" s="207">
        <f>$AK$3*AB403</f>
        <v/>
      </c>
      <c r="AL403" s="207">
        <f>$AL$3*AC403</f>
        <v/>
      </c>
      <c r="AM403" s="220">
        <f>SUM(AH403:AL403)</f>
        <v/>
      </c>
      <c r="AN403" s="220" t="n">
        <v>0</v>
      </c>
      <c r="AO403" s="220">
        <f>AN403*AH403</f>
        <v/>
      </c>
      <c r="AP403" s="220" t="n">
        <v>0</v>
      </c>
      <c r="AQ403" s="220">
        <f>AE403</f>
        <v/>
      </c>
      <c r="AR403" s="208">
        <f>AM403-AO403</f>
        <v/>
      </c>
      <c r="AS403" s="220">
        <f>AR403-AK403</f>
        <v/>
      </c>
      <c r="AT403" s="208">
        <f>AS403*1.075</f>
        <v/>
      </c>
      <c r="AU403" s="208">
        <f>AT403+AK403</f>
        <v/>
      </c>
      <c r="AV403" s="198" t="n">
        <v>684331.4377851416</v>
      </c>
      <c r="AW403" s="264">
        <f>BO403*2</f>
        <v/>
      </c>
      <c r="AX403" s="220">
        <f>AV403-AU403</f>
        <v/>
      </c>
      <c r="AY403" s="35">
        <f>AX403/AR403</f>
        <v/>
      </c>
      <c r="AZ403" s="220">
        <f>AV403-AF403</f>
        <v/>
      </c>
      <c r="BA403" s="215">
        <f>AV403-SUM(Z403:AC403)</f>
        <v/>
      </c>
      <c r="BB403" s="215">
        <f>BA403-Y403</f>
        <v/>
      </c>
      <c r="BC403" s="35">
        <f>BB403/BA403</f>
        <v/>
      </c>
      <c r="BD403" s="35">
        <f>IFERROR(AZ403/AV403,)</f>
        <v/>
      </c>
      <c r="BE403" s="255">
        <f>AV403-SUM(Z403:AC403)</f>
        <v/>
      </c>
      <c r="BF403" s="255">
        <f>AV403-BE403-AC403-AB403</f>
        <v/>
      </c>
      <c r="BG403" s="255">
        <f>AV403-BE403-BF403-AB403</f>
        <v/>
      </c>
      <c r="BH403" s="255">
        <f>AB403</f>
        <v/>
      </c>
      <c r="BI403" s="263" t="inlineStr">
        <is>
          <t>Approved</t>
        </is>
      </c>
    </row>
    <row r="404">
      <c r="C404" s="23" t="inlineStr">
        <is>
          <t>HARUNA/YEKINI</t>
        </is>
      </c>
      <c r="D404">
        <f>CONCATENATE(G404,"-",H404,"-",F404)</f>
        <v/>
      </c>
      <c r="E404" s="24" t="inlineStr">
        <is>
          <t>JMG-10T-Hiabs Logistics-Upcountry</t>
        </is>
      </c>
      <c r="F404" s="23" t="inlineStr">
        <is>
          <t>Upcountry</t>
        </is>
      </c>
      <c r="G404" s="25" t="inlineStr">
        <is>
          <t>Hiabs Logistics</t>
        </is>
      </c>
      <c r="H404" s="24" t="inlineStr">
        <is>
          <t>10T</t>
        </is>
      </c>
      <c r="I404" s="73" t="inlineStr">
        <is>
          <t>JMG</t>
        </is>
      </c>
      <c r="J404" s="74" t="inlineStr">
        <is>
          <t>Abuja</t>
        </is>
      </c>
      <c r="K404" s="74" t="inlineStr">
        <is>
          <t>Jalingo</t>
        </is>
      </c>
      <c r="L404" s="67" t="inlineStr">
        <is>
          <t>Taraba</t>
        </is>
      </c>
      <c r="M404" s="68" t="n"/>
      <c r="N404" s="201">
        <f>O404/2</f>
        <v/>
      </c>
      <c r="O404" s="201" t="n">
        <v>1233</v>
      </c>
      <c r="P404" s="220">
        <f>ROUNDUP(O404/300,)</f>
        <v/>
      </c>
      <c r="Q404" s="220" t="n">
        <v>0.2</v>
      </c>
      <c r="R404" s="220">
        <f>Q404+P404</f>
        <v/>
      </c>
      <c r="S404" s="198">
        <f>ROUNDDOWN(O404*0.51,)+60</f>
        <v/>
      </c>
      <c r="T404" s="207">
        <f>_xlfn.XLOOKUP(G404,[1]Fx!$A$4:$A$10,[1]Fx!$B$4:$B$10)</f>
        <v/>
      </c>
      <c r="U404" s="207">
        <f>_xlfn.XLOOKUP(G404,'[1]BP Setup'!$B$6:$B$72,'[1]BP Setup'!$Q$6:$Q$72)</f>
        <v/>
      </c>
      <c r="V404" s="207">
        <f>_xlfn.XLOOKUP(G404,'[1]BP Setup'!$B$6:$B$72,'[1]BP Setup'!$R$6:$R$72)</f>
        <v/>
      </c>
      <c r="W404" s="207">
        <f>$W$3</f>
        <v/>
      </c>
      <c r="X404" s="207" t="n">
        <v>80</v>
      </c>
      <c r="Y404" s="215">
        <f>T404*R404</f>
        <v/>
      </c>
      <c r="Z404" s="215">
        <f>U404*O404</f>
        <v/>
      </c>
      <c r="AA404" s="215">
        <f>V404*O404</f>
        <v/>
      </c>
      <c r="AB404" s="215">
        <f>W404*O404</f>
        <v/>
      </c>
      <c r="AC404" s="197">
        <f>X404*O404</f>
        <v/>
      </c>
      <c r="AD404" s="215" t="n">
        <v>20000</v>
      </c>
      <c r="AE404" s="215" t="n">
        <v>0</v>
      </c>
      <c r="AF404" s="207">
        <f>SUM(Y404:AE404)</f>
        <v/>
      </c>
      <c r="AG404" s="254">
        <f>_xlfn.XLOOKUP(G404,[1]Fx!$A$16:$A$22,[1]Fx!$B$16:$B$22)</f>
        <v/>
      </c>
      <c r="AH404" s="207">
        <f>AG404*R404</f>
        <v/>
      </c>
      <c r="AI404" s="207">
        <f>$AI$3*Z404</f>
        <v/>
      </c>
      <c r="AJ404" s="207">
        <f>$AJ$3*AA404</f>
        <v/>
      </c>
      <c r="AK404" s="207">
        <f>$AK$3*AB404</f>
        <v/>
      </c>
      <c r="AL404" s="207">
        <f>$AL$3*AC404</f>
        <v/>
      </c>
      <c r="AM404" s="220">
        <f>SUM(AH404:AL404)</f>
        <v/>
      </c>
      <c r="AN404" s="220" t="n">
        <v>0</v>
      </c>
      <c r="AO404" s="220">
        <f>AN404*AH404</f>
        <v/>
      </c>
      <c r="AP404" s="220" t="n">
        <v>0</v>
      </c>
      <c r="AQ404" s="220">
        <f>AE404</f>
        <v/>
      </c>
      <c r="AR404" s="208">
        <f>AM404-AO404</f>
        <v/>
      </c>
      <c r="AS404" s="220">
        <f>AR404-AK404</f>
        <v/>
      </c>
      <c r="AT404" s="208">
        <f>AS404*1.075</f>
        <v/>
      </c>
      <c r="AU404" s="208">
        <f>AT404+AK404</f>
        <v/>
      </c>
      <c r="AV404" s="198" t="n">
        <v>684331.4377851416</v>
      </c>
      <c r="AW404" s="264">
        <f>BO404*2</f>
        <v/>
      </c>
      <c r="AX404" s="220">
        <f>AV404-AU404</f>
        <v/>
      </c>
      <c r="AY404" s="35">
        <f>AX404/AR404</f>
        <v/>
      </c>
      <c r="AZ404" s="220">
        <f>AV404-AF404</f>
        <v/>
      </c>
      <c r="BA404" s="215">
        <f>AV404-SUM(Z404:AC404)</f>
        <v/>
      </c>
      <c r="BB404" s="215">
        <f>BA404-Y404</f>
        <v/>
      </c>
      <c r="BC404" s="35">
        <f>BB404/BA404</f>
        <v/>
      </c>
      <c r="BD404" s="35">
        <f>IFERROR(AZ404/AV404,)</f>
        <v/>
      </c>
      <c r="BE404" s="255">
        <f>AV404-SUM(Z404:AC404)</f>
        <v/>
      </c>
      <c r="BF404" s="255">
        <f>AV404-BE404-AC404-AB404</f>
        <v/>
      </c>
      <c r="BG404" s="255">
        <f>AV404-BE404-BF404-AB404</f>
        <v/>
      </c>
      <c r="BH404" s="255">
        <f>AB404</f>
        <v/>
      </c>
      <c r="BI404" s="263" t="inlineStr">
        <is>
          <t>Approved</t>
        </is>
      </c>
    </row>
    <row r="405">
      <c r="C405" s="23" t="inlineStr">
        <is>
          <t>HARUNA/YEKINI</t>
        </is>
      </c>
      <c r="D405">
        <f>CONCATENATE(G405,"-",H405,"-",F405)</f>
        <v/>
      </c>
      <c r="E405" s="24" t="inlineStr">
        <is>
          <t>JMG-10T-Hiabs Logistics-Upcountry</t>
        </is>
      </c>
      <c r="F405" s="23" t="inlineStr">
        <is>
          <t>Upcountry</t>
        </is>
      </c>
      <c r="G405" s="25" t="inlineStr">
        <is>
          <t>Hiabs Logistics</t>
        </is>
      </c>
      <c r="H405" s="24" t="inlineStr">
        <is>
          <t>10T</t>
        </is>
      </c>
      <c r="I405" s="73" t="inlineStr">
        <is>
          <t>JMG</t>
        </is>
      </c>
      <c r="J405" s="74" t="inlineStr">
        <is>
          <t>Abuja</t>
        </is>
      </c>
      <c r="K405" s="74" t="inlineStr">
        <is>
          <t>Warri</t>
        </is>
      </c>
      <c r="L405" s="67" t="inlineStr">
        <is>
          <t>Delta</t>
        </is>
      </c>
      <c r="M405" s="68" t="n"/>
      <c r="N405" s="201">
        <f>O405/2</f>
        <v/>
      </c>
      <c r="O405" s="201" t="n">
        <v>1184</v>
      </c>
      <c r="P405" s="220">
        <f>ROUNDUP(O405/300,)</f>
        <v/>
      </c>
      <c r="Q405" s="220" t="n">
        <v>0.2</v>
      </c>
      <c r="R405" s="220">
        <f>Q405+P405</f>
        <v/>
      </c>
      <c r="S405" s="198">
        <f>ROUNDDOWN(O405*0.51,)+60</f>
        <v/>
      </c>
      <c r="T405" s="207">
        <f>_xlfn.XLOOKUP(G405,[1]Fx!$A$4:$A$10,[1]Fx!$B$4:$B$10)</f>
        <v/>
      </c>
      <c r="U405" s="207">
        <f>_xlfn.XLOOKUP(G405,'[1]BP Setup'!$B$6:$B$72,'[1]BP Setup'!$Q$6:$Q$72)</f>
        <v/>
      </c>
      <c r="V405" s="207">
        <f>_xlfn.XLOOKUP(G405,'[1]BP Setup'!$B$6:$B$72,'[1]BP Setup'!$R$6:$R$72)</f>
        <v/>
      </c>
      <c r="W405" s="207">
        <f>$W$3</f>
        <v/>
      </c>
      <c r="X405" s="207" t="n">
        <v>80</v>
      </c>
      <c r="Y405" s="215">
        <f>T405*R405</f>
        <v/>
      </c>
      <c r="Z405" s="215">
        <f>U405*O405</f>
        <v/>
      </c>
      <c r="AA405" s="215">
        <f>V405*O405</f>
        <v/>
      </c>
      <c r="AB405" s="215">
        <f>W405*O405</f>
        <v/>
      </c>
      <c r="AC405" s="197">
        <f>X405*O405</f>
        <v/>
      </c>
      <c r="AD405" s="215" t="n">
        <v>20000</v>
      </c>
      <c r="AE405" s="215" t="n">
        <v>0</v>
      </c>
      <c r="AF405" s="207">
        <f>SUM(Y405:AE405)</f>
        <v/>
      </c>
      <c r="AG405" s="254">
        <f>_xlfn.XLOOKUP(G405,[1]Fx!$A$16:$A$22,[1]Fx!$B$16:$B$22)</f>
        <v/>
      </c>
      <c r="AH405" s="207">
        <f>AG405*R405</f>
        <v/>
      </c>
      <c r="AI405" s="207">
        <f>$AI$3*Z405</f>
        <v/>
      </c>
      <c r="AJ405" s="207">
        <f>$AJ$3*AA405</f>
        <v/>
      </c>
      <c r="AK405" s="207">
        <f>$AK$3*AB405</f>
        <v/>
      </c>
      <c r="AL405" s="207">
        <f>$AL$3*AC405</f>
        <v/>
      </c>
      <c r="AM405" s="220">
        <f>SUM(AH405:AL405)</f>
        <v/>
      </c>
      <c r="AN405" s="220" t="n">
        <v>0</v>
      </c>
      <c r="AO405" s="220">
        <f>AN405*AH405</f>
        <v/>
      </c>
      <c r="AP405" s="220" t="n">
        <v>0</v>
      </c>
      <c r="AQ405" s="220">
        <f>AE405</f>
        <v/>
      </c>
      <c r="AR405" s="208">
        <f>AM405-AO405</f>
        <v/>
      </c>
      <c r="AS405" s="220">
        <f>AR405-AK405</f>
        <v/>
      </c>
      <c r="AT405" s="208">
        <f>AS405*1.075</f>
        <v/>
      </c>
      <c r="AU405" s="208">
        <f>AT405+AK405</f>
        <v/>
      </c>
      <c r="AV405" s="198" t="n">
        <v>552729.2382110759</v>
      </c>
      <c r="AW405" s="264">
        <f>BO405*2</f>
        <v/>
      </c>
      <c r="AX405" s="220">
        <f>AV405-AU405</f>
        <v/>
      </c>
      <c r="AY405" s="35">
        <f>AX405/AR405</f>
        <v/>
      </c>
      <c r="AZ405" s="220">
        <f>AV405-AF405</f>
        <v/>
      </c>
      <c r="BA405" s="215">
        <f>AV405-SUM(Z405:AC405)</f>
        <v/>
      </c>
      <c r="BB405" s="215">
        <f>BA405-Y405</f>
        <v/>
      </c>
      <c r="BC405" s="35">
        <f>BB405/BA405</f>
        <v/>
      </c>
      <c r="BD405" s="35">
        <f>IFERROR(AZ405/AV405,)</f>
        <v/>
      </c>
      <c r="BE405" s="255">
        <f>AV405-SUM(Z405:AC405)</f>
        <v/>
      </c>
      <c r="BF405" s="255">
        <f>AV405-BE405-AC405-AB405</f>
        <v/>
      </c>
      <c r="BG405" s="255">
        <f>AV405-BE405-BF405-AB405</f>
        <v/>
      </c>
      <c r="BH405" s="255">
        <f>AB405</f>
        <v/>
      </c>
      <c r="BI405" s="263" t="inlineStr">
        <is>
          <t>Approved</t>
        </is>
      </c>
    </row>
    <row r="406">
      <c r="C406" s="23" t="inlineStr">
        <is>
          <t>HARUNA/YEKINI</t>
        </is>
      </c>
      <c r="D406">
        <f>CONCATENATE(G406,"-",H406,"-",F406)</f>
        <v/>
      </c>
      <c r="E406" s="24" t="inlineStr">
        <is>
          <t>JMG-10T-Hiabs Logistics-Upcountry</t>
        </is>
      </c>
      <c r="F406" s="23" t="inlineStr">
        <is>
          <t>Upcountry</t>
        </is>
      </c>
      <c r="G406" s="25" t="inlineStr">
        <is>
          <t>Hiabs Logistics</t>
        </is>
      </c>
      <c r="H406" s="24" t="inlineStr">
        <is>
          <t>10T</t>
        </is>
      </c>
      <c r="I406" s="73" t="inlineStr">
        <is>
          <t>JMG</t>
        </is>
      </c>
      <c r="J406" s="74" t="inlineStr">
        <is>
          <t>Abuja</t>
        </is>
      </c>
      <c r="K406" s="74" t="inlineStr">
        <is>
          <t>Ibadan</t>
        </is>
      </c>
      <c r="L406" s="67" t="inlineStr">
        <is>
          <t>Oyo</t>
        </is>
      </c>
      <c r="M406" s="68" t="n"/>
      <c r="N406" s="201">
        <f>O406/2</f>
        <v/>
      </c>
      <c r="O406" s="201" t="n">
        <v>1133</v>
      </c>
      <c r="P406" s="220">
        <f>ROUNDUP(O406/300,)</f>
        <v/>
      </c>
      <c r="Q406" s="220" t="n">
        <v>0.2</v>
      </c>
      <c r="R406" s="220">
        <f>Q406+P406</f>
        <v/>
      </c>
      <c r="S406" s="198">
        <f>ROUNDDOWN(O406*0.51,)+60</f>
        <v/>
      </c>
      <c r="T406" s="207">
        <f>_xlfn.XLOOKUP(G406,[1]Fx!$A$4:$A$10,[1]Fx!$B$4:$B$10)</f>
        <v/>
      </c>
      <c r="U406" s="207">
        <f>_xlfn.XLOOKUP(G406,'[1]BP Setup'!$B$6:$B$72,'[1]BP Setup'!$Q$6:$Q$72)</f>
        <v/>
      </c>
      <c r="V406" s="207">
        <f>_xlfn.XLOOKUP(G406,'[1]BP Setup'!$B$6:$B$72,'[1]BP Setup'!$R$6:$R$72)</f>
        <v/>
      </c>
      <c r="W406" s="207">
        <f>$W$3</f>
        <v/>
      </c>
      <c r="X406" s="207" t="n">
        <v>80</v>
      </c>
      <c r="Y406" s="215">
        <f>T406*R406</f>
        <v/>
      </c>
      <c r="Z406" s="215">
        <f>U406*O406</f>
        <v/>
      </c>
      <c r="AA406" s="215">
        <f>V406*O406</f>
        <v/>
      </c>
      <c r="AB406" s="215">
        <f>W406*O406</f>
        <v/>
      </c>
      <c r="AC406" s="197">
        <f>X406*O406</f>
        <v/>
      </c>
      <c r="AD406" s="215" t="n">
        <v>20000</v>
      </c>
      <c r="AE406" s="215" t="n">
        <v>0</v>
      </c>
      <c r="AF406" s="207">
        <f>SUM(Y406:AE406)</f>
        <v/>
      </c>
      <c r="AG406" s="254">
        <f>_xlfn.XLOOKUP(G406,[1]Fx!$A$16:$A$22,[1]Fx!$B$16:$B$22)</f>
        <v/>
      </c>
      <c r="AH406" s="207">
        <f>AG406*R406</f>
        <v/>
      </c>
      <c r="AI406" s="207">
        <f>$AI$3*Z406</f>
        <v/>
      </c>
      <c r="AJ406" s="207">
        <f>$AJ$3*AA406</f>
        <v/>
      </c>
      <c r="AK406" s="207">
        <f>$AK$3*AB406</f>
        <v/>
      </c>
      <c r="AL406" s="207">
        <f>$AL$3*AC406</f>
        <v/>
      </c>
      <c r="AM406" s="220">
        <f>SUM(AH406:AL406)</f>
        <v/>
      </c>
      <c r="AN406" s="220" t="n">
        <v>0</v>
      </c>
      <c r="AO406" s="220">
        <f>AN406*AH406</f>
        <v/>
      </c>
      <c r="AP406" s="220" t="n">
        <v>0</v>
      </c>
      <c r="AQ406" s="220">
        <f>AE406</f>
        <v/>
      </c>
      <c r="AR406" s="208">
        <f>AM406-AO406</f>
        <v/>
      </c>
      <c r="AS406" s="220">
        <f>AR406-AK406</f>
        <v/>
      </c>
      <c r="AT406" s="208">
        <f>AS406*1.075</f>
        <v/>
      </c>
      <c r="AU406" s="208">
        <f>AT406+AK406</f>
        <v/>
      </c>
      <c r="AV406" s="198" t="n">
        <v>552729.2382110759</v>
      </c>
      <c r="AW406" s="264">
        <f>BO406*2</f>
        <v/>
      </c>
      <c r="AX406" s="220">
        <f>AV406-AU406</f>
        <v/>
      </c>
      <c r="AY406" s="35">
        <f>AX406/AR406</f>
        <v/>
      </c>
      <c r="AZ406" s="220">
        <f>AV406-AF406</f>
        <v/>
      </c>
      <c r="BA406" s="215">
        <f>AV406-SUM(Z406:AC406)</f>
        <v/>
      </c>
      <c r="BB406" s="215">
        <f>BA406-Y406</f>
        <v/>
      </c>
      <c r="BC406" s="35">
        <f>BB406/BA406</f>
        <v/>
      </c>
      <c r="BD406" s="35">
        <f>IFERROR(AZ406/AV406,)</f>
        <v/>
      </c>
      <c r="BE406" s="255">
        <f>AV406-SUM(Z406:AC406)</f>
        <v/>
      </c>
      <c r="BF406" s="255">
        <f>AV406-BE406-AC406-AB406</f>
        <v/>
      </c>
      <c r="BG406" s="255">
        <f>AV406-BE406-BF406-AB406</f>
        <v/>
      </c>
      <c r="BH406" s="255">
        <f>AB406</f>
        <v/>
      </c>
      <c r="BI406" s="263" t="inlineStr">
        <is>
          <t>Approved</t>
        </is>
      </c>
    </row>
    <row r="407">
      <c r="C407" s="23" t="inlineStr">
        <is>
          <t>HARUNA/YEKINI</t>
        </is>
      </c>
      <c r="D407">
        <f>CONCATENATE(G407,"-",H407,"-",F407)</f>
        <v/>
      </c>
      <c r="E407" s="24" t="inlineStr">
        <is>
          <t>JMG-10T-Hiabs Logistics-Upcountry</t>
        </is>
      </c>
      <c r="F407" s="23" t="inlineStr">
        <is>
          <t>Upcountry</t>
        </is>
      </c>
      <c r="G407" s="25" t="inlineStr">
        <is>
          <t>Hiabs Logistics</t>
        </is>
      </c>
      <c r="H407" s="24" t="inlineStr">
        <is>
          <t>10T</t>
        </is>
      </c>
      <c r="I407" s="73" t="inlineStr">
        <is>
          <t>JMG</t>
        </is>
      </c>
      <c r="J407" s="74" t="inlineStr">
        <is>
          <t>Abuja</t>
        </is>
      </c>
      <c r="K407" s="74" t="inlineStr">
        <is>
          <t>Gombe</t>
        </is>
      </c>
      <c r="L407" s="67" t="inlineStr">
        <is>
          <t>Gombe</t>
        </is>
      </c>
      <c r="M407" s="68" t="n"/>
      <c r="N407" s="201">
        <f>O407/2</f>
        <v/>
      </c>
      <c r="O407" s="201" t="n">
        <v>1093</v>
      </c>
      <c r="P407" s="220">
        <f>ROUNDUP(O407/300,)</f>
        <v/>
      </c>
      <c r="Q407" s="220" t="n">
        <v>0.2</v>
      </c>
      <c r="R407" s="220">
        <f>Q407+P407</f>
        <v/>
      </c>
      <c r="S407" s="198">
        <f>ROUNDDOWN(O407*0.51,)+60</f>
        <v/>
      </c>
      <c r="T407" s="207">
        <f>_xlfn.XLOOKUP(G407,[1]Fx!$A$4:$A$10,[1]Fx!$B$4:$B$10)</f>
        <v/>
      </c>
      <c r="U407" s="207">
        <f>_xlfn.XLOOKUP(G407,'[1]BP Setup'!$B$6:$B$72,'[1]BP Setup'!$Q$6:$Q$72)</f>
        <v/>
      </c>
      <c r="V407" s="207">
        <f>_xlfn.XLOOKUP(G407,'[1]BP Setup'!$B$6:$B$72,'[1]BP Setup'!$R$6:$R$72)</f>
        <v/>
      </c>
      <c r="W407" s="207">
        <f>$W$3</f>
        <v/>
      </c>
      <c r="X407" s="207" t="n">
        <v>80</v>
      </c>
      <c r="Y407" s="215">
        <f>T407*R407</f>
        <v/>
      </c>
      <c r="Z407" s="215">
        <f>U407*O407</f>
        <v/>
      </c>
      <c r="AA407" s="215">
        <f>V407*O407</f>
        <v/>
      </c>
      <c r="AB407" s="215">
        <f>W407*O407</f>
        <v/>
      </c>
      <c r="AC407" s="197">
        <f>X407*O407</f>
        <v/>
      </c>
      <c r="AD407" s="215" t="n">
        <v>20000</v>
      </c>
      <c r="AE407" s="215" t="n">
        <v>0</v>
      </c>
      <c r="AF407" s="207">
        <f>SUM(Y407:AE407)</f>
        <v/>
      </c>
      <c r="AG407" s="254">
        <f>_xlfn.XLOOKUP(G407,[1]Fx!$A$16:$A$22,[1]Fx!$B$16:$B$22)</f>
        <v/>
      </c>
      <c r="AH407" s="207">
        <f>AG407*R407</f>
        <v/>
      </c>
      <c r="AI407" s="207">
        <f>$AI$3*Z407</f>
        <v/>
      </c>
      <c r="AJ407" s="207">
        <f>$AJ$3*AA407</f>
        <v/>
      </c>
      <c r="AK407" s="207">
        <f>$AK$3*AB407</f>
        <v/>
      </c>
      <c r="AL407" s="207">
        <f>$AL$3*AC407</f>
        <v/>
      </c>
      <c r="AM407" s="220">
        <f>SUM(AH407:AL407)</f>
        <v/>
      </c>
      <c r="AN407" s="220" t="n">
        <v>0</v>
      </c>
      <c r="AO407" s="220">
        <f>AN407*AH407</f>
        <v/>
      </c>
      <c r="AP407" s="220" t="n">
        <v>0</v>
      </c>
      <c r="AQ407" s="220">
        <f>AE407</f>
        <v/>
      </c>
      <c r="AR407" s="208">
        <f>AM407-AO407</f>
        <v/>
      </c>
      <c r="AS407" s="220">
        <f>AR407-AK407</f>
        <v/>
      </c>
      <c r="AT407" s="208">
        <f>AS407*1.075</f>
        <v/>
      </c>
      <c r="AU407" s="208">
        <f>AT407+AK407</f>
        <v/>
      </c>
      <c r="AV407" s="198" t="n">
        <v>552729.2382110759</v>
      </c>
      <c r="AW407" s="264">
        <f>BO407*2</f>
        <v/>
      </c>
      <c r="AX407" s="220">
        <f>AV407-AU407</f>
        <v/>
      </c>
      <c r="AY407" s="35">
        <f>AX407/AR407</f>
        <v/>
      </c>
      <c r="AZ407" s="220">
        <f>AV407-AF407</f>
        <v/>
      </c>
      <c r="BA407" s="215">
        <f>AV407-SUM(Z407:AC407)</f>
        <v/>
      </c>
      <c r="BB407" s="215">
        <f>BA407-Y407</f>
        <v/>
      </c>
      <c r="BC407" s="35">
        <f>BB407/BA407</f>
        <v/>
      </c>
      <c r="BD407" s="35">
        <f>IFERROR(AZ407/AV407,)</f>
        <v/>
      </c>
      <c r="BE407" s="255">
        <f>AV407-SUM(Z407:AC407)</f>
        <v/>
      </c>
      <c r="BF407" s="255">
        <f>AV407-BE407-AC407-AB407</f>
        <v/>
      </c>
      <c r="BG407" s="255">
        <f>AV407-BE407-BF407-AB407</f>
        <v/>
      </c>
      <c r="BH407" s="255">
        <f>AB407</f>
        <v/>
      </c>
      <c r="BI407" s="263" t="inlineStr">
        <is>
          <t>Approved</t>
        </is>
      </c>
    </row>
    <row r="408">
      <c r="C408" s="23" t="inlineStr">
        <is>
          <t>HARUNA/YEKINI</t>
        </is>
      </c>
      <c r="D408">
        <f>CONCATENATE(G408,"-",H408,"-",F408)</f>
        <v/>
      </c>
      <c r="E408" s="24" t="inlineStr">
        <is>
          <t>JMG-10T-Hiabs Logistics-Upcountry</t>
        </is>
      </c>
      <c r="F408" s="23" t="inlineStr">
        <is>
          <t>Upcountry</t>
        </is>
      </c>
      <c r="G408" s="25" t="inlineStr">
        <is>
          <t>Hiabs Logistics</t>
        </is>
      </c>
      <c r="H408" s="24" t="inlineStr">
        <is>
          <t>10T</t>
        </is>
      </c>
      <c r="I408" s="73" t="inlineStr">
        <is>
          <t>JMG</t>
        </is>
      </c>
      <c r="J408" s="74" t="inlineStr">
        <is>
          <t>Abuja</t>
        </is>
      </c>
      <c r="K408" s="74" t="inlineStr">
        <is>
          <t>Zamfara</t>
        </is>
      </c>
      <c r="L408" s="67" t="inlineStr">
        <is>
          <t>Zamfara</t>
        </is>
      </c>
      <c r="M408" s="68" t="n"/>
      <c r="N408" s="201">
        <f>O408/2</f>
        <v/>
      </c>
      <c r="O408" s="201" t="n">
        <v>1064</v>
      </c>
      <c r="P408" s="220">
        <f>ROUNDUP(O408/300,)</f>
        <v/>
      </c>
      <c r="Q408" s="220">
        <f>ROUNDUP(P408/400,)</f>
        <v/>
      </c>
      <c r="R408" s="220">
        <f>Q408+P408</f>
        <v/>
      </c>
      <c r="S408" s="198">
        <f>ROUNDDOWN(O408*0.51,)+60</f>
        <v/>
      </c>
      <c r="T408" s="207">
        <f>_xlfn.XLOOKUP(G408,[1]Fx!$A$4:$A$10,[1]Fx!$B$4:$B$10)</f>
        <v/>
      </c>
      <c r="U408" s="207">
        <f>_xlfn.XLOOKUP(G408,'[1]BP Setup'!$B$6:$B$72,'[1]BP Setup'!$Q$6:$Q$72)</f>
        <v/>
      </c>
      <c r="V408" s="207">
        <f>_xlfn.XLOOKUP(G408,'[1]BP Setup'!$B$6:$B$72,'[1]BP Setup'!$R$6:$R$72)</f>
        <v/>
      </c>
      <c r="W408" s="207">
        <f>$W$3</f>
        <v/>
      </c>
      <c r="X408" s="207" t="n">
        <v>80</v>
      </c>
      <c r="Y408" s="215">
        <f>T408*R408</f>
        <v/>
      </c>
      <c r="Z408" s="215">
        <f>U408*O408</f>
        <v/>
      </c>
      <c r="AA408" s="215">
        <f>V408*O408</f>
        <v/>
      </c>
      <c r="AB408" s="215">
        <f>W408*O408</f>
        <v/>
      </c>
      <c r="AC408" s="197">
        <f>X408*O408</f>
        <v/>
      </c>
      <c r="AD408" s="215" t="n">
        <v>20000</v>
      </c>
      <c r="AE408" s="215" t="n">
        <v>0</v>
      </c>
      <c r="AF408" s="207">
        <f>SUM(Y408:AE408)</f>
        <v/>
      </c>
      <c r="AG408" s="254">
        <f>_xlfn.XLOOKUP(G408,[1]Fx!$A$16:$A$22,[1]Fx!$B$16:$B$22)</f>
        <v/>
      </c>
      <c r="AH408" s="207">
        <f>AG408*R408</f>
        <v/>
      </c>
      <c r="AI408" s="207">
        <f>$AI$3*Z408</f>
        <v/>
      </c>
      <c r="AJ408" s="207">
        <f>$AJ$3*AA408</f>
        <v/>
      </c>
      <c r="AK408" s="207">
        <f>$AK$3*AB408</f>
        <v/>
      </c>
      <c r="AL408" s="207">
        <f>$AL$3*AC408</f>
        <v/>
      </c>
      <c r="AM408" s="220">
        <f>SUM(AH408:AL408)</f>
        <v/>
      </c>
      <c r="AN408" s="220" t="n">
        <v>0</v>
      </c>
      <c r="AO408" s="220">
        <f>AN408*AH408</f>
        <v/>
      </c>
      <c r="AP408" s="220" t="n">
        <v>0</v>
      </c>
      <c r="AQ408" s="220">
        <f>AE408</f>
        <v/>
      </c>
      <c r="AR408" s="208">
        <f>AM408-AO408</f>
        <v/>
      </c>
      <c r="AS408" s="220">
        <f>AR408-AK408</f>
        <v/>
      </c>
      <c r="AT408" s="208">
        <f>AS408*1.075</f>
        <v/>
      </c>
      <c r="AU408" s="208">
        <f>AT408+AK408</f>
        <v/>
      </c>
      <c r="AV408" s="198" t="n">
        <v>658010.9978703284</v>
      </c>
      <c r="AW408" s="264">
        <f>BO408*2</f>
        <v/>
      </c>
      <c r="AX408" s="220">
        <f>AV408-AU408</f>
        <v/>
      </c>
      <c r="AY408" s="35">
        <f>AX408/AR408</f>
        <v/>
      </c>
      <c r="AZ408" s="220">
        <f>AV408-AF408</f>
        <v/>
      </c>
      <c r="BA408" s="215">
        <f>AV408-SUM(Z408:AC408)</f>
        <v/>
      </c>
      <c r="BB408" s="215">
        <f>BA408-Y408</f>
        <v/>
      </c>
      <c r="BC408" s="35">
        <f>BB408/BA408</f>
        <v/>
      </c>
      <c r="BD408" s="35">
        <f>IFERROR(AZ408/AV408,)</f>
        <v/>
      </c>
      <c r="BE408" s="255">
        <f>AV408-SUM(Z408:AC408)</f>
        <v/>
      </c>
      <c r="BF408" s="255">
        <f>AV408-BE408-AC408-AB408</f>
        <v/>
      </c>
      <c r="BG408" s="255">
        <f>AV408-BE408-BF408-AB408</f>
        <v/>
      </c>
      <c r="BH408" s="255">
        <f>AB408</f>
        <v/>
      </c>
      <c r="BI408" s="263" t="inlineStr">
        <is>
          <t>Worst Case Approved</t>
        </is>
      </c>
    </row>
    <row r="409">
      <c r="C409" s="23" t="inlineStr">
        <is>
          <t>HARUNA/YEKINI</t>
        </is>
      </c>
      <c r="D409">
        <f>CONCATENATE(G409,"-",H409,"-",F409)</f>
        <v/>
      </c>
      <c r="E409" s="24" t="inlineStr">
        <is>
          <t>JMG-10T-Hiabs Logistics-Upcountry</t>
        </is>
      </c>
      <c r="F409" s="23" t="inlineStr">
        <is>
          <t>Upcountry</t>
        </is>
      </c>
      <c r="G409" s="25" t="inlineStr">
        <is>
          <t>Hiabs Logistics</t>
        </is>
      </c>
      <c r="H409" s="24" t="inlineStr">
        <is>
          <t>10T</t>
        </is>
      </c>
      <c r="I409" s="73" t="inlineStr">
        <is>
          <t>JMG</t>
        </is>
      </c>
      <c r="J409" s="74" t="inlineStr">
        <is>
          <t>Abuja</t>
        </is>
      </c>
      <c r="K409" s="74" t="inlineStr">
        <is>
          <t>Benin City</t>
        </is>
      </c>
      <c r="L409" s="67" t="inlineStr">
        <is>
          <t>Edo</t>
        </is>
      </c>
      <c r="M409" s="68" t="n"/>
      <c r="N409" s="201">
        <f>O409/2</f>
        <v/>
      </c>
      <c r="O409" s="201" t="n">
        <v>979</v>
      </c>
      <c r="P409" s="220">
        <f>ROUNDUP(O409/300,)</f>
        <v/>
      </c>
      <c r="Q409" s="220">
        <f>ROUNDUP(P409/400,)</f>
        <v/>
      </c>
      <c r="R409" s="220">
        <f>Q409+P409</f>
        <v/>
      </c>
      <c r="S409" s="198">
        <f>ROUNDDOWN(O409*0.51,)+60</f>
        <v/>
      </c>
      <c r="T409" s="207">
        <f>_xlfn.XLOOKUP(G409,[1]Fx!$A$4:$A$10,[1]Fx!$B$4:$B$10)</f>
        <v/>
      </c>
      <c r="U409" s="207">
        <f>_xlfn.XLOOKUP(G409,'[1]BP Setup'!$B$6:$B$72,'[1]BP Setup'!$Q$6:$Q$72)</f>
        <v/>
      </c>
      <c r="V409" s="207">
        <f>_xlfn.XLOOKUP(G409,'[1]BP Setup'!$B$6:$B$72,'[1]BP Setup'!$R$6:$R$72)</f>
        <v/>
      </c>
      <c r="W409" s="207">
        <f>$W$3</f>
        <v/>
      </c>
      <c r="X409" s="207" t="n">
        <v>80</v>
      </c>
      <c r="Y409" s="215">
        <f>T409*R409</f>
        <v/>
      </c>
      <c r="Z409" s="215">
        <f>U409*O409</f>
        <v/>
      </c>
      <c r="AA409" s="215">
        <f>V409*O409</f>
        <v/>
      </c>
      <c r="AB409" s="215">
        <f>W409*O409</f>
        <v/>
      </c>
      <c r="AC409" s="197">
        <f>X409*O409</f>
        <v/>
      </c>
      <c r="AD409" s="215" t="n">
        <v>20000</v>
      </c>
      <c r="AE409" s="215" t="n">
        <v>0</v>
      </c>
      <c r="AF409" s="207">
        <f>SUM(Y409:AE409)</f>
        <v/>
      </c>
      <c r="AG409" s="254">
        <f>_xlfn.XLOOKUP(G409,[1]Fx!$A$16:$A$22,[1]Fx!$B$16:$B$22)</f>
        <v/>
      </c>
      <c r="AH409" s="207">
        <f>AG409*R409</f>
        <v/>
      </c>
      <c r="AI409" s="207">
        <f>$AI$3*Z409</f>
        <v/>
      </c>
      <c r="AJ409" s="207">
        <f>$AJ$3*AA409</f>
        <v/>
      </c>
      <c r="AK409" s="207">
        <f>$AK$3*AB409</f>
        <v/>
      </c>
      <c r="AL409" s="207">
        <f>$AL$3*AC409</f>
        <v/>
      </c>
      <c r="AM409" s="220">
        <f>SUM(AH409:AL409)</f>
        <v/>
      </c>
      <c r="AN409" s="220" t="n">
        <v>0</v>
      </c>
      <c r="AO409" s="220">
        <f>AN409*AH409</f>
        <v/>
      </c>
      <c r="AP409" s="220" t="n">
        <v>0</v>
      </c>
      <c r="AQ409" s="220">
        <f>AE409</f>
        <v/>
      </c>
      <c r="AR409" s="208">
        <f>AM409-AO409</f>
        <v/>
      </c>
      <c r="AS409" s="220">
        <f>AR409-AK409</f>
        <v/>
      </c>
      <c r="AT409" s="208">
        <f>AS409*1.075</f>
        <v/>
      </c>
      <c r="AU409" s="208">
        <f>AT409+AK409</f>
        <v/>
      </c>
      <c r="AV409" s="198" t="n">
        <v>658010.9978703284</v>
      </c>
      <c r="AW409" s="264">
        <f>BO409*2</f>
        <v/>
      </c>
      <c r="AX409" s="220">
        <f>AV409-AU409</f>
        <v/>
      </c>
      <c r="AY409" s="35">
        <f>AX409/AR409</f>
        <v/>
      </c>
      <c r="AZ409" s="220">
        <f>AV409-AF409</f>
        <v/>
      </c>
      <c r="BA409" s="215">
        <f>AV409-SUM(Z409:AC409)</f>
        <v/>
      </c>
      <c r="BB409" s="215">
        <f>BA409-Y409</f>
        <v/>
      </c>
      <c r="BC409" s="35">
        <f>BB409/BA409</f>
        <v/>
      </c>
      <c r="BD409" s="35">
        <f>IFERROR(AZ409/AV409,)</f>
        <v/>
      </c>
      <c r="BE409" s="255">
        <f>AV409-SUM(Z409:AC409)</f>
        <v/>
      </c>
      <c r="BF409" s="255">
        <f>AV409-BE409-AC409-AB409</f>
        <v/>
      </c>
      <c r="BG409" s="255">
        <f>AV409-BE409-BF409-AB409</f>
        <v/>
      </c>
      <c r="BH409" s="255">
        <f>AB409</f>
        <v/>
      </c>
      <c r="BI409" s="263" t="inlineStr">
        <is>
          <t>Worst Case Approved</t>
        </is>
      </c>
    </row>
    <row r="410">
      <c r="C410" s="23" t="inlineStr">
        <is>
          <t>HARUNA/YEKINI</t>
        </is>
      </c>
      <c r="D410">
        <f>CONCATENATE(G410,"-",H410,"-",F410)</f>
        <v/>
      </c>
      <c r="E410" s="24" t="inlineStr">
        <is>
          <t>JMG-10T-Hiabs Logistics-Upcountry</t>
        </is>
      </c>
      <c r="F410" s="23" t="inlineStr">
        <is>
          <t>Upcountry</t>
        </is>
      </c>
      <c r="G410" s="25" t="inlineStr">
        <is>
          <t>Hiabs Logistics</t>
        </is>
      </c>
      <c r="H410" s="24" t="inlineStr">
        <is>
          <t>10T</t>
        </is>
      </c>
      <c r="I410" s="73" t="inlineStr">
        <is>
          <t>JMG</t>
        </is>
      </c>
      <c r="J410" s="74" t="inlineStr">
        <is>
          <t>Abuja</t>
        </is>
      </c>
      <c r="K410" s="74" t="inlineStr">
        <is>
          <t>Kano</t>
        </is>
      </c>
      <c r="L410" s="67" t="inlineStr">
        <is>
          <t>Kano</t>
        </is>
      </c>
      <c r="M410" s="68" t="n"/>
      <c r="N410" s="201">
        <f>O410/2</f>
        <v/>
      </c>
      <c r="O410" s="201" t="n">
        <v>858</v>
      </c>
      <c r="P410" s="220">
        <f>ROUNDUP(O410/300,)</f>
        <v/>
      </c>
      <c r="Q410" s="220" t="n">
        <v>1</v>
      </c>
      <c r="R410" s="220">
        <f>Q410+P410</f>
        <v/>
      </c>
      <c r="S410" s="198">
        <f>ROUNDDOWN(O410*0.51,)+60</f>
        <v/>
      </c>
      <c r="T410" s="207">
        <f>_xlfn.XLOOKUP(G410,[1]Fx!$A$4:$A$10,[1]Fx!$B$4:$B$10)</f>
        <v/>
      </c>
      <c r="U410" s="207">
        <f>_xlfn.XLOOKUP(G410,'[1]BP Setup'!$B$6:$B$72,'[1]BP Setup'!$Q$6:$Q$72)</f>
        <v/>
      </c>
      <c r="V410" s="207">
        <f>_xlfn.XLOOKUP(G410,'[1]BP Setup'!$B$6:$B$72,'[1]BP Setup'!$R$6:$R$72)</f>
        <v/>
      </c>
      <c r="W410" s="207">
        <f>$W$3</f>
        <v/>
      </c>
      <c r="X410" s="207" t="n">
        <v>80</v>
      </c>
      <c r="Y410" s="215">
        <f>T410*R410</f>
        <v/>
      </c>
      <c r="Z410" s="215">
        <f>U410*O410</f>
        <v/>
      </c>
      <c r="AA410" s="215">
        <f>V410*O410</f>
        <v/>
      </c>
      <c r="AB410" s="215">
        <f>W410*O410</f>
        <v/>
      </c>
      <c r="AC410" s="197">
        <f>X410*O410</f>
        <v/>
      </c>
      <c r="AD410" s="215" t="n">
        <v>0</v>
      </c>
      <c r="AE410" s="215" t="n">
        <v>0</v>
      </c>
      <c r="AF410" s="207">
        <f>SUM(Y410:AE410)</f>
        <v/>
      </c>
      <c r="AG410" s="254">
        <f>_xlfn.XLOOKUP(G410,[1]Fx!$A$16:$A$22,[1]Fx!$B$16:$B$22)</f>
        <v/>
      </c>
      <c r="AH410" s="207">
        <f>AG410*R410</f>
        <v/>
      </c>
      <c r="AI410" s="207">
        <f>$AI$3*Z410</f>
        <v/>
      </c>
      <c r="AJ410" s="207">
        <f>$AJ$3*AA410</f>
        <v/>
      </c>
      <c r="AK410" s="207">
        <f>$AK$3*AB410</f>
        <v/>
      </c>
      <c r="AL410" s="207">
        <f>$AL$3*AC410</f>
        <v/>
      </c>
      <c r="AM410" s="220">
        <f>SUM(AH410:AL410)</f>
        <v/>
      </c>
      <c r="AN410" s="220" t="n">
        <v>0</v>
      </c>
      <c r="AO410" s="220">
        <f>AN410*AH410</f>
        <v/>
      </c>
      <c r="AP410" s="220">
        <f>AD410</f>
        <v/>
      </c>
      <c r="AQ410" s="220">
        <f>AE410</f>
        <v/>
      </c>
      <c r="AR410" s="208">
        <f>AM410-AO410</f>
        <v/>
      </c>
      <c r="AS410" s="220">
        <f>AR410-AK410</f>
        <v/>
      </c>
      <c r="AT410" s="208">
        <f>AS410*1.075</f>
        <v/>
      </c>
      <c r="AU410" s="208">
        <f>AT410+AK410</f>
        <v/>
      </c>
      <c r="AV410" s="198" t="n">
        <v>526408.7982962627</v>
      </c>
      <c r="AW410" s="264">
        <f>BO410*2</f>
        <v/>
      </c>
      <c r="AX410" s="220">
        <f>AV410-AR410</f>
        <v/>
      </c>
      <c r="AY410" s="35">
        <f>AX410/AR410</f>
        <v/>
      </c>
      <c r="AZ410" s="220">
        <f>AV410-AF410</f>
        <v/>
      </c>
      <c r="BA410" s="215">
        <f>AV410-SUM(Z410:AC410)</f>
        <v/>
      </c>
      <c r="BB410" s="215">
        <f>BA410-Y410</f>
        <v/>
      </c>
      <c r="BC410" s="35">
        <f>BB410/BA410</f>
        <v/>
      </c>
      <c r="BD410" s="35">
        <f>IFERROR(AZ410/AV410,)</f>
        <v/>
      </c>
      <c r="BE410" s="255">
        <f>AV410-SUM(Z410:AC410)</f>
        <v/>
      </c>
      <c r="BF410" s="255">
        <f>AV410-BE410-AC410-AB410</f>
        <v/>
      </c>
      <c r="BG410" s="255">
        <f>AV410-BE410-BF410-AB410</f>
        <v/>
      </c>
      <c r="BH410" s="255">
        <f>AB410</f>
        <v/>
      </c>
      <c r="BI410" s="263" t="inlineStr">
        <is>
          <t>Worst Case Approved</t>
        </is>
      </c>
    </row>
    <row r="411">
      <c r="C411" s="23" t="inlineStr">
        <is>
          <t>HARUNA/YEKINI</t>
        </is>
      </c>
      <c r="D411">
        <f>CONCATENATE(G411,"-",H411,"-",F411)</f>
        <v/>
      </c>
      <c r="E411" s="24" t="inlineStr">
        <is>
          <t>JMG-10T-Hiabs Logistics-Upcountry</t>
        </is>
      </c>
      <c r="F411" s="23" t="inlineStr">
        <is>
          <t>Upcountry</t>
        </is>
      </c>
      <c r="G411" s="25" t="inlineStr">
        <is>
          <t>Hiabs Logistics</t>
        </is>
      </c>
      <c r="H411" s="24" t="inlineStr">
        <is>
          <t>10T</t>
        </is>
      </c>
      <c r="I411" s="73" t="inlineStr">
        <is>
          <t>JMG</t>
        </is>
      </c>
      <c r="J411" s="74" t="inlineStr">
        <is>
          <t>Abuja</t>
        </is>
      </c>
      <c r="K411" s="74" t="inlineStr">
        <is>
          <t>Bauchi</t>
        </is>
      </c>
      <c r="L411" s="67" t="inlineStr">
        <is>
          <t>Bauchi</t>
        </is>
      </c>
      <c r="M411" s="68" t="n"/>
      <c r="N411" s="201">
        <f>O411/2</f>
        <v/>
      </c>
      <c r="O411" s="201" t="n">
        <v>792</v>
      </c>
      <c r="P411" s="220">
        <f>ROUNDUP(O411/300,)</f>
        <v/>
      </c>
      <c r="Q411" s="220" t="n">
        <v>1</v>
      </c>
      <c r="R411" s="220">
        <f>Q411+P411</f>
        <v/>
      </c>
      <c r="S411" s="198">
        <f>ROUNDDOWN(O411*0.51,)+60</f>
        <v/>
      </c>
      <c r="T411" s="207">
        <f>_xlfn.XLOOKUP(G411,[1]Fx!$A$4:$A$10,[1]Fx!$B$4:$B$10)</f>
        <v/>
      </c>
      <c r="U411" s="207">
        <f>_xlfn.XLOOKUP(G411,'[1]BP Setup'!$B$6:$B$72,'[1]BP Setup'!$Q$6:$Q$72)</f>
        <v/>
      </c>
      <c r="V411" s="207">
        <f>_xlfn.XLOOKUP(G411,'[1]BP Setup'!$B$6:$B$72,'[1]BP Setup'!$R$6:$R$72)</f>
        <v/>
      </c>
      <c r="W411" s="207">
        <f>$W$3</f>
        <v/>
      </c>
      <c r="X411" s="207" t="n">
        <v>80</v>
      </c>
      <c r="Y411" s="215">
        <f>T411*R411</f>
        <v/>
      </c>
      <c r="Z411" s="215">
        <f>U411*O411</f>
        <v/>
      </c>
      <c r="AA411" s="215">
        <f>V411*O411</f>
        <v/>
      </c>
      <c r="AB411" s="215">
        <f>W411*O411</f>
        <v/>
      </c>
      <c r="AC411" s="197">
        <f>X411*O411</f>
        <v/>
      </c>
      <c r="AD411" s="215" t="n">
        <v>0</v>
      </c>
      <c r="AE411" s="215" t="n">
        <v>0</v>
      </c>
      <c r="AF411" s="207">
        <f>SUM(Y411:AE411)</f>
        <v/>
      </c>
      <c r="AG411" s="254">
        <f>_xlfn.XLOOKUP(G411,[1]Fx!$A$16:$A$22,[1]Fx!$B$16:$B$22)</f>
        <v/>
      </c>
      <c r="AH411" s="207">
        <f>AG411*R411</f>
        <v/>
      </c>
      <c r="AI411" s="207">
        <f>$AI$3*Z411</f>
        <v/>
      </c>
      <c r="AJ411" s="207">
        <f>$AJ$3*AA411</f>
        <v/>
      </c>
      <c r="AK411" s="207">
        <f>$AK$3*AB411</f>
        <v/>
      </c>
      <c r="AL411" s="207">
        <f>$AL$3*AC411</f>
        <v/>
      </c>
      <c r="AM411" s="220">
        <f>SUM(AH411:AL411)</f>
        <v/>
      </c>
      <c r="AN411" s="220" t="n">
        <v>0</v>
      </c>
      <c r="AO411" s="220">
        <f>AN411*AH411</f>
        <v/>
      </c>
      <c r="AP411" s="220">
        <f>AD411</f>
        <v/>
      </c>
      <c r="AQ411" s="220">
        <f>AE411</f>
        <v/>
      </c>
      <c r="AR411" s="208">
        <f>AM411-AO411</f>
        <v/>
      </c>
      <c r="AS411" s="220">
        <f>AR411-AK411</f>
        <v/>
      </c>
      <c r="AT411" s="208">
        <f>AS411*1.075</f>
        <v/>
      </c>
      <c r="AU411" s="208">
        <f>AT411+AK411</f>
        <v/>
      </c>
      <c r="AV411" s="198" t="n">
        <v>526408.7982962627</v>
      </c>
      <c r="AW411" s="264">
        <f>BO411*2</f>
        <v/>
      </c>
      <c r="AX411" s="220">
        <f>AV411-AR411</f>
        <v/>
      </c>
      <c r="AY411" s="35">
        <f>AX411/AR411</f>
        <v/>
      </c>
      <c r="AZ411" s="220">
        <f>AV411-AF411</f>
        <v/>
      </c>
      <c r="BA411" s="215">
        <f>AV411-SUM(Z411:AC411)</f>
        <v/>
      </c>
      <c r="BB411" s="215">
        <f>BA411-Y411</f>
        <v/>
      </c>
      <c r="BC411" s="35">
        <f>BB411/BA411</f>
        <v/>
      </c>
      <c r="BD411" s="35">
        <f>IFERROR(AZ411/AV411,)</f>
        <v/>
      </c>
      <c r="BE411" s="255">
        <f>AV411-SUM(Z411:AC411)</f>
        <v/>
      </c>
      <c r="BF411" s="255">
        <f>AV411-BE411-AC411-AB411</f>
        <v/>
      </c>
      <c r="BG411" s="255">
        <f>AV411-BE411-BF411-AB411</f>
        <v/>
      </c>
      <c r="BH411" s="255">
        <f>AB411</f>
        <v/>
      </c>
      <c r="BI411" s="263" t="inlineStr">
        <is>
          <t>Worst Case Approved</t>
        </is>
      </c>
    </row>
    <row r="412">
      <c r="C412" s="23" t="inlineStr">
        <is>
          <t>HARUNA/YEKINI</t>
        </is>
      </c>
      <c r="D412">
        <f>CONCATENATE(G412,"-",H412,"-",F412)</f>
        <v/>
      </c>
      <c r="E412" s="24" t="inlineStr">
        <is>
          <t>JMG-10T-Hiabs Logistics-Upcountry</t>
        </is>
      </c>
      <c r="F412" s="23" t="inlineStr">
        <is>
          <t>Upcountry</t>
        </is>
      </c>
      <c r="G412" s="25" t="inlineStr">
        <is>
          <t>Hiabs Logistics</t>
        </is>
      </c>
      <c r="H412" s="24" t="inlineStr">
        <is>
          <t>10T</t>
        </is>
      </c>
      <c r="I412" s="73" t="inlineStr">
        <is>
          <t>JMG</t>
        </is>
      </c>
      <c r="J412" s="74" t="inlineStr">
        <is>
          <t>Abuja</t>
        </is>
      </c>
      <c r="K412" s="74" t="inlineStr">
        <is>
          <t>Gboko</t>
        </is>
      </c>
      <c r="L412" s="67" t="inlineStr">
        <is>
          <t>Benue</t>
        </is>
      </c>
      <c r="M412" s="68" t="n"/>
      <c r="N412" s="201">
        <f>O412/2</f>
        <v/>
      </c>
      <c r="O412" s="201" t="n">
        <v>748</v>
      </c>
      <c r="P412" s="220">
        <f>ROUNDUP(O412/300,)</f>
        <v/>
      </c>
      <c r="Q412" s="220" t="n">
        <v>1</v>
      </c>
      <c r="R412" s="220">
        <f>Q412+P412</f>
        <v/>
      </c>
      <c r="S412" s="198">
        <f>ROUNDDOWN(O412*0.51,)+60</f>
        <v/>
      </c>
      <c r="T412" s="207">
        <f>_xlfn.XLOOKUP(G412,[1]Fx!$A$4:$A$10,[1]Fx!$B$4:$B$10)</f>
        <v/>
      </c>
      <c r="U412" s="207">
        <f>_xlfn.XLOOKUP(G412,'[1]BP Setup'!$B$6:$B$72,'[1]BP Setup'!$Q$6:$Q$72)</f>
        <v/>
      </c>
      <c r="V412" s="207">
        <f>_xlfn.XLOOKUP(G412,'[1]BP Setup'!$B$6:$B$72,'[1]BP Setup'!$R$6:$R$72)</f>
        <v/>
      </c>
      <c r="W412" s="207">
        <f>$W$3</f>
        <v/>
      </c>
      <c r="X412" s="207" t="n">
        <v>80</v>
      </c>
      <c r="Y412" s="215">
        <f>T412*R412</f>
        <v/>
      </c>
      <c r="Z412" s="215">
        <f>U412*O412</f>
        <v/>
      </c>
      <c r="AA412" s="215">
        <f>V412*O412</f>
        <v/>
      </c>
      <c r="AB412" s="215">
        <f>W412*O412</f>
        <v/>
      </c>
      <c r="AC412" s="197">
        <f>X412*O412</f>
        <v/>
      </c>
      <c r="AD412" s="215" t="n">
        <v>0</v>
      </c>
      <c r="AE412" s="215" t="n">
        <v>0</v>
      </c>
      <c r="AF412" s="207">
        <f>SUM(Y412:AE412)</f>
        <v/>
      </c>
      <c r="AG412" s="254">
        <f>_xlfn.XLOOKUP(G412,[1]Fx!$A$16:$A$22,[1]Fx!$B$16:$B$22)</f>
        <v/>
      </c>
      <c r="AH412" s="207">
        <f>AG412*R412</f>
        <v/>
      </c>
      <c r="AI412" s="207">
        <f>$AI$3*Z412</f>
        <v/>
      </c>
      <c r="AJ412" s="207">
        <f>$AJ$3*AA412</f>
        <v/>
      </c>
      <c r="AK412" s="207">
        <f>$AK$3*AB412</f>
        <v/>
      </c>
      <c r="AL412" s="207">
        <f>$AL$3*AC412</f>
        <v/>
      </c>
      <c r="AM412" s="220">
        <f>SUM(AH412:AL412)</f>
        <v/>
      </c>
      <c r="AN412" s="220" t="n">
        <v>0</v>
      </c>
      <c r="AO412" s="220">
        <f>AN412*AH412</f>
        <v/>
      </c>
      <c r="AP412" s="220">
        <f>AD412</f>
        <v/>
      </c>
      <c r="AQ412" s="220">
        <f>AE412</f>
        <v/>
      </c>
      <c r="AR412" s="208">
        <f>AM412-AO412</f>
        <v/>
      </c>
      <c r="AS412" s="220">
        <f>AR412-AK412</f>
        <v/>
      </c>
      <c r="AT412" s="208">
        <f>AS412*1.075</f>
        <v/>
      </c>
      <c r="AU412" s="208">
        <f>AT412+AK412</f>
        <v/>
      </c>
      <c r="AV412" s="198" t="n">
        <v>526408.7982962627</v>
      </c>
      <c r="AW412" s="264">
        <f>BO412*2</f>
        <v/>
      </c>
      <c r="AX412" s="220">
        <f>AV412-AR412</f>
        <v/>
      </c>
      <c r="AY412" s="35">
        <f>AX412/AR412</f>
        <v/>
      </c>
      <c r="AZ412" s="220">
        <f>AV412-AF412</f>
        <v/>
      </c>
      <c r="BA412" s="215">
        <f>AV412-SUM(Z412:AC412)</f>
        <v/>
      </c>
      <c r="BB412" s="215">
        <f>BA412-Y412</f>
        <v/>
      </c>
      <c r="BC412" s="35">
        <f>BB412/BA412</f>
        <v/>
      </c>
      <c r="BD412" s="35">
        <f>IFERROR(AZ412/AV412,)</f>
        <v/>
      </c>
      <c r="BE412" s="255">
        <f>AV412-SUM(Z412:AC412)</f>
        <v/>
      </c>
      <c r="BF412" s="255">
        <f>AV412-BE412-AC412-AB412</f>
        <v/>
      </c>
      <c r="BG412" s="255">
        <f>AV412-BE412-BF412-AB412</f>
        <v/>
      </c>
      <c r="BH412" s="255">
        <f>AB412</f>
        <v/>
      </c>
      <c r="BI412" s="263" t="inlineStr">
        <is>
          <t>Approved</t>
        </is>
      </c>
    </row>
    <row r="413">
      <c r="C413" s="23" t="inlineStr">
        <is>
          <t>HARUNA/YEKINI</t>
        </is>
      </c>
      <c r="D413">
        <f>CONCATENATE(G413,"-",H413,"-",F413)</f>
        <v/>
      </c>
      <c r="E413" s="24" t="inlineStr">
        <is>
          <t>JMG-10T-Hiabs Logistics-Upcountry</t>
        </is>
      </c>
      <c r="F413" s="23" t="inlineStr">
        <is>
          <t>Upcountry</t>
        </is>
      </c>
      <c r="G413" s="25" t="inlineStr">
        <is>
          <t>Hiabs Logistics</t>
        </is>
      </c>
      <c r="H413" s="24" t="inlineStr">
        <is>
          <t>10T</t>
        </is>
      </c>
      <c r="I413" s="73" t="inlineStr">
        <is>
          <t>JMG</t>
        </is>
      </c>
      <c r="J413" s="74" t="inlineStr">
        <is>
          <t>Abuja</t>
        </is>
      </c>
      <c r="K413" s="74" t="inlineStr">
        <is>
          <t>Ankpa</t>
        </is>
      </c>
      <c r="L413" s="67" t="inlineStr">
        <is>
          <t>Kogi</t>
        </is>
      </c>
      <c r="M413" s="68" t="n"/>
      <c r="N413" s="201">
        <f>O413/2</f>
        <v/>
      </c>
      <c r="O413" s="201" t="n">
        <v>743</v>
      </c>
      <c r="P413" s="220">
        <f>ROUNDUP(O413/300,)</f>
        <v/>
      </c>
      <c r="Q413" s="220" t="n">
        <v>1</v>
      </c>
      <c r="R413" s="220">
        <f>Q413+P413</f>
        <v/>
      </c>
      <c r="S413" s="198">
        <f>ROUNDDOWN(O413*0.51,)+60</f>
        <v/>
      </c>
      <c r="T413" s="207">
        <f>_xlfn.XLOOKUP(G413,[1]Fx!$A$4:$A$10,[1]Fx!$B$4:$B$10)</f>
        <v/>
      </c>
      <c r="U413" s="207">
        <f>_xlfn.XLOOKUP(G413,'[1]BP Setup'!$B$6:$B$72,'[1]BP Setup'!$Q$6:$Q$72)</f>
        <v/>
      </c>
      <c r="V413" s="207">
        <f>_xlfn.XLOOKUP(G413,'[1]BP Setup'!$B$6:$B$72,'[1]BP Setup'!$R$6:$R$72)</f>
        <v/>
      </c>
      <c r="W413" s="207">
        <f>$W$3</f>
        <v/>
      </c>
      <c r="X413" s="207" t="n">
        <v>80</v>
      </c>
      <c r="Y413" s="215">
        <f>T413*R413</f>
        <v/>
      </c>
      <c r="Z413" s="215">
        <f>U413*O413</f>
        <v/>
      </c>
      <c r="AA413" s="215">
        <f>V413*O413</f>
        <v/>
      </c>
      <c r="AB413" s="215">
        <f>W413*O413</f>
        <v/>
      </c>
      <c r="AC413" s="197">
        <f>X413*O413</f>
        <v/>
      </c>
      <c r="AD413" s="215" t="n">
        <v>0</v>
      </c>
      <c r="AE413" s="215" t="n">
        <v>0</v>
      </c>
      <c r="AF413" s="207">
        <f>SUM(Y413:AE413)</f>
        <v/>
      </c>
      <c r="AG413" s="254">
        <f>_xlfn.XLOOKUP(G413,[1]Fx!$A$16:$A$22,[1]Fx!$B$16:$B$22)</f>
        <v/>
      </c>
      <c r="AH413" s="207">
        <f>AG413*R413</f>
        <v/>
      </c>
      <c r="AI413" s="207">
        <f>$AI$3*Z413</f>
        <v/>
      </c>
      <c r="AJ413" s="207">
        <f>$AJ$3*AA413</f>
        <v/>
      </c>
      <c r="AK413" s="207">
        <f>$AK$3*AB413</f>
        <v/>
      </c>
      <c r="AL413" s="207">
        <f>$AL$3*AC413</f>
        <v/>
      </c>
      <c r="AM413" s="220">
        <f>SUM(AH413:AL413)</f>
        <v/>
      </c>
      <c r="AN413" s="220" t="n">
        <v>0</v>
      </c>
      <c r="AO413" s="220">
        <f>AN413*AH413</f>
        <v/>
      </c>
      <c r="AP413" s="220">
        <f>AD413</f>
        <v/>
      </c>
      <c r="AQ413" s="220">
        <f>AE413</f>
        <v/>
      </c>
      <c r="AR413" s="208">
        <f>AM413-AO413</f>
        <v/>
      </c>
      <c r="AS413" s="220">
        <f>AR413-AK413</f>
        <v/>
      </c>
      <c r="AT413" s="208">
        <f>AS413*1.075</f>
        <v/>
      </c>
      <c r="AU413" s="208">
        <f>AT413+AK413</f>
        <v/>
      </c>
      <c r="AV413" s="198" t="n">
        <v>526408.7982962627</v>
      </c>
      <c r="AW413" s="264">
        <f>BO413*2</f>
        <v/>
      </c>
      <c r="AX413" s="220">
        <f>AV413-AR413</f>
        <v/>
      </c>
      <c r="AY413" s="35">
        <f>AX413/AR413</f>
        <v/>
      </c>
      <c r="AZ413" s="220">
        <f>AV413-AF413</f>
        <v/>
      </c>
      <c r="BA413" s="215">
        <f>AV413-SUM(Z413:AC413)</f>
        <v/>
      </c>
      <c r="BB413" s="215">
        <f>BA413-Y413</f>
        <v/>
      </c>
      <c r="BC413" s="35">
        <f>BB413/BA413</f>
        <v/>
      </c>
      <c r="BD413" s="35">
        <f>IFERROR(AZ413/AV413,)</f>
        <v/>
      </c>
      <c r="BE413" s="255">
        <f>AV413-SUM(Z413:AC413)</f>
        <v/>
      </c>
      <c r="BF413" s="255">
        <f>AV413-BE413-AC413-AB413</f>
        <v/>
      </c>
      <c r="BG413" s="255">
        <f>AV413-BE413-BF413-AB413</f>
        <v/>
      </c>
      <c r="BH413" s="255">
        <f>AB413</f>
        <v/>
      </c>
      <c r="BI413" s="263" t="inlineStr">
        <is>
          <t xml:space="preserve">To Check </t>
        </is>
      </c>
    </row>
    <row r="414">
      <c r="C414" s="23" t="inlineStr">
        <is>
          <t>HARUNA/YEKINI</t>
        </is>
      </c>
      <c r="D414">
        <f>CONCATENATE(G414,"-",H414,"-",F414)</f>
        <v/>
      </c>
      <c r="E414" s="24" t="inlineStr">
        <is>
          <t>JMG-10T-Hiabs Logistics-Upcountry</t>
        </is>
      </c>
      <c r="F414" s="23" t="inlineStr">
        <is>
          <t>Upcountry</t>
        </is>
      </c>
      <c r="G414" s="25" t="inlineStr">
        <is>
          <t>Hiabs Logistics</t>
        </is>
      </c>
      <c r="H414" s="24" t="inlineStr">
        <is>
          <t>10T</t>
        </is>
      </c>
      <c r="I414" s="73" t="inlineStr">
        <is>
          <t>JMG</t>
        </is>
      </c>
      <c r="J414" s="74" t="inlineStr">
        <is>
          <t>Abuja</t>
        </is>
      </c>
      <c r="K414" s="74" t="inlineStr">
        <is>
          <t>Idah</t>
        </is>
      </c>
      <c r="L414" s="67" t="inlineStr">
        <is>
          <t>Kogi</t>
        </is>
      </c>
      <c r="M414" s="68" t="n"/>
      <c r="N414" s="201">
        <f>O414/2</f>
        <v/>
      </c>
      <c r="O414" s="201" t="n">
        <v>654</v>
      </c>
      <c r="P414" s="220">
        <f>ROUNDUP(O414/300,)</f>
        <v/>
      </c>
      <c r="Q414" s="220" t="n">
        <v>1</v>
      </c>
      <c r="R414" s="220">
        <f>Q414+P414</f>
        <v/>
      </c>
      <c r="S414" s="198">
        <f>ROUNDDOWN(O414*0.51,)+60</f>
        <v/>
      </c>
      <c r="T414" s="207">
        <f>_xlfn.XLOOKUP(G414,[1]Fx!$A$4:$A$10,[1]Fx!$B$4:$B$10)</f>
        <v/>
      </c>
      <c r="U414" s="207">
        <f>_xlfn.XLOOKUP(G414,'[1]BP Setup'!$B$6:$B$72,'[1]BP Setup'!$Q$6:$Q$72)</f>
        <v/>
      </c>
      <c r="V414" s="207">
        <f>_xlfn.XLOOKUP(G414,'[1]BP Setup'!$B$6:$B$72,'[1]BP Setup'!$R$6:$R$72)</f>
        <v/>
      </c>
      <c r="W414" s="207">
        <f>$W$3</f>
        <v/>
      </c>
      <c r="X414" s="207" t="n">
        <v>80</v>
      </c>
      <c r="Y414" s="215">
        <f>T414*R414</f>
        <v/>
      </c>
      <c r="Z414" s="215">
        <f>U414*O414</f>
        <v/>
      </c>
      <c r="AA414" s="215">
        <f>V414*O414</f>
        <v/>
      </c>
      <c r="AB414" s="215">
        <f>W414*O414</f>
        <v/>
      </c>
      <c r="AC414" s="197">
        <f>X414*O414</f>
        <v/>
      </c>
      <c r="AD414" s="215" t="n">
        <v>0</v>
      </c>
      <c r="AE414" s="215" t="n">
        <v>0</v>
      </c>
      <c r="AF414" s="207">
        <f>SUM(Y414:AE414)</f>
        <v/>
      </c>
      <c r="AG414" s="254">
        <f>_xlfn.XLOOKUP(G414,[1]Fx!$A$16:$A$22,[1]Fx!$B$16:$B$22)</f>
        <v/>
      </c>
      <c r="AH414" s="207">
        <f>AG414*R414</f>
        <v/>
      </c>
      <c r="AI414" s="207">
        <f>$AI$3*Z414</f>
        <v/>
      </c>
      <c r="AJ414" s="207">
        <f>$AJ$3*AA414</f>
        <v/>
      </c>
      <c r="AK414" s="207">
        <f>$AK$3*AB414</f>
        <v/>
      </c>
      <c r="AL414" s="207">
        <f>$AL$3*AC414</f>
        <v/>
      </c>
      <c r="AM414" s="220">
        <f>SUM(AH414:AL414)</f>
        <v/>
      </c>
      <c r="AN414" s="220" t="n">
        <v>0</v>
      </c>
      <c r="AO414" s="220">
        <f>AN414*AH414</f>
        <v/>
      </c>
      <c r="AP414" s="220">
        <f>AD414</f>
        <v/>
      </c>
      <c r="AQ414" s="220">
        <f>AE414</f>
        <v/>
      </c>
      <c r="AR414" s="208">
        <f>AM414-AO414</f>
        <v/>
      </c>
      <c r="AS414" s="220">
        <f>AR414-AK414</f>
        <v/>
      </c>
      <c r="AT414" s="208">
        <f>AS414*1.075</f>
        <v/>
      </c>
      <c r="AU414" s="208">
        <f>AT414+AK414</f>
        <v/>
      </c>
      <c r="AV414" s="198" t="n">
        <v>526408.7982962627</v>
      </c>
      <c r="AW414" s="264">
        <f>BO414*2</f>
        <v/>
      </c>
      <c r="AX414" s="220">
        <f>AV414-AR414</f>
        <v/>
      </c>
      <c r="AY414" s="35">
        <f>AX414/AR414</f>
        <v/>
      </c>
      <c r="AZ414" s="220">
        <f>AV414-AF414</f>
        <v/>
      </c>
      <c r="BA414" s="215">
        <f>AV414-SUM(Z414:AC414)</f>
        <v/>
      </c>
      <c r="BB414" s="215">
        <f>BA414-Y414</f>
        <v/>
      </c>
      <c r="BC414" s="35">
        <f>BB414/BA414</f>
        <v/>
      </c>
      <c r="BD414" s="35">
        <f>IFERROR(AZ414/AV414,)</f>
        <v/>
      </c>
      <c r="BE414" s="255">
        <f>AV414-SUM(Z414:AC414)</f>
        <v/>
      </c>
      <c r="BF414" s="255">
        <f>AV414-BE414-AC414-AB414</f>
        <v/>
      </c>
      <c r="BG414" s="255">
        <f>AV414-BE414-BF414-AB414</f>
        <v/>
      </c>
      <c r="BH414" s="255">
        <f>AB414</f>
        <v/>
      </c>
      <c r="BI414" s="263" t="inlineStr">
        <is>
          <t xml:space="preserve">To Check </t>
        </is>
      </c>
    </row>
    <row r="415">
      <c r="C415" s="23" t="inlineStr">
        <is>
          <t>HARUNA/YEKINI</t>
        </is>
      </c>
      <c r="D415">
        <f>CONCATENATE(G415,"-",H415,"-",F415)</f>
        <v/>
      </c>
      <c r="E415" s="24" t="inlineStr">
        <is>
          <t>JMG-10T-Hiabs Logistics-Upcountry</t>
        </is>
      </c>
      <c r="F415" s="23" t="inlineStr">
        <is>
          <t>Upcountry</t>
        </is>
      </c>
      <c r="G415" s="25" t="inlineStr">
        <is>
          <t>Hiabs Logistics</t>
        </is>
      </c>
      <c r="H415" s="24" t="inlineStr">
        <is>
          <t>10T</t>
        </is>
      </c>
      <c r="I415" s="73" t="inlineStr">
        <is>
          <t>JMG</t>
        </is>
      </c>
      <c r="J415" s="74" t="inlineStr">
        <is>
          <t>Abuja</t>
        </is>
      </c>
      <c r="K415" s="74" t="inlineStr">
        <is>
          <t>Makurdi</t>
        </is>
      </c>
      <c r="L415" s="67" t="inlineStr">
        <is>
          <t>Benue</t>
        </is>
      </c>
      <c r="M415" s="68" t="n"/>
      <c r="N415" s="201">
        <f>O415/2</f>
        <v/>
      </c>
      <c r="O415" s="201" t="n">
        <v>577</v>
      </c>
      <c r="P415" s="220">
        <f>ROUNDUP(O415/300,)</f>
        <v/>
      </c>
      <c r="Q415" s="220" t="n">
        <v>1.5</v>
      </c>
      <c r="R415" s="220">
        <f>Q415+P415</f>
        <v/>
      </c>
      <c r="S415" s="198">
        <f>ROUNDDOWN(O415*0.51,)+60</f>
        <v/>
      </c>
      <c r="T415" s="207">
        <f>_xlfn.XLOOKUP(G415,[1]Fx!$A$4:$A$10,[1]Fx!$B$4:$B$10)</f>
        <v/>
      </c>
      <c r="U415" s="207">
        <f>_xlfn.XLOOKUP(G415,'[1]BP Setup'!$B$6:$B$72,'[1]BP Setup'!$Q$6:$Q$72)</f>
        <v/>
      </c>
      <c r="V415" s="207">
        <f>_xlfn.XLOOKUP(G415,'[1]BP Setup'!$B$6:$B$72,'[1]BP Setup'!$R$6:$R$72)</f>
        <v/>
      </c>
      <c r="W415" s="207">
        <f>$W$3</f>
        <v/>
      </c>
      <c r="X415" s="207" t="n">
        <v>80</v>
      </c>
      <c r="Y415" s="215">
        <f>T415*R415</f>
        <v/>
      </c>
      <c r="Z415" s="215">
        <f>U415*O415</f>
        <v/>
      </c>
      <c r="AA415" s="215">
        <f>V415*O415</f>
        <v/>
      </c>
      <c r="AB415" s="215">
        <f>W415*O415</f>
        <v/>
      </c>
      <c r="AC415" s="197">
        <f>X415*O415</f>
        <v/>
      </c>
      <c r="AD415" s="215" t="n">
        <v>0</v>
      </c>
      <c r="AE415" s="215" t="n">
        <v>0</v>
      </c>
      <c r="AF415" s="207">
        <f>SUM(Y415:AE415)</f>
        <v/>
      </c>
      <c r="AG415" s="254">
        <f>_xlfn.XLOOKUP(G415,[1]Fx!$A$16:$A$22,[1]Fx!$B$16:$B$22)</f>
        <v/>
      </c>
      <c r="AH415" s="207">
        <f>AG415*R415</f>
        <v/>
      </c>
      <c r="AI415" s="207">
        <f>$AI$3*Z415</f>
        <v/>
      </c>
      <c r="AJ415" s="207">
        <f>$AJ$3*AA415</f>
        <v/>
      </c>
      <c r="AK415" s="207">
        <f>$AK$3*AB415</f>
        <v/>
      </c>
      <c r="AL415" s="207">
        <f>$AL$3*AC415</f>
        <v/>
      </c>
      <c r="AM415" s="220">
        <f>SUM(AH415:AL415)</f>
        <v/>
      </c>
      <c r="AN415" s="220" t="n">
        <v>0</v>
      </c>
      <c r="AO415" s="220">
        <f>AN415*AH415</f>
        <v/>
      </c>
      <c r="AP415" s="220">
        <f>AD415</f>
        <v/>
      </c>
      <c r="AQ415" s="220">
        <f>AE415</f>
        <v/>
      </c>
      <c r="AR415" s="208">
        <f>AM415-AO415</f>
        <v/>
      </c>
      <c r="AS415" s="220">
        <f>AR415-AK415</f>
        <v/>
      </c>
      <c r="AT415" s="208">
        <f>AS415*1.075</f>
        <v/>
      </c>
      <c r="AU415" s="208">
        <f>AT415+AK415</f>
        <v/>
      </c>
      <c r="AV415" s="198" t="n">
        <v>460607.6985092299</v>
      </c>
      <c r="AW415" s="264">
        <f>BO415*2</f>
        <v/>
      </c>
      <c r="AX415" s="220">
        <f>AV415-AR415</f>
        <v/>
      </c>
      <c r="AY415" s="35">
        <f>AX415/AR415</f>
        <v/>
      </c>
      <c r="AZ415" s="220">
        <f>AV415-AF415</f>
        <v/>
      </c>
      <c r="BA415" s="215">
        <f>AV415-SUM(Z415:AC415)</f>
        <v/>
      </c>
      <c r="BB415" s="215">
        <f>BA415-Y415</f>
        <v/>
      </c>
      <c r="BC415" s="35">
        <f>BB415/BA415</f>
        <v/>
      </c>
      <c r="BD415" s="35">
        <f>IFERROR(AZ415/AV415,)</f>
        <v/>
      </c>
      <c r="BE415" s="255">
        <f>AV415-SUM(Z415:AC415)</f>
        <v/>
      </c>
      <c r="BF415" s="255">
        <f>AV415-BE415-AC415-AB415</f>
        <v/>
      </c>
      <c r="BG415" s="255">
        <f>AV415-BE415-BF415-AB415</f>
        <v/>
      </c>
      <c r="BH415" s="255">
        <f>AB415</f>
        <v/>
      </c>
      <c r="BI415" s="263" t="inlineStr">
        <is>
          <t>Worst Case Approved</t>
        </is>
      </c>
    </row>
    <row r="416">
      <c r="C416" s="23" t="inlineStr">
        <is>
          <t>HARUNA/YEKINI</t>
        </is>
      </c>
      <c r="D416">
        <f>CONCATENATE(G416,"-",H416,"-",F416)</f>
        <v/>
      </c>
      <c r="E416" s="24" t="inlineStr">
        <is>
          <t>JMG-10T-Hiabs Logistics-Upcountry</t>
        </is>
      </c>
      <c r="F416" s="23" t="inlineStr">
        <is>
          <t>Upcountry</t>
        </is>
      </c>
      <c r="G416" s="25" t="inlineStr">
        <is>
          <t>Hiabs Logistics</t>
        </is>
      </c>
      <c r="H416" s="24" t="inlineStr">
        <is>
          <t>10T</t>
        </is>
      </c>
      <c r="I416" s="73" t="inlineStr">
        <is>
          <t>JMG</t>
        </is>
      </c>
      <c r="J416" s="74" t="inlineStr">
        <is>
          <t>Abuja</t>
        </is>
      </c>
      <c r="K416" s="74" t="inlineStr">
        <is>
          <t>Otukpo</t>
        </is>
      </c>
      <c r="L416" s="67" t="inlineStr">
        <is>
          <t>Benue</t>
        </is>
      </c>
      <c r="M416" s="68" t="n"/>
      <c r="N416" s="201">
        <f>O416/2</f>
        <v/>
      </c>
      <c r="O416" s="201" t="n">
        <v>572</v>
      </c>
      <c r="P416" s="220">
        <f>ROUNDUP(O416/300,)</f>
        <v/>
      </c>
      <c r="Q416" s="220" t="n">
        <v>1.5</v>
      </c>
      <c r="R416" s="220">
        <f>Q416+P416</f>
        <v/>
      </c>
      <c r="S416" s="198">
        <f>ROUNDDOWN(O416*0.51,)+60</f>
        <v/>
      </c>
      <c r="T416" s="207">
        <f>_xlfn.XLOOKUP(G416,[1]Fx!$A$4:$A$10,[1]Fx!$B$4:$B$10)</f>
        <v/>
      </c>
      <c r="U416" s="207">
        <f>_xlfn.XLOOKUP(G416,'[1]BP Setup'!$B$6:$B$72,'[1]BP Setup'!$Q$6:$Q$72)</f>
        <v/>
      </c>
      <c r="V416" s="207">
        <f>_xlfn.XLOOKUP(G416,'[1]BP Setup'!$B$6:$B$72,'[1]BP Setup'!$R$6:$R$72)</f>
        <v/>
      </c>
      <c r="W416" s="207">
        <f>$W$3</f>
        <v/>
      </c>
      <c r="X416" s="207" t="n">
        <v>80</v>
      </c>
      <c r="Y416" s="215">
        <f>T416*R416</f>
        <v/>
      </c>
      <c r="Z416" s="215">
        <f>U416*O416</f>
        <v/>
      </c>
      <c r="AA416" s="215">
        <f>V416*O416</f>
        <v/>
      </c>
      <c r="AB416" s="215">
        <f>W416*O416</f>
        <v/>
      </c>
      <c r="AC416" s="197">
        <f>X416*O416</f>
        <v/>
      </c>
      <c r="AD416" s="215" t="n">
        <v>0</v>
      </c>
      <c r="AE416" s="215" t="n">
        <v>0</v>
      </c>
      <c r="AF416" s="207">
        <f>SUM(Y416:AE416)</f>
        <v/>
      </c>
      <c r="AG416" s="254">
        <f>_xlfn.XLOOKUP(G416,[1]Fx!$A$16:$A$22,[1]Fx!$B$16:$B$22)</f>
        <v/>
      </c>
      <c r="AH416" s="207">
        <f>AG416*R416</f>
        <v/>
      </c>
      <c r="AI416" s="207">
        <f>$AI$3*Z416</f>
        <v/>
      </c>
      <c r="AJ416" s="207">
        <f>$AJ$3*AA416</f>
        <v/>
      </c>
      <c r="AK416" s="207">
        <f>$AK$3*AB416</f>
        <v/>
      </c>
      <c r="AL416" s="207">
        <f>$AL$3*AC416</f>
        <v/>
      </c>
      <c r="AM416" s="220">
        <f>SUM(AH416:AL416)</f>
        <v/>
      </c>
      <c r="AN416" s="220" t="n">
        <v>0</v>
      </c>
      <c r="AO416" s="220">
        <f>AN416*AH416</f>
        <v/>
      </c>
      <c r="AP416" s="220">
        <f>AD416</f>
        <v/>
      </c>
      <c r="AQ416" s="220">
        <f>AE416</f>
        <v/>
      </c>
      <c r="AR416" s="208">
        <f>AM416-AO416</f>
        <v/>
      </c>
      <c r="AS416" s="220">
        <f>AR416-AK416</f>
        <v/>
      </c>
      <c r="AT416" s="208">
        <f>AS416*1.075</f>
        <v/>
      </c>
      <c r="AU416" s="208">
        <f>AT416+AK416</f>
        <v/>
      </c>
      <c r="AV416" s="198" t="n">
        <v>460607.6985092299</v>
      </c>
      <c r="AW416" s="264">
        <f>BO416*2</f>
        <v/>
      </c>
      <c r="AX416" s="220">
        <f>AV416-AR416</f>
        <v/>
      </c>
      <c r="AY416" s="35">
        <f>AX416/AR416</f>
        <v/>
      </c>
      <c r="AZ416" s="220">
        <f>AV416-AF416</f>
        <v/>
      </c>
      <c r="BA416" s="215">
        <f>AV416-SUM(Z416:AC416)</f>
        <v/>
      </c>
      <c r="BB416" s="215">
        <f>BA416-Y416</f>
        <v/>
      </c>
      <c r="BC416" s="35">
        <f>BB416/BA416</f>
        <v/>
      </c>
      <c r="BD416" s="35">
        <f>IFERROR(AZ416/AV416,)</f>
        <v/>
      </c>
      <c r="BE416" s="255">
        <f>AV416-SUM(Z416:AC416)</f>
        <v/>
      </c>
      <c r="BF416" s="255">
        <f>AV416-BE416-AC416-AB416</f>
        <v/>
      </c>
      <c r="BG416" s="255">
        <f>AV416-BE416-BF416-AB416</f>
        <v/>
      </c>
      <c r="BH416" s="255">
        <f>AB416</f>
        <v/>
      </c>
      <c r="BI416" s="263" t="inlineStr">
        <is>
          <t>Worst Case Approved</t>
        </is>
      </c>
    </row>
    <row r="417">
      <c r="C417" s="23" t="inlineStr">
        <is>
          <t>HARUNA/YEKINI</t>
        </is>
      </c>
      <c r="D417">
        <f>CONCATENATE(G417,"-",H417,"-",F417)</f>
        <v/>
      </c>
      <c r="E417" s="24" t="inlineStr">
        <is>
          <t>JMG-10T-Hiabs Logistics-Upcountry</t>
        </is>
      </c>
      <c r="F417" s="23" t="inlineStr">
        <is>
          <t>Upcountry</t>
        </is>
      </c>
      <c r="G417" s="25" t="inlineStr">
        <is>
          <t>Hiabs Logistics</t>
        </is>
      </c>
      <c r="H417" s="24" t="inlineStr">
        <is>
          <t>10T</t>
        </is>
      </c>
      <c r="I417" s="73" t="inlineStr">
        <is>
          <t>JMG</t>
        </is>
      </c>
      <c r="J417" s="74" t="inlineStr">
        <is>
          <t>Abuja</t>
        </is>
      </c>
      <c r="K417" s="74" t="inlineStr">
        <is>
          <t>Okene</t>
        </is>
      </c>
      <c r="L417" s="25" t="inlineStr">
        <is>
          <t>Kogi</t>
        </is>
      </c>
      <c r="M417" s="63" t="n"/>
      <c r="N417" s="201">
        <f>O417/2</f>
        <v/>
      </c>
      <c r="O417" s="201" t="n">
        <v>534</v>
      </c>
      <c r="P417" s="220">
        <f>ROUNDUP(O417/300,)</f>
        <v/>
      </c>
      <c r="Q417" s="220" t="n">
        <v>1</v>
      </c>
      <c r="R417" s="220">
        <f>Q417+P417</f>
        <v/>
      </c>
      <c r="S417" s="198">
        <f>ROUNDDOWN(O417*0.51,)+60</f>
        <v/>
      </c>
      <c r="T417" s="207">
        <f>_xlfn.XLOOKUP(G417,[1]Fx!$A$4:$A$10,[1]Fx!$B$4:$B$10)</f>
        <v/>
      </c>
      <c r="U417" s="207">
        <f>_xlfn.XLOOKUP(G417,'[1]BP Setup'!$B$6:$B$72,'[1]BP Setup'!$Q$6:$Q$72)</f>
        <v/>
      </c>
      <c r="V417" s="207">
        <f>_xlfn.XLOOKUP(G417,'[1]BP Setup'!$B$6:$B$72,'[1]BP Setup'!$R$6:$R$72)</f>
        <v/>
      </c>
      <c r="W417" s="207">
        <f>$W$3</f>
        <v/>
      </c>
      <c r="X417" s="207" t="n">
        <v>80</v>
      </c>
      <c r="Y417" s="215">
        <f>T417*R417</f>
        <v/>
      </c>
      <c r="Z417" s="215">
        <f>U417*O417</f>
        <v/>
      </c>
      <c r="AA417" s="215">
        <f>V417*O417</f>
        <v/>
      </c>
      <c r="AB417" s="215">
        <f>W417*O417</f>
        <v/>
      </c>
      <c r="AC417" s="197">
        <f>X417*O417</f>
        <v/>
      </c>
      <c r="AD417" s="215" t="n">
        <v>0</v>
      </c>
      <c r="AE417" s="215" t="n">
        <v>0</v>
      </c>
      <c r="AF417" s="207">
        <f>SUM(Y417:AE417)</f>
        <v/>
      </c>
      <c r="AG417" s="254">
        <f>_xlfn.XLOOKUP(G417,[1]Fx!$A$16:$A$22,[1]Fx!$B$16:$B$22)</f>
        <v/>
      </c>
      <c r="AH417" s="207">
        <f>AG417*R417</f>
        <v/>
      </c>
      <c r="AI417" s="207">
        <f>$AI$3*Z417</f>
        <v/>
      </c>
      <c r="AJ417" s="207">
        <f>$AJ$3*AA417</f>
        <v/>
      </c>
      <c r="AK417" s="207">
        <f>$AK$3*AB417</f>
        <v/>
      </c>
      <c r="AL417" s="207">
        <f>$AL$3*AC417</f>
        <v/>
      </c>
      <c r="AM417" s="220">
        <f>SUM(AH417:AL417)</f>
        <v/>
      </c>
      <c r="AN417" s="220" t="n">
        <v>0</v>
      </c>
      <c r="AO417" s="220">
        <f>AN417*AH417</f>
        <v/>
      </c>
      <c r="AP417" s="220">
        <f>AD417</f>
        <v/>
      </c>
      <c r="AQ417" s="220">
        <f>AE417</f>
        <v/>
      </c>
      <c r="AR417" s="208">
        <f>AM417-AO417</f>
        <v/>
      </c>
      <c r="AS417" s="220">
        <f>AR417-AK417</f>
        <v/>
      </c>
      <c r="AT417" s="208">
        <f>AS417*1.075</f>
        <v/>
      </c>
      <c r="AU417" s="208">
        <f>AT417+AK417</f>
        <v/>
      </c>
      <c r="AV417" s="198" t="n">
        <v>394806.5987221971</v>
      </c>
      <c r="AW417" s="264">
        <f>BO417*2</f>
        <v/>
      </c>
      <c r="AX417" s="220">
        <f>AV417-AR417</f>
        <v/>
      </c>
      <c r="AY417" s="35">
        <f>AX417/AR417</f>
        <v/>
      </c>
      <c r="AZ417" s="220">
        <f>AV417-AF417</f>
        <v/>
      </c>
      <c r="BA417" s="215">
        <f>AV417-SUM(Z417:AC417)</f>
        <v/>
      </c>
      <c r="BB417" s="215">
        <f>BA417-Y417</f>
        <v/>
      </c>
      <c r="BC417" s="35">
        <f>BB417/BA417</f>
        <v/>
      </c>
      <c r="BD417" s="35">
        <f>IFERROR(AZ417/AV417,)</f>
        <v/>
      </c>
      <c r="BE417" s="255">
        <f>AV417-SUM(Z417:AC417)</f>
        <v/>
      </c>
      <c r="BF417" s="255">
        <f>AV417-BE417-AC417-AB417</f>
        <v/>
      </c>
      <c r="BG417" s="255">
        <f>AV417-BE417-BF417-AB417</f>
        <v/>
      </c>
      <c r="BH417" s="255">
        <f>AB417</f>
        <v/>
      </c>
      <c r="BI417" s="263" t="inlineStr">
        <is>
          <t>Worst Case Approved</t>
        </is>
      </c>
    </row>
    <row r="418">
      <c r="C418" s="23" t="inlineStr">
        <is>
          <t>HARUNA/YEKINI</t>
        </is>
      </c>
      <c r="D418">
        <f>CONCATENATE(G418,"-",H418,"-",F418)</f>
        <v/>
      </c>
      <c r="E418" s="24" t="inlineStr">
        <is>
          <t>JMG-10T-Hiabs Logistics-Upcountry</t>
        </is>
      </c>
      <c r="F418" s="23" t="inlineStr">
        <is>
          <t>Upcountry</t>
        </is>
      </c>
      <c r="G418" s="25" t="inlineStr">
        <is>
          <t>Hiabs Logistics</t>
        </is>
      </c>
      <c r="H418" s="24" t="inlineStr">
        <is>
          <t>10T</t>
        </is>
      </c>
      <c r="I418" s="73" t="inlineStr">
        <is>
          <t>JMG</t>
        </is>
      </c>
      <c r="J418" s="74" t="inlineStr">
        <is>
          <t>Abuja</t>
        </is>
      </c>
      <c r="K418" s="74" t="inlineStr">
        <is>
          <t>Jos</t>
        </is>
      </c>
      <c r="L418" s="67" t="inlineStr">
        <is>
          <t>Plateau</t>
        </is>
      </c>
      <c r="M418" s="68" t="n"/>
      <c r="N418" s="201">
        <f>O418/2</f>
        <v/>
      </c>
      <c r="O418" s="201" t="n">
        <v>530</v>
      </c>
      <c r="P418" s="220">
        <f>ROUNDUP(O418/300,)</f>
        <v/>
      </c>
      <c r="Q418" s="220" t="n">
        <v>1</v>
      </c>
      <c r="R418" s="220">
        <f>Q418+P418</f>
        <v/>
      </c>
      <c r="S418" s="198">
        <f>ROUNDDOWN(O418*0.51,)+60</f>
        <v/>
      </c>
      <c r="T418" s="207">
        <f>_xlfn.XLOOKUP(G418,[1]Fx!$A$4:$A$10,[1]Fx!$B$4:$B$10)</f>
        <v/>
      </c>
      <c r="U418" s="207">
        <f>_xlfn.XLOOKUP(G418,'[1]BP Setup'!$B$6:$B$72,'[1]BP Setup'!$Q$6:$Q$72)</f>
        <v/>
      </c>
      <c r="V418" s="207">
        <f>_xlfn.XLOOKUP(G418,'[1]BP Setup'!$B$6:$B$72,'[1]BP Setup'!$R$6:$R$72)</f>
        <v/>
      </c>
      <c r="W418" s="207">
        <f>$W$3</f>
        <v/>
      </c>
      <c r="X418" s="207" t="n">
        <v>80</v>
      </c>
      <c r="Y418" s="215">
        <f>T418*R418</f>
        <v/>
      </c>
      <c r="Z418" s="215">
        <f>U418*O418</f>
        <v/>
      </c>
      <c r="AA418" s="215">
        <f>V418*O418</f>
        <v/>
      </c>
      <c r="AB418" s="215">
        <f>W418*O418</f>
        <v/>
      </c>
      <c r="AC418" s="197">
        <f>X418*O418</f>
        <v/>
      </c>
      <c r="AD418" s="215" t="n">
        <v>45000</v>
      </c>
      <c r="AE418" s="215" t="n">
        <v>0</v>
      </c>
      <c r="AF418" s="207">
        <f>SUM(Y418:AE418)</f>
        <v/>
      </c>
      <c r="AG418" s="254">
        <f>_xlfn.XLOOKUP(G418,[1]Fx!$A$16:$A$22,[1]Fx!$B$16:$B$22)</f>
        <v/>
      </c>
      <c r="AH418" s="207">
        <f>AG418*R418</f>
        <v/>
      </c>
      <c r="AI418" s="207">
        <f>$AI$3*Z418</f>
        <v/>
      </c>
      <c r="AJ418" s="207">
        <f>$AJ$3*AA418</f>
        <v/>
      </c>
      <c r="AK418" s="207">
        <f>$AK$3*AB418</f>
        <v/>
      </c>
      <c r="AL418" s="207">
        <f>$AL$3*AC418</f>
        <v/>
      </c>
      <c r="AM418" s="220">
        <f>SUM(AH418:AL418)</f>
        <v/>
      </c>
      <c r="AN418" s="220" t="n">
        <v>0</v>
      </c>
      <c r="AO418" s="220">
        <f>AN418*AH418</f>
        <v/>
      </c>
      <c r="AP418" s="220" t="n">
        <v>0</v>
      </c>
      <c r="AQ418" s="220">
        <f>AE418</f>
        <v/>
      </c>
      <c r="AR418" s="208">
        <f>AM418-AO418</f>
        <v/>
      </c>
      <c r="AS418" s="220">
        <f>AR418-AK418</f>
        <v/>
      </c>
      <c r="AT418" s="208">
        <f>AS418*1.075</f>
        <v/>
      </c>
      <c r="AU418" s="208">
        <f>AT418+AK418</f>
        <v/>
      </c>
      <c r="AV418" s="198" t="n">
        <v>394806.5987221971</v>
      </c>
      <c r="AW418" s="264">
        <f>BO418*2</f>
        <v/>
      </c>
      <c r="AX418" s="220">
        <f>AV418-AR418</f>
        <v/>
      </c>
      <c r="AY418" s="35">
        <f>AX418/AR418</f>
        <v/>
      </c>
      <c r="AZ418" s="220">
        <f>AV418-AF418</f>
        <v/>
      </c>
      <c r="BA418" s="215">
        <f>AV418-SUM(Z418:AC418)</f>
        <v/>
      </c>
      <c r="BB418" s="215">
        <f>BA418-Y418</f>
        <v/>
      </c>
      <c r="BC418" s="35">
        <f>BB418/BA418</f>
        <v/>
      </c>
      <c r="BD418" s="35">
        <f>IFERROR(AZ418/AV418,)</f>
        <v/>
      </c>
      <c r="BE418" s="255">
        <f>AV418-SUM(Z418:AC418)</f>
        <v/>
      </c>
      <c r="BF418" s="255">
        <f>AV418-BE418-AC418-AB418</f>
        <v/>
      </c>
      <c r="BG418" s="255">
        <f>AV418-BE418-BF418-AB418</f>
        <v/>
      </c>
      <c r="BH418" s="255">
        <f>AB418</f>
        <v/>
      </c>
      <c r="BI418" s="263" t="inlineStr">
        <is>
          <t>Worst Case Approved</t>
        </is>
      </c>
    </row>
    <row r="419">
      <c r="C419" s="23" t="inlineStr">
        <is>
          <t>HARUNA/YEKINI</t>
        </is>
      </c>
      <c r="D419">
        <f>CONCATENATE(G419,"-",H419,"-",F419)</f>
        <v/>
      </c>
      <c r="E419" s="24" t="inlineStr">
        <is>
          <t>JMG-10T-Hiabs Logistics-Upcountry</t>
        </is>
      </c>
      <c r="F419" s="23" t="inlineStr">
        <is>
          <t>Upcountry</t>
        </is>
      </c>
      <c r="G419" s="25" t="inlineStr">
        <is>
          <t>Hiabs Logistics</t>
        </is>
      </c>
      <c r="H419" s="24" t="inlineStr">
        <is>
          <t>10T</t>
        </is>
      </c>
      <c r="I419" s="73" t="inlineStr">
        <is>
          <t>JMG</t>
        </is>
      </c>
      <c r="J419" s="74" t="inlineStr">
        <is>
          <t>Abuja</t>
        </is>
      </c>
      <c r="K419" s="74" t="inlineStr">
        <is>
          <t>Obajana</t>
        </is>
      </c>
      <c r="L419" s="67" t="inlineStr">
        <is>
          <t>Kogi</t>
        </is>
      </c>
      <c r="M419" s="68" t="n"/>
      <c r="N419" s="201">
        <f>O419/2</f>
        <v/>
      </c>
      <c r="O419" s="201" t="n">
        <v>468</v>
      </c>
      <c r="P419" s="220">
        <f>ROUNDUP(O419/300,)</f>
        <v/>
      </c>
      <c r="Q419" s="220" t="n">
        <v>1</v>
      </c>
      <c r="R419" s="220">
        <f>Q419+P419</f>
        <v/>
      </c>
      <c r="S419" s="198">
        <f>ROUNDDOWN(O419*0.51,)+60</f>
        <v/>
      </c>
      <c r="T419" s="207">
        <f>_xlfn.XLOOKUP(G419,[1]Fx!$A$4:$A$10,[1]Fx!$B$4:$B$10)</f>
        <v/>
      </c>
      <c r="U419" s="207">
        <f>_xlfn.XLOOKUP(G419,'[1]BP Setup'!$B$6:$B$72,'[1]BP Setup'!$Q$6:$Q$72)</f>
        <v/>
      </c>
      <c r="V419" s="207">
        <f>_xlfn.XLOOKUP(G419,'[1]BP Setup'!$B$6:$B$72,'[1]BP Setup'!$R$6:$R$72)</f>
        <v/>
      </c>
      <c r="W419" s="207">
        <f>$W$3</f>
        <v/>
      </c>
      <c r="X419" s="207" t="n">
        <v>80</v>
      </c>
      <c r="Y419" s="215">
        <f>T419*R419</f>
        <v/>
      </c>
      <c r="Z419" s="215">
        <f>U419*O419</f>
        <v/>
      </c>
      <c r="AA419" s="215">
        <f>V419*O419</f>
        <v/>
      </c>
      <c r="AB419" s="215">
        <f>W419*O419</f>
        <v/>
      </c>
      <c r="AC419" s="197">
        <f>X419*O419</f>
        <v/>
      </c>
      <c r="AD419" s="215" t="n">
        <v>0</v>
      </c>
      <c r="AE419" s="215" t="n">
        <v>0</v>
      </c>
      <c r="AF419" s="207">
        <f>SUM(Y419:AE419)</f>
        <v/>
      </c>
      <c r="AG419" s="254">
        <f>_xlfn.XLOOKUP(G419,[1]Fx!$A$16:$A$22,[1]Fx!$B$16:$B$22)</f>
        <v/>
      </c>
      <c r="AH419" s="207">
        <f>AG419*R419</f>
        <v/>
      </c>
      <c r="AI419" s="207">
        <f>$AI$3*Z419</f>
        <v/>
      </c>
      <c r="AJ419" s="207">
        <f>$AJ$3*AA419</f>
        <v/>
      </c>
      <c r="AK419" s="207">
        <f>$AK$3*AB419</f>
        <v/>
      </c>
      <c r="AL419" s="207">
        <f>$AL$3*AC419</f>
        <v/>
      </c>
      <c r="AM419" s="220">
        <f>SUM(AH419:AL419)</f>
        <v/>
      </c>
      <c r="AN419" s="220" t="n">
        <v>0</v>
      </c>
      <c r="AO419" s="220">
        <f>AN419*AH419</f>
        <v/>
      </c>
      <c r="AP419" s="220">
        <f>AD419</f>
        <v/>
      </c>
      <c r="AQ419" s="220">
        <f>AE419</f>
        <v/>
      </c>
      <c r="AR419" s="208">
        <f>AM419-AO419</f>
        <v/>
      </c>
      <c r="AS419" s="220">
        <f>AR419-AK419</f>
        <v/>
      </c>
      <c r="AT419" s="208">
        <f>AS419*1.075</f>
        <v/>
      </c>
      <c r="AU419" s="208">
        <f>AT419+AK419</f>
        <v/>
      </c>
      <c r="AV419" s="198" t="n">
        <v>394806.5987221971</v>
      </c>
      <c r="AW419" s="264">
        <f>BO419*2</f>
        <v/>
      </c>
      <c r="AX419" s="220">
        <f>AV419-AR419</f>
        <v/>
      </c>
      <c r="AY419" s="35">
        <f>AX419/AR419</f>
        <v/>
      </c>
      <c r="AZ419" s="220">
        <f>AV419-AF419</f>
        <v/>
      </c>
      <c r="BA419" s="215">
        <f>AV419-SUM(Z419:AC419)</f>
        <v/>
      </c>
      <c r="BB419" s="215">
        <f>BA419-Y419</f>
        <v/>
      </c>
      <c r="BC419" s="35">
        <f>BB419/BA419</f>
        <v/>
      </c>
      <c r="BD419" s="35">
        <f>IFERROR(AZ419/AV419,)</f>
        <v/>
      </c>
      <c r="BE419" s="255">
        <f>AV419-SUM(Z419:AC419)</f>
        <v/>
      </c>
      <c r="BF419" s="255">
        <f>AV419-BE419-AC419-AB419</f>
        <v/>
      </c>
      <c r="BG419" s="255">
        <f>AV419-BE419-BF419-AB419</f>
        <v/>
      </c>
      <c r="BH419" s="255">
        <f>AB419</f>
        <v/>
      </c>
      <c r="BI419" s="263" t="inlineStr">
        <is>
          <t>Approved</t>
        </is>
      </c>
    </row>
    <row r="420">
      <c r="C420" s="23" t="inlineStr">
        <is>
          <t>HARUNA/YEKINI</t>
        </is>
      </c>
      <c r="D420">
        <f>CONCATENATE(G420,"-",H420,"-",F420)</f>
        <v/>
      </c>
      <c r="E420" s="24" t="inlineStr">
        <is>
          <t>JMG-10T-Hiabs Logistics-Upcountry</t>
        </is>
      </c>
      <c r="F420" s="23" t="inlineStr">
        <is>
          <t>Upcountry</t>
        </is>
      </c>
      <c r="G420" s="25" t="inlineStr">
        <is>
          <t>Hiabs Logistics</t>
        </is>
      </c>
      <c r="H420" s="24" t="inlineStr">
        <is>
          <t>10T</t>
        </is>
      </c>
      <c r="I420" s="73" t="inlineStr">
        <is>
          <t>JMG</t>
        </is>
      </c>
      <c r="J420" s="74" t="inlineStr">
        <is>
          <t>Abuja</t>
        </is>
      </c>
      <c r="K420" s="74" t="inlineStr">
        <is>
          <t>Lokoja</t>
        </is>
      </c>
      <c r="L420" s="67" t="inlineStr">
        <is>
          <t>Kogi</t>
        </is>
      </c>
      <c r="M420" s="68" t="n"/>
      <c r="N420" s="201">
        <f>O420/2</f>
        <v/>
      </c>
      <c r="O420" s="201" t="n">
        <v>401</v>
      </c>
      <c r="P420" s="220">
        <f>ROUNDUP(O420/300,)</f>
        <v/>
      </c>
      <c r="Q420" s="220" t="n">
        <v>1</v>
      </c>
      <c r="R420" s="220">
        <f>Q420+P420</f>
        <v/>
      </c>
      <c r="S420" s="198">
        <f>ROUNDDOWN(O420*0.51,)+60</f>
        <v/>
      </c>
      <c r="T420" s="207">
        <f>_xlfn.XLOOKUP(G420,[1]Fx!$A$4:$A$10,[1]Fx!$B$4:$B$10)</f>
        <v/>
      </c>
      <c r="U420" s="207">
        <f>_xlfn.XLOOKUP(G420,'[1]BP Setup'!$B$6:$B$72,'[1]BP Setup'!$Q$6:$Q$72)</f>
        <v/>
      </c>
      <c r="V420" s="207">
        <f>_xlfn.XLOOKUP(G420,'[1]BP Setup'!$B$6:$B$72,'[1]BP Setup'!$R$6:$R$72)</f>
        <v/>
      </c>
      <c r="W420" s="207">
        <f>$W$3</f>
        <v/>
      </c>
      <c r="X420" s="207" t="n">
        <v>80</v>
      </c>
      <c r="Y420" s="215">
        <f>T420*R420</f>
        <v/>
      </c>
      <c r="Z420" s="215">
        <f>U420*O420</f>
        <v/>
      </c>
      <c r="AA420" s="215">
        <f>V420*O420</f>
        <v/>
      </c>
      <c r="AB420" s="215">
        <f>W420*O420</f>
        <v/>
      </c>
      <c r="AC420" s="197">
        <f>X420*O420</f>
        <v/>
      </c>
      <c r="AD420" s="215" t="n">
        <v>0</v>
      </c>
      <c r="AE420" s="215" t="n">
        <v>0</v>
      </c>
      <c r="AF420" s="207">
        <f>SUM(Y420:AE420)</f>
        <v/>
      </c>
      <c r="AG420" s="254">
        <f>_xlfn.XLOOKUP(G420,[1]Fx!$A$16:$A$22,[1]Fx!$B$16:$B$22)</f>
        <v/>
      </c>
      <c r="AH420" s="207">
        <f>AG420*R420</f>
        <v/>
      </c>
      <c r="AI420" s="207">
        <f>$AI$3*Z420</f>
        <v/>
      </c>
      <c r="AJ420" s="207">
        <f>$AJ$3*AA420</f>
        <v/>
      </c>
      <c r="AK420" s="207">
        <f>$AK$3*AB420</f>
        <v/>
      </c>
      <c r="AL420" s="207">
        <f>$AL$3*AC420</f>
        <v/>
      </c>
      <c r="AM420" s="220">
        <f>SUM(AH420:AL420)</f>
        <v/>
      </c>
      <c r="AN420" s="220" t="n">
        <v>0</v>
      </c>
      <c r="AO420" s="220">
        <f>AN420*AH420</f>
        <v/>
      </c>
      <c r="AP420" s="220">
        <f>AD420</f>
        <v/>
      </c>
      <c r="AQ420" s="220">
        <f>AE420</f>
        <v/>
      </c>
      <c r="AR420" s="208">
        <f>AM420-AO420</f>
        <v/>
      </c>
      <c r="AS420" s="220">
        <f>AR420-AK420</f>
        <v/>
      </c>
      <c r="AT420" s="208">
        <f>AS420*1.075</f>
        <v/>
      </c>
      <c r="AU420" s="208">
        <f>AT420+AK420</f>
        <v/>
      </c>
      <c r="AV420" s="198" t="n">
        <v>394806.5987221971</v>
      </c>
      <c r="AW420" s="264">
        <f>BO420*2</f>
        <v/>
      </c>
      <c r="AX420" s="220">
        <f>AV420-AR420</f>
        <v/>
      </c>
      <c r="AY420" s="35">
        <f>AX420/AR420</f>
        <v/>
      </c>
      <c r="AZ420" s="220">
        <f>AV420-AF420</f>
        <v/>
      </c>
      <c r="BA420" s="215">
        <f>AV420-SUM(Z420:AC420)</f>
        <v/>
      </c>
      <c r="BB420" s="215">
        <f>BA420-Y420</f>
        <v/>
      </c>
      <c r="BC420" s="35">
        <f>BB420/BA420</f>
        <v/>
      </c>
      <c r="BD420" s="35">
        <f>IFERROR(AZ420/AV420,)</f>
        <v/>
      </c>
      <c r="BE420" s="255">
        <f>AV420-SUM(Z420:AC420)</f>
        <v/>
      </c>
      <c r="BF420" s="255">
        <f>AV420-BE420-AC420-AB420</f>
        <v/>
      </c>
      <c r="BG420" s="255">
        <f>AV420-BE420-BF420-AB420</f>
        <v/>
      </c>
      <c r="BH420" s="255">
        <f>AB420</f>
        <v/>
      </c>
      <c r="BI420" s="263" t="inlineStr">
        <is>
          <t>Approved</t>
        </is>
      </c>
    </row>
    <row r="421">
      <c r="C421" s="23" t="inlineStr">
        <is>
          <t>HARUNA/YEKINI</t>
        </is>
      </c>
      <c r="D421">
        <f>CONCATENATE(G421,"-",H421,"-",F421)</f>
        <v/>
      </c>
      <c r="E421" s="24" t="inlineStr">
        <is>
          <t>JMG-10T-Hiabs Logistics-Upcountry</t>
        </is>
      </c>
      <c r="F421" s="23" t="inlineStr">
        <is>
          <t>Upcountry</t>
        </is>
      </c>
      <c r="G421" s="25" t="inlineStr">
        <is>
          <t>Hiabs Logistics</t>
        </is>
      </c>
      <c r="H421" s="24" t="inlineStr">
        <is>
          <t>10T</t>
        </is>
      </c>
      <c r="I421" s="73" t="inlineStr">
        <is>
          <t>JMG</t>
        </is>
      </c>
      <c r="J421" s="74" t="inlineStr">
        <is>
          <t>Abuja</t>
        </is>
      </c>
      <c r="K421" s="74" t="inlineStr">
        <is>
          <t>Kaduna</t>
        </is>
      </c>
      <c r="L421" s="67" t="inlineStr">
        <is>
          <t>Kaduna</t>
        </is>
      </c>
      <c r="M421" s="68" t="n"/>
      <c r="N421" s="201">
        <f>O421/2</f>
        <v/>
      </c>
      <c r="O421" s="201" t="n">
        <v>391</v>
      </c>
      <c r="P421" s="220">
        <f>ROUNDUP(O421/300,)</f>
        <v/>
      </c>
      <c r="Q421" s="220" t="n">
        <v>1</v>
      </c>
      <c r="R421" s="220">
        <f>Q421+P421</f>
        <v/>
      </c>
      <c r="S421" s="198">
        <f>ROUNDDOWN(O421*0.51,)+60</f>
        <v/>
      </c>
      <c r="T421" s="207">
        <f>_xlfn.XLOOKUP(G421,[1]Fx!$A$4:$A$10,[1]Fx!$B$4:$B$10)</f>
        <v/>
      </c>
      <c r="U421" s="207">
        <f>_xlfn.XLOOKUP(G421,'[1]BP Setup'!$B$6:$B$72,'[1]BP Setup'!$Q$6:$Q$72)</f>
        <v/>
      </c>
      <c r="V421" s="207">
        <f>_xlfn.XLOOKUP(G421,'[1]BP Setup'!$B$6:$B$72,'[1]BP Setup'!$R$6:$R$72)</f>
        <v/>
      </c>
      <c r="W421" s="207">
        <f>$W$3</f>
        <v/>
      </c>
      <c r="X421" s="207" t="n">
        <v>80</v>
      </c>
      <c r="Y421" s="215">
        <f>T421*R421</f>
        <v/>
      </c>
      <c r="Z421" s="215">
        <f>U421*O421</f>
        <v/>
      </c>
      <c r="AA421" s="215">
        <f>V421*O421</f>
        <v/>
      </c>
      <c r="AB421" s="215">
        <f>W421*O421</f>
        <v/>
      </c>
      <c r="AC421" s="197">
        <f>X421*O421</f>
        <v/>
      </c>
      <c r="AD421" s="215" t="n">
        <v>0</v>
      </c>
      <c r="AE421" s="215" t="n">
        <v>0</v>
      </c>
      <c r="AF421" s="207">
        <f>SUM(Y421:AE421)</f>
        <v/>
      </c>
      <c r="AG421" s="254">
        <f>_xlfn.XLOOKUP(G421,[1]Fx!$A$16:$A$22,[1]Fx!$B$16:$B$22)</f>
        <v/>
      </c>
      <c r="AH421" s="207">
        <f>AG421*R421</f>
        <v/>
      </c>
      <c r="AI421" s="207">
        <f>$AI$3*Z421</f>
        <v/>
      </c>
      <c r="AJ421" s="207">
        <f>$AJ$3*AA421</f>
        <v/>
      </c>
      <c r="AK421" s="207">
        <f>$AK$3*AB421</f>
        <v/>
      </c>
      <c r="AL421" s="207">
        <f>$AL$3*AC421</f>
        <v/>
      </c>
      <c r="AM421" s="220">
        <f>SUM(AH421:AL421)</f>
        <v/>
      </c>
      <c r="AN421" s="220" t="n">
        <v>0</v>
      </c>
      <c r="AO421" s="220">
        <f>AN421*AH421</f>
        <v/>
      </c>
      <c r="AP421" s="220">
        <f>AD421</f>
        <v/>
      </c>
      <c r="AQ421" s="220">
        <f>AE421</f>
        <v/>
      </c>
      <c r="AR421" s="208">
        <f>AM421-AO421</f>
        <v/>
      </c>
      <c r="AS421" s="220">
        <f>AR421-AK421</f>
        <v/>
      </c>
      <c r="AT421" s="208">
        <f>AS421*1.075</f>
        <v/>
      </c>
      <c r="AU421" s="208">
        <f>AT421+AK421</f>
        <v/>
      </c>
      <c r="AV421" s="198" t="n">
        <v>394806.5987221971</v>
      </c>
      <c r="AW421" s="264">
        <f>BO421*2</f>
        <v/>
      </c>
      <c r="AX421" s="220">
        <f>AV421-AR421</f>
        <v/>
      </c>
      <c r="AY421" s="35">
        <f>AX421/AR421</f>
        <v/>
      </c>
      <c r="AZ421" s="220">
        <f>AV421-AF421</f>
        <v/>
      </c>
      <c r="BA421" s="215">
        <f>AV421-SUM(Z421:AC421)</f>
        <v/>
      </c>
      <c r="BB421" s="215">
        <f>BA421-Y421</f>
        <v/>
      </c>
      <c r="BC421" s="35">
        <f>BB421/BA421</f>
        <v/>
      </c>
      <c r="BD421" s="35">
        <f>IFERROR(AZ421/AV421,)</f>
        <v/>
      </c>
      <c r="BE421" s="255">
        <f>AV421-SUM(Z421:AC421)</f>
        <v/>
      </c>
      <c r="BF421" s="255">
        <f>AV421-BE421-AC421-AB421</f>
        <v/>
      </c>
      <c r="BG421" s="255">
        <f>AV421-BE421-BF421-AB421</f>
        <v/>
      </c>
      <c r="BH421" s="255">
        <f>AB421</f>
        <v/>
      </c>
      <c r="BI421" s="263" t="inlineStr">
        <is>
          <t>Approved</t>
        </is>
      </c>
    </row>
    <row r="422">
      <c r="C422" s="23" t="inlineStr">
        <is>
          <t>HARUNA/YEKINI</t>
        </is>
      </c>
      <c r="D422">
        <f>CONCATENATE(G422,"-",H422,"-",F422)</f>
        <v/>
      </c>
      <c r="E422" s="24" t="inlineStr">
        <is>
          <t>JMG-10T-Hiabs Logistics-Upcountry</t>
        </is>
      </c>
      <c r="F422" s="23" t="inlineStr">
        <is>
          <t>Upcountry</t>
        </is>
      </c>
      <c r="G422" s="25" t="inlineStr">
        <is>
          <t>Hiabs Logistics</t>
        </is>
      </c>
      <c r="H422" s="24" t="inlineStr">
        <is>
          <t>10T</t>
        </is>
      </c>
      <c r="I422" s="73" t="inlineStr">
        <is>
          <t>JMG</t>
        </is>
      </c>
      <c r="J422" s="74" t="inlineStr">
        <is>
          <t>Abuja</t>
        </is>
      </c>
      <c r="K422" s="74" t="inlineStr">
        <is>
          <t>Lafia</t>
        </is>
      </c>
      <c r="L422" s="25" t="inlineStr">
        <is>
          <t>Nasarawa</t>
        </is>
      </c>
      <c r="M422" s="63" t="n"/>
      <c r="N422" s="201">
        <f>O422/2</f>
        <v/>
      </c>
      <c r="O422" s="201" t="n">
        <v>376</v>
      </c>
      <c r="P422" s="220">
        <f>ROUNDUP(O422/300,)</f>
        <v/>
      </c>
      <c r="Q422" s="220" t="n">
        <v>1</v>
      </c>
      <c r="R422" s="220">
        <f>Q422+P422</f>
        <v/>
      </c>
      <c r="S422" s="198">
        <f>ROUNDDOWN(O422*0.51,)+60</f>
        <v/>
      </c>
      <c r="T422" s="207">
        <f>_xlfn.XLOOKUP(G422,[1]Fx!$A$4:$A$10,[1]Fx!$B$4:$B$10)</f>
        <v/>
      </c>
      <c r="U422" s="207">
        <f>_xlfn.XLOOKUP(G422,'[1]BP Setup'!$B$6:$B$72,'[1]BP Setup'!$Q$6:$Q$72)</f>
        <v/>
      </c>
      <c r="V422" s="207">
        <f>_xlfn.XLOOKUP(G422,'[1]BP Setup'!$B$6:$B$72,'[1]BP Setup'!$R$6:$R$72)</f>
        <v/>
      </c>
      <c r="W422" s="207">
        <f>$W$3</f>
        <v/>
      </c>
      <c r="X422" s="207" t="n">
        <v>80</v>
      </c>
      <c r="Y422" s="215">
        <f>T422*R422</f>
        <v/>
      </c>
      <c r="Z422" s="215">
        <f>U422*O422</f>
        <v/>
      </c>
      <c r="AA422" s="215">
        <f>V422*O422</f>
        <v/>
      </c>
      <c r="AB422" s="215">
        <f>W422*O422</f>
        <v/>
      </c>
      <c r="AC422" s="197">
        <f>X422*O422</f>
        <v/>
      </c>
      <c r="AD422" s="215" t="n">
        <v>0</v>
      </c>
      <c r="AE422" s="215" t="n">
        <v>0</v>
      </c>
      <c r="AF422" s="207">
        <f>SUM(Y422:AE422)</f>
        <v/>
      </c>
      <c r="AG422" s="254">
        <f>_xlfn.XLOOKUP(G422,[1]Fx!$A$16:$A$22,[1]Fx!$B$16:$B$22)</f>
        <v/>
      </c>
      <c r="AH422" s="207">
        <f>AG422*R422</f>
        <v/>
      </c>
      <c r="AI422" s="207">
        <f>$AI$3*Z422</f>
        <v/>
      </c>
      <c r="AJ422" s="207">
        <f>$AJ$3*AA422</f>
        <v/>
      </c>
      <c r="AK422" s="207">
        <f>$AK$3*AB422</f>
        <v/>
      </c>
      <c r="AL422" s="207">
        <f>$AL$3*AC422</f>
        <v/>
      </c>
      <c r="AM422" s="220">
        <f>SUM(AH422:AL422)</f>
        <v/>
      </c>
      <c r="AN422" s="220" t="n">
        <v>0</v>
      </c>
      <c r="AO422" s="220">
        <f>AN422*AH422</f>
        <v/>
      </c>
      <c r="AP422" s="220">
        <f>AD422</f>
        <v/>
      </c>
      <c r="AQ422" s="220">
        <f>AE422</f>
        <v/>
      </c>
      <c r="AR422" s="208">
        <f>AM422-AO422</f>
        <v/>
      </c>
      <c r="AS422" s="220">
        <f>AR422-AK422</f>
        <v/>
      </c>
      <c r="AT422" s="208">
        <f>AS422*1.075</f>
        <v/>
      </c>
      <c r="AU422" s="208">
        <f>AT422+AK422</f>
        <v/>
      </c>
      <c r="AV422" s="198" t="n">
        <v>394806.5987221971</v>
      </c>
      <c r="AW422" s="264">
        <f>BO422*2</f>
        <v/>
      </c>
      <c r="AX422" s="220">
        <f>AV422-AR422</f>
        <v/>
      </c>
      <c r="AY422" s="35">
        <f>AX422/AR422</f>
        <v/>
      </c>
      <c r="AZ422" s="220">
        <f>AV422-AF422</f>
        <v/>
      </c>
      <c r="BA422" s="215">
        <f>AV422-SUM(Z422:AC422)</f>
        <v/>
      </c>
      <c r="BB422" s="215">
        <f>BA422-Y422</f>
        <v/>
      </c>
      <c r="BC422" s="35">
        <f>BB422/BA422</f>
        <v/>
      </c>
      <c r="BD422" s="35">
        <f>IFERROR(AZ422/AV422,)</f>
        <v/>
      </c>
      <c r="BE422" s="255">
        <f>AV422-SUM(Z422:AC422)</f>
        <v/>
      </c>
      <c r="BF422" s="255">
        <f>AV422-BE422-AC422-AB422</f>
        <v/>
      </c>
      <c r="BG422" s="255">
        <f>AV422-BE422-BF422-AB422</f>
        <v/>
      </c>
      <c r="BH422" s="255">
        <f>AB422</f>
        <v/>
      </c>
      <c r="BI422" s="263" t="inlineStr">
        <is>
          <t xml:space="preserve">To Check </t>
        </is>
      </c>
    </row>
    <row r="423">
      <c r="C423" s="23" t="inlineStr">
        <is>
          <t>HARUNA/YEKINI</t>
        </is>
      </c>
      <c r="D423">
        <f>CONCATENATE(G423,"-",H423,"-",F423)</f>
        <v/>
      </c>
      <c r="E423" s="24" t="inlineStr">
        <is>
          <t>JMG-10T-Hiabs Logistics-Upcountry</t>
        </is>
      </c>
      <c r="F423" s="23" t="inlineStr">
        <is>
          <t>Upcountry</t>
        </is>
      </c>
      <c r="G423" s="25" t="inlineStr">
        <is>
          <t>Hiabs Logistics</t>
        </is>
      </c>
      <c r="H423" s="24" t="inlineStr">
        <is>
          <t>10T</t>
        </is>
      </c>
      <c r="I423" s="73" t="inlineStr">
        <is>
          <t>JMG</t>
        </is>
      </c>
      <c r="J423" s="74" t="inlineStr">
        <is>
          <t>Abuja</t>
        </is>
      </c>
      <c r="K423" s="74" t="inlineStr">
        <is>
          <t>Minna</t>
        </is>
      </c>
      <c r="L423" s="25" t="inlineStr">
        <is>
          <t>Niger</t>
        </is>
      </c>
      <c r="M423" s="63" t="n"/>
      <c r="N423" s="201">
        <f>O423/2</f>
        <v/>
      </c>
      <c r="O423" s="201" t="n">
        <v>325</v>
      </c>
      <c r="P423" s="220">
        <f>ROUNDUP(O423/300,)</f>
        <v/>
      </c>
      <c r="Q423" s="220" t="n">
        <v>1</v>
      </c>
      <c r="R423" s="220">
        <f>Q423+P423</f>
        <v/>
      </c>
      <c r="S423" s="198">
        <f>ROUNDDOWN(O423*0.51,)+60</f>
        <v/>
      </c>
      <c r="T423" s="207">
        <f>_xlfn.XLOOKUP(G423,[1]Fx!$A$4:$A$10,[1]Fx!$B$4:$B$10)</f>
        <v/>
      </c>
      <c r="U423" s="207">
        <f>_xlfn.XLOOKUP(G423,'[1]BP Setup'!$B$6:$B$72,'[1]BP Setup'!$Q$6:$Q$72)</f>
        <v/>
      </c>
      <c r="V423" s="207">
        <f>_xlfn.XLOOKUP(G423,'[1]BP Setup'!$B$6:$B$72,'[1]BP Setup'!$R$6:$R$72)</f>
        <v/>
      </c>
      <c r="W423" s="207">
        <f>$W$3</f>
        <v/>
      </c>
      <c r="X423" s="207" t="n">
        <v>80</v>
      </c>
      <c r="Y423" s="215">
        <f>T423*R423</f>
        <v/>
      </c>
      <c r="Z423" s="215">
        <f>U423*O423</f>
        <v/>
      </c>
      <c r="AA423" s="215">
        <f>V423*O423</f>
        <v/>
      </c>
      <c r="AB423" s="215">
        <f>W423*O423</f>
        <v/>
      </c>
      <c r="AC423" s="197">
        <f>X423*O423</f>
        <v/>
      </c>
      <c r="AD423" s="215" t="n">
        <v>0</v>
      </c>
      <c r="AE423" s="215" t="n">
        <v>0</v>
      </c>
      <c r="AF423" s="207">
        <f>SUM(Y423:AE423)</f>
        <v/>
      </c>
      <c r="AG423" s="254">
        <f>_xlfn.XLOOKUP(G423,[1]Fx!$A$16:$A$22,[1]Fx!$B$16:$B$22)</f>
        <v/>
      </c>
      <c r="AH423" s="207">
        <f>AG423*R423</f>
        <v/>
      </c>
      <c r="AI423" s="207">
        <f>$AI$3*Z423</f>
        <v/>
      </c>
      <c r="AJ423" s="207">
        <f>$AJ$3*AA423</f>
        <v/>
      </c>
      <c r="AK423" s="207">
        <f>$AK$3*AB423</f>
        <v/>
      </c>
      <c r="AL423" s="207">
        <f>$AL$3*AC423</f>
        <v/>
      </c>
      <c r="AM423" s="220">
        <f>SUM(AH423:AL423)</f>
        <v/>
      </c>
      <c r="AN423" s="220" t="n">
        <v>0</v>
      </c>
      <c r="AO423" s="220">
        <f>AN423*AH423</f>
        <v/>
      </c>
      <c r="AP423" s="220">
        <f>AD423</f>
        <v/>
      </c>
      <c r="AQ423" s="220">
        <f>AE423</f>
        <v/>
      </c>
      <c r="AR423" s="208">
        <f>AM423-AO423</f>
        <v/>
      </c>
      <c r="AS423" s="220">
        <f>AR423-AK423</f>
        <v/>
      </c>
      <c r="AT423" s="208">
        <f>AS423*1.075</f>
        <v/>
      </c>
      <c r="AU423" s="208">
        <f>AT423+AK423</f>
        <v/>
      </c>
      <c r="AV423" s="198" t="n">
        <v>394806.5987221971</v>
      </c>
      <c r="AW423" s="264">
        <f>BO423*2</f>
        <v/>
      </c>
      <c r="AX423" s="220">
        <f>AV423-AR423</f>
        <v/>
      </c>
      <c r="AY423" s="35">
        <f>AX423/AR423</f>
        <v/>
      </c>
      <c r="AZ423" s="220">
        <f>AV423-AF423</f>
        <v/>
      </c>
      <c r="BA423" s="215">
        <f>AV423-SUM(Z423:AC423)</f>
        <v/>
      </c>
      <c r="BB423" s="215">
        <f>BA423-Y423</f>
        <v/>
      </c>
      <c r="BC423" s="35">
        <f>BB423/BA423</f>
        <v/>
      </c>
      <c r="BD423" s="35">
        <f>IFERROR(AZ423/AV423,)</f>
        <v/>
      </c>
      <c r="BE423" s="255">
        <f>AV423-SUM(Z423:AC423)</f>
        <v/>
      </c>
      <c r="BF423" s="255">
        <f>AV423-BE423-AC423-AB423</f>
        <v/>
      </c>
      <c r="BG423" s="255">
        <f>AV423-BE423-BF423-AB423</f>
        <v/>
      </c>
      <c r="BH423" s="255">
        <f>AB423</f>
        <v/>
      </c>
      <c r="BI423" s="263" t="inlineStr">
        <is>
          <t xml:space="preserve">To Check </t>
        </is>
      </c>
    </row>
    <row r="424">
      <c r="C424" s="23" t="inlineStr">
        <is>
          <t>HARUNA/YEKINI</t>
        </is>
      </c>
      <c r="D424">
        <f>CONCATENATE(G424,"-",H424,"-",F424)</f>
        <v/>
      </c>
      <c r="E424" s="24" t="inlineStr">
        <is>
          <t>JMG-10T-Hiabs Logistics-Upcountry</t>
        </is>
      </c>
      <c r="F424" s="23" t="inlineStr">
        <is>
          <t>Upcountry</t>
        </is>
      </c>
      <c r="G424" s="25" t="inlineStr">
        <is>
          <t>Hiabs Logistics</t>
        </is>
      </c>
      <c r="H424" s="24" t="inlineStr">
        <is>
          <t>10T</t>
        </is>
      </c>
      <c r="I424" s="73" t="inlineStr">
        <is>
          <t>JMG</t>
        </is>
      </c>
      <c r="J424" s="74" t="inlineStr">
        <is>
          <t>Abuja</t>
        </is>
      </c>
      <c r="K424" s="74" t="inlineStr">
        <is>
          <t>Keffi</t>
        </is>
      </c>
      <c r="L424" s="25" t="inlineStr">
        <is>
          <t>Nasarawa</t>
        </is>
      </c>
      <c r="M424" s="63" t="n"/>
      <c r="N424" s="201">
        <f>O424/2</f>
        <v/>
      </c>
      <c r="O424" s="201" t="n">
        <v>131</v>
      </c>
      <c r="P424" s="220">
        <f>ROUNDUP(O424/300,)</f>
        <v/>
      </c>
      <c r="Q424" s="220" t="n">
        <v>1</v>
      </c>
      <c r="R424" s="220">
        <f>Q424+P424</f>
        <v/>
      </c>
      <c r="S424" s="198">
        <f>ROUNDDOWN(O424*0.51,)+60</f>
        <v/>
      </c>
      <c r="T424" s="207">
        <f>_xlfn.XLOOKUP(G424,[1]Fx!$A$4:$A$10,[1]Fx!$B$4:$B$10)</f>
        <v/>
      </c>
      <c r="U424" s="207">
        <f>_xlfn.XLOOKUP(G424,'[1]BP Setup'!$B$6:$B$72,'[1]BP Setup'!$Q$6:$Q$72)</f>
        <v/>
      </c>
      <c r="V424" s="207">
        <f>_xlfn.XLOOKUP(G424,'[1]BP Setup'!$B$6:$B$72,'[1]BP Setup'!$R$6:$R$72)</f>
        <v/>
      </c>
      <c r="W424" s="207">
        <f>$W$3</f>
        <v/>
      </c>
      <c r="X424" s="207" t="n">
        <v>80</v>
      </c>
      <c r="Y424" s="215">
        <f>T424*R424</f>
        <v/>
      </c>
      <c r="Z424" s="215">
        <f>U424*O424</f>
        <v/>
      </c>
      <c r="AA424" s="215">
        <f>V424*O424</f>
        <v/>
      </c>
      <c r="AB424" s="215">
        <f>W424*O424</f>
        <v/>
      </c>
      <c r="AC424" s="197">
        <f>X424*O424</f>
        <v/>
      </c>
      <c r="AD424" s="215" t="n">
        <v>0</v>
      </c>
      <c r="AE424" s="215" t="n">
        <v>0</v>
      </c>
      <c r="AF424" s="207">
        <f>SUM(Y424:AE424)</f>
        <v/>
      </c>
      <c r="AG424" s="254">
        <f>_xlfn.XLOOKUP(G424,[1]Fx!$A$16:$A$22,[1]Fx!$B$16:$B$22)</f>
        <v/>
      </c>
      <c r="AH424" s="207">
        <f>AG424*R424</f>
        <v/>
      </c>
      <c r="AI424" s="207">
        <f>$AI$3*Z424</f>
        <v/>
      </c>
      <c r="AJ424" s="207">
        <f>$AJ$3*AA424</f>
        <v/>
      </c>
      <c r="AK424" s="207">
        <f>$AK$3*AB424</f>
        <v/>
      </c>
      <c r="AL424" s="207">
        <f>$AL$3*AC424</f>
        <v/>
      </c>
      <c r="AM424" s="220">
        <f>SUM(AH424:AL424)</f>
        <v/>
      </c>
      <c r="AN424" s="220" t="n">
        <v>0</v>
      </c>
      <c r="AO424" s="220">
        <f>AN424*AH424</f>
        <v/>
      </c>
      <c r="AP424" s="220">
        <f>AD424</f>
        <v/>
      </c>
      <c r="AQ424" s="220">
        <f>AE424</f>
        <v/>
      </c>
      <c r="AR424" s="208">
        <f>AM424-AO424</f>
        <v/>
      </c>
      <c r="AS424" s="220">
        <f>AR424-AK424</f>
        <v/>
      </c>
      <c r="AT424" s="208">
        <f>AS424*1.075</f>
        <v/>
      </c>
      <c r="AU424" s="208">
        <f>AT424+AK424</f>
        <v/>
      </c>
      <c r="AV424" s="198" t="n">
        <v>263204.3991481314</v>
      </c>
      <c r="AW424" s="264">
        <f>BO424*2</f>
        <v/>
      </c>
      <c r="AX424" s="220">
        <f>AV424-AR424</f>
        <v/>
      </c>
      <c r="AY424" s="35">
        <f>AX424/AR424</f>
        <v/>
      </c>
      <c r="AZ424" s="220">
        <f>AV424-AF424</f>
        <v/>
      </c>
      <c r="BA424" s="215">
        <f>AV424-SUM(Z424:AC424)</f>
        <v/>
      </c>
      <c r="BB424" s="215">
        <f>BA424-Y424</f>
        <v/>
      </c>
      <c r="BC424" s="35">
        <f>BB424/BA424</f>
        <v/>
      </c>
      <c r="BD424" s="35">
        <f>IFERROR(AZ424/AV424,)</f>
        <v/>
      </c>
      <c r="BE424" s="255">
        <f>AV424-SUM(Z424:AC424)</f>
        <v/>
      </c>
      <c r="BF424" s="255">
        <f>AV424-BE424-AC424-AB424</f>
        <v/>
      </c>
      <c r="BG424" s="255">
        <f>AV424-BE424-BF424-AB424</f>
        <v/>
      </c>
      <c r="BH424" s="255">
        <f>AB424</f>
        <v/>
      </c>
      <c r="BI424" s="263" t="inlineStr">
        <is>
          <t xml:space="preserve">To Check </t>
        </is>
      </c>
    </row>
    <row r="425">
      <c r="C425" s="23" t="inlineStr">
        <is>
          <t>HARUNA/YEKINI</t>
        </is>
      </c>
      <c r="D425">
        <f>CONCATENATE(G425,"-",H425,"-",F425)</f>
        <v/>
      </c>
      <c r="E425" s="24" t="inlineStr">
        <is>
          <t>JMG-10T-Hiabs Logistics-Upcountry</t>
        </is>
      </c>
      <c r="F425" s="23" t="inlineStr">
        <is>
          <t>Upcountry</t>
        </is>
      </c>
      <c r="G425" s="25" t="inlineStr">
        <is>
          <t>Hiabs Logistics</t>
        </is>
      </c>
      <c r="H425" s="24" t="inlineStr">
        <is>
          <t>10T</t>
        </is>
      </c>
      <c r="I425" s="73" t="inlineStr">
        <is>
          <t>JMG</t>
        </is>
      </c>
      <c r="J425" s="74" t="inlineStr">
        <is>
          <t>Abuja</t>
        </is>
      </c>
      <c r="K425" s="74" t="inlineStr">
        <is>
          <t>Suleja</t>
        </is>
      </c>
      <c r="L425" s="25" t="inlineStr">
        <is>
          <t>Niger</t>
        </is>
      </c>
      <c r="M425" s="63" t="n"/>
      <c r="N425" s="201">
        <f>O425/2</f>
        <v/>
      </c>
      <c r="O425" s="201" t="n">
        <v>127</v>
      </c>
      <c r="P425" s="220">
        <f>ROUNDUP(O425/300,)</f>
        <v/>
      </c>
      <c r="Q425" s="220" t="n">
        <v>1</v>
      </c>
      <c r="R425" s="220">
        <f>Q425+P425</f>
        <v/>
      </c>
      <c r="S425" s="198">
        <f>ROUNDDOWN(O425*0.51,)+60</f>
        <v/>
      </c>
      <c r="T425" s="207">
        <f>_xlfn.XLOOKUP(G425,[1]Fx!$A$4:$A$10,[1]Fx!$B$4:$B$10)</f>
        <v/>
      </c>
      <c r="U425" s="207">
        <f>_xlfn.XLOOKUP(G425,'[1]BP Setup'!$B$6:$B$72,'[1]BP Setup'!$Q$6:$Q$72)</f>
        <v/>
      </c>
      <c r="V425" s="207">
        <f>_xlfn.XLOOKUP(G425,'[1]BP Setup'!$B$6:$B$72,'[1]BP Setup'!$R$6:$R$72)</f>
        <v/>
      </c>
      <c r="W425" s="207">
        <f>$W$3</f>
        <v/>
      </c>
      <c r="X425" s="207" t="n">
        <v>80</v>
      </c>
      <c r="Y425" s="215">
        <f>T425*R425</f>
        <v/>
      </c>
      <c r="Z425" s="215">
        <f>U425*O425</f>
        <v/>
      </c>
      <c r="AA425" s="215">
        <f>V425*O425</f>
        <v/>
      </c>
      <c r="AB425" s="215">
        <f>W425*O425</f>
        <v/>
      </c>
      <c r="AC425" s="197">
        <f>X425*O425</f>
        <v/>
      </c>
      <c r="AD425" s="215" t="n">
        <v>0</v>
      </c>
      <c r="AE425" s="215" t="n">
        <v>0</v>
      </c>
      <c r="AF425" s="207">
        <f>SUM(Y425:AE425)</f>
        <v/>
      </c>
      <c r="AG425" s="254">
        <f>_xlfn.XLOOKUP(G425,[1]Fx!$A$16:$A$22,[1]Fx!$B$16:$B$22)</f>
        <v/>
      </c>
      <c r="AH425" s="207">
        <f>AG425*R425</f>
        <v/>
      </c>
      <c r="AI425" s="207">
        <f>$AI$3*Z425</f>
        <v/>
      </c>
      <c r="AJ425" s="207">
        <f>$AJ$3*AA425</f>
        <v/>
      </c>
      <c r="AK425" s="207">
        <f>$AK$3*AB425</f>
        <v/>
      </c>
      <c r="AL425" s="207">
        <f>$AL$3*AC425</f>
        <v/>
      </c>
      <c r="AM425" s="220">
        <f>SUM(AH425:AL425)</f>
        <v/>
      </c>
      <c r="AN425" s="220" t="n">
        <v>0</v>
      </c>
      <c r="AO425" s="220">
        <f>AN425*AH425</f>
        <v/>
      </c>
      <c r="AP425" s="220">
        <f>AD425</f>
        <v/>
      </c>
      <c r="AQ425" s="220">
        <f>AE425</f>
        <v/>
      </c>
      <c r="AR425" s="208">
        <f>AM425-AO425</f>
        <v/>
      </c>
      <c r="AS425" s="220">
        <f>AR425-AK425</f>
        <v/>
      </c>
      <c r="AT425" s="208">
        <f>AS425*1.075</f>
        <v/>
      </c>
      <c r="AU425" s="208">
        <f>AT425+AK425</f>
        <v/>
      </c>
      <c r="AV425" s="198" t="n">
        <v>263204.3991481314</v>
      </c>
      <c r="AW425" s="264">
        <f>BO425*2</f>
        <v/>
      </c>
      <c r="AX425" s="220">
        <f>AV425-AU425</f>
        <v/>
      </c>
      <c r="AY425" s="35">
        <f>AX425/AR425</f>
        <v/>
      </c>
      <c r="AZ425" s="220">
        <f>AV425-AF425</f>
        <v/>
      </c>
      <c r="BA425" s="215">
        <f>AV425-SUM(Z425:AC425)</f>
        <v/>
      </c>
      <c r="BB425" s="215">
        <f>BA425-Y425</f>
        <v/>
      </c>
      <c r="BC425" s="35">
        <f>BB425/BA425</f>
        <v/>
      </c>
      <c r="BD425" s="35">
        <f>IFERROR(AZ425/AV425,)</f>
        <v/>
      </c>
      <c r="BE425" s="255">
        <f>AV425-SUM(Z425:AC425)</f>
        <v/>
      </c>
      <c r="BF425" s="255">
        <f>AV425-BE425-AC425-AB425</f>
        <v/>
      </c>
      <c r="BG425" s="255">
        <f>AV425-BE425-BF425-AB425</f>
        <v/>
      </c>
      <c r="BH425" s="255">
        <f>AB425</f>
        <v/>
      </c>
      <c r="BI425" s="263" t="inlineStr">
        <is>
          <t xml:space="preserve">To Check </t>
        </is>
      </c>
    </row>
    <row r="426">
      <c r="C426" s="23" t="inlineStr">
        <is>
          <t>HARUNA/YEKINI</t>
        </is>
      </c>
      <c r="D426">
        <f>CONCATENATE(G426,"-",H426,"-",F426)</f>
        <v/>
      </c>
      <c r="E426" s="24" t="inlineStr">
        <is>
          <t>JMG-10T-Hiabs Logistics-Local</t>
        </is>
      </c>
      <c r="F426" s="23" t="inlineStr">
        <is>
          <t>Local</t>
        </is>
      </c>
      <c r="G426" s="25" t="inlineStr">
        <is>
          <t>Hiabs Logistics</t>
        </is>
      </c>
      <c r="H426" s="24" t="inlineStr">
        <is>
          <t>10T</t>
        </is>
      </c>
      <c r="I426" s="73" t="inlineStr">
        <is>
          <t>JMG</t>
        </is>
      </c>
      <c r="J426" s="74" t="inlineStr">
        <is>
          <t>Abuja</t>
        </is>
      </c>
      <c r="K426" s="74" t="inlineStr">
        <is>
          <t>Gwagwalada</t>
        </is>
      </c>
      <c r="L426" s="25" t="inlineStr">
        <is>
          <t>FCT</t>
        </is>
      </c>
      <c r="M426" s="63" t="n"/>
      <c r="N426" s="201">
        <f>O426/2</f>
        <v/>
      </c>
      <c r="O426" s="201" t="n">
        <v>113</v>
      </c>
      <c r="P426" s="220">
        <f>ROUNDUP(O426/300,)</f>
        <v/>
      </c>
      <c r="Q426" s="220" t="n">
        <v>1</v>
      </c>
      <c r="R426" s="220">
        <f>Q426+P426</f>
        <v/>
      </c>
      <c r="S426" s="198">
        <f>ROUNDDOWN(O426*0.51,)+60</f>
        <v/>
      </c>
      <c r="T426" s="207">
        <f>_xlfn.XLOOKUP(G426,[1]Fx!$A$4:$A$10,[1]Fx!$B$4:$B$10)</f>
        <v/>
      </c>
      <c r="U426" s="207">
        <f>_xlfn.XLOOKUP(G426,'[1]BP Setup'!$B$6:$B$72,'[1]BP Setup'!$Q$6:$Q$72)</f>
        <v/>
      </c>
      <c r="V426" s="207">
        <f>_xlfn.XLOOKUP(G426,'[1]BP Setup'!$B$6:$B$72,'[1]BP Setup'!$R$6:$R$72)</f>
        <v/>
      </c>
      <c r="W426" s="207">
        <f>$W$3</f>
        <v/>
      </c>
      <c r="X426" s="207" t="n">
        <v>80</v>
      </c>
      <c r="Y426" s="215">
        <f>T426*R426</f>
        <v/>
      </c>
      <c r="Z426" s="215">
        <f>U426*O426</f>
        <v/>
      </c>
      <c r="AA426" s="215">
        <f>V426*O426</f>
        <v/>
      </c>
      <c r="AB426" s="215">
        <f>W426*O426</f>
        <v/>
      </c>
      <c r="AC426" s="197">
        <f>X426*O426</f>
        <v/>
      </c>
      <c r="AD426" s="215" t="n">
        <v>0</v>
      </c>
      <c r="AE426" s="215" t="n">
        <v>0</v>
      </c>
      <c r="AF426" s="207">
        <f>SUM(Y426:AE426)</f>
        <v/>
      </c>
      <c r="AG426" s="254">
        <f>_xlfn.XLOOKUP(G426,[1]Fx!$A$16:$A$22,[1]Fx!$B$16:$B$22)</f>
        <v/>
      </c>
      <c r="AH426" s="207">
        <f>AG426*R426</f>
        <v/>
      </c>
      <c r="AI426" s="207">
        <f>$AI$3*Z426</f>
        <v/>
      </c>
      <c r="AJ426" s="207">
        <f>$AJ$3*AA426</f>
        <v/>
      </c>
      <c r="AK426" s="207">
        <f>$AK$3*AB426</f>
        <v/>
      </c>
      <c r="AL426" s="207">
        <f>$AL$3*AC426</f>
        <v/>
      </c>
      <c r="AM426" s="220">
        <f>SUM(AH426:AL426)</f>
        <v/>
      </c>
      <c r="AN426" s="220" t="n">
        <v>0</v>
      </c>
      <c r="AO426" s="220">
        <f>AN426*AH426</f>
        <v/>
      </c>
      <c r="AP426" s="220">
        <f>AD426</f>
        <v/>
      </c>
      <c r="AQ426" s="220">
        <f>AE426</f>
        <v/>
      </c>
      <c r="AR426" s="208">
        <f>AM426-AO426</f>
        <v/>
      </c>
      <c r="AS426" s="220">
        <f>AR426-AK426</f>
        <v/>
      </c>
      <c r="AT426" s="208">
        <f>AS426*1.075</f>
        <v/>
      </c>
      <c r="AU426" s="208">
        <f>AT426+AK426</f>
        <v/>
      </c>
      <c r="AV426" s="198" t="n">
        <v>263204.3991481314</v>
      </c>
      <c r="AW426" s="264">
        <f>BO426*2</f>
        <v/>
      </c>
      <c r="AX426" s="220">
        <f>AV426-AR426</f>
        <v/>
      </c>
      <c r="AY426" s="35">
        <f>AX426/AR426</f>
        <v/>
      </c>
      <c r="AZ426" s="220">
        <f>AV426-AF426</f>
        <v/>
      </c>
      <c r="BA426" s="215">
        <f>AV426-SUM(Z426:AC426)</f>
        <v/>
      </c>
      <c r="BB426" s="215">
        <f>BA426-Y426</f>
        <v/>
      </c>
      <c r="BC426" s="35">
        <f>BB426/BA426</f>
        <v/>
      </c>
      <c r="BD426" s="35">
        <f>IFERROR(AZ426/AV426,)</f>
        <v/>
      </c>
      <c r="BE426" s="255">
        <f>AV426-SUM(Z426:AC426)</f>
        <v/>
      </c>
      <c r="BF426" s="255">
        <f>AV426-BE426-AC426-AB426</f>
        <v/>
      </c>
      <c r="BG426" s="255">
        <f>AV426-BE426-BF426-AB426</f>
        <v/>
      </c>
      <c r="BH426" s="255">
        <f>AB426</f>
        <v/>
      </c>
      <c r="BI426" s="263" t="inlineStr">
        <is>
          <t>Worst Case Approved</t>
        </is>
      </c>
    </row>
    <row r="427">
      <c r="C427" s="23" t="inlineStr">
        <is>
          <t>HARUNA/YEKINI</t>
        </is>
      </c>
      <c r="D427">
        <f>CONCATENATE(G427,"-",H427,"-",F427)</f>
        <v/>
      </c>
      <c r="E427" s="24" t="inlineStr">
        <is>
          <t>JMG-10T-Hiabs Logistics-Local</t>
        </is>
      </c>
      <c r="F427" s="23" t="inlineStr">
        <is>
          <t>Local</t>
        </is>
      </c>
      <c r="G427" s="25" t="inlineStr">
        <is>
          <t>Hiabs Logistics</t>
        </is>
      </c>
      <c r="H427" s="24" t="inlineStr">
        <is>
          <t>10T</t>
        </is>
      </c>
      <c r="I427" s="73" t="inlineStr">
        <is>
          <t>JMG</t>
        </is>
      </c>
      <c r="J427" s="74" t="inlineStr">
        <is>
          <t>Abuja</t>
        </is>
      </c>
      <c r="K427" s="74" t="inlineStr">
        <is>
          <t>Karshi</t>
        </is>
      </c>
      <c r="L427" s="67" t="inlineStr">
        <is>
          <t>FCT</t>
        </is>
      </c>
      <c r="M427" s="68" t="n"/>
      <c r="N427" s="201">
        <f>O427/2</f>
        <v/>
      </c>
      <c r="O427" s="201" t="n">
        <v>88.59999999999999</v>
      </c>
      <c r="P427" s="220">
        <f>ROUNDUP(O427/300,)</f>
        <v/>
      </c>
      <c r="Q427" s="220" t="n">
        <v>1</v>
      </c>
      <c r="R427" s="220">
        <f>Q427+P427</f>
        <v/>
      </c>
      <c r="S427" s="198">
        <f>ROUNDDOWN(O427*0.51,)+60</f>
        <v/>
      </c>
      <c r="T427" s="207">
        <f>_xlfn.XLOOKUP(G427,[1]Fx!$A$4:$A$10,[1]Fx!$B$4:$B$10)</f>
        <v/>
      </c>
      <c r="U427" s="207">
        <f>_xlfn.XLOOKUP(G427,'[1]BP Setup'!$B$6:$B$72,'[1]BP Setup'!$Q$6:$Q$72)</f>
        <v/>
      </c>
      <c r="V427" s="207">
        <f>_xlfn.XLOOKUP(G427,'[1]BP Setup'!$B$6:$B$72,'[1]BP Setup'!$R$6:$R$72)</f>
        <v/>
      </c>
      <c r="W427" s="207">
        <f>$W$3</f>
        <v/>
      </c>
      <c r="X427" s="207" t="n">
        <v>80</v>
      </c>
      <c r="Y427" s="215">
        <f>T427*R427</f>
        <v/>
      </c>
      <c r="Z427" s="215">
        <f>U427*O427</f>
        <v/>
      </c>
      <c r="AA427" s="215">
        <f>V427*O427</f>
        <v/>
      </c>
      <c r="AB427" s="215">
        <f>W427*O427</f>
        <v/>
      </c>
      <c r="AC427" s="197">
        <f>X427*O427</f>
        <v/>
      </c>
      <c r="AD427" s="215" t="n">
        <v>0</v>
      </c>
      <c r="AE427" s="215" t="n">
        <v>0</v>
      </c>
      <c r="AF427" s="207">
        <f>SUM(Y427:AE427)</f>
        <v/>
      </c>
      <c r="AG427" s="254">
        <f>_xlfn.XLOOKUP(G427,[1]Fx!$A$16:$A$22,[1]Fx!$B$16:$B$22)</f>
        <v/>
      </c>
      <c r="AH427" s="207">
        <f>AG427*R427</f>
        <v/>
      </c>
      <c r="AI427" s="207">
        <f>$AI$3*Z427</f>
        <v/>
      </c>
      <c r="AJ427" s="207">
        <f>$AJ$3*AA427</f>
        <v/>
      </c>
      <c r="AK427" s="207">
        <f>$AK$3*AB427</f>
        <v/>
      </c>
      <c r="AL427" s="207">
        <f>$AL$3*AC427</f>
        <v/>
      </c>
      <c r="AM427" s="220">
        <f>SUM(AH427:AL427)</f>
        <v/>
      </c>
      <c r="AN427" s="220" t="n">
        <v>0</v>
      </c>
      <c r="AO427" s="220">
        <f>AN427*AH427</f>
        <v/>
      </c>
      <c r="AP427" s="220">
        <f>AD427</f>
        <v/>
      </c>
      <c r="AQ427" s="220">
        <f>AE427</f>
        <v/>
      </c>
      <c r="AR427" s="208">
        <f>AM427-AO427</f>
        <v/>
      </c>
      <c r="AS427" s="220">
        <f>AR427-AK427</f>
        <v/>
      </c>
      <c r="AT427" s="208">
        <f>AS427*1.075</f>
        <v/>
      </c>
      <c r="AU427" s="208">
        <f>AT427+AK427</f>
        <v/>
      </c>
      <c r="AV427" s="198" t="n">
        <v>263204.3991481314</v>
      </c>
      <c r="AW427" s="264">
        <f>BO427*2</f>
        <v/>
      </c>
      <c r="AX427" s="220">
        <f>AV427-AR427</f>
        <v/>
      </c>
      <c r="AY427" s="35">
        <f>AX427/AR427</f>
        <v/>
      </c>
      <c r="AZ427" s="220">
        <f>AV427-AF427</f>
        <v/>
      </c>
      <c r="BA427" s="215">
        <f>AV427-SUM(Z427:AC427)</f>
        <v/>
      </c>
      <c r="BB427" s="215">
        <f>BA427-Y427</f>
        <v/>
      </c>
      <c r="BC427" s="35">
        <f>BB427/BA427</f>
        <v/>
      </c>
      <c r="BD427" s="35">
        <f>IFERROR(AZ427/AV427,)</f>
        <v/>
      </c>
      <c r="BE427" s="255">
        <f>AV427-SUM(Z427:AC427)</f>
        <v/>
      </c>
      <c r="BF427" s="255">
        <f>AV427-BE427-AC427-AB427</f>
        <v/>
      </c>
      <c r="BG427" s="255">
        <f>AV427-BE427-BF427-AB427</f>
        <v/>
      </c>
      <c r="BH427" s="255">
        <f>AB427</f>
        <v/>
      </c>
      <c r="BI427" s="263" t="inlineStr">
        <is>
          <t>Approved</t>
        </is>
      </c>
    </row>
    <row r="428">
      <c r="C428" s="23" t="inlineStr">
        <is>
          <t>HARUNA/YEKINI</t>
        </is>
      </c>
      <c r="D428">
        <f>CONCATENATE(G428,"-",H428,"-",F428)</f>
        <v/>
      </c>
      <c r="E428" s="24" t="inlineStr">
        <is>
          <t>JMG-10T-Hiabs Logistics-Local</t>
        </is>
      </c>
      <c r="F428" s="23" t="inlineStr">
        <is>
          <t>Local</t>
        </is>
      </c>
      <c r="G428" s="25" t="inlineStr">
        <is>
          <t>Hiabs Logistics</t>
        </is>
      </c>
      <c r="H428" s="24" t="inlineStr">
        <is>
          <t>10T</t>
        </is>
      </c>
      <c r="I428" s="73" t="inlineStr">
        <is>
          <t>JMG</t>
        </is>
      </c>
      <c r="J428" s="74" t="inlineStr">
        <is>
          <t>Abuja</t>
        </is>
      </c>
      <c r="K428" s="74" t="inlineStr">
        <is>
          <t>Zuba</t>
        </is>
      </c>
      <c r="L428" s="67" t="inlineStr">
        <is>
          <t>FCT</t>
        </is>
      </c>
      <c r="M428" s="68" t="n"/>
      <c r="N428" s="201">
        <f>O428/2</f>
        <v/>
      </c>
      <c r="O428" s="201" t="n">
        <v>81.59999999999999</v>
      </c>
      <c r="P428" s="220">
        <f>ROUNDUP(O428/300,)</f>
        <v/>
      </c>
      <c r="Q428" s="220" t="n">
        <v>0.5</v>
      </c>
      <c r="R428" s="220">
        <f>Q428+P428</f>
        <v/>
      </c>
      <c r="S428" s="198">
        <f>ROUNDDOWN(O428*0.51,)+60</f>
        <v/>
      </c>
      <c r="T428" s="207">
        <f>_xlfn.XLOOKUP(G428,[1]Fx!$A$4:$A$10,[1]Fx!$B$4:$B$10)</f>
        <v/>
      </c>
      <c r="U428" s="207">
        <f>_xlfn.XLOOKUP(G428,'[1]BP Setup'!$B$6:$B$72,'[1]BP Setup'!$Q$6:$Q$72)</f>
        <v/>
      </c>
      <c r="V428" s="207">
        <f>_xlfn.XLOOKUP(G428,'[1]BP Setup'!$B$6:$B$72,'[1]BP Setup'!$R$6:$R$72)</f>
        <v/>
      </c>
      <c r="W428" s="207">
        <f>$W$3</f>
        <v/>
      </c>
      <c r="X428" s="207" t="n">
        <v>80</v>
      </c>
      <c r="Y428" s="215">
        <f>T428*R428</f>
        <v/>
      </c>
      <c r="Z428" s="215">
        <f>U428*O428</f>
        <v/>
      </c>
      <c r="AA428" s="215">
        <f>V428*O428</f>
        <v/>
      </c>
      <c r="AB428" s="215">
        <f>W428*O428</f>
        <v/>
      </c>
      <c r="AC428" s="197">
        <f>X428*O428</f>
        <v/>
      </c>
      <c r="AD428" s="215" t="n">
        <v>0</v>
      </c>
      <c r="AE428" s="215" t="n">
        <v>0</v>
      </c>
      <c r="AF428" s="207">
        <f>SUM(Y428:AE428)</f>
        <v/>
      </c>
      <c r="AG428" s="254">
        <f>_xlfn.XLOOKUP(G428,[1]Fx!$A$16:$A$22,[1]Fx!$B$16:$B$22)</f>
        <v/>
      </c>
      <c r="AH428" s="207">
        <f>AG428*R428</f>
        <v/>
      </c>
      <c r="AI428" s="207">
        <f>$AI$3*Z428</f>
        <v/>
      </c>
      <c r="AJ428" s="207">
        <f>$AJ$3*AA428</f>
        <v/>
      </c>
      <c r="AK428" s="207">
        <f>$AK$3*AB428</f>
        <v/>
      </c>
      <c r="AL428" s="207">
        <f>$AL$3*AC428</f>
        <v/>
      </c>
      <c r="AM428" s="220">
        <f>SUM(AH428:AL428)</f>
        <v/>
      </c>
      <c r="AN428" s="220" t="n">
        <v>0</v>
      </c>
      <c r="AO428" s="220">
        <f>AN428*AH428</f>
        <v/>
      </c>
      <c r="AP428" s="220">
        <f>AD428</f>
        <v/>
      </c>
      <c r="AQ428" s="220">
        <f>AE428</f>
        <v/>
      </c>
      <c r="AR428" s="208">
        <f>AM428-AO428</f>
        <v/>
      </c>
      <c r="AS428" s="220">
        <f>AR428-AK428</f>
        <v/>
      </c>
      <c r="AT428" s="208">
        <f>AS428*1.075</f>
        <v/>
      </c>
      <c r="AU428" s="208">
        <f>AT428+AK428</f>
        <v/>
      </c>
      <c r="AV428" s="198" t="n">
        <v>197403.2993610985</v>
      </c>
      <c r="AW428" s="264">
        <f>BO428*2</f>
        <v/>
      </c>
      <c r="AX428" s="220">
        <f>AV428-AR428</f>
        <v/>
      </c>
      <c r="AY428" s="35">
        <f>AX428/AR428</f>
        <v/>
      </c>
      <c r="AZ428" s="220">
        <f>AV428-AF428</f>
        <v/>
      </c>
      <c r="BA428" s="215">
        <f>AV428-SUM(Z428:AC428)</f>
        <v/>
      </c>
      <c r="BB428" s="215">
        <f>BA428-Y428</f>
        <v/>
      </c>
      <c r="BC428" s="35">
        <f>BB428/BA428</f>
        <v/>
      </c>
      <c r="BD428" s="35">
        <f>IFERROR(AZ428/AV428,)</f>
        <v/>
      </c>
      <c r="BE428" s="255">
        <f>AV428-SUM(Z428:AC428)</f>
        <v/>
      </c>
      <c r="BF428" s="255">
        <f>AV428-BE428-AC428-AB428</f>
        <v/>
      </c>
      <c r="BG428" s="255">
        <f>AV428-BE428-BF428-AB428</f>
        <v/>
      </c>
      <c r="BH428" s="255">
        <f>AB428</f>
        <v/>
      </c>
      <c r="BI428" s="263" t="inlineStr">
        <is>
          <t>Approved</t>
        </is>
      </c>
    </row>
    <row r="429">
      <c r="C429" s="23" t="inlineStr">
        <is>
          <t>HARUNA/YEKINI</t>
        </is>
      </c>
      <c r="D429">
        <f>CONCATENATE(G429,"-",H429,"-",F429)</f>
        <v/>
      </c>
      <c r="E429" s="24" t="inlineStr">
        <is>
          <t>JMG-10T-Hiabs Logistics-Local</t>
        </is>
      </c>
      <c r="F429" s="23" t="inlineStr">
        <is>
          <t>Local</t>
        </is>
      </c>
      <c r="G429" s="25" t="inlineStr">
        <is>
          <t>Hiabs Logistics</t>
        </is>
      </c>
      <c r="H429" s="24" t="inlineStr">
        <is>
          <t>10T</t>
        </is>
      </c>
      <c r="I429" s="73" t="inlineStr">
        <is>
          <t>JMG</t>
        </is>
      </c>
      <c r="J429" s="74" t="inlineStr">
        <is>
          <t>Abuja</t>
        </is>
      </c>
      <c r="K429" s="74" t="inlineStr">
        <is>
          <t>Bwari</t>
        </is>
      </c>
      <c r="L429" s="25" t="inlineStr">
        <is>
          <t>FCT</t>
        </is>
      </c>
      <c r="M429" s="68" t="n"/>
      <c r="N429" s="201">
        <f>O429/2</f>
        <v/>
      </c>
      <c r="O429" s="201" t="n">
        <v>80</v>
      </c>
      <c r="P429" s="220">
        <f>ROUNDUP(O429/300,)</f>
        <v/>
      </c>
      <c r="Q429" s="220" t="n">
        <v>1</v>
      </c>
      <c r="R429" s="220">
        <f>Q429+P429</f>
        <v/>
      </c>
      <c r="S429" s="198">
        <f>ROUNDDOWN(O429*0.51,)+60</f>
        <v/>
      </c>
      <c r="T429" s="207">
        <f>_xlfn.XLOOKUP(G429,[1]Fx!$A$4:$A$10,[1]Fx!$B$4:$B$10)</f>
        <v/>
      </c>
      <c r="U429" s="207">
        <f>_xlfn.XLOOKUP(G429,'[1]BP Setup'!$B$6:$B$72,'[1]BP Setup'!$Q$6:$Q$72)</f>
        <v/>
      </c>
      <c r="V429" s="207">
        <f>_xlfn.XLOOKUP(G429,'[1]BP Setup'!$B$6:$B$72,'[1]BP Setup'!$R$6:$R$72)</f>
        <v/>
      </c>
      <c r="W429" s="207">
        <f>$W$3</f>
        <v/>
      </c>
      <c r="X429" s="207" t="n">
        <v>80</v>
      </c>
      <c r="Y429" s="215">
        <f>T429*R429</f>
        <v/>
      </c>
      <c r="Z429" s="215">
        <f>U429*O429</f>
        <v/>
      </c>
      <c r="AA429" s="215">
        <f>V429*O429</f>
        <v/>
      </c>
      <c r="AB429" s="215">
        <f>W429*O429</f>
        <v/>
      </c>
      <c r="AC429" s="197">
        <f>X429*O429</f>
        <v/>
      </c>
      <c r="AD429" s="215" t="n">
        <v>0</v>
      </c>
      <c r="AE429" s="215" t="n">
        <v>0</v>
      </c>
      <c r="AF429" s="207">
        <f>SUM(Y429:AE429)</f>
        <v/>
      </c>
      <c r="AG429" s="254">
        <f>_xlfn.XLOOKUP(G429,[1]Fx!$A$16:$A$22,[1]Fx!$B$16:$B$22)</f>
        <v/>
      </c>
      <c r="AH429" s="207">
        <f>AG429*R429</f>
        <v/>
      </c>
      <c r="AI429" s="207">
        <f>$AI$3*Z429</f>
        <v/>
      </c>
      <c r="AJ429" s="207">
        <f>$AJ$3*AA429</f>
        <v/>
      </c>
      <c r="AK429" s="207">
        <f>$AK$3*AB429</f>
        <v/>
      </c>
      <c r="AL429" s="207">
        <f>$AL$3*AC429</f>
        <v/>
      </c>
      <c r="AM429" s="220">
        <f>SUM(AH429:AL429)</f>
        <v/>
      </c>
      <c r="AN429" s="220" t="n">
        <v>0</v>
      </c>
      <c r="AO429" s="220">
        <f>AN429*AH429</f>
        <v/>
      </c>
      <c r="AP429" s="220">
        <f>AD429</f>
        <v/>
      </c>
      <c r="AQ429" s="220">
        <f>AE429</f>
        <v/>
      </c>
      <c r="AR429" s="208">
        <f>AM429-AO429</f>
        <v/>
      </c>
      <c r="AS429" s="220">
        <f>AR429-AK429</f>
        <v/>
      </c>
      <c r="AT429" s="208">
        <f>AS429*1.075</f>
        <v/>
      </c>
      <c r="AU429" s="208">
        <f>AT429+AK429</f>
        <v/>
      </c>
      <c r="AV429" s="198" t="n">
        <v>263204.3991481314</v>
      </c>
      <c r="AW429" s="264">
        <f>BO429*2</f>
        <v/>
      </c>
      <c r="AX429" s="220">
        <f>AV429-AR429</f>
        <v/>
      </c>
      <c r="AY429" s="35">
        <f>AX429/AR429</f>
        <v/>
      </c>
      <c r="AZ429" s="220">
        <f>AV429-AF429</f>
        <v/>
      </c>
      <c r="BA429" s="215">
        <f>AV429-SUM(Z429:AC429)</f>
        <v/>
      </c>
      <c r="BB429" s="215">
        <f>BA429-Y429</f>
        <v/>
      </c>
      <c r="BC429" s="35">
        <f>BB429/BA429</f>
        <v/>
      </c>
      <c r="BD429" s="35">
        <f>IFERROR(AZ429/AV429,)</f>
        <v/>
      </c>
      <c r="BE429" s="255">
        <f>AV429-SUM(Z429:AC429)</f>
        <v/>
      </c>
      <c r="BF429" s="255">
        <f>AV429-BE429-AC429-AB429</f>
        <v/>
      </c>
      <c r="BG429" s="255">
        <f>AV429-BE429-BF429-AB429</f>
        <v/>
      </c>
      <c r="BH429" s="255">
        <f>AB429</f>
        <v/>
      </c>
      <c r="BI429" s="263" t="inlineStr">
        <is>
          <t>Approved</t>
        </is>
      </c>
    </row>
    <row r="430">
      <c r="C430" s="23" t="inlineStr">
        <is>
          <t>HARUNA/YEKINI</t>
        </is>
      </c>
      <c r="D430">
        <f>CONCATENATE(G430,"-",H430,"-",F430)</f>
        <v/>
      </c>
      <c r="E430" s="24" t="inlineStr">
        <is>
          <t>JMG-10T-Hiabs Logistics-Local</t>
        </is>
      </c>
      <c r="F430" s="23" t="inlineStr">
        <is>
          <t>Local</t>
        </is>
      </c>
      <c r="G430" s="25" t="inlineStr">
        <is>
          <t>Hiabs Logistics</t>
        </is>
      </c>
      <c r="H430" s="24" t="inlineStr">
        <is>
          <t>10T</t>
        </is>
      </c>
      <c r="I430" s="73" t="inlineStr">
        <is>
          <t>JMG</t>
        </is>
      </c>
      <c r="J430" s="74" t="inlineStr">
        <is>
          <t>Abuja</t>
        </is>
      </c>
      <c r="K430" s="74" t="inlineStr">
        <is>
          <t>Kuje</t>
        </is>
      </c>
      <c r="L430" s="25" t="inlineStr">
        <is>
          <t>FCT</t>
        </is>
      </c>
      <c r="M430" s="63" t="n"/>
      <c r="N430" s="201">
        <f>O430/2</f>
        <v/>
      </c>
      <c r="O430" s="201" t="n">
        <v>79</v>
      </c>
      <c r="P430" s="220">
        <f>ROUNDUP(O430/300,)</f>
        <v/>
      </c>
      <c r="Q430" s="220" t="n">
        <v>1</v>
      </c>
      <c r="R430" s="220">
        <f>Q430+P430</f>
        <v/>
      </c>
      <c r="S430" s="198">
        <f>ROUNDDOWN(O430*0.51,)</f>
        <v/>
      </c>
      <c r="T430" s="207">
        <f>_xlfn.XLOOKUP(G430,[1]Fx!$A$4:$A$10,[1]Fx!$B$4:$B$10)</f>
        <v/>
      </c>
      <c r="U430" s="207">
        <f>_xlfn.XLOOKUP(G430,'[1]BP Setup'!$B$6:$B$72,'[1]BP Setup'!$Q$6:$Q$72)</f>
        <v/>
      </c>
      <c r="V430" s="207">
        <f>_xlfn.XLOOKUP(G430,'[1]BP Setup'!$B$6:$B$72,'[1]BP Setup'!$R$6:$R$72)</f>
        <v/>
      </c>
      <c r="W430" s="207">
        <f>$W$3</f>
        <v/>
      </c>
      <c r="X430" s="207" t="n">
        <v>80</v>
      </c>
      <c r="Y430" s="215">
        <f>T430*R430</f>
        <v/>
      </c>
      <c r="Z430" s="215">
        <f>U430*O430</f>
        <v/>
      </c>
      <c r="AA430" s="215">
        <f>V430*O430</f>
        <v/>
      </c>
      <c r="AB430" s="215">
        <f>W430*O430</f>
        <v/>
      </c>
      <c r="AC430" s="197">
        <f>X430*O430</f>
        <v/>
      </c>
      <c r="AD430" s="215" t="n">
        <v>0</v>
      </c>
      <c r="AE430" s="215" t="n">
        <v>0</v>
      </c>
      <c r="AF430" s="207">
        <f>SUM(Y430:AE430)</f>
        <v/>
      </c>
      <c r="AG430" s="254">
        <f>_xlfn.XLOOKUP(G430,[1]Fx!$A$16:$A$22,[1]Fx!$B$16:$B$22)</f>
        <v/>
      </c>
      <c r="AH430" s="207">
        <f>AG430*R430</f>
        <v/>
      </c>
      <c r="AI430" s="207">
        <f>$AI$3*Z430</f>
        <v/>
      </c>
      <c r="AJ430" s="207">
        <f>$AJ$3*AA430</f>
        <v/>
      </c>
      <c r="AK430" s="207">
        <f>$AK$3*AB430</f>
        <v/>
      </c>
      <c r="AL430" s="207">
        <f>$AL$3*AC430</f>
        <v/>
      </c>
      <c r="AM430" s="220">
        <f>SUM(AH430:AL430)</f>
        <v/>
      </c>
      <c r="AN430" s="220" t="n">
        <v>0</v>
      </c>
      <c r="AO430" s="220">
        <f>AN430*AH430</f>
        <v/>
      </c>
      <c r="AP430" s="220">
        <f>AD430</f>
        <v/>
      </c>
      <c r="AQ430" s="220">
        <f>AE430</f>
        <v/>
      </c>
      <c r="AR430" s="208">
        <f>AM430-AO430</f>
        <v/>
      </c>
      <c r="AS430" s="220">
        <f>AR430-AK430</f>
        <v/>
      </c>
      <c r="AT430" s="208">
        <f>AS430*1.075</f>
        <v/>
      </c>
      <c r="AU430" s="208">
        <f>AT430+AK430</f>
        <v/>
      </c>
      <c r="AV430" s="198" t="n">
        <v>263204.3991481314</v>
      </c>
      <c r="AW430" s="264">
        <f>BO430*2</f>
        <v/>
      </c>
      <c r="AX430" s="220">
        <f>AV430-AU430</f>
        <v/>
      </c>
      <c r="AY430" s="35">
        <f>AX430/AR430</f>
        <v/>
      </c>
      <c r="AZ430" s="220">
        <f>AV430-AF430</f>
        <v/>
      </c>
      <c r="BA430" s="215">
        <f>AV430-SUM(Z430:AC430)</f>
        <v/>
      </c>
      <c r="BB430" s="215">
        <f>BA430-Y430</f>
        <v/>
      </c>
      <c r="BC430" s="35">
        <f>BB430/BA430</f>
        <v/>
      </c>
      <c r="BD430" s="35">
        <f>IFERROR(AZ430/AV430,)</f>
        <v/>
      </c>
      <c r="BE430" s="255">
        <f>AV430-SUM(Z430:AC430)</f>
        <v/>
      </c>
      <c r="BF430" s="255">
        <f>AV430-BE430-AC430-AB430</f>
        <v/>
      </c>
      <c r="BG430" s="255">
        <f>AV430-BE430-BF430-AB430</f>
        <v/>
      </c>
      <c r="BH430" s="255">
        <f>AB430</f>
        <v/>
      </c>
      <c r="BI430" s="263" t="inlineStr">
        <is>
          <t>Worst Case Approved</t>
        </is>
      </c>
    </row>
    <row r="431">
      <c r="C431" s="23" t="inlineStr">
        <is>
          <t>HARUNA/YEKINI</t>
        </is>
      </c>
      <c r="D431">
        <f>CONCATENATE(G431,"-",H431,"-",F431)</f>
        <v/>
      </c>
      <c r="E431" s="24" t="inlineStr">
        <is>
          <t>JMG-10T-Hiabs Logistics-Local</t>
        </is>
      </c>
      <c r="F431" s="23" t="inlineStr">
        <is>
          <t>Local</t>
        </is>
      </c>
      <c r="G431" s="25" t="inlineStr">
        <is>
          <t>Hiabs Logistics</t>
        </is>
      </c>
      <c r="H431" s="24" t="inlineStr">
        <is>
          <t>10T</t>
        </is>
      </c>
      <c r="I431" s="73" t="inlineStr">
        <is>
          <t>JMG</t>
        </is>
      </c>
      <c r="J431" s="74" t="inlineStr">
        <is>
          <t>Abuja</t>
        </is>
      </c>
      <c r="K431" s="74" t="inlineStr">
        <is>
          <t>Kurudu</t>
        </is>
      </c>
      <c r="L431" s="25" t="inlineStr">
        <is>
          <t>FCT</t>
        </is>
      </c>
      <c r="M431" s="63" t="n"/>
      <c r="N431" s="201">
        <f>O431/2</f>
        <v/>
      </c>
      <c r="O431" s="201" t="n">
        <v>60.5</v>
      </c>
      <c r="P431" s="220">
        <f>ROUNDUP(O431/300,)</f>
        <v/>
      </c>
      <c r="Q431" s="220" t="n">
        <v>1</v>
      </c>
      <c r="R431" s="220">
        <f>Q431+P431</f>
        <v/>
      </c>
      <c r="S431" s="198">
        <f>ROUNDDOWN(O431*0.51,)+60</f>
        <v/>
      </c>
      <c r="T431" s="207">
        <f>_xlfn.XLOOKUP(G431,[1]Fx!$A$4:$A$10,[1]Fx!$B$4:$B$10)</f>
        <v/>
      </c>
      <c r="U431" s="207">
        <f>_xlfn.XLOOKUP(G431,'[1]BP Setup'!$B$6:$B$72,'[1]BP Setup'!$Q$6:$Q$72)</f>
        <v/>
      </c>
      <c r="V431" s="207">
        <f>_xlfn.XLOOKUP(G431,'[1]BP Setup'!$B$6:$B$72,'[1]BP Setup'!$R$6:$R$72)</f>
        <v/>
      </c>
      <c r="W431" s="207">
        <f>$W$3</f>
        <v/>
      </c>
      <c r="X431" s="207" t="n">
        <v>80</v>
      </c>
      <c r="Y431" s="215">
        <f>T431*R431</f>
        <v/>
      </c>
      <c r="Z431" s="215">
        <f>U431*O431</f>
        <v/>
      </c>
      <c r="AA431" s="215">
        <f>V431*O431</f>
        <v/>
      </c>
      <c r="AB431" s="215">
        <f>W431*O431</f>
        <v/>
      </c>
      <c r="AC431" s="197">
        <f>X431*O431</f>
        <v/>
      </c>
      <c r="AD431" s="215" t="n">
        <v>0</v>
      </c>
      <c r="AE431" s="215" t="n">
        <v>0</v>
      </c>
      <c r="AF431" s="207">
        <f>SUM(Y431:AE431)</f>
        <v/>
      </c>
      <c r="AG431" s="254">
        <f>_xlfn.XLOOKUP(G431,[1]Fx!$A$16:$A$22,[1]Fx!$B$16:$B$22)</f>
        <v/>
      </c>
      <c r="AH431" s="207">
        <f>AG431*R431</f>
        <v/>
      </c>
      <c r="AI431" s="207">
        <f>$AI$3*Z431</f>
        <v/>
      </c>
      <c r="AJ431" s="207">
        <f>$AJ$3*AA431</f>
        <v/>
      </c>
      <c r="AK431" s="207">
        <f>$AK$3*AB431</f>
        <v/>
      </c>
      <c r="AL431" s="207">
        <f>$AL$3*AC431</f>
        <v/>
      </c>
      <c r="AM431" s="220">
        <f>SUM(AH431:AL431)</f>
        <v/>
      </c>
      <c r="AN431" s="220" t="n">
        <v>0</v>
      </c>
      <c r="AO431" s="220">
        <f>AN431*AH431</f>
        <v/>
      </c>
      <c r="AP431" s="220">
        <f>AD431</f>
        <v/>
      </c>
      <c r="AQ431" s="220">
        <f>AE431</f>
        <v/>
      </c>
      <c r="AR431" s="208">
        <f>AM431-AO431</f>
        <v/>
      </c>
      <c r="AS431" s="220">
        <f>AR431-AK431</f>
        <v/>
      </c>
      <c r="AT431" s="208">
        <f>AS431*1.075</f>
        <v/>
      </c>
      <c r="AU431" s="208">
        <f>AT431+AK431</f>
        <v/>
      </c>
      <c r="AV431" s="198" t="n">
        <v>263204.3991481314</v>
      </c>
      <c r="AW431" s="264">
        <f>BO431*2</f>
        <v/>
      </c>
      <c r="AX431" s="220">
        <f>AV431-AR431</f>
        <v/>
      </c>
      <c r="AY431" s="35">
        <f>AX431/AR431</f>
        <v/>
      </c>
      <c r="AZ431" s="220">
        <f>AV431-AF431</f>
        <v/>
      </c>
      <c r="BA431" s="215">
        <f>AV431-SUM(Z431:AC431)</f>
        <v/>
      </c>
      <c r="BB431" s="215">
        <f>BA431-Y431</f>
        <v/>
      </c>
      <c r="BC431" s="35">
        <f>BB431/BA431</f>
        <v/>
      </c>
      <c r="BD431" s="35">
        <f>IFERROR(AZ431/AV431,)</f>
        <v/>
      </c>
      <c r="BE431" s="255">
        <f>AV431-SUM(Z431:AC431)</f>
        <v/>
      </c>
      <c r="BF431" s="255">
        <f>AV431-BE431-AC431-AB431</f>
        <v/>
      </c>
      <c r="BG431" s="255">
        <f>AV431-BE431-BF431-AB431</f>
        <v/>
      </c>
      <c r="BH431" s="255">
        <f>AB431</f>
        <v/>
      </c>
      <c r="BI431" s="263" t="inlineStr">
        <is>
          <t>Worst Case Approved</t>
        </is>
      </c>
    </row>
    <row r="432">
      <c r="C432" s="23" t="inlineStr">
        <is>
          <t>HARUNA/YEKINI</t>
        </is>
      </c>
      <c r="D432">
        <f>CONCATENATE(G432,"-",H432,"-",F432)</f>
        <v/>
      </c>
      <c r="E432" s="24" t="inlineStr">
        <is>
          <t>JMG-10T-Hiabs Logistics-Local</t>
        </is>
      </c>
      <c r="F432" s="23" t="inlineStr">
        <is>
          <t>Local</t>
        </is>
      </c>
      <c r="G432" s="25" t="inlineStr">
        <is>
          <t>Hiabs Logistics</t>
        </is>
      </c>
      <c r="H432" s="24" t="inlineStr">
        <is>
          <t>10T</t>
        </is>
      </c>
      <c r="I432" s="73" t="inlineStr">
        <is>
          <t>JMG</t>
        </is>
      </c>
      <c r="J432" s="74" t="inlineStr">
        <is>
          <t>Abuja</t>
        </is>
      </c>
      <c r="K432" s="74" t="inlineStr">
        <is>
          <t>Kubwa</t>
        </is>
      </c>
      <c r="L432" s="25" t="inlineStr">
        <is>
          <t>FCT</t>
        </is>
      </c>
      <c r="M432" s="63" t="n"/>
      <c r="N432" s="201">
        <f>O432/2</f>
        <v/>
      </c>
      <c r="O432" s="201" t="n">
        <v>58</v>
      </c>
      <c r="P432" s="220">
        <f>ROUNDUP(O432/300,)</f>
        <v/>
      </c>
      <c r="Q432" s="220" t="n">
        <v>1</v>
      </c>
      <c r="R432" s="220">
        <f>Q432+P432</f>
        <v/>
      </c>
      <c r="S432" s="198">
        <f>ROUNDDOWN(O432*0.51,)+60</f>
        <v/>
      </c>
      <c r="T432" s="207">
        <f>_xlfn.XLOOKUP(G432,[1]Fx!$A$4:$A$10,[1]Fx!$B$4:$B$10)</f>
        <v/>
      </c>
      <c r="U432" s="207">
        <f>_xlfn.XLOOKUP(G432,'[1]BP Setup'!$B$6:$B$72,'[1]BP Setup'!$Q$6:$Q$72)</f>
        <v/>
      </c>
      <c r="V432" s="207">
        <f>_xlfn.XLOOKUP(G432,'[1]BP Setup'!$B$6:$B$72,'[1]BP Setup'!$R$6:$R$72)</f>
        <v/>
      </c>
      <c r="W432" s="207">
        <f>$W$3</f>
        <v/>
      </c>
      <c r="X432" s="207" t="n">
        <v>80</v>
      </c>
      <c r="Y432" s="215">
        <f>T432*R432</f>
        <v/>
      </c>
      <c r="Z432" s="215">
        <f>U432*O432</f>
        <v/>
      </c>
      <c r="AA432" s="215">
        <f>V432*O432</f>
        <v/>
      </c>
      <c r="AB432" s="215">
        <f>W432*O432</f>
        <v/>
      </c>
      <c r="AC432" s="197">
        <f>X432*O432</f>
        <v/>
      </c>
      <c r="AD432" s="215" t="n">
        <v>0</v>
      </c>
      <c r="AE432" s="215" t="n">
        <v>0</v>
      </c>
      <c r="AF432" s="207">
        <f>SUM(Y432:AE432)</f>
        <v/>
      </c>
      <c r="AG432" s="254">
        <f>_xlfn.XLOOKUP(G432,[1]Fx!$A$16:$A$22,[1]Fx!$B$16:$B$22)</f>
        <v/>
      </c>
      <c r="AH432" s="207">
        <f>AG432*R432</f>
        <v/>
      </c>
      <c r="AI432" s="207">
        <f>$AI$3*Z432</f>
        <v/>
      </c>
      <c r="AJ432" s="207">
        <f>$AJ$3*AA432</f>
        <v/>
      </c>
      <c r="AK432" s="207">
        <f>$AK$3*AB432</f>
        <v/>
      </c>
      <c r="AL432" s="207">
        <f>$AL$3*AC432</f>
        <v/>
      </c>
      <c r="AM432" s="220">
        <f>SUM(AH432:AL432)</f>
        <v/>
      </c>
      <c r="AN432" s="220" t="n">
        <v>0</v>
      </c>
      <c r="AO432" s="220">
        <f>AN432*AH432</f>
        <v/>
      </c>
      <c r="AP432" s="220">
        <f>AD432</f>
        <v/>
      </c>
      <c r="AQ432" s="220">
        <f>AE432</f>
        <v/>
      </c>
      <c r="AR432" s="208">
        <f>AM432-AO432</f>
        <v/>
      </c>
      <c r="AS432" s="220">
        <f>AR432-AK432</f>
        <v/>
      </c>
      <c r="AT432" s="208">
        <f>AS432*1.075</f>
        <v/>
      </c>
      <c r="AU432" s="208">
        <f>AT432+AK432</f>
        <v/>
      </c>
      <c r="AV432" s="198" t="n">
        <v>263204.3991481314</v>
      </c>
      <c r="AW432" s="264">
        <f>BO432*2</f>
        <v/>
      </c>
      <c r="AX432" s="220">
        <f>AV432-AR432</f>
        <v/>
      </c>
      <c r="AY432" s="35">
        <f>AX432/AR432</f>
        <v/>
      </c>
      <c r="AZ432" s="220">
        <f>AV432-AF432</f>
        <v/>
      </c>
      <c r="BA432" s="215">
        <f>AV432-SUM(Z432:AC432)</f>
        <v/>
      </c>
      <c r="BB432" s="215">
        <f>BA432-Y432</f>
        <v/>
      </c>
      <c r="BC432" s="35">
        <f>BB432/BA432</f>
        <v/>
      </c>
      <c r="BD432" s="35">
        <f>IFERROR(AZ432/AV432,)</f>
        <v/>
      </c>
      <c r="BE432" s="255">
        <f>AV432-SUM(Z432:AC432)</f>
        <v/>
      </c>
      <c r="BF432" s="255">
        <f>AV432-BE432-AC432-AB432</f>
        <v/>
      </c>
      <c r="BG432" s="255">
        <f>AV432-BE432-BF432-AB432</f>
        <v/>
      </c>
      <c r="BH432" s="255">
        <f>AB432</f>
        <v/>
      </c>
      <c r="BI432" s="263" t="inlineStr">
        <is>
          <t>Worst Case Approved</t>
        </is>
      </c>
    </row>
    <row r="433">
      <c r="C433" s="23" t="inlineStr">
        <is>
          <t>HARUNA/YEKINI</t>
        </is>
      </c>
      <c r="D433">
        <f>CONCATENATE(G433,"-",H433,"-",F433)</f>
        <v/>
      </c>
      <c r="E433" s="24" t="inlineStr">
        <is>
          <t>JMG-10T-Hiabs Logistics-Local</t>
        </is>
      </c>
      <c r="F433" s="23" t="inlineStr">
        <is>
          <t>Local</t>
        </is>
      </c>
      <c r="G433" s="25" t="inlineStr">
        <is>
          <t>Hiabs Logistics</t>
        </is>
      </c>
      <c r="H433" s="24" t="inlineStr">
        <is>
          <t>10T</t>
        </is>
      </c>
      <c r="I433" s="73" t="inlineStr">
        <is>
          <t>JMG</t>
        </is>
      </c>
      <c r="J433" s="74" t="inlineStr">
        <is>
          <t>Abuja</t>
        </is>
      </c>
      <c r="K433" s="74" t="inlineStr">
        <is>
          <t>Jega</t>
        </is>
      </c>
      <c r="L433" s="25" t="inlineStr">
        <is>
          <t>Kebbi</t>
        </is>
      </c>
      <c r="M433" s="63" t="n"/>
      <c r="N433" s="201">
        <f>O433/2</f>
        <v/>
      </c>
      <c r="O433" s="201" t="n">
        <v>52.8</v>
      </c>
      <c r="P433" s="220">
        <f>ROUNDUP(O433/300,)</f>
        <v/>
      </c>
      <c r="Q433" s="220" t="n">
        <v>1</v>
      </c>
      <c r="R433" s="220">
        <f>Q433+P433</f>
        <v/>
      </c>
      <c r="S433" s="198">
        <f>ROUNDDOWN(O433*0.51,)+60</f>
        <v/>
      </c>
      <c r="T433" s="207">
        <f>_xlfn.XLOOKUP(G433,[1]Fx!$A$4:$A$10,[1]Fx!$B$4:$B$10)</f>
        <v/>
      </c>
      <c r="U433" s="207">
        <f>_xlfn.XLOOKUP(G433,'[1]BP Setup'!$B$6:$B$72,'[1]BP Setup'!$Q$6:$Q$72)</f>
        <v/>
      </c>
      <c r="V433" s="207">
        <f>_xlfn.XLOOKUP(G433,'[1]BP Setup'!$B$6:$B$72,'[1]BP Setup'!$R$6:$R$72)</f>
        <v/>
      </c>
      <c r="W433" s="207">
        <f>$W$3</f>
        <v/>
      </c>
      <c r="X433" s="207" t="n">
        <v>80</v>
      </c>
      <c r="Y433" s="215">
        <f>T433*R433</f>
        <v/>
      </c>
      <c r="Z433" s="215">
        <f>U433*O433</f>
        <v/>
      </c>
      <c r="AA433" s="215">
        <f>V433*O433</f>
        <v/>
      </c>
      <c r="AB433" s="215">
        <f>W433*O433</f>
        <v/>
      </c>
      <c r="AC433" s="197">
        <f>X433*O433</f>
        <v/>
      </c>
      <c r="AD433" s="215" t="n">
        <v>0</v>
      </c>
      <c r="AE433" s="215" t="n">
        <v>0</v>
      </c>
      <c r="AF433" s="207">
        <f>SUM(Y433:AE433)</f>
        <v/>
      </c>
      <c r="AG433" s="254">
        <f>_xlfn.XLOOKUP(G433,[1]Fx!$A$16:$A$22,[1]Fx!$B$16:$B$22)</f>
        <v/>
      </c>
      <c r="AH433" s="207">
        <f>AG433*R433</f>
        <v/>
      </c>
      <c r="AI433" s="207">
        <f>$AI$3*Z433</f>
        <v/>
      </c>
      <c r="AJ433" s="207">
        <f>$AJ$3*AA433</f>
        <v/>
      </c>
      <c r="AK433" s="207">
        <f>$AK$3*AB433</f>
        <v/>
      </c>
      <c r="AL433" s="207">
        <f>$AL$3*AC433</f>
        <v/>
      </c>
      <c r="AM433" s="220">
        <f>SUM(AH433:AL433)</f>
        <v/>
      </c>
      <c r="AN433" s="220" t="n">
        <v>0</v>
      </c>
      <c r="AO433" s="220">
        <f>AN433*AH433</f>
        <v/>
      </c>
      <c r="AP433" s="220">
        <f>AD433</f>
        <v/>
      </c>
      <c r="AQ433" s="220">
        <f>AE433</f>
        <v/>
      </c>
      <c r="AR433" s="208">
        <f>AM433-AO433</f>
        <v/>
      </c>
      <c r="AS433" s="220">
        <f>AR433-AK433</f>
        <v/>
      </c>
      <c r="AT433" s="208">
        <f>AS433*1.075</f>
        <v/>
      </c>
      <c r="AU433" s="208">
        <f>AT433+AK433</f>
        <v/>
      </c>
      <c r="AV433" s="198" t="n">
        <v>263204.3991481314</v>
      </c>
      <c r="AW433" s="264">
        <f>BO433*2</f>
        <v/>
      </c>
      <c r="AX433" s="220">
        <f>AV433-AR433</f>
        <v/>
      </c>
      <c r="AY433" s="35">
        <f>AX433/AR433</f>
        <v/>
      </c>
      <c r="AZ433" s="220">
        <f>AV433-AF433</f>
        <v/>
      </c>
      <c r="BA433" s="215">
        <f>AV433-SUM(Z433:AC433)</f>
        <v/>
      </c>
      <c r="BB433" s="215">
        <f>BA433-Y433</f>
        <v/>
      </c>
      <c r="BC433" s="35">
        <f>BB433/BA433</f>
        <v/>
      </c>
      <c r="BD433" s="35">
        <f>IFERROR(AZ433/AV433,)</f>
        <v/>
      </c>
      <c r="BE433" s="255">
        <f>AV433-SUM(Z433:AC433)</f>
        <v/>
      </c>
      <c r="BF433" s="255">
        <f>AV433-BE433-AC433-AB433</f>
        <v/>
      </c>
      <c r="BG433" s="255">
        <f>AV433-BE433-BF433-AB433</f>
        <v/>
      </c>
      <c r="BH433" s="255">
        <f>AB433</f>
        <v/>
      </c>
      <c r="BI433" s="263" t="inlineStr">
        <is>
          <t>Worst Case Approved</t>
        </is>
      </c>
    </row>
    <row r="434">
      <c r="C434" s="23" t="inlineStr">
        <is>
          <t>HARUNA/YEKINI</t>
        </is>
      </c>
      <c r="D434">
        <f>CONCATENATE(G434,"-",H434,"-",F434)</f>
        <v/>
      </c>
      <c r="E434" s="24" t="inlineStr">
        <is>
          <t>JMG-10T-Hiabs Logistics-Local</t>
        </is>
      </c>
      <c r="F434" s="23" t="inlineStr">
        <is>
          <t>Local</t>
        </is>
      </c>
      <c r="G434" s="25" t="inlineStr">
        <is>
          <t>Hiabs Logistics</t>
        </is>
      </c>
      <c r="H434" s="24" t="inlineStr">
        <is>
          <t>10T</t>
        </is>
      </c>
      <c r="I434" s="73" t="inlineStr">
        <is>
          <t>JMG</t>
        </is>
      </c>
      <c r="J434" s="74" t="inlineStr">
        <is>
          <t>Abuja</t>
        </is>
      </c>
      <c r="K434" s="74" t="inlineStr">
        <is>
          <t>Mararaba</t>
        </is>
      </c>
      <c r="L434" s="25" t="inlineStr">
        <is>
          <t>Nasarawa</t>
        </is>
      </c>
      <c r="M434" s="63" t="n"/>
      <c r="N434" s="201">
        <f>O434/2</f>
        <v/>
      </c>
      <c r="O434" s="201" t="n">
        <v>49.4</v>
      </c>
      <c r="P434" s="220">
        <f>ROUNDUP(O434/300,)</f>
        <v/>
      </c>
      <c r="Q434" s="220" t="n">
        <v>2</v>
      </c>
      <c r="R434" s="220">
        <f>Q434+P434</f>
        <v/>
      </c>
      <c r="S434" s="198">
        <f>ROUNDDOWN(O434*0.51,)+60</f>
        <v/>
      </c>
      <c r="T434" s="207">
        <f>_xlfn.XLOOKUP(G434,[1]Fx!$A$4:$A$10,[1]Fx!$B$4:$B$10)</f>
        <v/>
      </c>
      <c r="U434" s="207">
        <f>_xlfn.XLOOKUP(G434,'[1]BP Setup'!$B$6:$B$72,'[1]BP Setup'!$Q$6:$Q$72)</f>
        <v/>
      </c>
      <c r="V434" s="207">
        <f>_xlfn.XLOOKUP(G434,'[1]BP Setup'!$B$6:$B$72,'[1]BP Setup'!$R$6:$R$72)</f>
        <v/>
      </c>
      <c r="W434" s="207">
        <f>$W$3</f>
        <v/>
      </c>
      <c r="X434" s="207" t="n">
        <v>80</v>
      </c>
      <c r="Y434" s="215">
        <f>T434*R434</f>
        <v/>
      </c>
      <c r="Z434" s="215">
        <f>U434*O434</f>
        <v/>
      </c>
      <c r="AA434" s="215">
        <f>V434*O434</f>
        <v/>
      </c>
      <c r="AB434" s="215">
        <f>W434*O434</f>
        <v/>
      </c>
      <c r="AC434" s="197">
        <f>X434*O434</f>
        <v/>
      </c>
      <c r="AD434" s="215" t="n">
        <v>0</v>
      </c>
      <c r="AE434" s="215" t="n">
        <v>0</v>
      </c>
      <c r="AF434" s="207">
        <f>SUM(Y434:AE434)</f>
        <v/>
      </c>
      <c r="AG434" s="254">
        <f>_xlfn.XLOOKUP(G434,[1]Fx!$A$16:$A$22,[1]Fx!$B$16:$B$22)</f>
        <v/>
      </c>
      <c r="AH434" s="207">
        <f>AG434*R434</f>
        <v/>
      </c>
      <c r="AI434" s="207">
        <f>$AI$3*Z434</f>
        <v/>
      </c>
      <c r="AJ434" s="207">
        <f>$AJ$3*AA434</f>
        <v/>
      </c>
      <c r="AK434" s="207">
        <f>$AK$3*AB434</f>
        <v/>
      </c>
      <c r="AL434" s="207">
        <f>$AL$3*AC434</f>
        <v/>
      </c>
      <c r="AM434" s="220">
        <f>SUM(AH434:AL434)</f>
        <v/>
      </c>
      <c r="AN434" s="220" t="n">
        <v>0</v>
      </c>
      <c r="AO434" s="220">
        <f>AN434*AH434</f>
        <v/>
      </c>
      <c r="AP434" s="220">
        <f>AD434</f>
        <v/>
      </c>
      <c r="AQ434" s="220">
        <f>AE434</f>
        <v/>
      </c>
      <c r="AR434" s="208">
        <f>AM434-AO434</f>
        <v/>
      </c>
      <c r="AS434" s="220">
        <f>AR434-AK434</f>
        <v/>
      </c>
      <c r="AT434" s="208">
        <f>AS434*1.075</f>
        <v/>
      </c>
      <c r="AU434" s="208">
        <f>AT434+AK434</f>
        <v/>
      </c>
      <c r="AV434" s="198" t="n">
        <v>394806.5987221971</v>
      </c>
      <c r="AW434" s="264">
        <f>BO434*2</f>
        <v/>
      </c>
      <c r="AX434" s="220">
        <f>AV434-AR434</f>
        <v/>
      </c>
      <c r="AY434" s="35">
        <f>AX434/AR434</f>
        <v/>
      </c>
      <c r="AZ434" s="220">
        <f>AV434-AF434</f>
        <v/>
      </c>
      <c r="BA434" s="215">
        <f>AV434-SUM(Z434:AC434)</f>
        <v/>
      </c>
      <c r="BB434" s="215">
        <f>BA434-Y434</f>
        <v/>
      </c>
      <c r="BC434" s="35">
        <f>BB434/BA434</f>
        <v/>
      </c>
      <c r="BD434" s="35">
        <f>IFERROR(AZ434/AV434,)</f>
        <v/>
      </c>
      <c r="BE434" s="255">
        <f>AV434-SUM(Z434:AC434)</f>
        <v/>
      </c>
      <c r="BF434" s="255">
        <f>AV434-BE434-AC434-AB434</f>
        <v/>
      </c>
      <c r="BG434" s="255">
        <f>AV434-BE434-BF434-AB434</f>
        <v/>
      </c>
      <c r="BH434" s="255">
        <f>AB434</f>
        <v/>
      </c>
      <c r="BI434" s="263" t="inlineStr">
        <is>
          <t>Worst Case Approved</t>
        </is>
      </c>
    </row>
    <row r="435">
      <c r="C435" s="23" t="inlineStr">
        <is>
          <t>HARUNA/YEKINI</t>
        </is>
      </c>
      <c r="D435">
        <f>CONCATENATE(G435,"-",H435,"-",F435)</f>
        <v/>
      </c>
      <c r="E435" s="24" t="inlineStr">
        <is>
          <t>JMG-10T-Hiabs Logistics-Local</t>
        </is>
      </c>
      <c r="F435" s="23" t="inlineStr">
        <is>
          <t>Local</t>
        </is>
      </c>
      <c r="G435" s="25" t="inlineStr">
        <is>
          <t>Hiabs Logistics</t>
        </is>
      </c>
      <c r="H435" s="24" t="inlineStr">
        <is>
          <t>10T</t>
        </is>
      </c>
      <c r="I435" s="73" t="inlineStr">
        <is>
          <t>JMG</t>
        </is>
      </c>
      <c r="J435" s="74" t="inlineStr">
        <is>
          <t>Abuja</t>
        </is>
      </c>
      <c r="K435" s="74" t="inlineStr">
        <is>
          <t>Karu</t>
        </is>
      </c>
      <c r="L435" s="67" t="inlineStr">
        <is>
          <t>FCT</t>
        </is>
      </c>
      <c r="M435" s="68" t="n"/>
      <c r="N435" s="201">
        <f>O435/2</f>
        <v/>
      </c>
      <c r="O435" s="200" t="n">
        <v>48.6</v>
      </c>
      <c r="P435" s="220">
        <f>ROUNDUP(O435/300,)</f>
        <v/>
      </c>
      <c r="Q435" s="220" t="n">
        <v>1</v>
      </c>
      <c r="R435" s="220">
        <f>Q435+P435</f>
        <v/>
      </c>
      <c r="S435" s="198">
        <f>ROUNDDOWN(O435*0.51,)+60</f>
        <v/>
      </c>
      <c r="T435" s="207">
        <f>_xlfn.XLOOKUP(G435,[1]Fx!$A$4:$A$10,[1]Fx!$B$4:$B$10)</f>
        <v/>
      </c>
      <c r="U435" s="207">
        <f>_xlfn.XLOOKUP(G435,'[1]BP Setup'!$B$6:$B$72,'[1]BP Setup'!$Q$6:$Q$72)</f>
        <v/>
      </c>
      <c r="V435" s="207">
        <f>_xlfn.XLOOKUP(G435,'[1]BP Setup'!$B$6:$B$72,'[1]BP Setup'!$R$6:$R$72)</f>
        <v/>
      </c>
      <c r="W435" s="207">
        <f>$W$3</f>
        <v/>
      </c>
      <c r="X435" s="207" t="n">
        <v>80</v>
      </c>
      <c r="Y435" s="215">
        <f>T435*R435</f>
        <v/>
      </c>
      <c r="Z435" s="215">
        <f>U435*O435</f>
        <v/>
      </c>
      <c r="AA435" s="215">
        <f>V435*O435</f>
        <v/>
      </c>
      <c r="AB435" s="215">
        <f>W435*O435</f>
        <v/>
      </c>
      <c r="AC435" s="197">
        <f>X435*O435</f>
        <v/>
      </c>
      <c r="AD435" s="215" t="n">
        <v>0</v>
      </c>
      <c r="AE435" s="215" t="n">
        <v>0</v>
      </c>
      <c r="AF435" s="207">
        <f>SUM(Y435:AE435)</f>
        <v/>
      </c>
      <c r="AG435" s="254">
        <f>_xlfn.XLOOKUP(G435,[1]Fx!$A$16:$A$22,[1]Fx!$B$16:$B$22)</f>
        <v/>
      </c>
      <c r="AH435" s="207">
        <f>AG435*R435</f>
        <v/>
      </c>
      <c r="AI435" s="207">
        <f>$AI$3*Z435</f>
        <v/>
      </c>
      <c r="AJ435" s="207">
        <f>$AJ$3*AA435</f>
        <v/>
      </c>
      <c r="AK435" s="207">
        <f>$AK$3*AB435</f>
        <v/>
      </c>
      <c r="AL435" s="207">
        <f>$AL$3*AC435</f>
        <v/>
      </c>
      <c r="AM435" s="220">
        <f>SUM(AH435:AL435)</f>
        <v/>
      </c>
      <c r="AN435" s="220" t="n">
        <v>0</v>
      </c>
      <c r="AO435" s="220">
        <f>AN435*AH435</f>
        <v/>
      </c>
      <c r="AP435" s="220" t="n">
        <v>0</v>
      </c>
      <c r="AQ435" s="220">
        <f>AE435</f>
        <v/>
      </c>
      <c r="AR435" s="208">
        <f>AM435-AO435</f>
        <v/>
      </c>
      <c r="AS435" s="220">
        <f>AR435-AK435</f>
        <v/>
      </c>
      <c r="AT435" s="208">
        <f>AS435*1.075</f>
        <v/>
      </c>
      <c r="AU435" s="208">
        <f>AT435+AK435</f>
        <v/>
      </c>
      <c r="AV435" s="198" t="n">
        <v>263204.3991481314</v>
      </c>
      <c r="AW435" s="264">
        <f>BO435*2</f>
        <v/>
      </c>
      <c r="AX435" s="220">
        <f>AV435-AR435</f>
        <v/>
      </c>
      <c r="AY435" s="35">
        <f>AX435/AR435</f>
        <v/>
      </c>
      <c r="AZ435" s="220">
        <f>AV435-AF435</f>
        <v/>
      </c>
      <c r="BA435" s="215">
        <f>AV435-SUM(Z435:AC435)</f>
        <v/>
      </c>
      <c r="BB435" s="215">
        <f>BA435-Y435</f>
        <v/>
      </c>
      <c r="BC435" s="35">
        <f>BB435/BA435</f>
        <v/>
      </c>
      <c r="BD435" s="35">
        <f>IFERROR(AZ435/AV435,)</f>
        <v/>
      </c>
      <c r="BE435" s="255">
        <f>AV435-SUM(Z435:AC435)</f>
        <v/>
      </c>
      <c r="BF435" s="255">
        <f>AV435-BE435-AC435-AB435</f>
        <v/>
      </c>
      <c r="BG435" s="255">
        <f>AV435-BE435-BF435-AB435</f>
        <v/>
      </c>
      <c r="BH435" s="255">
        <f>AB435</f>
        <v/>
      </c>
      <c r="BI435" s="263" t="inlineStr">
        <is>
          <t>Worst Case Approved</t>
        </is>
      </c>
    </row>
    <row r="436">
      <c r="C436" s="23" t="inlineStr">
        <is>
          <t>HARUNA/YEKINI</t>
        </is>
      </c>
      <c r="D436">
        <f>CONCATENATE(G436,"-",H436,"-",F436)</f>
        <v/>
      </c>
      <c r="E436" s="24" t="inlineStr">
        <is>
          <t>JMG-10T-Hiabs Logistics-Local</t>
        </is>
      </c>
      <c r="F436" s="23" t="inlineStr">
        <is>
          <t>Local</t>
        </is>
      </c>
      <c r="G436" s="25" t="inlineStr">
        <is>
          <t>Hiabs Logistics</t>
        </is>
      </c>
      <c r="H436" s="24" t="inlineStr">
        <is>
          <t>10T</t>
        </is>
      </c>
      <c r="I436" s="73" t="inlineStr">
        <is>
          <t>JMG</t>
        </is>
      </c>
      <c r="J436" s="74" t="inlineStr">
        <is>
          <t>Abuja</t>
        </is>
      </c>
      <c r="K436" s="74" t="inlineStr">
        <is>
          <t>Jikwoyi</t>
        </is>
      </c>
      <c r="L436" s="67" t="inlineStr">
        <is>
          <t>FCT</t>
        </is>
      </c>
      <c r="M436" s="68" t="n"/>
      <c r="N436" s="201">
        <f>O436/2</f>
        <v/>
      </c>
      <c r="O436" s="201" t="n">
        <v>48.5</v>
      </c>
      <c r="P436" s="220">
        <f>ROUNDUP(O436/300,)</f>
        <v/>
      </c>
      <c r="Q436" s="220" t="n">
        <v>1</v>
      </c>
      <c r="R436" s="220">
        <f>Q436+P436</f>
        <v/>
      </c>
      <c r="S436" s="198">
        <f>ROUNDDOWN(O436*0.51,)+60</f>
        <v/>
      </c>
      <c r="T436" s="207">
        <f>_xlfn.XLOOKUP(G436,[1]Fx!$A$4:$A$10,[1]Fx!$B$4:$B$10)</f>
        <v/>
      </c>
      <c r="U436" s="207">
        <f>_xlfn.XLOOKUP(G436,'[1]BP Setup'!$B$6:$B$72,'[1]BP Setup'!$Q$6:$Q$72)</f>
        <v/>
      </c>
      <c r="V436" s="207">
        <f>_xlfn.XLOOKUP(G436,'[1]BP Setup'!$B$6:$B$72,'[1]BP Setup'!$R$6:$R$72)</f>
        <v/>
      </c>
      <c r="W436" s="207">
        <f>$W$3</f>
        <v/>
      </c>
      <c r="X436" s="207" t="n">
        <v>80</v>
      </c>
      <c r="Y436" s="215">
        <f>T436*R436</f>
        <v/>
      </c>
      <c r="Z436" s="215">
        <f>U436*O436</f>
        <v/>
      </c>
      <c r="AA436" s="215">
        <f>V436*O436</f>
        <v/>
      </c>
      <c r="AB436" s="215">
        <f>W436*O436</f>
        <v/>
      </c>
      <c r="AC436" s="197">
        <f>X436*O436</f>
        <v/>
      </c>
      <c r="AD436" s="215" t="n">
        <v>0</v>
      </c>
      <c r="AE436" s="215" t="n">
        <v>0</v>
      </c>
      <c r="AF436" s="207">
        <f>SUM(Y436:AE436)</f>
        <v/>
      </c>
      <c r="AG436" s="254">
        <f>_xlfn.XLOOKUP(G436,[1]Fx!$A$16:$A$22,[1]Fx!$B$16:$B$22)</f>
        <v/>
      </c>
      <c r="AH436" s="207">
        <f>AG436*R436</f>
        <v/>
      </c>
      <c r="AI436" s="207">
        <f>$AI$3*Z436</f>
        <v/>
      </c>
      <c r="AJ436" s="207">
        <f>$AJ$3*AA436</f>
        <v/>
      </c>
      <c r="AK436" s="207">
        <f>$AK$3*AB436</f>
        <v/>
      </c>
      <c r="AL436" s="207">
        <f>$AL$3*AC436</f>
        <v/>
      </c>
      <c r="AM436" s="220">
        <f>SUM(AH436:AL436)</f>
        <v/>
      </c>
      <c r="AN436" s="220" t="n">
        <v>0</v>
      </c>
      <c r="AO436" s="220">
        <f>AN436*AH436</f>
        <v/>
      </c>
      <c r="AP436" s="220" t="n">
        <v>0</v>
      </c>
      <c r="AQ436" s="220">
        <f>AE436</f>
        <v/>
      </c>
      <c r="AR436" s="208">
        <f>AM436-AO436</f>
        <v/>
      </c>
      <c r="AS436" s="220">
        <f>AR436-AK436</f>
        <v/>
      </c>
      <c r="AT436" s="208">
        <f>AS436*1.075</f>
        <v/>
      </c>
      <c r="AU436" s="208">
        <f>AT436+AK436</f>
        <v/>
      </c>
      <c r="AV436" s="198" t="n">
        <v>263204.3991481314</v>
      </c>
      <c r="AW436" s="264">
        <f>BO436*2</f>
        <v/>
      </c>
      <c r="AX436" s="220">
        <f>AV436-AR436</f>
        <v/>
      </c>
      <c r="AY436" s="35">
        <f>AX436/AR436</f>
        <v/>
      </c>
      <c r="AZ436" s="220">
        <f>AV436-AF436</f>
        <v/>
      </c>
      <c r="BA436" s="215">
        <f>AV436-SUM(Z436:AC436)</f>
        <v/>
      </c>
      <c r="BB436" s="215">
        <f>BA436-Y436</f>
        <v/>
      </c>
      <c r="BC436" s="35">
        <f>BB436/BA436</f>
        <v/>
      </c>
      <c r="BD436" s="35">
        <f>IFERROR(AZ436/AV436,)</f>
        <v/>
      </c>
      <c r="BE436" s="255">
        <f>AV436-SUM(Z436:AC436)</f>
        <v/>
      </c>
      <c r="BF436" s="255">
        <f>AV436-BE436-AC436-AB436</f>
        <v/>
      </c>
      <c r="BG436" s="255">
        <f>AV436-BE436-BF436-AB436</f>
        <v/>
      </c>
      <c r="BH436" s="255">
        <f>AB436</f>
        <v/>
      </c>
      <c r="BI436" s="263" t="inlineStr">
        <is>
          <t>Worst Case Approved</t>
        </is>
      </c>
    </row>
    <row r="437">
      <c r="C437" s="23" t="inlineStr">
        <is>
          <t>HARUNA/YEKINI</t>
        </is>
      </c>
      <c r="D437">
        <f>CONCATENATE(G437,"-",H437,"-",F437)</f>
        <v/>
      </c>
      <c r="E437" s="24" t="inlineStr">
        <is>
          <t>JMG-10T-Hiabs Logistics-Local</t>
        </is>
      </c>
      <c r="F437" s="23" t="inlineStr">
        <is>
          <t>Local</t>
        </is>
      </c>
      <c r="G437" s="25" t="inlineStr">
        <is>
          <t>Hiabs Logistics</t>
        </is>
      </c>
      <c r="H437" s="24" t="inlineStr">
        <is>
          <t>10T</t>
        </is>
      </c>
      <c r="I437" s="73" t="inlineStr">
        <is>
          <t>JMG</t>
        </is>
      </c>
      <c r="J437" s="74" t="inlineStr">
        <is>
          <t>Abuja</t>
        </is>
      </c>
      <c r="K437" s="74" t="inlineStr">
        <is>
          <t>Nyanya</t>
        </is>
      </c>
      <c r="L437" s="67" t="inlineStr">
        <is>
          <t>FCT</t>
        </is>
      </c>
      <c r="M437" s="68" t="n"/>
      <c r="N437" s="201">
        <f>O437/2</f>
        <v/>
      </c>
      <c r="O437" s="200" t="n">
        <v>47.2</v>
      </c>
      <c r="P437" s="220">
        <f>ROUNDUP(O437/300,)</f>
        <v/>
      </c>
      <c r="Q437" s="220" t="n">
        <v>1</v>
      </c>
      <c r="R437" s="220">
        <f>Q437+P437</f>
        <v/>
      </c>
      <c r="S437" s="198">
        <f>ROUNDDOWN(O437*0.51,)+60</f>
        <v/>
      </c>
      <c r="T437" s="207">
        <f>_xlfn.XLOOKUP(G437,[1]Fx!$A$4:$A$10,[1]Fx!$B$4:$B$10)</f>
        <v/>
      </c>
      <c r="U437" s="207">
        <f>_xlfn.XLOOKUP(G437,'[1]BP Setup'!$B$6:$B$72,'[1]BP Setup'!$Q$6:$Q$72)</f>
        <v/>
      </c>
      <c r="V437" s="207">
        <f>_xlfn.XLOOKUP(G437,'[1]BP Setup'!$B$6:$B$72,'[1]BP Setup'!$R$6:$R$72)</f>
        <v/>
      </c>
      <c r="W437" s="207">
        <f>$W$3</f>
        <v/>
      </c>
      <c r="X437" s="207" t="n">
        <v>80</v>
      </c>
      <c r="Y437" s="215">
        <f>T437*R437</f>
        <v/>
      </c>
      <c r="Z437" s="215">
        <f>U437*O437</f>
        <v/>
      </c>
      <c r="AA437" s="215">
        <f>V437*O437</f>
        <v/>
      </c>
      <c r="AB437" s="215">
        <f>W437*O437</f>
        <v/>
      </c>
      <c r="AC437" s="197">
        <f>X437*O437</f>
        <v/>
      </c>
      <c r="AD437" s="215" t="n">
        <v>0</v>
      </c>
      <c r="AE437" s="215" t="n">
        <v>0</v>
      </c>
      <c r="AF437" s="207">
        <f>SUM(Y437:AE437)</f>
        <v/>
      </c>
      <c r="AG437" s="254">
        <f>_xlfn.XLOOKUP(G437,[1]Fx!$A$16:$A$22,[1]Fx!$B$16:$B$22)</f>
        <v/>
      </c>
      <c r="AH437" s="207">
        <f>AG437*R437</f>
        <v/>
      </c>
      <c r="AI437" s="207">
        <f>$AI$3*Z437</f>
        <v/>
      </c>
      <c r="AJ437" s="207">
        <f>$AJ$3*AA437</f>
        <v/>
      </c>
      <c r="AK437" s="207">
        <f>$AK$3*AB437</f>
        <v/>
      </c>
      <c r="AL437" s="207">
        <f>$AL$3*AC437</f>
        <v/>
      </c>
      <c r="AM437" s="220">
        <f>SUM(AH437:AL437)</f>
        <v/>
      </c>
      <c r="AN437" s="220" t="n">
        <v>0</v>
      </c>
      <c r="AO437" s="220">
        <f>AN437*AH437</f>
        <v/>
      </c>
      <c r="AP437" s="220" t="n">
        <v>0</v>
      </c>
      <c r="AQ437" s="220">
        <f>AE437</f>
        <v/>
      </c>
      <c r="AR437" s="208">
        <f>AM437-AO437</f>
        <v/>
      </c>
      <c r="AS437" s="220">
        <f>AR437-AK437</f>
        <v/>
      </c>
      <c r="AT437" s="208">
        <f>AS437*1.075</f>
        <v/>
      </c>
      <c r="AU437" s="208">
        <f>AT437+AK437</f>
        <v/>
      </c>
      <c r="AV437" s="198" t="n">
        <v>263204.3991481314</v>
      </c>
      <c r="AW437" s="264">
        <f>BO437*2</f>
        <v/>
      </c>
      <c r="AX437" s="220">
        <f>AV437-AR437</f>
        <v/>
      </c>
      <c r="AY437" s="35">
        <f>AX437/AR437</f>
        <v/>
      </c>
      <c r="AZ437" s="220">
        <f>AV437-AF437</f>
        <v/>
      </c>
      <c r="BA437" s="215">
        <f>AV437-SUM(Z437:AC437)</f>
        <v/>
      </c>
      <c r="BB437" s="215">
        <f>BA437-Y437</f>
        <v/>
      </c>
      <c r="BC437" s="35">
        <f>BB437/BA437</f>
        <v/>
      </c>
      <c r="BD437" s="35">
        <f>IFERROR(AZ437/AV437,)</f>
        <v/>
      </c>
      <c r="BE437" s="255">
        <f>AV437-SUM(Z437:AC437)</f>
        <v/>
      </c>
      <c r="BF437" s="255">
        <f>AV437-BE437-AC437-AB437</f>
        <v/>
      </c>
      <c r="BG437" s="255">
        <f>AV437-BE437-BF437-AB437</f>
        <v/>
      </c>
      <c r="BH437" s="255">
        <f>AB437</f>
        <v/>
      </c>
      <c r="BI437" s="263" t="inlineStr">
        <is>
          <t>Worst Case Approved</t>
        </is>
      </c>
    </row>
    <row r="438">
      <c r="C438" s="23" t="inlineStr">
        <is>
          <t>HARUNA/YEKINI</t>
        </is>
      </c>
      <c r="D438">
        <f>CONCATENATE(G438,"-",H438,"-",F438)</f>
        <v/>
      </c>
      <c r="E438" s="24" t="inlineStr">
        <is>
          <t>JMG-10T-Hiabs Logistics-Local</t>
        </is>
      </c>
      <c r="F438" s="23" t="inlineStr">
        <is>
          <t>Local</t>
        </is>
      </c>
      <c r="G438" s="25" t="inlineStr">
        <is>
          <t>Hiabs Logistics</t>
        </is>
      </c>
      <c r="H438" s="24" t="inlineStr">
        <is>
          <t>10T</t>
        </is>
      </c>
      <c r="I438" s="73" t="inlineStr">
        <is>
          <t>JMG</t>
        </is>
      </c>
      <c r="J438" s="74" t="inlineStr">
        <is>
          <t>Abuja</t>
        </is>
      </c>
      <c r="K438" s="74" t="inlineStr">
        <is>
          <t>Kasana</t>
        </is>
      </c>
      <c r="L438" s="67" t="inlineStr">
        <is>
          <t>FCT</t>
        </is>
      </c>
      <c r="M438" s="68" t="n"/>
      <c r="N438" s="201">
        <f>O438/2</f>
        <v/>
      </c>
      <c r="O438" s="200" t="n">
        <v>42.1</v>
      </c>
      <c r="P438" s="220">
        <f>ROUNDUP(O438/300,)</f>
        <v/>
      </c>
      <c r="Q438" s="220" t="n">
        <v>1</v>
      </c>
      <c r="R438" s="220">
        <f>Q438+P438</f>
        <v/>
      </c>
      <c r="S438" s="198">
        <f>ROUNDDOWN(O438*0.51,)+60</f>
        <v/>
      </c>
      <c r="T438" s="207">
        <f>_xlfn.XLOOKUP(G438,[1]Fx!$A$4:$A$10,[1]Fx!$B$4:$B$10)</f>
        <v/>
      </c>
      <c r="U438" s="207">
        <f>_xlfn.XLOOKUP(G438,'[1]BP Setup'!$B$6:$B$72,'[1]BP Setup'!$Q$6:$Q$72)</f>
        <v/>
      </c>
      <c r="V438" s="207">
        <f>_xlfn.XLOOKUP(G438,'[1]BP Setup'!$B$6:$B$72,'[1]BP Setup'!$R$6:$R$72)</f>
        <v/>
      </c>
      <c r="W438" s="207">
        <f>$W$3</f>
        <v/>
      </c>
      <c r="X438" s="207" t="n">
        <v>80</v>
      </c>
      <c r="Y438" s="215">
        <f>T438*R438</f>
        <v/>
      </c>
      <c r="Z438" s="215">
        <f>U438*O438</f>
        <v/>
      </c>
      <c r="AA438" s="215">
        <f>V438*O438</f>
        <v/>
      </c>
      <c r="AB438" s="215">
        <f>W438*O438</f>
        <v/>
      </c>
      <c r="AC438" s="197">
        <f>X438*O438</f>
        <v/>
      </c>
      <c r="AD438" s="215" t="n">
        <v>0</v>
      </c>
      <c r="AE438" s="215" t="n">
        <v>0</v>
      </c>
      <c r="AF438" s="207">
        <f>SUM(Y438:AE438)</f>
        <v/>
      </c>
      <c r="AG438" s="254">
        <f>_xlfn.XLOOKUP(G438,[1]Fx!$A$16:$A$22,[1]Fx!$B$16:$B$22)</f>
        <v/>
      </c>
      <c r="AH438" s="207">
        <f>AG438*R438</f>
        <v/>
      </c>
      <c r="AI438" s="207">
        <f>$AI$3*Z438</f>
        <v/>
      </c>
      <c r="AJ438" s="207">
        <f>$AJ$3*AA438</f>
        <v/>
      </c>
      <c r="AK438" s="207">
        <f>$AK$3*AB438</f>
        <v/>
      </c>
      <c r="AL438" s="207">
        <f>$AL$3*AC438</f>
        <v/>
      </c>
      <c r="AM438" s="220">
        <f>SUM(AH438:AL438)</f>
        <v/>
      </c>
      <c r="AN438" s="220" t="n">
        <v>0</v>
      </c>
      <c r="AO438" s="220">
        <f>AN438*AH438</f>
        <v/>
      </c>
      <c r="AP438" s="220" t="n">
        <v>0</v>
      </c>
      <c r="AQ438" s="220">
        <f>AE438</f>
        <v/>
      </c>
      <c r="AR438" s="208">
        <f>AM438-AO438</f>
        <v/>
      </c>
      <c r="AS438" s="220">
        <f>AR438-AK438</f>
        <v/>
      </c>
      <c r="AT438" s="208">
        <f>AS438*1.075</f>
        <v/>
      </c>
      <c r="AU438" s="208">
        <f>AT438+AK438</f>
        <v/>
      </c>
      <c r="AV438" s="198" t="n">
        <v>263204.3991481314</v>
      </c>
      <c r="AW438" s="264">
        <f>BO438*2</f>
        <v/>
      </c>
      <c r="AX438" s="220">
        <f>AV438-AR438</f>
        <v/>
      </c>
      <c r="AY438" s="35">
        <f>AX438/AR438</f>
        <v/>
      </c>
      <c r="AZ438" s="220">
        <f>AV438-AF438</f>
        <v/>
      </c>
      <c r="BA438" s="215">
        <f>AV438-SUM(Z438:AC438)</f>
        <v/>
      </c>
      <c r="BB438" s="215">
        <f>BA438-Y438</f>
        <v/>
      </c>
      <c r="BC438" s="35">
        <f>BB438/BA438</f>
        <v/>
      </c>
      <c r="BD438" s="35">
        <f>IFERROR(AZ438/AV438,)</f>
        <v/>
      </c>
      <c r="BE438" s="255">
        <f>AV438-SUM(Z438:AC438)</f>
        <v/>
      </c>
      <c r="BF438" s="255">
        <f>AV438-BE438-AC438-AB438</f>
        <v/>
      </c>
      <c r="BG438" s="255">
        <f>AV438-BE438-BF438-AB438</f>
        <v/>
      </c>
      <c r="BH438" s="255">
        <f>AB438</f>
        <v/>
      </c>
      <c r="BI438" s="263" t="inlineStr">
        <is>
          <t>Worst Case Approved</t>
        </is>
      </c>
    </row>
    <row r="439">
      <c r="C439" s="23" t="inlineStr">
        <is>
          <t>HARUNA/YEKINI</t>
        </is>
      </c>
      <c r="D439">
        <f>CONCATENATE(G439,"-",H439,"-",F439)</f>
        <v/>
      </c>
      <c r="E439" s="24" t="inlineStr">
        <is>
          <t>JMG-10T-Hiabs Logistics-Local</t>
        </is>
      </c>
      <c r="F439" s="23" t="inlineStr">
        <is>
          <t>Local</t>
        </is>
      </c>
      <c r="G439" s="25" t="inlineStr">
        <is>
          <t>Hiabs Logistics</t>
        </is>
      </c>
      <c r="H439" s="24" t="inlineStr">
        <is>
          <t>10T</t>
        </is>
      </c>
      <c r="I439" s="73" t="inlineStr">
        <is>
          <t>JMG</t>
        </is>
      </c>
      <c r="J439" s="74" t="inlineStr">
        <is>
          <t>Abuja</t>
        </is>
      </c>
      <c r="K439" s="74" t="inlineStr">
        <is>
          <t>River Park</t>
        </is>
      </c>
      <c r="L439" t="inlineStr">
        <is>
          <t>FCT</t>
        </is>
      </c>
      <c r="N439" s="201">
        <f>O439/2</f>
        <v/>
      </c>
      <c r="O439" s="200" t="n">
        <v>41.7</v>
      </c>
      <c r="P439" s="220">
        <f>ROUNDUP(O439/300,)</f>
        <v/>
      </c>
      <c r="Q439" s="220" t="n">
        <v>1</v>
      </c>
      <c r="R439" s="220">
        <f>Q439+P439</f>
        <v/>
      </c>
      <c r="S439" s="198">
        <f>ROUNDDOWN(O439*0.51,)+60</f>
        <v/>
      </c>
      <c r="T439" s="207">
        <f>_xlfn.XLOOKUP(G439,[1]Fx!$A$4:$A$10,[1]Fx!$B$4:$B$10)</f>
        <v/>
      </c>
      <c r="U439" s="207">
        <f>_xlfn.XLOOKUP(G439,'[1]BP Setup'!$B$6:$B$72,'[1]BP Setup'!$Q$6:$Q$72)</f>
        <v/>
      </c>
      <c r="V439" s="207">
        <f>_xlfn.XLOOKUP(G439,'[1]BP Setup'!$B$6:$B$72,'[1]BP Setup'!$R$6:$R$72)</f>
        <v/>
      </c>
      <c r="W439" s="207">
        <f>$W$3</f>
        <v/>
      </c>
      <c r="X439" s="207" t="n">
        <v>80</v>
      </c>
      <c r="Y439" s="215">
        <f>T439*R439</f>
        <v/>
      </c>
      <c r="Z439" s="215">
        <f>U439*O439</f>
        <v/>
      </c>
      <c r="AA439" s="215">
        <f>V439*O439</f>
        <v/>
      </c>
      <c r="AB439" s="215">
        <f>W439*O439</f>
        <v/>
      </c>
      <c r="AC439" s="197">
        <f>X439*O439</f>
        <v/>
      </c>
      <c r="AD439" s="215" t="n">
        <v>0</v>
      </c>
      <c r="AE439" s="215" t="n">
        <v>0</v>
      </c>
      <c r="AF439" s="207">
        <f>SUM(Y439:AE439)</f>
        <v/>
      </c>
      <c r="AG439" s="254">
        <f>_xlfn.XLOOKUP(G439,[1]Fx!$A$16:$A$22,[1]Fx!$B$16:$B$22)</f>
        <v/>
      </c>
      <c r="AH439" s="207">
        <f>AG439*R439</f>
        <v/>
      </c>
      <c r="AI439" s="207">
        <f>$AI$3*Z439</f>
        <v/>
      </c>
      <c r="AJ439" s="207">
        <f>$AJ$3*AA439</f>
        <v/>
      </c>
      <c r="AK439" s="207">
        <f>$AK$3*AB439</f>
        <v/>
      </c>
      <c r="AL439" s="207">
        <f>$AL$3*AC439</f>
        <v/>
      </c>
      <c r="AM439" s="220">
        <f>SUM(AH439:AL439)</f>
        <v/>
      </c>
      <c r="AN439" s="220" t="n">
        <v>0</v>
      </c>
      <c r="AO439" s="220">
        <f>AN439*AH439</f>
        <v/>
      </c>
      <c r="AP439" s="220" t="n">
        <v>0</v>
      </c>
      <c r="AQ439" s="220">
        <f>AE439</f>
        <v/>
      </c>
      <c r="AR439" s="208">
        <f>AM439-AO439</f>
        <v/>
      </c>
      <c r="AS439" s="220">
        <f>AR439-AK439</f>
        <v/>
      </c>
      <c r="AT439" s="208">
        <f>AS439*1.075</f>
        <v/>
      </c>
      <c r="AU439" s="208">
        <f>AT439+AK439</f>
        <v/>
      </c>
      <c r="AV439" s="198" t="n">
        <v>263204.3991481314</v>
      </c>
      <c r="AW439" s="264">
        <f>BO439*2</f>
        <v/>
      </c>
      <c r="AX439" s="220">
        <f>AV439-AR439</f>
        <v/>
      </c>
      <c r="AY439" s="35">
        <f>AX439/AR439</f>
        <v/>
      </c>
      <c r="AZ439" s="220">
        <f>AV439-AF439</f>
        <v/>
      </c>
      <c r="BA439" s="215">
        <f>AV439-SUM(Z439:AC439)</f>
        <v/>
      </c>
      <c r="BB439" s="215">
        <f>BA439-Y439</f>
        <v/>
      </c>
      <c r="BC439" s="35">
        <f>BB439/BA439</f>
        <v/>
      </c>
      <c r="BD439" s="35">
        <f>IFERROR(AZ439/AV439,)</f>
        <v/>
      </c>
      <c r="BE439" s="255">
        <f>AV439-SUM(Z439:AC439)</f>
        <v/>
      </c>
      <c r="BF439" s="255">
        <f>AV439-BE439-AC439-AB439</f>
        <v/>
      </c>
      <c r="BG439" s="255">
        <f>AV439-BE439-BF439-AB439</f>
        <v/>
      </c>
      <c r="BH439" s="255">
        <f>AB439</f>
        <v/>
      </c>
      <c r="BI439" s="263" t="inlineStr">
        <is>
          <t>Approved</t>
        </is>
      </c>
    </row>
    <row r="440">
      <c r="C440" s="23" t="inlineStr">
        <is>
          <t>HARUNA/YEKINI</t>
        </is>
      </c>
      <c r="D440">
        <f>CONCATENATE(G440,"-",H440,"-",F440)</f>
        <v/>
      </c>
      <c r="E440" s="24" t="inlineStr">
        <is>
          <t>JMG-10T-Hiabs Logistics-Local</t>
        </is>
      </c>
      <c r="F440" s="23" t="inlineStr">
        <is>
          <t>Local</t>
        </is>
      </c>
      <c r="G440" s="25" t="inlineStr">
        <is>
          <t>Hiabs Logistics</t>
        </is>
      </c>
      <c r="H440" s="24" t="inlineStr">
        <is>
          <t>10T</t>
        </is>
      </c>
      <c r="I440" s="73" t="inlineStr">
        <is>
          <t>JMG</t>
        </is>
      </c>
      <c r="J440" s="74" t="inlineStr">
        <is>
          <t>Abuja</t>
        </is>
      </c>
      <c r="K440" s="74" t="inlineStr">
        <is>
          <t>Pyakasa</t>
        </is>
      </c>
      <c r="L440" t="inlineStr">
        <is>
          <t>FCT</t>
        </is>
      </c>
      <c r="N440" s="201">
        <f>O440/2</f>
        <v/>
      </c>
      <c r="O440" s="200" t="n">
        <v>38.8</v>
      </c>
      <c r="P440" s="220">
        <f>ROUNDUP(O440/300,)</f>
        <v/>
      </c>
      <c r="Q440" s="220" t="n">
        <v>1</v>
      </c>
      <c r="R440" s="220">
        <f>Q440+P440</f>
        <v/>
      </c>
      <c r="S440" s="198">
        <f>ROUNDDOWN(O440*0.51,)+60</f>
        <v/>
      </c>
      <c r="T440" s="207">
        <f>_xlfn.XLOOKUP(G440,[1]Fx!$A$4:$A$10,[1]Fx!$B$4:$B$10)</f>
        <v/>
      </c>
      <c r="U440" s="207">
        <f>_xlfn.XLOOKUP(G440,'[1]BP Setup'!$B$6:$B$72,'[1]BP Setup'!$Q$6:$Q$72)</f>
        <v/>
      </c>
      <c r="V440" s="207">
        <f>_xlfn.XLOOKUP(G440,'[1]BP Setup'!$B$6:$B$72,'[1]BP Setup'!$R$6:$R$72)</f>
        <v/>
      </c>
      <c r="W440" s="207">
        <f>$W$3</f>
        <v/>
      </c>
      <c r="X440" s="207" t="n">
        <v>80</v>
      </c>
      <c r="Y440" s="215">
        <f>T440*R440</f>
        <v/>
      </c>
      <c r="Z440" s="215">
        <f>U440*O440</f>
        <v/>
      </c>
      <c r="AA440" s="215">
        <f>V440*O440</f>
        <v/>
      </c>
      <c r="AB440" s="215">
        <f>W440*O440</f>
        <v/>
      </c>
      <c r="AC440" s="197">
        <f>X440*O440</f>
        <v/>
      </c>
      <c r="AD440" s="215" t="n">
        <v>0</v>
      </c>
      <c r="AE440" s="215" t="n">
        <v>0</v>
      </c>
      <c r="AF440" s="207">
        <f>SUM(Y440:AE440)</f>
        <v/>
      </c>
      <c r="AG440" s="254">
        <f>_xlfn.XLOOKUP(G440,[1]Fx!$A$16:$A$22,[1]Fx!$B$16:$B$22)</f>
        <v/>
      </c>
      <c r="AH440" s="207">
        <f>AG440*R440</f>
        <v/>
      </c>
      <c r="AI440" s="207">
        <f>$AI$3*Z440</f>
        <v/>
      </c>
      <c r="AJ440" s="207">
        <f>$AJ$3*AA440</f>
        <v/>
      </c>
      <c r="AK440" s="207">
        <f>$AK$3*AB440</f>
        <v/>
      </c>
      <c r="AL440" s="207">
        <f>$AL$3*AC440</f>
        <v/>
      </c>
      <c r="AM440" s="220">
        <f>SUM(AH440:AL440)</f>
        <v/>
      </c>
      <c r="AN440" s="220" t="n">
        <v>0</v>
      </c>
      <c r="AO440" s="220">
        <f>AN440*AH440</f>
        <v/>
      </c>
      <c r="AP440" s="220" t="n">
        <v>0</v>
      </c>
      <c r="AQ440" s="220">
        <f>AE440</f>
        <v/>
      </c>
      <c r="AR440" s="208">
        <f>AM440-AO440</f>
        <v/>
      </c>
      <c r="AS440" s="220">
        <f>AR440-AK440</f>
        <v/>
      </c>
      <c r="AT440" s="208">
        <f>AS440*1.075</f>
        <v/>
      </c>
      <c r="AU440" s="208">
        <f>AT440+AK440</f>
        <v/>
      </c>
      <c r="AV440" s="198" t="n">
        <v>263204.3991481314</v>
      </c>
      <c r="AW440" s="264">
        <f>BO440*2</f>
        <v/>
      </c>
      <c r="AX440" s="220">
        <f>AV440-AR440</f>
        <v/>
      </c>
      <c r="AY440" s="35">
        <f>AX440/AR440</f>
        <v/>
      </c>
      <c r="AZ440" s="220">
        <f>AV440-AF440</f>
        <v/>
      </c>
      <c r="BA440" s="215">
        <f>AV440-SUM(Z440:AC440)</f>
        <v/>
      </c>
      <c r="BB440" s="215">
        <f>BA440-Y440</f>
        <v/>
      </c>
      <c r="BC440" s="35">
        <f>BB440/BA440</f>
        <v/>
      </c>
      <c r="BD440" s="35">
        <f>IFERROR(AZ440/AV440,)</f>
        <v/>
      </c>
      <c r="BE440" s="255">
        <f>AV440-SUM(Z440:AC440)</f>
        <v/>
      </c>
      <c r="BF440" s="255">
        <f>AV440-BE440-AC440-AB440</f>
        <v/>
      </c>
      <c r="BG440" s="255">
        <f>AV440-BE440-BF440-AB440</f>
        <v/>
      </c>
      <c r="BH440" s="255">
        <f>AB440</f>
        <v/>
      </c>
      <c r="BI440" s="263" t="inlineStr">
        <is>
          <t>Approved</t>
        </is>
      </c>
    </row>
    <row r="441">
      <c r="C441" s="23" t="inlineStr">
        <is>
          <t>HARUNA/YEKINI</t>
        </is>
      </c>
      <c r="D441">
        <f>CONCATENATE(G441,"-",H441,"-",F441)</f>
        <v/>
      </c>
      <c r="E441" s="24" t="inlineStr">
        <is>
          <t>JMG-10T-Hiabs Logistics-Local</t>
        </is>
      </c>
      <c r="F441" s="23" t="inlineStr">
        <is>
          <t>Local</t>
        </is>
      </c>
      <c r="G441" s="25" t="inlineStr">
        <is>
          <t>Hiabs Logistics</t>
        </is>
      </c>
      <c r="H441" s="24" t="inlineStr">
        <is>
          <t>10T</t>
        </is>
      </c>
      <c r="I441" s="73" t="inlineStr">
        <is>
          <t>JMG</t>
        </is>
      </c>
      <c r="J441" s="74" t="inlineStr">
        <is>
          <t>Abuja</t>
        </is>
      </c>
      <c r="K441" s="74" t="inlineStr">
        <is>
          <t>Airport Road (Abuja)</t>
        </is>
      </c>
      <c r="L441" t="inlineStr">
        <is>
          <t>FCT</t>
        </is>
      </c>
      <c r="N441" s="201">
        <f>O441/2</f>
        <v/>
      </c>
      <c r="O441" s="201" t="n">
        <v>38.3</v>
      </c>
      <c r="P441" s="220">
        <f>ROUNDUP(O441/300,)</f>
        <v/>
      </c>
      <c r="Q441" s="220" t="n">
        <v>1</v>
      </c>
      <c r="R441" s="220">
        <f>Q441+P441</f>
        <v/>
      </c>
      <c r="S441" s="198">
        <f>ROUNDDOWN(O441*0.51,)+60</f>
        <v/>
      </c>
      <c r="T441" s="207">
        <f>_xlfn.XLOOKUP(G441,[1]Fx!$A$4:$A$10,[1]Fx!$B$4:$B$10)</f>
        <v/>
      </c>
      <c r="U441" s="207">
        <f>_xlfn.XLOOKUP(G441,'[1]BP Setup'!$B$6:$B$72,'[1]BP Setup'!$Q$6:$Q$72)</f>
        <v/>
      </c>
      <c r="V441" s="207">
        <f>_xlfn.XLOOKUP(G441,'[1]BP Setup'!$B$6:$B$72,'[1]BP Setup'!$R$6:$R$72)</f>
        <v/>
      </c>
      <c r="W441" s="207">
        <f>$W$3</f>
        <v/>
      </c>
      <c r="X441" s="207" t="n">
        <v>80</v>
      </c>
      <c r="Y441" s="215">
        <f>T441*R441</f>
        <v/>
      </c>
      <c r="Z441" s="215">
        <f>U441*O441</f>
        <v/>
      </c>
      <c r="AA441" s="215">
        <f>V441*O441</f>
        <v/>
      </c>
      <c r="AB441" s="215">
        <f>W441*O441</f>
        <v/>
      </c>
      <c r="AC441" s="197">
        <f>X441*O441</f>
        <v/>
      </c>
      <c r="AD441" s="215" t="n">
        <v>0</v>
      </c>
      <c r="AE441" s="215" t="n">
        <v>0</v>
      </c>
      <c r="AF441" s="207">
        <f>SUM(Y441:AE441)</f>
        <v/>
      </c>
      <c r="AG441" s="254">
        <f>_xlfn.XLOOKUP(G441,[1]Fx!$A$16:$A$22,[1]Fx!$B$16:$B$22)</f>
        <v/>
      </c>
      <c r="AH441" s="207">
        <f>AG441*R441</f>
        <v/>
      </c>
      <c r="AI441" s="207">
        <f>$AI$3*Z441</f>
        <v/>
      </c>
      <c r="AJ441" s="207">
        <f>$AJ$3*AA441</f>
        <v/>
      </c>
      <c r="AK441" s="207">
        <f>$AK$3*AB441</f>
        <v/>
      </c>
      <c r="AL441" s="207">
        <f>$AL$3*AC441</f>
        <v/>
      </c>
      <c r="AM441" s="220">
        <f>SUM(AH441:AL441)</f>
        <v/>
      </c>
      <c r="AN441" s="220" t="n">
        <v>0</v>
      </c>
      <c r="AO441" s="220">
        <f>AN441*AH441</f>
        <v/>
      </c>
      <c r="AP441" s="220" t="n">
        <v>0</v>
      </c>
      <c r="AQ441" s="220">
        <f>AE441</f>
        <v/>
      </c>
      <c r="AR441" s="208">
        <f>AM441-AO441</f>
        <v/>
      </c>
      <c r="AS441" s="220">
        <f>AR441-AK441</f>
        <v/>
      </c>
      <c r="AT441" s="208">
        <f>AS441*1.075</f>
        <v/>
      </c>
      <c r="AU441" s="208">
        <f>AT441+AK441</f>
        <v/>
      </c>
      <c r="AV441" s="198" t="n">
        <v>263204.3991481314</v>
      </c>
      <c r="AW441" s="264">
        <f>BO441*2</f>
        <v/>
      </c>
      <c r="AX441" s="220">
        <f>AV441-AR441</f>
        <v/>
      </c>
      <c r="AY441" s="35">
        <f>AX441/AR441</f>
        <v/>
      </c>
      <c r="AZ441" s="220">
        <f>AV441-AF441</f>
        <v/>
      </c>
      <c r="BA441" s="215">
        <f>AV441-SUM(Z441:AC441)</f>
        <v/>
      </c>
      <c r="BB441" s="215">
        <f>BA441-Y441</f>
        <v/>
      </c>
      <c r="BC441" s="35">
        <f>BB441/BA441</f>
        <v/>
      </c>
      <c r="BD441" s="35">
        <f>IFERROR(AZ441/AV441,)</f>
        <v/>
      </c>
      <c r="BE441" s="255">
        <f>AV441-SUM(Z441:AC441)</f>
        <v/>
      </c>
      <c r="BF441" s="255">
        <f>AV441-BE441-AC441-AB441</f>
        <v/>
      </c>
      <c r="BG441" s="255">
        <f>AV441-BE441-BF441-AB441</f>
        <v/>
      </c>
      <c r="BH441" s="255">
        <f>AB441</f>
        <v/>
      </c>
      <c r="BI441" s="263" t="inlineStr">
        <is>
          <t>Approved</t>
        </is>
      </c>
    </row>
    <row r="442">
      <c r="C442" s="23" t="inlineStr">
        <is>
          <t>HARUNA/YEKINI</t>
        </is>
      </c>
      <c r="D442">
        <f>CONCATENATE(G442,"-",H442,"-",F442)</f>
        <v/>
      </c>
      <c r="E442" s="24" t="inlineStr">
        <is>
          <t>JMG-10T-Hiabs Logistics-Local</t>
        </is>
      </c>
      <c r="F442" s="23" t="inlineStr">
        <is>
          <t>Local</t>
        </is>
      </c>
      <c r="G442" s="25" t="inlineStr">
        <is>
          <t>Hiabs Logistics</t>
        </is>
      </c>
      <c r="H442" s="24" t="inlineStr">
        <is>
          <t>10T</t>
        </is>
      </c>
      <c r="I442" s="73" t="inlineStr">
        <is>
          <t>JMG</t>
        </is>
      </c>
      <c r="J442" s="74" t="inlineStr">
        <is>
          <t>Abuja</t>
        </is>
      </c>
      <c r="K442" s="119" t="inlineStr">
        <is>
          <t>Dutse Alhaji</t>
        </is>
      </c>
      <c r="L442" t="inlineStr">
        <is>
          <t>FCT</t>
        </is>
      </c>
      <c r="N442" s="201">
        <f>O442/2</f>
        <v/>
      </c>
      <c r="O442" s="200" t="n">
        <v>38.1</v>
      </c>
      <c r="P442" s="220">
        <f>ROUNDUP(O442/300,)</f>
        <v/>
      </c>
      <c r="Q442" s="220" t="n">
        <v>1</v>
      </c>
      <c r="R442" s="220">
        <f>Q442+P442</f>
        <v/>
      </c>
      <c r="S442" s="198">
        <f>ROUNDDOWN(O442*0.51,)+60</f>
        <v/>
      </c>
      <c r="T442" s="207">
        <f>_xlfn.XLOOKUP(G442,[1]Fx!$A$4:$A$10,[1]Fx!$B$4:$B$10)</f>
        <v/>
      </c>
      <c r="U442" s="207">
        <f>_xlfn.XLOOKUP(G442,'[1]BP Setup'!$B$6:$B$72,'[1]BP Setup'!$Q$6:$Q$72)</f>
        <v/>
      </c>
      <c r="V442" s="207">
        <f>_xlfn.XLOOKUP(G442,'[1]BP Setup'!$B$6:$B$72,'[1]BP Setup'!$R$6:$R$72)</f>
        <v/>
      </c>
      <c r="W442" s="207">
        <f>$W$3</f>
        <v/>
      </c>
      <c r="X442" s="207" t="n">
        <v>80</v>
      </c>
      <c r="Y442" s="215">
        <f>T442*R442</f>
        <v/>
      </c>
      <c r="Z442" s="215">
        <f>U442*O442</f>
        <v/>
      </c>
      <c r="AA442" s="215">
        <f>V442*O442</f>
        <v/>
      </c>
      <c r="AB442" s="215">
        <f>W442*O442</f>
        <v/>
      </c>
      <c r="AC442" s="197">
        <f>X442*O442</f>
        <v/>
      </c>
      <c r="AD442" s="215" t="n">
        <v>0</v>
      </c>
      <c r="AE442" s="215" t="n">
        <v>0</v>
      </c>
      <c r="AF442" s="207">
        <f>SUM(Y442:AE442)</f>
        <v/>
      </c>
      <c r="AG442" s="254">
        <f>_xlfn.XLOOKUP(G442,[1]Fx!$A$16:$A$22,[1]Fx!$B$16:$B$22)</f>
        <v/>
      </c>
      <c r="AH442" s="207">
        <f>AG442*R442</f>
        <v/>
      </c>
      <c r="AI442" s="207">
        <f>$AI$3*Z442</f>
        <v/>
      </c>
      <c r="AJ442" s="207">
        <f>$AJ$3*AA442</f>
        <v/>
      </c>
      <c r="AK442" s="207">
        <f>$AK$3*AB442</f>
        <v/>
      </c>
      <c r="AL442" s="207">
        <f>$AL$3*AC442</f>
        <v/>
      </c>
      <c r="AM442" s="220">
        <f>SUM(AH442:AL442)</f>
        <v/>
      </c>
      <c r="AN442" s="220" t="n">
        <v>0</v>
      </c>
      <c r="AO442" s="220">
        <f>AN442*AH442</f>
        <v/>
      </c>
      <c r="AP442" s="220" t="n">
        <v>0</v>
      </c>
      <c r="AQ442" s="220">
        <f>AE442</f>
        <v/>
      </c>
      <c r="AR442" s="208">
        <f>AM442-AO442</f>
        <v/>
      </c>
      <c r="AS442" s="220">
        <f>AR442-AK442</f>
        <v/>
      </c>
      <c r="AT442" s="208">
        <f>AS442*1.075</f>
        <v/>
      </c>
      <c r="AU442" s="208">
        <f>AT442+AK442</f>
        <v/>
      </c>
      <c r="AV442" s="198" t="n">
        <v>263204.3991481314</v>
      </c>
      <c r="AW442" s="264">
        <f>BO442*2</f>
        <v/>
      </c>
      <c r="AX442" s="220">
        <f>AV442-AR442</f>
        <v/>
      </c>
      <c r="AY442" s="35">
        <f>AX442/AR442</f>
        <v/>
      </c>
      <c r="AZ442" s="220">
        <f>AV442-AF442</f>
        <v/>
      </c>
      <c r="BA442" s="215">
        <f>AV442-SUM(Z442:AC442)</f>
        <v/>
      </c>
      <c r="BB442" s="215">
        <f>BA442-Y442</f>
        <v/>
      </c>
      <c r="BC442" s="35">
        <f>BB442/BA442</f>
        <v/>
      </c>
      <c r="BD442" s="35">
        <f>IFERROR(AZ442/AV442,)</f>
        <v/>
      </c>
      <c r="BE442" s="255">
        <f>AV442-SUM(Z442:AC442)</f>
        <v/>
      </c>
      <c r="BF442" s="255">
        <f>AV442-BE442-AC442-AB442</f>
        <v/>
      </c>
      <c r="BG442" s="255">
        <f>AV442-BE442-BF442-AB442</f>
        <v/>
      </c>
      <c r="BH442" s="255">
        <f>AB442</f>
        <v/>
      </c>
      <c r="BI442" s="263" t="inlineStr">
        <is>
          <t>Worst Case Approved</t>
        </is>
      </c>
    </row>
    <row r="443">
      <c r="C443" s="23" t="inlineStr">
        <is>
          <t>HARUNA/YEKINI</t>
        </is>
      </c>
      <c r="D443">
        <f>CONCATENATE(G443,"-",H443,"-",F443)</f>
        <v/>
      </c>
      <c r="E443" s="24" t="inlineStr">
        <is>
          <t>JMG-10T-Hiabs Logistics-Local</t>
        </is>
      </c>
      <c r="F443" s="23" t="inlineStr">
        <is>
          <t>Local</t>
        </is>
      </c>
      <c r="G443" s="25" t="inlineStr">
        <is>
          <t>Hiabs Logistics</t>
        </is>
      </c>
      <c r="H443" s="24" t="inlineStr">
        <is>
          <t>10T</t>
        </is>
      </c>
      <c r="I443" s="73" t="inlineStr">
        <is>
          <t>JMG</t>
        </is>
      </c>
      <c r="J443" s="74" t="inlineStr">
        <is>
          <t>Abuja</t>
        </is>
      </c>
      <c r="K443" s="74" t="inlineStr">
        <is>
          <t>Lugbe</t>
        </is>
      </c>
      <c r="L443" t="inlineStr">
        <is>
          <t>FCT</t>
        </is>
      </c>
      <c r="N443" s="201">
        <f>O443/2</f>
        <v/>
      </c>
      <c r="O443" s="200" t="n">
        <v>37.9</v>
      </c>
      <c r="P443" s="220">
        <f>ROUNDUP(O443/300,)</f>
        <v/>
      </c>
      <c r="Q443" s="220" t="n">
        <v>1</v>
      </c>
      <c r="R443" s="220">
        <f>Q443+P443</f>
        <v/>
      </c>
      <c r="S443" s="198">
        <f>ROUNDDOWN(O443*0.51,)+60</f>
        <v/>
      </c>
      <c r="T443" s="207">
        <f>_xlfn.XLOOKUP(G443,[1]Fx!$A$4:$A$10,[1]Fx!$B$4:$B$10)</f>
        <v/>
      </c>
      <c r="U443" s="207">
        <f>_xlfn.XLOOKUP(G443,'[1]BP Setup'!$B$6:$B$72,'[1]BP Setup'!$Q$6:$Q$72)</f>
        <v/>
      </c>
      <c r="V443" s="207">
        <f>_xlfn.XLOOKUP(G443,'[1]BP Setup'!$B$6:$B$72,'[1]BP Setup'!$R$6:$R$72)</f>
        <v/>
      </c>
      <c r="W443" s="207">
        <f>$W$3</f>
        <v/>
      </c>
      <c r="X443" s="207" t="n">
        <v>80</v>
      </c>
      <c r="Y443" s="215">
        <f>T443*R443</f>
        <v/>
      </c>
      <c r="Z443" s="215">
        <f>U443*O443</f>
        <v/>
      </c>
      <c r="AA443" s="215">
        <f>V443*O443</f>
        <v/>
      </c>
      <c r="AB443" s="215">
        <f>W443*O443</f>
        <v/>
      </c>
      <c r="AC443" s="197">
        <f>X443*O443</f>
        <v/>
      </c>
      <c r="AD443" s="215" t="n">
        <v>0</v>
      </c>
      <c r="AE443" s="215" t="n">
        <v>0</v>
      </c>
      <c r="AF443" s="207">
        <f>SUM(Y443:AE443)</f>
        <v/>
      </c>
      <c r="AG443" s="254">
        <f>_xlfn.XLOOKUP(G443,[1]Fx!$A$16:$A$22,[1]Fx!$B$16:$B$22)</f>
        <v/>
      </c>
      <c r="AH443" s="207">
        <f>AG443*R443</f>
        <v/>
      </c>
      <c r="AI443" s="207">
        <f>$AI$3*Z443</f>
        <v/>
      </c>
      <c r="AJ443" s="207">
        <f>$AJ$3*AA443</f>
        <v/>
      </c>
      <c r="AK443" s="207">
        <f>$AK$3*AB443</f>
        <v/>
      </c>
      <c r="AL443" s="207">
        <f>$AL$3*AC443</f>
        <v/>
      </c>
      <c r="AM443" s="220">
        <f>SUM(AH443:AL443)</f>
        <v/>
      </c>
      <c r="AN443" s="220" t="n">
        <v>0</v>
      </c>
      <c r="AO443" s="220">
        <f>AN443*AH443</f>
        <v/>
      </c>
      <c r="AP443" s="220" t="n">
        <v>0</v>
      </c>
      <c r="AQ443" s="220">
        <f>AE443</f>
        <v/>
      </c>
      <c r="AR443" s="208">
        <f>AM443-AO443</f>
        <v/>
      </c>
      <c r="AS443" s="220">
        <f>AR443-AK443</f>
        <v/>
      </c>
      <c r="AT443" s="208">
        <f>AS443*1.075</f>
        <v/>
      </c>
      <c r="AU443" s="208">
        <f>AT443+AK443</f>
        <v/>
      </c>
      <c r="AV443" s="198" t="n">
        <v>263204.3991481314</v>
      </c>
      <c r="AW443" s="264">
        <f>BO443*2</f>
        <v/>
      </c>
      <c r="AX443" s="220">
        <f>AV443-AR443</f>
        <v/>
      </c>
      <c r="AY443" s="35">
        <f>AX443/AR443</f>
        <v/>
      </c>
      <c r="AZ443" s="220">
        <f>AV443-AF443</f>
        <v/>
      </c>
      <c r="BA443" s="215">
        <f>AV443-SUM(Z443:AC443)</f>
        <v/>
      </c>
      <c r="BB443" s="215">
        <f>BA443-Y443</f>
        <v/>
      </c>
      <c r="BC443" s="35">
        <f>BB443/BA443</f>
        <v/>
      </c>
      <c r="BD443" s="35">
        <f>IFERROR(AZ443/AV443,)</f>
        <v/>
      </c>
      <c r="BE443" s="255">
        <f>AV443-SUM(Z443:AC443)</f>
        <v/>
      </c>
      <c r="BF443" s="255">
        <f>AV443-BE443-AC443-AB443</f>
        <v/>
      </c>
      <c r="BG443" s="255">
        <f>AV443-BE443-BF443-AB443</f>
        <v/>
      </c>
      <c r="BH443" s="255">
        <f>AB443</f>
        <v/>
      </c>
      <c r="BI443" s="263" t="inlineStr">
        <is>
          <t xml:space="preserve">To Check </t>
        </is>
      </c>
    </row>
    <row r="444">
      <c r="C444" s="23" t="inlineStr">
        <is>
          <t>HARUNA/YEKINI</t>
        </is>
      </c>
      <c r="D444">
        <f>CONCATENATE(G444,"-",H444,"-",F444)</f>
        <v/>
      </c>
      <c r="E444" s="24" t="inlineStr">
        <is>
          <t>JMG-10T-Hiabs Logistics-Local</t>
        </is>
      </c>
      <c r="F444" s="23" t="inlineStr">
        <is>
          <t>Local</t>
        </is>
      </c>
      <c r="G444" s="25" t="inlineStr">
        <is>
          <t>Hiabs Logistics</t>
        </is>
      </c>
      <c r="H444" s="24" t="inlineStr">
        <is>
          <t>10T</t>
        </is>
      </c>
      <c r="I444" s="73" t="inlineStr">
        <is>
          <t>JMG</t>
        </is>
      </c>
      <c r="J444" s="74" t="inlineStr">
        <is>
          <t>Abuja</t>
        </is>
      </c>
      <c r="K444" s="74" t="inlineStr">
        <is>
          <t>Lokogoma</t>
        </is>
      </c>
      <c r="L444" t="inlineStr">
        <is>
          <t>FCT</t>
        </is>
      </c>
      <c r="N444" s="201">
        <f>O444/2</f>
        <v/>
      </c>
      <c r="O444" s="200" t="n">
        <v>33.3</v>
      </c>
      <c r="P444" s="220">
        <f>ROUNDUP(O444/300,)</f>
        <v/>
      </c>
      <c r="Q444" s="220" t="n">
        <v>1</v>
      </c>
      <c r="R444" s="220">
        <f>Q444+P444</f>
        <v/>
      </c>
      <c r="S444" s="198">
        <f>ROUNDDOWN(O444*0.51,)+60</f>
        <v/>
      </c>
      <c r="T444" s="207">
        <f>_xlfn.XLOOKUP(G444,[1]Fx!$A$4:$A$10,[1]Fx!$B$4:$B$10)</f>
        <v/>
      </c>
      <c r="U444" s="207">
        <f>_xlfn.XLOOKUP(G444,'[1]BP Setup'!$B$6:$B$72,'[1]BP Setup'!$Q$6:$Q$72)</f>
        <v/>
      </c>
      <c r="V444" s="207">
        <f>_xlfn.XLOOKUP(G444,'[1]BP Setup'!$B$6:$B$72,'[1]BP Setup'!$R$6:$R$72)</f>
        <v/>
      </c>
      <c r="W444" s="207">
        <f>$W$3</f>
        <v/>
      </c>
      <c r="X444" s="207" t="n">
        <v>80</v>
      </c>
      <c r="Y444" s="215">
        <f>T444*R444</f>
        <v/>
      </c>
      <c r="Z444" s="215">
        <f>U444*O444</f>
        <v/>
      </c>
      <c r="AA444" s="215">
        <f>V444*O444</f>
        <v/>
      </c>
      <c r="AB444" s="215">
        <f>W444*O444</f>
        <v/>
      </c>
      <c r="AC444" s="197">
        <f>X444*O444</f>
        <v/>
      </c>
      <c r="AD444" s="215" t="n">
        <v>0</v>
      </c>
      <c r="AE444" s="215" t="n">
        <v>0</v>
      </c>
      <c r="AF444" s="207">
        <f>SUM(Y444:AE444)</f>
        <v/>
      </c>
      <c r="AG444" s="254">
        <f>_xlfn.XLOOKUP(G444,[1]Fx!$A$16:$A$22,[1]Fx!$B$16:$B$22)</f>
        <v/>
      </c>
      <c r="AH444" s="207">
        <f>AG444*R444</f>
        <v/>
      </c>
      <c r="AI444" s="207">
        <f>$AI$3*Z444</f>
        <v/>
      </c>
      <c r="AJ444" s="207">
        <f>$AJ$3*AA444</f>
        <v/>
      </c>
      <c r="AK444" s="207">
        <f>$AK$3*AB444</f>
        <v/>
      </c>
      <c r="AL444" s="207">
        <f>$AL$3*AC444</f>
        <v/>
      </c>
      <c r="AM444" s="220">
        <f>SUM(AH444:AL444)</f>
        <v/>
      </c>
      <c r="AN444" s="220" t="n">
        <v>0</v>
      </c>
      <c r="AO444" s="220">
        <f>AN444*AH444</f>
        <v/>
      </c>
      <c r="AP444" s="220" t="n">
        <v>0</v>
      </c>
      <c r="AQ444" s="220">
        <f>AE444</f>
        <v/>
      </c>
      <c r="AR444" s="208">
        <f>AM444-AO444</f>
        <v/>
      </c>
      <c r="AS444" s="220">
        <f>AR444-AK444</f>
        <v/>
      </c>
      <c r="AT444" s="208">
        <f>AS444*1.075</f>
        <v/>
      </c>
      <c r="AU444" s="208">
        <f>AT444+AK444</f>
        <v/>
      </c>
      <c r="AV444" s="198" t="n">
        <v>263204.3991481314</v>
      </c>
      <c r="AW444" s="264">
        <f>BO444*2</f>
        <v/>
      </c>
      <c r="AX444" s="220">
        <f>AV444-AR444</f>
        <v/>
      </c>
      <c r="AY444" s="35">
        <f>AX444/AR444</f>
        <v/>
      </c>
      <c r="AZ444" s="220">
        <f>AV444-AF444</f>
        <v/>
      </c>
      <c r="BA444" s="215">
        <f>AV444-SUM(Z444:AC444)</f>
        <v/>
      </c>
      <c r="BB444" s="215">
        <f>BA444-Y444</f>
        <v/>
      </c>
      <c r="BC444" s="35">
        <f>BB444/BA444</f>
        <v/>
      </c>
      <c r="BD444" s="35">
        <f>IFERROR(AZ444/AV444,)</f>
        <v/>
      </c>
      <c r="BE444" s="255">
        <f>AV444-SUM(Z444:AC444)</f>
        <v/>
      </c>
      <c r="BF444" s="255">
        <f>AV444-BE444-AC444-AB444</f>
        <v/>
      </c>
      <c r="BG444" s="255">
        <f>AV444-BE444-BF444-AB444</f>
        <v/>
      </c>
      <c r="BH444" s="255">
        <f>AB444</f>
        <v/>
      </c>
      <c r="BI444" s="263" t="inlineStr">
        <is>
          <t>Approved</t>
        </is>
      </c>
    </row>
    <row r="445">
      <c r="C445" s="23" t="inlineStr">
        <is>
          <t>HARUNA/YEKINI</t>
        </is>
      </c>
      <c r="D445">
        <f>CONCATENATE(G445,"-",H445,"-",F445)</f>
        <v/>
      </c>
      <c r="E445" s="24" t="inlineStr">
        <is>
          <t>JMG-10T-Hiabs Logistics-Local</t>
        </is>
      </c>
      <c r="F445" s="23" t="inlineStr">
        <is>
          <t>Local</t>
        </is>
      </c>
      <c r="G445" s="25" t="inlineStr">
        <is>
          <t>Hiabs Logistics</t>
        </is>
      </c>
      <c r="H445" s="24" t="inlineStr">
        <is>
          <t>10T</t>
        </is>
      </c>
      <c r="I445" s="73" t="inlineStr">
        <is>
          <t>JMG</t>
        </is>
      </c>
      <c r="J445" s="74" t="inlineStr">
        <is>
          <t>Abuja</t>
        </is>
      </c>
      <c r="K445" s="74" t="inlineStr">
        <is>
          <t>Aya</t>
        </is>
      </c>
      <c r="L445" t="inlineStr">
        <is>
          <t>FCT</t>
        </is>
      </c>
      <c r="N445" s="201">
        <f>O445/2</f>
        <v/>
      </c>
      <c r="O445" s="200" t="n">
        <v>33.1</v>
      </c>
      <c r="P445" s="220">
        <f>ROUNDUP(O445/300,)</f>
        <v/>
      </c>
      <c r="Q445" s="220" t="n">
        <v>1</v>
      </c>
      <c r="R445" s="220">
        <f>Q445+P445</f>
        <v/>
      </c>
      <c r="S445" s="198">
        <f>ROUNDDOWN(O445*0.51,)+60</f>
        <v/>
      </c>
      <c r="T445" s="207">
        <f>_xlfn.XLOOKUP(G445,[1]Fx!$A$4:$A$10,[1]Fx!$B$4:$B$10)</f>
        <v/>
      </c>
      <c r="U445" s="207">
        <f>_xlfn.XLOOKUP(G445,'[1]BP Setup'!$B$6:$B$72,'[1]BP Setup'!$Q$6:$Q$72)</f>
        <v/>
      </c>
      <c r="V445" s="207">
        <f>_xlfn.XLOOKUP(G445,'[1]BP Setup'!$B$6:$B$72,'[1]BP Setup'!$R$6:$R$72)</f>
        <v/>
      </c>
      <c r="W445" s="207">
        <f>$W$3</f>
        <v/>
      </c>
      <c r="X445" s="207" t="n">
        <v>80</v>
      </c>
      <c r="Y445" s="215">
        <f>T445*R445</f>
        <v/>
      </c>
      <c r="Z445" s="215">
        <f>U445*O445</f>
        <v/>
      </c>
      <c r="AA445" s="215">
        <f>V445*O445</f>
        <v/>
      </c>
      <c r="AB445" s="215">
        <f>W445*O445</f>
        <v/>
      </c>
      <c r="AC445" s="197">
        <f>X445*O445</f>
        <v/>
      </c>
      <c r="AD445" s="215" t="n">
        <v>0</v>
      </c>
      <c r="AE445" s="215" t="n">
        <v>0</v>
      </c>
      <c r="AF445" s="207">
        <f>SUM(Y445:AE445)</f>
        <v/>
      </c>
      <c r="AG445" s="254">
        <f>_xlfn.XLOOKUP(G445,[1]Fx!$A$16:$A$22,[1]Fx!$B$16:$B$22)</f>
        <v/>
      </c>
      <c r="AH445" s="207">
        <f>AG445*R445</f>
        <v/>
      </c>
      <c r="AI445" s="207">
        <f>$AI$3*Z445</f>
        <v/>
      </c>
      <c r="AJ445" s="207">
        <f>$AJ$3*AA445</f>
        <v/>
      </c>
      <c r="AK445" s="207">
        <f>$AK$3*AB445</f>
        <v/>
      </c>
      <c r="AL445" s="207">
        <f>$AL$3*AC445</f>
        <v/>
      </c>
      <c r="AM445" s="220">
        <f>SUM(AH445:AL445)</f>
        <v/>
      </c>
      <c r="AN445" s="220" t="n">
        <v>0</v>
      </c>
      <c r="AO445" s="220">
        <f>AN445*AH445</f>
        <v/>
      </c>
      <c r="AP445" s="220" t="n">
        <v>0</v>
      </c>
      <c r="AQ445" s="220">
        <f>AE445</f>
        <v/>
      </c>
      <c r="AR445" s="208">
        <f>AM445-AO445</f>
        <v/>
      </c>
      <c r="AS445" s="220">
        <f>AR445-AK445</f>
        <v/>
      </c>
      <c r="AT445" s="208">
        <f>AS445*1.075</f>
        <v/>
      </c>
      <c r="AU445" s="208">
        <f>AT445+AK445</f>
        <v/>
      </c>
      <c r="AV445" s="198" t="n">
        <v>263204.3991481314</v>
      </c>
      <c r="AW445" s="264">
        <f>BO445*2</f>
        <v/>
      </c>
      <c r="AX445" s="220">
        <f>AV445-AR445</f>
        <v/>
      </c>
      <c r="AY445" s="35">
        <f>AX445/AR445</f>
        <v/>
      </c>
      <c r="AZ445" s="220">
        <f>AV445-AF445</f>
        <v/>
      </c>
      <c r="BA445" s="215">
        <f>AV445-SUM(Z445:AC445)</f>
        <v/>
      </c>
      <c r="BB445" s="215">
        <f>BA445-Y445</f>
        <v/>
      </c>
      <c r="BC445" s="35">
        <f>BB445/BA445</f>
        <v/>
      </c>
      <c r="BD445" s="35">
        <f>IFERROR(AZ445/AV445,)</f>
        <v/>
      </c>
      <c r="BE445" s="255">
        <f>AV445-SUM(Z445:AC445)</f>
        <v/>
      </c>
      <c r="BF445" s="255">
        <f>AV445-BE445-AC445-AB445</f>
        <v/>
      </c>
      <c r="BG445" s="255">
        <f>AV445-BE445-BF445-AB445</f>
        <v/>
      </c>
      <c r="BH445" s="255">
        <f>AB445</f>
        <v/>
      </c>
      <c r="BI445" s="263" t="inlineStr">
        <is>
          <t>Approved</t>
        </is>
      </c>
    </row>
    <row r="446">
      <c r="C446" s="23" t="inlineStr">
        <is>
          <t>HARUNA/YEKINI</t>
        </is>
      </c>
      <c r="D446">
        <f>CONCATENATE(G446,"-",H446,"-",F446)</f>
        <v/>
      </c>
      <c r="E446" s="24" t="inlineStr">
        <is>
          <t>JMG-10T-Hiabs Logistics-Local</t>
        </is>
      </c>
      <c r="F446" s="23" t="inlineStr">
        <is>
          <t>Local</t>
        </is>
      </c>
      <c r="G446" s="25" t="inlineStr">
        <is>
          <t>Hiabs Logistics</t>
        </is>
      </c>
      <c r="H446" s="24" t="inlineStr">
        <is>
          <t>10T</t>
        </is>
      </c>
      <c r="I446" s="73" t="inlineStr">
        <is>
          <t>JMG</t>
        </is>
      </c>
      <c r="J446" s="74" t="inlineStr">
        <is>
          <t>Abuja</t>
        </is>
      </c>
      <c r="K446" s="74" t="inlineStr">
        <is>
          <t>Apo Mechanic Village</t>
        </is>
      </c>
      <c r="L446" t="inlineStr">
        <is>
          <t>FCT</t>
        </is>
      </c>
      <c r="N446" s="201">
        <f>O446/2</f>
        <v/>
      </c>
      <c r="O446" s="200" t="n">
        <v>33</v>
      </c>
      <c r="P446" s="220">
        <f>ROUNDUP(O446/300,)</f>
        <v/>
      </c>
      <c r="Q446" s="220" t="n">
        <v>1</v>
      </c>
      <c r="R446" s="220">
        <f>Q446+P446</f>
        <v/>
      </c>
      <c r="S446" s="198">
        <f>ROUNDDOWN(O446*0.51,)+60</f>
        <v/>
      </c>
      <c r="T446" s="207">
        <f>_xlfn.XLOOKUP(G446,[1]Fx!$A$4:$A$10,[1]Fx!$B$4:$B$10)</f>
        <v/>
      </c>
      <c r="U446" s="207">
        <f>_xlfn.XLOOKUP(G446,'[1]BP Setup'!$B$6:$B$72,'[1]BP Setup'!$Q$6:$Q$72)</f>
        <v/>
      </c>
      <c r="V446" s="207">
        <f>_xlfn.XLOOKUP(G446,'[1]BP Setup'!$B$6:$B$72,'[1]BP Setup'!$R$6:$R$72)</f>
        <v/>
      </c>
      <c r="W446" s="207">
        <f>$W$3</f>
        <v/>
      </c>
      <c r="X446" s="207" t="n">
        <v>80</v>
      </c>
      <c r="Y446" s="215">
        <f>T446*R446</f>
        <v/>
      </c>
      <c r="Z446" s="215">
        <f>U446*O446</f>
        <v/>
      </c>
      <c r="AA446" s="215">
        <f>V446*O446</f>
        <v/>
      </c>
      <c r="AB446" s="215">
        <f>W446*O446</f>
        <v/>
      </c>
      <c r="AC446" s="197">
        <f>X446*O446</f>
        <v/>
      </c>
      <c r="AD446" s="215" t="n">
        <v>0</v>
      </c>
      <c r="AE446" s="215" t="n">
        <v>0</v>
      </c>
      <c r="AF446" s="207">
        <f>SUM(Y446:AE446)</f>
        <v/>
      </c>
      <c r="AG446" s="254">
        <f>_xlfn.XLOOKUP(G446,[1]Fx!$A$16:$A$22,[1]Fx!$B$16:$B$22)</f>
        <v/>
      </c>
      <c r="AH446" s="207">
        <f>AG446*R446</f>
        <v/>
      </c>
      <c r="AI446" s="207">
        <f>$AI$3*Z446</f>
        <v/>
      </c>
      <c r="AJ446" s="207">
        <f>$AJ$3*AA446</f>
        <v/>
      </c>
      <c r="AK446" s="207">
        <f>$AK$3*AB446</f>
        <v/>
      </c>
      <c r="AL446" s="207">
        <f>$AL$3*AC446</f>
        <v/>
      </c>
      <c r="AM446" s="220">
        <f>SUM(AH446:AL446)</f>
        <v/>
      </c>
      <c r="AN446" s="220" t="n">
        <v>0</v>
      </c>
      <c r="AO446" s="220">
        <f>AN446*AH446</f>
        <v/>
      </c>
      <c r="AP446" s="220" t="n">
        <v>0</v>
      </c>
      <c r="AQ446" s="220">
        <f>AE446</f>
        <v/>
      </c>
      <c r="AR446" s="208">
        <f>AM446-AO446</f>
        <v/>
      </c>
      <c r="AS446" s="220">
        <f>AR446-AK446</f>
        <v/>
      </c>
      <c r="AT446" s="208">
        <f>AS446*1.075</f>
        <v/>
      </c>
      <c r="AU446" s="208">
        <f>AT446+AK446</f>
        <v/>
      </c>
      <c r="AV446" s="198" t="n">
        <v>263204.3991481314</v>
      </c>
      <c r="AW446" s="264">
        <f>BO446*2</f>
        <v/>
      </c>
      <c r="AX446" s="220">
        <f>AV446-AR446</f>
        <v/>
      </c>
      <c r="AY446" s="35">
        <f>AX446/AR446</f>
        <v/>
      </c>
      <c r="AZ446" s="220">
        <f>AV446-AF446</f>
        <v/>
      </c>
      <c r="BA446" s="215">
        <f>AV446-SUM(Z446:AC446)</f>
        <v/>
      </c>
      <c r="BB446" s="215">
        <f>BA446-Y446</f>
        <v/>
      </c>
      <c r="BC446" s="35">
        <f>BB446/BA446</f>
        <v/>
      </c>
      <c r="BD446" s="35">
        <f>IFERROR(AZ446/AV446,)</f>
        <v/>
      </c>
      <c r="BE446" s="255">
        <f>AV446-SUM(Z446:AC446)</f>
        <v/>
      </c>
      <c r="BF446" s="255">
        <f>AV446-BE446-AC446-AB446</f>
        <v/>
      </c>
      <c r="BG446" s="255">
        <f>AV446-BE446-BF446-AB446</f>
        <v/>
      </c>
      <c r="BH446" s="255">
        <f>AB446</f>
        <v/>
      </c>
      <c r="BI446" s="263" t="inlineStr">
        <is>
          <t>Approved</t>
        </is>
      </c>
    </row>
    <row r="447">
      <c r="C447" s="23" t="inlineStr">
        <is>
          <t>HARUNA/YEKINI</t>
        </is>
      </c>
      <c r="D447">
        <f>CONCATENATE(G447,"-",H447,"-",F447)</f>
        <v/>
      </c>
      <c r="E447" s="24" t="inlineStr">
        <is>
          <t>JMG-10T-Hiabs Logistics-Local</t>
        </is>
      </c>
      <c r="F447" s="23" t="inlineStr">
        <is>
          <t>Local</t>
        </is>
      </c>
      <c r="G447" s="25" t="inlineStr">
        <is>
          <t>Hiabs Logistics</t>
        </is>
      </c>
      <c r="H447" s="24" t="inlineStr">
        <is>
          <t>10T</t>
        </is>
      </c>
      <c r="I447" s="73" t="inlineStr">
        <is>
          <t>JMG</t>
        </is>
      </c>
      <c r="J447" s="74" t="inlineStr">
        <is>
          <t>Abuja</t>
        </is>
      </c>
      <c r="K447" s="74" t="inlineStr">
        <is>
          <t>Bida</t>
        </is>
      </c>
      <c r="L447" t="inlineStr">
        <is>
          <t>Niger</t>
        </is>
      </c>
      <c r="N447" s="201">
        <f>O447/2</f>
        <v/>
      </c>
      <c r="O447" s="201" t="n">
        <v>32</v>
      </c>
      <c r="P447" s="220">
        <f>ROUNDUP(O447/300,)</f>
        <v/>
      </c>
      <c r="Q447" s="220" t="n">
        <v>1</v>
      </c>
      <c r="R447" s="220">
        <f>Q447+P447</f>
        <v/>
      </c>
      <c r="S447" s="198">
        <f>ROUNDDOWN(O447*0.51,)+60</f>
        <v/>
      </c>
      <c r="T447" s="207">
        <f>_xlfn.XLOOKUP(G447,[1]Fx!$A$4:$A$10,[1]Fx!$B$4:$B$10)</f>
        <v/>
      </c>
      <c r="U447" s="207">
        <f>_xlfn.XLOOKUP(G447,'[1]BP Setup'!$B$6:$B$72,'[1]BP Setup'!$Q$6:$Q$72)</f>
        <v/>
      </c>
      <c r="V447" s="207">
        <f>_xlfn.XLOOKUP(G447,'[1]BP Setup'!$B$6:$B$72,'[1]BP Setup'!$R$6:$R$72)</f>
        <v/>
      </c>
      <c r="W447" s="207">
        <f>$W$3</f>
        <v/>
      </c>
      <c r="X447" s="207" t="n">
        <v>80</v>
      </c>
      <c r="Y447" s="215">
        <f>T447*R447</f>
        <v/>
      </c>
      <c r="Z447" s="215">
        <f>U447*O447</f>
        <v/>
      </c>
      <c r="AA447" s="215">
        <f>V447*O447</f>
        <v/>
      </c>
      <c r="AB447" s="215">
        <f>W447*O447</f>
        <v/>
      </c>
      <c r="AC447" s="197">
        <f>X447*O447</f>
        <v/>
      </c>
      <c r="AD447" s="215" t="n">
        <v>0</v>
      </c>
      <c r="AE447" s="215" t="n">
        <v>0</v>
      </c>
      <c r="AF447" s="207">
        <f>SUM(Y447:AE447)</f>
        <v/>
      </c>
      <c r="AG447" s="254">
        <f>_xlfn.XLOOKUP(G447,[1]Fx!$A$16:$A$22,[1]Fx!$B$16:$B$22)</f>
        <v/>
      </c>
      <c r="AH447" s="207">
        <f>AG447*R447</f>
        <v/>
      </c>
      <c r="AI447" s="207">
        <f>$AI$3*Z447</f>
        <v/>
      </c>
      <c r="AJ447" s="207">
        <f>$AJ$3*AA447</f>
        <v/>
      </c>
      <c r="AK447" s="207">
        <f>$AK$3*AB447</f>
        <v/>
      </c>
      <c r="AL447" s="207">
        <f>$AL$3*AC447</f>
        <v/>
      </c>
      <c r="AM447" s="220">
        <f>SUM(AH447:AL447)</f>
        <v/>
      </c>
      <c r="AN447" s="220" t="n">
        <v>0</v>
      </c>
      <c r="AO447" s="220">
        <f>AN447*AH447</f>
        <v/>
      </c>
      <c r="AP447" s="220" t="n">
        <v>0</v>
      </c>
      <c r="AQ447" s="220">
        <f>AE447</f>
        <v/>
      </c>
      <c r="AR447" s="208">
        <f>AM447-AO447</f>
        <v/>
      </c>
      <c r="AS447" s="220">
        <f>AR447-AK447</f>
        <v/>
      </c>
      <c r="AT447" s="208">
        <f>AS447*1.075</f>
        <v/>
      </c>
      <c r="AU447" s="208">
        <f>AT447+AK447</f>
        <v/>
      </c>
      <c r="AV447" s="198" t="n">
        <v>263204.3991481314</v>
      </c>
      <c r="AW447" s="264">
        <f>BO447*2</f>
        <v/>
      </c>
      <c r="AX447" s="220">
        <f>AV447-AR447</f>
        <v/>
      </c>
      <c r="AY447" s="35">
        <f>AX447/AR447</f>
        <v/>
      </c>
      <c r="AZ447" s="220">
        <f>AV447-AF447</f>
        <v/>
      </c>
      <c r="BA447" s="215">
        <f>AV447-SUM(Z447:AC447)</f>
        <v/>
      </c>
      <c r="BB447" s="215">
        <f>BA447-Y447</f>
        <v/>
      </c>
      <c r="BC447" s="35">
        <f>BB447/BA447</f>
        <v/>
      </c>
      <c r="BD447" s="35">
        <f>IFERROR(AZ447/AV447,)</f>
        <v/>
      </c>
      <c r="BE447" s="255">
        <f>AV447-SUM(Z447:AC447)</f>
        <v/>
      </c>
      <c r="BF447" s="255">
        <f>AV447-BE447-AC447-AB447</f>
        <v/>
      </c>
      <c r="BG447" s="255">
        <f>AV447-BE447-BF447-AB447</f>
        <v/>
      </c>
      <c r="BH447" s="255">
        <f>AB447</f>
        <v/>
      </c>
      <c r="BI447" s="263" t="inlineStr">
        <is>
          <t>Approved</t>
        </is>
      </c>
    </row>
    <row r="448">
      <c r="C448" s="23" t="inlineStr">
        <is>
          <t>HARUNA/YEKINI</t>
        </is>
      </c>
      <c r="D448">
        <f>CONCATENATE(G448,"-",H448,"-",F448)</f>
        <v/>
      </c>
      <c r="E448" s="24" t="inlineStr">
        <is>
          <t>JMG-10T-Hiabs Logistics-Local</t>
        </is>
      </c>
      <c r="F448" s="23" t="inlineStr">
        <is>
          <t>Local</t>
        </is>
      </c>
      <c r="G448" s="25" t="inlineStr">
        <is>
          <t>Hiabs Logistics</t>
        </is>
      </c>
      <c r="H448" s="24" t="inlineStr">
        <is>
          <t>10T</t>
        </is>
      </c>
      <c r="I448" s="73" t="inlineStr">
        <is>
          <t>JMG</t>
        </is>
      </c>
      <c r="J448" s="74" t="inlineStr">
        <is>
          <t>Abuja</t>
        </is>
      </c>
      <c r="K448" s="74" t="inlineStr">
        <is>
          <t>Sunnyvale</t>
        </is>
      </c>
      <c r="L448" t="inlineStr">
        <is>
          <t>FCT</t>
        </is>
      </c>
      <c r="N448" s="201">
        <f>O448/2</f>
        <v/>
      </c>
      <c r="O448" s="200" t="n">
        <v>30.2</v>
      </c>
      <c r="P448" s="220">
        <f>ROUNDUP(O448/300,)</f>
        <v/>
      </c>
      <c r="Q448" s="220" t="n">
        <v>1</v>
      </c>
      <c r="R448" s="220">
        <f>Q448+P448</f>
        <v/>
      </c>
      <c r="S448" s="198">
        <f>ROUNDDOWN(O448*0.51,)+60</f>
        <v/>
      </c>
      <c r="T448" s="207">
        <f>_xlfn.XLOOKUP(G448,[1]Fx!$A$4:$A$10,[1]Fx!$B$4:$B$10)</f>
        <v/>
      </c>
      <c r="U448" s="207">
        <f>_xlfn.XLOOKUP(G448,'[1]BP Setup'!$B$6:$B$72,'[1]BP Setup'!$Q$6:$Q$72)</f>
        <v/>
      </c>
      <c r="V448" s="207">
        <f>_xlfn.XLOOKUP(G448,'[1]BP Setup'!$B$6:$B$72,'[1]BP Setup'!$R$6:$R$72)</f>
        <v/>
      </c>
      <c r="W448" s="207">
        <f>$W$3</f>
        <v/>
      </c>
      <c r="X448" s="207" t="n">
        <v>80</v>
      </c>
      <c r="Y448" s="215">
        <f>T448*R448</f>
        <v/>
      </c>
      <c r="Z448" s="215">
        <f>U448*O448</f>
        <v/>
      </c>
      <c r="AA448" s="215">
        <f>V448*O448</f>
        <v/>
      </c>
      <c r="AB448" s="215">
        <f>W448*O448</f>
        <v/>
      </c>
      <c r="AC448" s="197">
        <f>X448*O448</f>
        <v/>
      </c>
      <c r="AD448" s="215" t="n">
        <v>0</v>
      </c>
      <c r="AE448" s="215" t="n">
        <v>0</v>
      </c>
      <c r="AF448" s="207">
        <f>SUM(Y448:AE448)</f>
        <v/>
      </c>
      <c r="AG448" s="254">
        <f>_xlfn.XLOOKUP(G448,[1]Fx!$A$16:$A$22,[1]Fx!$B$16:$B$22)</f>
        <v/>
      </c>
      <c r="AH448" s="207">
        <f>AG448*R448</f>
        <v/>
      </c>
      <c r="AI448" s="207">
        <f>$AI$3*Z448</f>
        <v/>
      </c>
      <c r="AJ448" s="207">
        <f>$AJ$3*AA448</f>
        <v/>
      </c>
      <c r="AK448" s="207">
        <f>$AK$3*AB448</f>
        <v/>
      </c>
      <c r="AL448" s="207">
        <f>$AL$3*AC448</f>
        <v/>
      </c>
      <c r="AM448" s="220">
        <f>SUM(AH448:AL448)</f>
        <v/>
      </c>
      <c r="AN448" s="220" t="n">
        <v>0</v>
      </c>
      <c r="AO448" s="220">
        <f>AN448*AH448</f>
        <v/>
      </c>
      <c r="AP448" s="220" t="n">
        <v>0</v>
      </c>
      <c r="AQ448" s="220">
        <f>AE448</f>
        <v/>
      </c>
      <c r="AR448" s="208">
        <f>AM448-AO448</f>
        <v/>
      </c>
      <c r="AS448" s="220">
        <f>AR448-AK448</f>
        <v/>
      </c>
      <c r="AT448" s="208">
        <f>AS448*1.075</f>
        <v/>
      </c>
      <c r="AU448" s="208">
        <f>AT448+AK448</f>
        <v/>
      </c>
      <c r="AV448" s="198" t="n">
        <v>263204.3991481314</v>
      </c>
      <c r="AW448" s="264">
        <f>BO448*2</f>
        <v/>
      </c>
      <c r="AX448" s="220">
        <f>AV448-AR448</f>
        <v/>
      </c>
      <c r="AY448" s="35">
        <f>AX448/AR448</f>
        <v/>
      </c>
      <c r="AZ448" s="220">
        <f>AV448-AF448</f>
        <v/>
      </c>
      <c r="BA448" s="215">
        <f>AV448-SUM(Z448:AC448)</f>
        <v/>
      </c>
      <c r="BB448" s="215">
        <f>BA448-Y448</f>
        <v/>
      </c>
      <c r="BC448" s="35">
        <f>BB448/BA448</f>
        <v/>
      </c>
      <c r="BD448" s="35">
        <f>IFERROR(AZ448/AV448,)</f>
        <v/>
      </c>
      <c r="BE448" s="255">
        <f>AV448-SUM(Z448:AC448)</f>
        <v/>
      </c>
      <c r="BF448" s="255">
        <f>AV448-BE448-AC448-AB448</f>
        <v/>
      </c>
      <c r="BG448" s="255">
        <f>AV448-BE448-BF448-AB448</f>
        <v/>
      </c>
      <c r="BH448" s="255">
        <f>AB448</f>
        <v/>
      </c>
      <c r="BI448" s="263" t="inlineStr">
        <is>
          <t>Approved</t>
        </is>
      </c>
    </row>
    <row r="449">
      <c r="C449" s="23" t="inlineStr">
        <is>
          <t>HARUNA/YEKINI</t>
        </is>
      </c>
      <c r="D449">
        <f>CONCATENATE(G449,"-",H449,"-",F449)</f>
        <v/>
      </c>
      <c r="E449" s="24" t="inlineStr">
        <is>
          <t>JMG-10T-Hiabs Logistics-Local</t>
        </is>
      </c>
      <c r="F449" s="23" t="inlineStr">
        <is>
          <t>Local</t>
        </is>
      </c>
      <c r="G449" s="25" t="inlineStr">
        <is>
          <t>Hiabs Logistics</t>
        </is>
      </c>
      <c r="H449" s="24" t="inlineStr">
        <is>
          <t>10T</t>
        </is>
      </c>
      <c r="I449" s="73" t="inlineStr">
        <is>
          <t>JMG</t>
        </is>
      </c>
      <c r="J449" s="74" t="inlineStr">
        <is>
          <t>Abuja</t>
        </is>
      </c>
      <c r="K449" s="74" t="inlineStr">
        <is>
          <t>Asokoro</t>
        </is>
      </c>
      <c r="L449" t="inlineStr">
        <is>
          <t>FCT</t>
        </is>
      </c>
      <c r="N449" s="201">
        <f>O449/2</f>
        <v/>
      </c>
      <c r="O449" s="201" t="n">
        <v>30</v>
      </c>
      <c r="P449" s="220">
        <f>ROUNDUP(O449/300,)</f>
        <v/>
      </c>
      <c r="Q449" s="220" t="n">
        <v>1</v>
      </c>
      <c r="R449" s="220">
        <f>Q449+P449</f>
        <v/>
      </c>
      <c r="S449" s="198">
        <f>ROUNDDOWN(O449*0.51,)+60</f>
        <v/>
      </c>
      <c r="T449" s="207">
        <f>_xlfn.XLOOKUP(G449,[1]Fx!$A$4:$A$10,[1]Fx!$B$4:$B$10)</f>
        <v/>
      </c>
      <c r="U449" s="207">
        <f>_xlfn.XLOOKUP(G449,'[1]BP Setup'!$B$6:$B$72,'[1]BP Setup'!$Q$6:$Q$72)</f>
        <v/>
      </c>
      <c r="V449" s="207">
        <f>_xlfn.XLOOKUP(G449,'[1]BP Setup'!$B$6:$B$72,'[1]BP Setup'!$R$6:$R$72)</f>
        <v/>
      </c>
      <c r="W449" s="207">
        <f>$W$3</f>
        <v/>
      </c>
      <c r="X449" s="207" t="n">
        <v>80</v>
      </c>
      <c r="Y449" s="215">
        <f>T449*R449</f>
        <v/>
      </c>
      <c r="Z449" s="215">
        <f>U449*O449</f>
        <v/>
      </c>
      <c r="AA449" s="215">
        <f>V449*O449</f>
        <v/>
      </c>
      <c r="AB449" s="215">
        <f>W449*O449</f>
        <v/>
      </c>
      <c r="AC449" s="197">
        <f>X449*O449</f>
        <v/>
      </c>
      <c r="AD449" s="215" t="n">
        <v>0</v>
      </c>
      <c r="AE449" s="215" t="n">
        <v>0</v>
      </c>
      <c r="AF449" s="207">
        <f>SUM(Y449:AE449)</f>
        <v/>
      </c>
      <c r="AG449" s="254">
        <f>_xlfn.XLOOKUP(G449,[1]Fx!$A$16:$A$22,[1]Fx!$B$16:$B$22)</f>
        <v/>
      </c>
      <c r="AH449" s="207">
        <f>AG449*R449</f>
        <v/>
      </c>
      <c r="AI449" s="207">
        <f>$AI$3*Z449</f>
        <v/>
      </c>
      <c r="AJ449" s="207">
        <f>$AJ$3*AA449</f>
        <v/>
      </c>
      <c r="AK449" s="207">
        <f>$AK$3*AB449</f>
        <v/>
      </c>
      <c r="AL449" s="207">
        <f>$AL$3*AC449</f>
        <v/>
      </c>
      <c r="AM449" s="220">
        <f>SUM(AH449:AL449)</f>
        <v/>
      </c>
      <c r="AN449" s="220" t="n">
        <v>0</v>
      </c>
      <c r="AO449" s="220">
        <f>AN449*AH449</f>
        <v/>
      </c>
      <c r="AP449" s="220" t="n">
        <v>0</v>
      </c>
      <c r="AQ449" s="220">
        <f>AE449</f>
        <v/>
      </c>
      <c r="AR449" s="208">
        <f>AM449-AO449</f>
        <v/>
      </c>
      <c r="AS449" s="220">
        <f>AR449-AK449</f>
        <v/>
      </c>
      <c r="AT449" s="208">
        <f>AS449*1.075</f>
        <v/>
      </c>
      <c r="AU449" s="208">
        <f>AT449+AK449</f>
        <v/>
      </c>
      <c r="AV449" s="198" t="n">
        <v>263204.3991481314</v>
      </c>
      <c r="AW449" s="264">
        <f>BO449*2</f>
        <v/>
      </c>
      <c r="AX449" s="220">
        <f>AV449-AR449</f>
        <v/>
      </c>
      <c r="AY449" s="35">
        <f>AX449/AR449</f>
        <v/>
      </c>
      <c r="AZ449" s="220">
        <f>AV449-AF449</f>
        <v/>
      </c>
      <c r="BA449" s="215">
        <f>AV449-SUM(Z449:AC449)</f>
        <v/>
      </c>
      <c r="BB449" s="215">
        <f>BA449-Y449</f>
        <v/>
      </c>
      <c r="BC449" s="35">
        <f>BB449/BA449</f>
        <v/>
      </c>
      <c r="BD449" s="35">
        <f>IFERROR(AZ449/AV449,)</f>
        <v/>
      </c>
      <c r="BE449" s="255">
        <f>AV449-SUM(Z449:AC449)</f>
        <v/>
      </c>
      <c r="BF449" s="255">
        <f>AV449-BE449-AC449-AB449</f>
        <v/>
      </c>
      <c r="BG449" s="255">
        <f>AV449-BE449-BF449-AB449</f>
        <v/>
      </c>
      <c r="BH449" s="255">
        <f>AB449</f>
        <v/>
      </c>
      <c r="BI449" s="263" t="inlineStr">
        <is>
          <t>Approved</t>
        </is>
      </c>
    </row>
    <row r="450">
      <c r="C450" s="23" t="inlineStr">
        <is>
          <t>HARUNA/YEKINI</t>
        </is>
      </c>
      <c r="D450">
        <f>CONCATENATE(G450,"-",H450,"-",F450)</f>
        <v/>
      </c>
      <c r="E450" s="24" t="inlineStr">
        <is>
          <t>JMG-10T-Hiabs Logistics-Local</t>
        </is>
      </c>
      <c r="F450" s="23" t="inlineStr">
        <is>
          <t>Local</t>
        </is>
      </c>
      <c r="G450" s="25" t="inlineStr">
        <is>
          <t>Hiabs Logistics</t>
        </is>
      </c>
      <c r="H450" s="24" t="inlineStr">
        <is>
          <t>10T</t>
        </is>
      </c>
      <c r="I450" s="73" t="inlineStr">
        <is>
          <t>JMG</t>
        </is>
      </c>
      <c r="J450" s="74" t="inlineStr">
        <is>
          <t>Abuja</t>
        </is>
      </c>
      <c r="K450" s="74" t="inlineStr">
        <is>
          <t>Karmo</t>
        </is>
      </c>
      <c r="L450" t="inlineStr">
        <is>
          <t>FCT</t>
        </is>
      </c>
      <c r="N450" s="201">
        <f>O450/2</f>
        <v/>
      </c>
      <c r="O450" s="200" t="n">
        <v>27.8</v>
      </c>
      <c r="P450" s="220">
        <f>ROUNDUP(O450/300,)</f>
        <v/>
      </c>
      <c r="Q450" s="220" t="n">
        <v>1</v>
      </c>
      <c r="R450" s="220">
        <f>Q450+P450</f>
        <v/>
      </c>
      <c r="S450" s="198">
        <f>ROUNDDOWN(O450*0.51,)+60</f>
        <v/>
      </c>
      <c r="T450" s="207">
        <f>_xlfn.XLOOKUP(G450,[1]Fx!$A$4:$A$10,[1]Fx!$B$4:$B$10)</f>
        <v/>
      </c>
      <c r="U450" s="207">
        <f>_xlfn.XLOOKUP(G450,'[1]BP Setup'!$B$6:$B$72,'[1]BP Setup'!$Q$6:$Q$72)</f>
        <v/>
      </c>
      <c r="V450" s="207">
        <f>_xlfn.XLOOKUP(G450,'[1]BP Setup'!$B$6:$B$72,'[1]BP Setup'!$R$6:$R$72)</f>
        <v/>
      </c>
      <c r="W450" s="207">
        <f>$W$3</f>
        <v/>
      </c>
      <c r="X450" s="207" t="n">
        <v>80</v>
      </c>
      <c r="Y450" s="215">
        <f>T450*R450</f>
        <v/>
      </c>
      <c r="Z450" s="215">
        <f>U450*O450</f>
        <v/>
      </c>
      <c r="AA450" s="215">
        <f>V450*O450</f>
        <v/>
      </c>
      <c r="AB450" s="215">
        <f>W450*O450</f>
        <v/>
      </c>
      <c r="AC450" s="197">
        <f>X450*O450</f>
        <v/>
      </c>
      <c r="AD450" s="215" t="n">
        <v>0</v>
      </c>
      <c r="AE450" s="215" t="n">
        <v>0</v>
      </c>
      <c r="AF450" s="207">
        <f>SUM(Y450:AE450)</f>
        <v/>
      </c>
      <c r="AG450" s="254">
        <f>_xlfn.XLOOKUP(G450,[1]Fx!$A$16:$A$22,[1]Fx!$B$16:$B$22)</f>
        <v/>
      </c>
      <c r="AH450" s="207">
        <f>AG450*R450</f>
        <v/>
      </c>
      <c r="AI450" s="207">
        <f>$AI$3*Z450</f>
        <v/>
      </c>
      <c r="AJ450" s="207">
        <f>$AJ$3*AA450</f>
        <v/>
      </c>
      <c r="AK450" s="207">
        <f>$AK$3*AB450</f>
        <v/>
      </c>
      <c r="AL450" s="207">
        <f>$AL$3*AC450</f>
        <v/>
      </c>
      <c r="AM450" s="220">
        <f>SUM(AH450:AL450)</f>
        <v/>
      </c>
      <c r="AN450" s="220" t="n">
        <v>0</v>
      </c>
      <c r="AO450" s="220">
        <f>AN450*AH450</f>
        <v/>
      </c>
      <c r="AP450" s="220" t="n">
        <v>0</v>
      </c>
      <c r="AQ450" s="220">
        <f>AE450</f>
        <v/>
      </c>
      <c r="AR450" s="208">
        <f>AM450-AO450</f>
        <v/>
      </c>
      <c r="AS450" s="220">
        <f>AR450-AK450</f>
        <v/>
      </c>
      <c r="AT450" s="208">
        <f>AS450*1.075</f>
        <v/>
      </c>
      <c r="AU450" s="208">
        <f>AT450+AK450</f>
        <v/>
      </c>
      <c r="AV450" s="198" t="n">
        <v>263204.3991481314</v>
      </c>
      <c r="AW450" s="264">
        <f>BO450*2</f>
        <v/>
      </c>
      <c r="AX450" s="220">
        <f>AV450-AR450</f>
        <v/>
      </c>
      <c r="AY450" s="35">
        <f>AX450/AR450</f>
        <v/>
      </c>
      <c r="AZ450" s="220">
        <f>AV450-AF450</f>
        <v/>
      </c>
      <c r="BA450" s="215">
        <f>AV450-SUM(Z450:AC450)</f>
        <v/>
      </c>
      <c r="BB450" s="215">
        <f>BA450-Y450</f>
        <v/>
      </c>
      <c r="BC450" s="35">
        <f>BB450/BA450</f>
        <v/>
      </c>
      <c r="BD450" s="35">
        <f>IFERROR(AZ450/AV450,)</f>
        <v/>
      </c>
      <c r="BE450" s="255">
        <f>AV450-SUM(Z450:AC450)</f>
        <v/>
      </c>
      <c r="BF450" s="255">
        <f>AV450-BE450-AC450-AB450</f>
        <v/>
      </c>
      <c r="BG450" s="255">
        <f>AV450-BE450-BF450-AB450</f>
        <v/>
      </c>
      <c r="BH450" s="255">
        <f>AB450</f>
        <v/>
      </c>
      <c r="BI450" s="263" t="inlineStr">
        <is>
          <t>Approved</t>
        </is>
      </c>
    </row>
    <row r="451">
      <c r="C451" s="23" t="inlineStr">
        <is>
          <t>HARUNA/YEKINI</t>
        </is>
      </c>
      <c r="D451">
        <f>CONCATENATE(G451,"-",H451,"-",F451)</f>
        <v/>
      </c>
      <c r="E451" s="24" t="inlineStr">
        <is>
          <t>JMG-10T-Hiabs Logistics-Local</t>
        </is>
      </c>
      <c r="F451" s="23" t="inlineStr">
        <is>
          <t>Local</t>
        </is>
      </c>
      <c r="G451" s="25" t="inlineStr">
        <is>
          <t>Hiabs Logistics</t>
        </is>
      </c>
      <c r="H451" s="24" t="inlineStr">
        <is>
          <t>10T</t>
        </is>
      </c>
      <c r="I451" s="73" t="inlineStr">
        <is>
          <t>JMG</t>
        </is>
      </c>
      <c r="J451" s="74" t="inlineStr">
        <is>
          <t>Abuja</t>
        </is>
      </c>
      <c r="K451" s="74" t="inlineStr">
        <is>
          <t>Mpape</t>
        </is>
      </c>
      <c r="L451" t="inlineStr">
        <is>
          <t>FCT</t>
        </is>
      </c>
      <c r="N451" s="201">
        <f>O451/2</f>
        <v/>
      </c>
      <c r="O451" s="200" t="n">
        <v>26.5</v>
      </c>
      <c r="P451" s="220">
        <f>ROUNDUP(O451/300,)</f>
        <v/>
      </c>
      <c r="Q451" s="220" t="n">
        <v>1</v>
      </c>
      <c r="R451" s="220">
        <f>Q451+P451</f>
        <v/>
      </c>
      <c r="S451" s="198">
        <f>ROUNDDOWN(O451*0.51,)+60</f>
        <v/>
      </c>
      <c r="T451" s="207">
        <f>_xlfn.XLOOKUP(G451,[1]Fx!$A$4:$A$10,[1]Fx!$B$4:$B$10)</f>
        <v/>
      </c>
      <c r="U451" s="207">
        <f>_xlfn.XLOOKUP(G451,'[1]BP Setup'!$B$6:$B$72,'[1]BP Setup'!$Q$6:$Q$72)</f>
        <v/>
      </c>
      <c r="V451" s="207">
        <f>_xlfn.XLOOKUP(G451,'[1]BP Setup'!$B$6:$B$72,'[1]BP Setup'!$R$6:$R$72)</f>
        <v/>
      </c>
      <c r="W451" s="207">
        <f>$W$3</f>
        <v/>
      </c>
      <c r="X451" s="207" t="n">
        <v>80</v>
      </c>
      <c r="Y451" s="215">
        <f>T451*R451</f>
        <v/>
      </c>
      <c r="Z451" s="215">
        <f>U451*O451</f>
        <v/>
      </c>
      <c r="AA451" s="215">
        <f>V451*O451</f>
        <v/>
      </c>
      <c r="AB451" s="215">
        <f>W451*O451</f>
        <v/>
      </c>
      <c r="AC451" s="197">
        <f>X451*O451</f>
        <v/>
      </c>
      <c r="AD451" s="215" t="n">
        <v>0</v>
      </c>
      <c r="AE451" s="215" t="n">
        <v>0</v>
      </c>
      <c r="AF451" s="207">
        <f>SUM(Y451:AE451)</f>
        <v/>
      </c>
      <c r="AG451" s="254">
        <f>_xlfn.XLOOKUP(G451,[1]Fx!$A$16:$A$22,[1]Fx!$B$16:$B$22)</f>
        <v/>
      </c>
      <c r="AH451" s="207">
        <f>AG451*R451</f>
        <v/>
      </c>
      <c r="AI451" s="207">
        <f>$AI$3*Z451</f>
        <v/>
      </c>
      <c r="AJ451" s="207">
        <f>$AJ$3*AA451</f>
        <v/>
      </c>
      <c r="AK451" s="207">
        <f>$AK$3*AB451</f>
        <v/>
      </c>
      <c r="AL451" s="207">
        <f>$AL$3*AC451</f>
        <v/>
      </c>
      <c r="AM451" s="220">
        <f>SUM(AH451:AL451)</f>
        <v/>
      </c>
      <c r="AN451" s="220" t="n">
        <v>0</v>
      </c>
      <c r="AO451" s="220">
        <f>AN451*AH451</f>
        <v/>
      </c>
      <c r="AP451" s="220" t="n">
        <v>0</v>
      </c>
      <c r="AQ451" s="220">
        <f>AE451</f>
        <v/>
      </c>
      <c r="AR451" s="208">
        <f>AM451-AO451</f>
        <v/>
      </c>
      <c r="AS451" s="220">
        <f>AR451-AK451</f>
        <v/>
      </c>
      <c r="AT451" s="208">
        <f>AS451*1.075</f>
        <v/>
      </c>
      <c r="AU451" s="208">
        <f>AT451+AK451</f>
        <v/>
      </c>
      <c r="AV451" s="198" t="n">
        <v>263204.3991481314</v>
      </c>
      <c r="AW451" s="264">
        <f>BO451*2</f>
        <v/>
      </c>
      <c r="AX451" s="220">
        <f>AV451-AR451</f>
        <v/>
      </c>
      <c r="AY451" s="35">
        <f>AX451/AR451</f>
        <v/>
      </c>
      <c r="AZ451" s="220">
        <f>AV451-AF451</f>
        <v/>
      </c>
      <c r="BA451" s="215">
        <f>AV451-SUM(Z451:AC451)</f>
        <v/>
      </c>
      <c r="BB451" s="215">
        <f>BA451-Y451</f>
        <v/>
      </c>
      <c r="BC451" s="35">
        <f>BB451/BA451</f>
        <v/>
      </c>
      <c r="BD451" s="35">
        <f>IFERROR(AZ451/AV451,)</f>
        <v/>
      </c>
      <c r="BE451" s="255">
        <f>AV451-SUM(Z451:AC451)</f>
        <v/>
      </c>
      <c r="BF451" s="255">
        <f>AV451-BE451-AC451-AB451</f>
        <v/>
      </c>
      <c r="BG451" s="255">
        <f>AV451-BE451-BF451-AB451</f>
        <v/>
      </c>
      <c r="BH451" s="255">
        <f>AB451</f>
        <v/>
      </c>
      <c r="BI451" s="263" t="inlineStr">
        <is>
          <t>Approved</t>
        </is>
      </c>
    </row>
    <row r="452">
      <c r="C452" s="23" t="inlineStr">
        <is>
          <t>HARUNA/YEKINI</t>
        </is>
      </c>
      <c r="D452">
        <f>CONCATENATE(G452,"-",H452,"-",F452)</f>
        <v/>
      </c>
      <c r="E452" s="24" t="inlineStr">
        <is>
          <t>JMG-10T-Hiabs Logistics-Local</t>
        </is>
      </c>
      <c r="F452" s="23" t="inlineStr">
        <is>
          <t>Local</t>
        </is>
      </c>
      <c r="G452" s="25" t="inlineStr">
        <is>
          <t>Hiabs Logistics</t>
        </is>
      </c>
      <c r="H452" s="24" t="inlineStr">
        <is>
          <t>10T</t>
        </is>
      </c>
      <c r="I452" s="73" t="inlineStr">
        <is>
          <t>JMG</t>
        </is>
      </c>
      <c r="J452" s="74" t="inlineStr">
        <is>
          <t>Abuja</t>
        </is>
      </c>
      <c r="K452" s="74" t="inlineStr">
        <is>
          <t>Guzape</t>
        </is>
      </c>
      <c r="L452" t="inlineStr">
        <is>
          <t>FCT</t>
        </is>
      </c>
      <c r="N452" s="201">
        <f>O452/2</f>
        <v/>
      </c>
      <c r="O452" s="200" t="n">
        <v>26.2</v>
      </c>
      <c r="P452" s="220">
        <f>ROUNDUP(O452/300,)</f>
        <v/>
      </c>
      <c r="Q452" s="220" t="n">
        <v>1</v>
      </c>
      <c r="R452" s="220">
        <f>Q452+P452</f>
        <v/>
      </c>
      <c r="S452" s="198">
        <f>ROUNDDOWN(O452*0.51,)+60</f>
        <v/>
      </c>
      <c r="T452" s="207">
        <f>_xlfn.XLOOKUP(G452,[1]Fx!$A$4:$A$10,[1]Fx!$B$4:$B$10)</f>
        <v/>
      </c>
      <c r="U452" s="207">
        <f>_xlfn.XLOOKUP(G452,'[1]BP Setup'!$B$6:$B$72,'[1]BP Setup'!$Q$6:$Q$72)</f>
        <v/>
      </c>
      <c r="V452" s="207">
        <f>_xlfn.XLOOKUP(G452,'[1]BP Setup'!$B$6:$B$72,'[1]BP Setup'!$R$6:$R$72)</f>
        <v/>
      </c>
      <c r="W452" s="207">
        <f>$W$3</f>
        <v/>
      </c>
      <c r="X452" s="207" t="n">
        <v>80</v>
      </c>
      <c r="Y452" s="215">
        <f>T452*R452</f>
        <v/>
      </c>
      <c r="Z452" s="215">
        <f>U452*O452</f>
        <v/>
      </c>
      <c r="AA452" s="215">
        <f>V452*O452</f>
        <v/>
      </c>
      <c r="AB452" s="215">
        <f>W452*O452</f>
        <v/>
      </c>
      <c r="AC452" s="197">
        <f>X452*O452</f>
        <v/>
      </c>
      <c r="AD452" s="215" t="n">
        <v>0</v>
      </c>
      <c r="AE452" s="215" t="n">
        <v>0</v>
      </c>
      <c r="AF452" s="207">
        <f>SUM(Y452:AE452)</f>
        <v/>
      </c>
      <c r="AG452" s="254">
        <f>_xlfn.XLOOKUP(G452,[1]Fx!$A$16:$A$22,[1]Fx!$B$16:$B$22)</f>
        <v/>
      </c>
      <c r="AH452" s="207">
        <f>AG452*R452</f>
        <v/>
      </c>
      <c r="AI452" s="207">
        <f>$AI$3*Z452</f>
        <v/>
      </c>
      <c r="AJ452" s="207">
        <f>$AJ$3*AA452</f>
        <v/>
      </c>
      <c r="AK452" s="207">
        <f>$AK$3*AB452</f>
        <v/>
      </c>
      <c r="AL452" s="207">
        <f>$AL$3*AC452</f>
        <v/>
      </c>
      <c r="AM452" s="220">
        <f>SUM(AH452:AL452)</f>
        <v/>
      </c>
      <c r="AN452" s="220" t="n">
        <v>0</v>
      </c>
      <c r="AO452" s="220">
        <f>AN452*AH452</f>
        <v/>
      </c>
      <c r="AP452" s="220" t="n">
        <v>0</v>
      </c>
      <c r="AQ452" s="220">
        <f>AE452</f>
        <v/>
      </c>
      <c r="AR452" s="208">
        <f>AM452-AO452</f>
        <v/>
      </c>
      <c r="AS452" s="220">
        <f>AR452-AK452</f>
        <v/>
      </c>
      <c r="AT452" s="208">
        <f>AS452*1.075</f>
        <v/>
      </c>
      <c r="AU452" s="208">
        <f>AT452+AK452</f>
        <v/>
      </c>
      <c r="AV452" s="198" t="n">
        <v>263204.3991481314</v>
      </c>
      <c r="AW452" s="264">
        <f>BO452*2</f>
        <v/>
      </c>
      <c r="AX452" s="220">
        <f>AV452-AR452</f>
        <v/>
      </c>
      <c r="AY452" s="35">
        <f>AX452/AR452</f>
        <v/>
      </c>
      <c r="AZ452" s="220">
        <f>AV452-AF452</f>
        <v/>
      </c>
      <c r="BA452" s="215">
        <f>AV452-SUM(Z452:AC452)</f>
        <v/>
      </c>
      <c r="BB452" s="215">
        <f>BA452-Y452</f>
        <v/>
      </c>
      <c r="BC452" s="35">
        <f>BB452/BA452</f>
        <v/>
      </c>
      <c r="BD452" s="35">
        <f>IFERROR(AZ452/AV452,)</f>
        <v/>
      </c>
      <c r="BE452" s="255">
        <f>AV452-SUM(Z452:AC452)</f>
        <v/>
      </c>
      <c r="BF452" s="255">
        <f>AV452-BE452-AC452-AB452</f>
        <v/>
      </c>
      <c r="BG452" s="255">
        <f>AV452-BE452-BF452-AB452</f>
        <v/>
      </c>
      <c r="BH452" s="255">
        <f>AB452</f>
        <v/>
      </c>
      <c r="BI452" s="263" t="inlineStr">
        <is>
          <t>Approved</t>
        </is>
      </c>
    </row>
    <row r="453">
      <c r="C453" s="23" t="inlineStr">
        <is>
          <t>HARUNA/YEKINI</t>
        </is>
      </c>
      <c r="D453">
        <f>CONCATENATE(G453,"-",H453,"-",F453)</f>
        <v/>
      </c>
      <c r="E453" s="24" t="inlineStr">
        <is>
          <t>JMG-10T-Hiabs Logistics-Local</t>
        </is>
      </c>
      <c r="F453" s="23" t="inlineStr">
        <is>
          <t>Local</t>
        </is>
      </c>
      <c r="G453" s="25" t="inlineStr">
        <is>
          <t>Hiabs Logistics</t>
        </is>
      </c>
      <c r="H453" s="24" t="inlineStr">
        <is>
          <t>10T</t>
        </is>
      </c>
      <c r="I453" s="73" t="inlineStr">
        <is>
          <t>JMG</t>
        </is>
      </c>
      <c r="J453" s="74" t="inlineStr">
        <is>
          <t>Abuja</t>
        </is>
      </c>
      <c r="K453" s="74" t="inlineStr">
        <is>
          <t>Sun City</t>
        </is>
      </c>
      <c r="L453" t="inlineStr">
        <is>
          <t>FCT</t>
        </is>
      </c>
      <c r="N453" s="201">
        <f>O453/2</f>
        <v/>
      </c>
      <c r="O453" s="200" t="n">
        <v>24.9</v>
      </c>
      <c r="P453" s="220">
        <f>ROUNDUP(O453/300,)</f>
        <v/>
      </c>
      <c r="Q453" s="220" t="n">
        <v>1</v>
      </c>
      <c r="R453" s="220">
        <f>Q453+P453</f>
        <v/>
      </c>
      <c r="S453" s="198">
        <f>ROUNDDOWN(O453*0.51,)+60</f>
        <v/>
      </c>
      <c r="T453" s="207">
        <f>_xlfn.XLOOKUP(G453,[1]Fx!$A$4:$A$10,[1]Fx!$B$4:$B$10)</f>
        <v/>
      </c>
      <c r="U453" s="207">
        <f>_xlfn.XLOOKUP(G453,'[1]BP Setup'!$B$6:$B$72,'[1]BP Setup'!$Q$6:$Q$72)</f>
        <v/>
      </c>
      <c r="V453" s="207">
        <f>_xlfn.XLOOKUP(G453,'[1]BP Setup'!$B$6:$B$72,'[1]BP Setup'!$R$6:$R$72)</f>
        <v/>
      </c>
      <c r="W453" s="207">
        <f>$W$3</f>
        <v/>
      </c>
      <c r="X453" s="207" t="n">
        <v>80</v>
      </c>
      <c r="Y453" s="215">
        <f>T453*R453</f>
        <v/>
      </c>
      <c r="Z453" s="215">
        <f>U453*O453</f>
        <v/>
      </c>
      <c r="AA453" s="215">
        <f>V453*O453</f>
        <v/>
      </c>
      <c r="AB453" s="215">
        <f>W453*O453</f>
        <v/>
      </c>
      <c r="AC453" s="197">
        <f>X453*O453</f>
        <v/>
      </c>
      <c r="AD453" s="215" t="n">
        <v>0</v>
      </c>
      <c r="AE453" s="215" t="n">
        <v>0</v>
      </c>
      <c r="AF453" s="207">
        <f>SUM(Y453:AE453)</f>
        <v/>
      </c>
      <c r="AG453" s="254">
        <f>_xlfn.XLOOKUP(G453,[1]Fx!$A$16:$A$22,[1]Fx!$B$16:$B$22)</f>
        <v/>
      </c>
      <c r="AH453" s="207">
        <f>AG453*R453</f>
        <v/>
      </c>
      <c r="AI453" s="207">
        <f>$AI$3*Z453</f>
        <v/>
      </c>
      <c r="AJ453" s="207">
        <f>$AJ$3*AA453</f>
        <v/>
      </c>
      <c r="AK453" s="207">
        <f>$AK$3*AB453</f>
        <v/>
      </c>
      <c r="AL453" s="207">
        <f>$AL$3*AC453</f>
        <v/>
      </c>
      <c r="AM453" s="220">
        <f>SUM(AH453:AL453)</f>
        <v/>
      </c>
      <c r="AN453" s="220" t="n">
        <v>0</v>
      </c>
      <c r="AO453" s="220">
        <f>AN453*AH453</f>
        <v/>
      </c>
      <c r="AP453" s="220" t="n">
        <v>0</v>
      </c>
      <c r="AQ453" s="220">
        <f>AE453</f>
        <v/>
      </c>
      <c r="AR453" s="208">
        <f>AM453-AO453</f>
        <v/>
      </c>
      <c r="AS453" s="220">
        <f>AR453-AK453</f>
        <v/>
      </c>
      <c r="AT453" s="208">
        <f>AS453*1.075</f>
        <v/>
      </c>
      <c r="AU453" s="208">
        <f>AT453+AK453</f>
        <v/>
      </c>
      <c r="AV453" s="198" t="n">
        <v>263204.3991481314</v>
      </c>
      <c r="AW453" s="264">
        <f>BO453*2</f>
        <v/>
      </c>
      <c r="AX453" s="220">
        <f>AV453-AR453</f>
        <v/>
      </c>
      <c r="AY453" s="35">
        <f>AX453/AR453</f>
        <v/>
      </c>
      <c r="AZ453" s="220">
        <f>AV453-AF453</f>
        <v/>
      </c>
      <c r="BA453" s="215">
        <f>AV453-SUM(Z453:AC453)</f>
        <v/>
      </c>
      <c r="BB453" s="215">
        <f>BA453-Y453</f>
        <v/>
      </c>
      <c r="BC453" s="35">
        <f>BB453/BA453</f>
        <v/>
      </c>
      <c r="BD453" s="35">
        <f>IFERROR(AZ453/AV453,)</f>
        <v/>
      </c>
      <c r="BE453" s="255">
        <f>AV453-SUM(Z453:AC453)</f>
        <v/>
      </c>
      <c r="BF453" s="255">
        <f>AV453-BE453-AC453-AB453</f>
        <v/>
      </c>
      <c r="BG453" s="255">
        <f>AV453-BE453-BF453-AB453</f>
        <v/>
      </c>
      <c r="BH453" s="255">
        <f>AB453</f>
        <v/>
      </c>
      <c r="BI453" s="263" t="inlineStr">
        <is>
          <t>Approved</t>
        </is>
      </c>
    </row>
    <row r="454">
      <c r="C454" s="23" t="inlineStr">
        <is>
          <t>HARUNA/YEKINI</t>
        </is>
      </c>
      <c r="D454">
        <f>CONCATENATE(G454,"-",H454,"-",F454)</f>
        <v/>
      </c>
      <c r="E454" s="24" t="inlineStr">
        <is>
          <t>JMG-10T-Hiabs Logistics-Local</t>
        </is>
      </c>
      <c r="F454" s="23" t="inlineStr">
        <is>
          <t>Local</t>
        </is>
      </c>
      <c r="G454" s="25" t="inlineStr">
        <is>
          <t>Hiabs Logistics</t>
        </is>
      </c>
      <c r="H454" s="24" t="inlineStr">
        <is>
          <t>10T</t>
        </is>
      </c>
      <c r="I454" s="73" t="inlineStr">
        <is>
          <t>JMG</t>
        </is>
      </c>
      <c r="J454" s="74" t="inlineStr">
        <is>
          <t>Abuja</t>
        </is>
      </c>
      <c r="K454" s="74" t="inlineStr">
        <is>
          <t>Garki 2</t>
        </is>
      </c>
      <c r="L454" t="inlineStr">
        <is>
          <t>FCT</t>
        </is>
      </c>
      <c r="N454" s="201">
        <f>O454/2</f>
        <v/>
      </c>
      <c r="O454" s="201" t="n">
        <v>24.6</v>
      </c>
      <c r="P454" s="220">
        <f>ROUNDUP(O454/300,)</f>
        <v/>
      </c>
      <c r="Q454" s="220" t="n">
        <v>1</v>
      </c>
      <c r="R454" s="220">
        <f>Q454+P454</f>
        <v/>
      </c>
      <c r="S454" s="198">
        <f>ROUNDDOWN(O454*0.51,)+60</f>
        <v/>
      </c>
      <c r="T454" s="207">
        <f>_xlfn.XLOOKUP(G454,[1]Fx!$A$4:$A$10,[1]Fx!$B$4:$B$10)</f>
        <v/>
      </c>
      <c r="U454" s="207">
        <f>_xlfn.XLOOKUP(G454,'[1]BP Setup'!$B$6:$B$72,'[1]BP Setup'!$Q$6:$Q$72)</f>
        <v/>
      </c>
      <c r="V454" s="207">
        <f>_xlfn.XLOOKUP(G454,'[1]BP Setup'!$B$6:$B$72,'[1]BP Setup'!$R$6:$R$72)</f>
        <v/>
      </c>
      <c r="W454" s="207">
        <f>$W$3</f>
        <v/>
      </c>
      <c r="X454" s="207" t="n">
        <v>80</v>
      </c>
      <c r="Y454" s="215">
        <f>T454*R454</f>
        <v/>
      </c>
      <c r="Z454" s="215">
        <f>U454*O454</f>
        <v/>
      </c>
      <c r="AA454" s="215">
        <f>V454*O454</f>
        <v/>
      </c>
      <c r="AB454" s="215">
        <f>W454*O454</f>
        <v/>
      </c>
      <c r="AC454" s="197">
        <f>X454*O454</f>
        <v/>
      </c>
      <c r="AD454" s="215" t="n">
        <v>0</v>
      </c>
      <c r="AE454" s="215" t="n">
        <v>0</v>
      </c>
      <c r="AF454" s="207">
        <f>SUM(Y454:AE454)</f>
        <v/>
      </c>
      <c r="AG454" s="254">
        <f>_xlfn.XLOOKUP(G454,[1]Fx!$A$16:$A$22,[1]Fx!$B$16:$B$22)</f>
        <v/>
      </c>
      <c r="AH454" s="207">
        <f>AG454*R454</f>
        <v/>
      </c>
      <c r="AI454" s="207">
        <f>$AI$3*Z454</f>
        <v/>
      </c>
      <c r="AJ454" s="207">
        <f>$AJ$3*AA454</f>
        <v/>
      </c>
      <c r="AK454" s="207">
        <f>$AK$3*AB454</f>
        <v/>
      </c>
      <c r="AL454" s="207">
        <f>$AL$3*AC454</f>
        <v/>
      </c>
      <c r="AM454" s="220">
        <f>SUM(AH454:AL454)</f>
        <v/>
      </c>
      <c r="AN454" s="220" t="n">
        <v>0</v>
      </c>
      <c r="AO454" s="220">
        <f>AN454*AH454</f>
        <v/>
      </c>
      <c r="AP454" s="220" t="n">
        <v>0</v>
      </c>
      <c r="AQ454" s="220">
        <f>AE454</f>
        <v/>
      </c>
      <c r="AR454" s="208">
        <f>AM454-AO454</f>
        <v/>
      </c>
      <c r="AS454" s="220">
        <f>AR454-AK454</f>
        <v/>
      </c>
      <c r="AT454" s="208">
        <f>AS454*1.075</f>
        <v/>
      </c>
      <c r="AU454" s="208">
        <f>AT454+AK454</f>
        <v/>
      </c>
      <c r="AV454" s="198" t="n">
        <v>263204.3991481314</v>
      </c>
      <c r="AW454" s="264">
        <f>BO454*2</f>
        <v/>
      </c>
      <c r="AX454" s="220">
        <f>AV454-AR454</f>
        <v/>
      </c>
      <c r="AY454" s="35">
        <f>AX454/AR454</f>
        <v/>
      </c>
      <c r="AZ454" s="220">
        <f>AV454-AF454</f>
        <v/>
      </c>
      <c r="BA454" s="215">
        <f>AV454-SUM(Z454:AC454)</f>
        <v/>
      </c>
      <c r="BB454" s="215">
        <f>BA454-Y454</f>
        <v/>
      </c>
      <c r="BC454" s="35">
        <f>BB454/BA454</f>
        <v/>
      </c>
      <c r="BD454" s="35">
        <f>IFERROR(AZ454/AV454,)</f>
        <v/>
      </c>
      <c r="BE454" s="255">
        <f>AV454-SUM(Z454:AC454)</f>
        <v/>
      </c>
      <c r="BF454" s="255">
        <f>AV454-BE454-AC454-AB454</f>
        <v/>
      </c>
      <c r="BG454" s="255">
        <f>AV454-BE454-BF454-AB454</f>
        <v/>
      </c>
      <c r="BH454" s="255">
        <f>AB454</f>
        <v/>
      </c>
      <c r="BI454" s="263" t="inlineStr">
        <is>
          <t xml:space="preserve">To Check </t>
        </is>
      </c>
    </row>
    <row r="455">
      <c r="C455" s="23" t="inlineStr">
        <is>
          <t>HARUNA/YEKINI</t>
        </is>
      </c>
      <c r="D455">
        <f>CONCATENATE(G455,"-",H455,"-",F455)</f>
        <v/>
      </c>
      <c r="E455" s="24" t="inlineStr">
        <is>
          <t>JMG-10T-Hiabs Logistics-Local</t>
        </is>
      </c>
      <c r="F455" s="23" t="inlineStr">
        <is>
          <t>Local</t>
        </is>
      </c>
      <c r="G455" s="25" t="inlineStr">
        <is>
          <t>Hiabs Logistics</t>
        </is>
      </c>
      <c r="H455" s="24" t="inlineStr">
        <is>
          <t>10T</t>
        </is>
      </c>
      <c r="I455" s="73" t="inlineStr">
        <is>
          <t>JMG</t>
        </is>
      </c>
      <c r="J455" s="74" t="inlineStr">
        <is>
          <t>Abuja</t>
        </is>
      </c>
      <c r="K455" s="74" t="inlineStr">
        <is>
          <t>Galadimawa</t>
        </is>
      </c>
      <c r="L455" t="inlineStr">
        <is>
          <t>FCT</t>
        </is>
      </c>
      <c r="N455" s="201">
        <f>O455/2</f>
        <v/>
      </c>
      <c r="O455" s="200" t="n">
        <v>23.2</v>
      </c>
      <c r="P455" s="220">
        <f>ROUNDUP(O455/300,)</f>
        <v/>
      </c>
      <c r="Q455" s="220" t="n">
        <v>1</v>
      </c>
      <c r="R455" s="220">
        <f>Q455+P455</f>
        <v/>
      </c>
      <c r="S455" s="198">
        <f>ROUNDDOWN(O455*0.51,)+60</f>
        <v/>
      </c>
      <c r="T455" s="207">
        <f>_xlfn.XLOOKUP(G455,[1]Fx!$A$4:$A$10,[1]Fx!$B$4:$B$10)</f>
        <v/>
      </c>
      <c r="U455" s="207">
        <f>_xlfn.XLOOKUP(G455,'[1]BP Setup'!$B$6:$B$72,'[1]BP Setup'!$Q$6:$Q$72)</f>
        <v/>
      </c>
      <c r="V455" s="207">
        <f>_xlfn.XLOOKUP(G455,'[1]BP Setup'!$B$6:$B$72,'[1]BP Setup'!$R$6:$R$72)</f>
        <v/>
      </c>
      <c r="W455" s="207">
        <f>$W$3</f>
        <v/>
      </c>
      <c r="X455" s="207" t="n">
        <v>80</v>
      </c>
      <c r="Y455" s="215">
        <f>T455*R455</f>
        <v/>
      </c>
      <c r="Z455" s="215">
        <f>U455*O455</f>
        <v/>
      </c>
      <c r="AA455" s="215">
        <f>V455*O455</f>
        <v/>
      </c>
      <c r="AB455" s="215">
        <f>W455*O455</f>
        <v/>
      </c>
      <c r="AC455" s="197">
        <f>X455*O455</f>
        <v/>
      </c>
      <c r="AD455" s="215" t="n">
        <v>0</v>
      </c>
      <c r="AE455" s="215" t="n">
        <v>0</v>
      </c>
      <c r="AF455" s="207">
        <f>SUM(Y455:AE455)</f>
        <v/>
      </c>
      <c r="AG455" s="254">
        <f>_xlfn.XLOOKUP(G455,[1]Fx!$A$16:$A$22,[1]Fx!$B$16:$B$22)</f>
        <v/>
      </c>
      <c r="AH455" s="207">
        <f>AG455*R455</f>
        <v/>
      </c>
      <c r="AI455" s="207">
        <f>$AI$3*Z455</f>
        <v/>
      </c>
      <c r="AJ455" s="207">
        <f>$AJ$3*AA455</f>
        <v/>
      </c>
      <c r="AK455" s="207">
        <f>$AK$3*AB455</f>
        <v/>
      </c>
      <c r="AL455" s="207">
        <f>$AL$3*AC455</f>
        <v/>
      </c>
      <c r="AM455" s="220">
        <f>SUM(AH455:AL455)</f>
        <v/>
      </c>
      <c r="AN455" s="220" t="n">
        <v>0</v>
      </c>
      <c r="AO455" s="220">
        <f>AN455*AH455</f>
        <v/>
      </c>
      <c r="AP455" s="220" t="n">
        <v>0</v>
      </c>
      <c r="AQ455" s="220">
        <f>AE455</f>
        <v/>
      </c>
      <c r="AR455" s="208">
        <f>AM455-AO455</f>
        <v/>
      </c>
      <c r="AS455" s="220">
        <f>AR455-AK455</f>
        <v/>
      </c>
      <c r="AT455" s="208">
        <f>AS455*1.075</f>
        <v/>
      </c>
      <c r="AU455" s="208">
        <f>AT455+AK455</f>
        <v/>
      </c>
      <c r="AV455" s="198" t="n">
        <v>263204.3991481314</v>
      </c>
      <c r="AW455" s="264">
        <f>BO455*2</f>
        <v/>
      </c>
      <c r="AX455" s="220">
        <f>AV455-AR455</f>
        <v/>
      </c>
      <c r="AY455" s="35">
        <f>AX455/AR455</f>
        <v/>
      </c>
      <c r="AZ455" s="220">
        <f>AV455-AF455</f>
        <v/>
      </c>
      <c r="BA455" s="215">
        <f>AV455-SUM(Z455:AC455)</f>
        <v/>
      </c>
      <c r="BB455" s="215">
        <f>BA455-Y455</f>
        <v/>
      </c>
      <c r="BC455" s="35">
        <f>BB455/BA455</f>
        <v/>
      </c>
      <c r="BD455" s="35">
        <f>IFERROR(AZ455/AV455,)</f>
        <v/>
      </c>
      <c r="BE455" s="255">
        <f>AV455-SUM(Z455:AC455)</f>
        <v/>
      </c>
      <c r="BF455" s="255">
        <f>AV455-BE455-AC455-AB455</f>
        <v/>
      </c>
      <c r="BG455" s="255">
        <f>AV455-BE455-BF455-AB455</f>
        <v/>
      </c>
      <c r="BH455" s="255">
        <f>AB455</f>
        <v/>
      </c>
      <c r="BI455" s="263" t="inlineStr">
        <is>
          <t>Approved</t>
        </is>
      </c>
    </row>
    <row r="456">
      <c r="C456" s="23" t="inlineStr">
        <is>
          <t>HARUNA/YEKINI</t>
        </is>
      </c>
      <c r="D456">
        <f>CONCATENATE(G456,"-",H456,"-",F456)</f>
        <v/>
      </c>
      <c r="E456" s="24" t="inlineStr">
        <is>
          <t>JMG-10T-Hiabs Logistics-Local</t>
        </is>
      </c>
      <c r="F456" s="23" t="inlineStr">
        <is>
          <t>Local</t>
        </is>
      </c>
      <c r="G456" s="25" t="inlineStr">
        <is>
          <t>Hiabs Logistics</t>
        </is>
      </c>
      <c r="H456" s="24" t="inlineStr">
        <is>
          <t>10T</t>
        </is>
      </c>
      <c r="I456" s="73" t="inlineStr">
        <is>
          <t>JMG</t>
        </is>
      </c>
      <c r="J456" s="74" t="inlineStr">
        <is>
          <t>Abuja</t>
        </is>
      </c>
      <c r="K456" s="74" t="inlineStr">
        <is>
          <t>Area 11</t>
        </is>
      </c>
      <c r="L456" t="inlineStr">
        <is>
          <t>FCT</t>
        </is>
      </c>
      <c r="N456" s="201">
        <f>O456/2</f>
        <v/>
      </c>
      <c r="O456" s="201" t="n">
        <v>23</v>
      </c>
      <c r="P456" s="220">
        <f>ROUNDUP(O456/300,)</f>
        <v/>
      </c>
      <c r="Q456" s="220" t="n">
        <v>1</v>
      </c>
      <c r="R456" s="220">
        <f>Q456+P456</f>
        <v/>
      </c>
      <c r="S456" s="198">
        <f>ROUNDDOWN(O456*0.51,)+60</f>
        <v/>
      </c>
      <c r="T456" s="207">
        <f>_xlfn.XLOOKUP(G456,[1]Fx!$A$4:$A$10,[1]Fx!$B$4:$B$10)</f>
        <v/>
      </c>
      <c r="U456" s="207">
        <f>_xlfn.XLOOKUP(G456,'[1]BP Setup'!$B$6:$B$72,'[1]BP Setup'!$Q$6:$Q$72)</f>
        <v/>
      </c>
      <c r="V456" s="207">
        <f>_xlfn.XLOOKUP(G456,'[1]BP Setup'!$B$6:$B$72,'[1]BP Setup'!$R$6:$R$72)</f>
        <v/>
      </c>
      <c r="W456" s="207">
        <f>$W$3</f>
        <v/>
      </c>
      <c r="X456" s="207" t="n">
        <v>80</v>
      </c>
      <c r="Y456" s="215">
        <f>T456*R456</f>
        <v/>
      </c>
      <c r="Z456" s="215">
        <f>U456*O456</f>
        <v/>
      </c>
      <c r="AA456" s="215">
        <f>V456*O456</f>
        <v/>
      </c>
      <c r="AB456" s="215">
        <f>W456*O456</f>
        <v/>
      </c>
      <c r="AC456" s="197">
        <f>X456*O456</f>
        <v/>
      </c>
      <c r="AD456" s="215" t="n">
        <v>0</v>
      </c>
      <c r="AE456" s="215" t="n">
        <v>0</v>
      </c>
      <c r="AF456" s="207">
        <f>SUM(Y456:AE456)</f>
        <v/>
      </c>
      <c r="AG456" s="254">
        <f>_xlfn.XLOOKUP(G456,[1]Fx!$A$16:$A$22,[1]Fx!$B$16:$B$22)</f>
        <v/>
      </c>
      <c r="AH456" s="207">
        <f>AG456*R456</f>
        <v/>
      </c>
      <c r="AI456" s="207">
        <f>$AI$3*Z456</f>
        <v/>
      </c>
      <c r="AJ456" s="207">
        <f>$AJ$3*AA456</f>
        <v/>
      </c>
      <c r="AK456" s="207">
        <f>$AK$3*AB456</f>
        <v/>
      </c>
      <c r="AL456" s="207">
        <f>$AL$3*AC456</f>
        <v/>
      </c>
      <c r="AM456" s="220">
        <f>SUM(AH456:AL456)</f>
        <v/>
      </c>
      <c r="AN456" s="220" t="n">
        <v>0</v>
      </c>
      <c r="AO456" s="220">
        <f>AN456*AH456</f>
        <v/>
      </c>
      <c r="AP456" s="220" t="n">
        <v>0</v>
      </c>
      <c r="AQ456" s="220">
        <f>AE456</f>
        <v/>
      </c>
      <c r="AR456" s="208">
        <f>AM456-AO456</f>
        <v/>
      </c>
      <c r="AS456" s="220">
        <f>AR456-AK456</f>
        <v/>
      </c>
      <c r="AT456" s="208">
        <f>AS456*1.075</f>
        <v/>
      </c>
      <c r="AU456" s="208">
        <f>AT456+AK456</f>
        <v/>
      </c>
      <c r="AV456" s="198" t="n">
        <v>263204.3991481314</v>
      </c>
      <c r="AW456" s="264">
        <f>BO456*2</f>
        <v/>
      </c>
      <c r="AX456" s="220">
        <f>AV456-AR456</f>
        <v/>
      </c>
      <c r="AY456" s="35">
        <f>AX456/AR456</f>
        <v/>
      </c>
      <c r="AZ456" s="220">
        <f>AV456-AF456</f>
        <v/>
      </c>
      <c r="BA456" s="215">
        <f>AV456-SUM(Z456:AC456)</f>
        <v/>
      </c>
      <c r="BB456" s="215">
        <f>BA456-Y456</f>
        <v/>
      </c>
      <c r="BC456" s="35">
        <f>BB456/BA456</f>
        <v/>
      </c>
      <c r="BD456" s="35">
        <f>IFERROR(AZ456/AV456,)</f>
        <v/>
      </c>
      <c r="BE456" s="255">
        <f>AV456-SUM(Z456:AC456)</f>
        <v/>
      </c>
      <c r="BF456" s="255">
        <f>AV456-BE456-AC456-AB456</f>
        <v/>
      </c>
      <c r="BG456" s="255">
        <f>AV456-BE456-BF456-AB456</f>
        <v/>
      </c>
      <c r="BH456" s="255">
        <f>AB456</f>
        <v/>
      </c>
      <c r="BI456" s="263" t="inlineStr">
        <is>
          <t>Approved</t>
        </is>
      </c>
    </row>
    <row r="457">
      <c r="C457" s="23" t="inlineStr">
        <is>
          <t>HARUNA/YEKINI</t>
        </is>
      </c>
      <c r="D457">
        <f>CONCATENATE(G457,"-",H457,"-",F457)</f>
        <v/>
      </c>
      <c r="E457" s="24" t="inlineStr">
        <is>
          <t>JMG-10T-Hiabs Logistics-Local</t>
        </is>
      </c>
      <c r="F457" s="23" t="inlineStr">
        <is>
          <t>Local</t>
        </is>
      </c>
      <c r="G457" s="25" t="inlineStr">
        <is>
          <t>Hiabs Logistics</t>
        </is>
      </c>
      <c r="H457" s="24" t="inlineStr">
        <is>
          <t>10T</t>
        </is>
      </c>
      <c r="I457" s="73" t="inlineStr">
        <is>
          <t>JMG</t>
        </is>
      </c>
      <c r="J457" s="74" t="inlineStr">
        <is>
          <t>Abuja</t>
        </is>
      </c>
      <c r="K457" s="74" t="inlineStr">
        <is>
          <t>EFAB Estate</t>
        </is>
      </c>
      <c r="L457" t="inlineStr">
        <is>
          <t>FCT</t>
        </is>
      </c>
      <c r="N457" s="201">
        <f>O457/2</f>
        <v/>
      </c>
      <c r="O457" s="200" t="n">
        <v>21</v>
      </c>
      <c r="P457" s="220">
        <f>ROUNDUP(O457/300,)</f>
        <v/>
      </c>
      <c r="Q457" s="220" t="n">
        <v>1</v>
      </c>
      <c r="R457" s="220">
        <f>Q457+P457</f>
        <v/>
      </c>
      <c r="S457" s="198">
        <f>ROUNDDOWN(O457*0.51,)+60</f>
        <v/>
      </c>
      <c r="T457" s="207">
        <f>_xlfn.XLOOKUP(G457,[1]Fx!$A$4:$A$10,[1]Fx!$B$4:$B$10)</f>
        <v/>
      </c>
      <c r="U457" s="207">
        <f>_xlfn.XLOOKUP(G457,'[1]BP Setup'!$B$6:$B$72,'[1]BP Setup'!$Q$6:$Q$72)</f>
        <v/>
      </c>
      <c r="V457" s="207">
        <f>_xlfn.XLOOKUP(G457,'[1]BP Setup'!$B$6:$B$72,'[1]BP Setup'!$R$6:$R$72)</f>
        <v/>
      </c>
      <c r="W457" s="207">
        <f>$W$3</f>
        <v/>
      </c>
      <c r="X457" s="207" t="n">
        <v>80</v>
      </c>
      <c r="Y457" s="215">
        <f>T457*R457</f>
        <v/>
      </c>
      <c r="Z457" s="215">
        <f>U457*O457</f>
        <v/>
      </c>
      <c r="AA457" s="215">
        <f>V457*O457</f>
        <v/>
      </c>
      <c r="AB457" s="215">
        <f>W457*O457</f>
        <v/>
      </c>
      <c r="AC457" s="197">
        <f>X457*O457</f>
        <v/>
      </c>
      <c r="AD457" s="215" t="n">
        <v>0</v>
      </c>
      <c r="AE457" s="215" t="n">
        <v>0</v>
      </c>
      <c r="AF457" s="207">
        <f>SUM(Y457:AE457)</f>
        <v/>
      </c>
      <c r="AG457" s="254">
        <f>_xlfn.XLOOKUP(G457,[1]Fx!$A$16:$A$22,[1]Fx!$B$16:$B$22)</f>
        <v/>
      </c>
      <c r="AH457" s="207">
        <f>AG457*R457</f>
        <v/>
      </c>
      <c r="AI457" s="207">
        <f>$AI$3*Z457</f>
        <v/>
      </c>
      <c r="AJ457" s="207">
        <f>$AJ$3*AA457</f>
        <v/>
      </c>
      <c r="AK457" s="207">
        <f>$AK$3*AB457</f>
        <v/>
      </c>
      <c r="AL457" s="207">
        <f>$AL$3*AC457</f>
        <v/>
      </c>
      <c r="AM457" s="220">
        <f>SUM(AH457:AL457)</f>
        <v/>
      </c>
      <c r="AN457" s="220" t="n">
        <v>0</v>
      </c>
      <c r="AO457" s="220">
        <f>AN457*AH457</f>
        <v/>
      </c>
      <c r="AP457" s="220" t="n">
        <v>0</v>
      </c>
      <c r="AQ457" s="220">
        <f>AE457</f>
        <v/>
      </c>
      <c r="AR457" s="208">
        <f>AM457-AO457</f>
        <v/>
      </c>
      <c r="AS457" s="220">
        <f>AR457-AK457</f>
        <v/>
      </c>
      <c r="AT457" s="208">
        <f>AS457*1.075</f>
        <v/>
      </c>
      <c r="AU457" s="208">
        <f>AT457+AK457</f>
        <v/>
      </c>
      <c r="AV457" s="198" t="n">
        <v>263204.3991481314</v>
      </c>
      <c r="AW457" s="264">
        <f>BO457*2</f>
        <v/>
      </c>
      <c r="AX457" s="220">
        <f>AV457-AR457</f>
        <v/>
      </c>
      <c r="AY457" s="35">
        <f>AX457/AR457</f>
        <v/>
      </c>
      <c r="AZ457" s="220">
        <f>AV457-AF457</f>
        <v/>
      </c>
      <c r="BA457" s="215">
        <f>AV457-SUM(Z457:AC457)</f>
        <v/>
      </c>
      <c r="BB457" s="215">
        <f>BA457-Y457</f>
        <v/>
      </c>
      <c r="BC457" s="35">
        <f>BB457/BA457</f>
        <v/>
      </c>
      <c r="BD457" s="35">
        <f>IFERROR(AZ457/AV457,)</f>
        <v/>
      </c>
      <c r="BE457" s="255">
        <f>AV457-SUM(Z457:AC457)</f>
        <v/>
      </c>
      <c r="BF457" s="255">
        <f>AV457-BE457-AC457-AB457</f>
        <v/>
      </c>
      <c r="BG457" s="255">
        <f>AV457-BE457-BF457-AB457</f>
        <v/>
      </c>
      <c r="BH457" s="255">
        <f>AB457</f>
        <v/>
      </c>
      <c r="BI457" s="263" t="inlineStr">
        <is>
          <t>Approved</t>
        </is>
      </c>
    </row>
    <row r="458">
      <c r="C458" s="23" t="inlineStr">
        <is>
          <t>HARUNA/YEKINI</t>
        </is>
      </c>
      <c r="D458">
        <f>CONCATENATE(G458,"-",H458,"-",F458)</f>
        <v/>
      </c>
      <c r="E458" s="24" t="inlineStr">
        <is>
          <t>JMG-10T-Hiabs Logistics-Local</t>
        </is>
      </c>
      <c r="F458" s="23" t="inlineStr">
        <is>
          <t>Local</t>
        </is>
      </c>
      <c r="G458" s="25" t="inlineStr">
        <is>
          <t>Hiabs Logistics</t>
        </is>
      </c>
      <c r="H458" s="24" t="inlineStr">
        <is>
          <t>10T</t>
        </is>
      </c>
      <c r="I458" s="73" t="inlineStr">
        <is>
          <t>JMG</t>
        </is>
      </c>
      <c r="J458" s="74" t="inlineStr">
        <is>
          <t>Abuja</t>
        </is>
      </c>
      <c r="K458" s="74" t="inlineStr">
        <is>
          <t>Dei-Dei</t>
        </is>
      </c>
      <c r="L458" t="inlineStr">
        <is>
          <t>FCT</t>
        </is>
      </c>
      <c r="N458" s="201">
        <f>O458/2</f>
        <v/>
      </c>
      <c r="O458" s="201" t="n">
        <v>20.8</v>
      </c>
      <c r="P458" s="220">
        <f>ROUNDUP(O458/300,)</f>
        <v/>
      </c>
      <c r="Q458" s="220" t="n">
        <v>1</v>
      </c>
      <c r="R458" s="220">
        <f>Q458+P458</f>
        <v/>
      </c>
      <c r="S458" s="198">
        <f>ROUNDDOWN(O458*0.51,)+60</f>
        <v/>
      </c>
      <c r="T458" s="207">
        <f>_xlfn.XLOOKUP(G458,[1]Fx!$A$4:$A$10,[1]Fx!$B$4:$B$10)</f>
        <v/>
      </c>
      <c r="U458" s="207">
        <f>_xlfn.XLOOKUP(G458,'[1]BP Setup'!$B$6:$B$72,'[1]BP Setup'!$Q$6:$Q$72)</f>
        <v/>
      </c>
      <c r="V458" s="207">
        <f>_xlfn.XLOOKUP(G458,'[1]BP Setup'!$B$6:$B$72,'[1]BP Setup'!$R$6:$R$72)</f>
        <v/>
      </c>
      <c r="W458" s="207">
        <f>$W$3</f>
        <v/>
      </c>
      <c r="X458" s="207" t="n">
        <v>80</v>
      </c>
      <c r="Y458" s="215">
        <f>T458*R458</f>
        <v/>
      </c>
      <c r="Z458" s="215">
        <f>U458*O458</f>
        <v/>
      </c>
      <c r="AA458" s="215">
        <f>V458*O458</f>
        <v/>
      </c>
      <c r="AB458" s="215">
        <f>W458*O458</f>
        <v/>
      </c>
      <c r="AC458" s="197">
        <f>X458*O458</f>
        <v/>
      </c>
      <c r="AD458" s="215" t="n">
        <v>0</v>
      </c>
      <c r="AE458" s="215" t="n">
        <v>0</v>
      </c>
      <c r="AF458" s="207">
        <f>SUM(Y458:AE458)</f>
        <v/>
      </c>
      <c r="AG458" s="254">
        <f>_xlfn.XLOOKUP(G458,[1]Fx!$A$16:$A$22,[1]Fx!$B$16:$B$22)</f>
        <v/>
      </c>
      <c r="AH458" s="207">
        <f>AG458*R458</f>
        <v/>
      </c>
      <c r="AI458" s="207">
        <f>$AI$3*Z458</f>
        <v/>
      </c>
      <c r="AJ458" s="207">
        <f>$AJ$3*AA458</f>
        <v/>
      </c>
      <c r="AK458" s="207">
        <f>$AK$3*AB458</f>
        <v/>
      </c>
      <c r="AL458" s="207">
        <f>$AL$3*AC458</f>
        <v/>
      </c>
      <c r="AM458" s="220">
        <f>SUM(AH458:AL458)</f>
        <v/>
      </c>
      <c r="AN458" s="220" t="n">
        <v>0</v>
      </c>
      <c r="AO458" s="220">
        <f>AN458*AH458</f>
        <v/>
      </c>
      <c r="AP458" s="220" t="n">
        <v>0</v>
      </c>
      <c r="AQ458" s="220">
        <f>AE458</f>
        <v/>
      </c>
      <c r="AR458" s="208">
        <f>AM458-AO458</f>
        <v/>
      </c>
      <c r="AS458" s="220">
        <f>AR458-AK458</f>
        <v/>
      </c>
      <c r="AT458" s="208">
        <f>AS458*1.075</f>
        <v/>
      </c>
      <c r="AU458" s="208">
        <f>AT458+AK458</f>
        <v/>
      </c>
      <c r="AV458" s="198" t="n">
        <v>263204.3991481314</v>
      </c>
      <c r="AW458" s="264">
        <f>BO458*2</f>
        <v/>
      </c>
      <c r="AX458" s="220">
        <f>AV458-AR458</f>
        <v/>
      </c>
      <c r="AY458" s="35">
        <f>AX458/AR458</f>
        <v/>
      </c>
      <c r="AZ458" s="220">
        <f>AV458-AF458</f>
        <v/>
      </c>
      <c r="BA458" s="215">
        <f>AV458-SUM(Z458:AC458)</f>
        <v/>
      </c>
      <c r="BB458" s="215">
        <f>BA458-Y458</f>
        <v/>
      </c>
      <c r="BC458" s="35">
        <f>BB458/BA458</f>
        <v/>
      </c>
      <c r="BD458" s="35">
        <f>IFERROR(AZ458/AV458,)</f>
        <v/>
      </c>
      <c r="BE458" s="255">
        <f>AV458-SUM(Z458:AC458)</f>
        <v/>
      </c>
      <c r="BF458" s="255">
        <f>AV458-BE458-AC458-AB458</f>
        <v/>
      </c>
      <c r="BG458" s="255">
        <f>AV458-BE458-BF458-AB458</f>
        <v/>
      </c>
      <c r="BH458" s="255">
        <f>AB458</f>
        <v/>
      </c>
      <c r="BI458" s="263" t="inlineStr">
        <is>
          <t>Approved</t>
        </is>
      </c>
    </row>
    <row r="459">
      <c r="C459" s="23" t="inlineStr">
        <is>
          <t>HARUNA/YEKINI</t>
        </is>
      </c>
      <c r="D459">
        <f>CONCATENATE(G459,"-",H459,"-",F459)</f>
        <v/>
      </c>
      <c r="E459" s="24" t="inlineStr">
        <is>
          <t>JMG-10T-Hiabs Logistics-Local</t>
        </is>
      </c>
      <c r="F459" s="23" t="inlineStr">
        <is>
          <t>Local</t>
        </is>
      </c>
      <c r="G459" s="25" t="inlineStr">
        <is>
          <t>Hiabs Logistics</t>
        </is>
      </c>
      <c r="H459" s="24" t="inlineStr">
        <is>
          <t>10T</t>
        </is>
      </c>
      <c r="I459" s="73" t="inlineStr">
        <is>
          <t>JMG</t>
        </is>
      </c>
      <c r="J459" s="74" t="inlineStr">
        <is>
          <t>Abuja</t>
        </is>
      </c>
      <c r="K459" s="74" t="inlineStr">
        <is>
          <t>Games Village</t>
        </is>
      </c>
      <c r="L459" t="inlineStr">
        <is>
          <t>FCT</t>
        </is>
      </c>
      <c r="N459" s="201">
        <f>O459/2</f>
        <v/>
      </c>
      <c r="O459" s="201" t="n">
        <v>20.5</v>
      </c>
      <c r="P459" s="220">
        <f>ROUNDUP(O459/300,)</f>
        <v/>
      </c>
      <c r="Q459" s="220" t="n">
        <v>1</v>
      </c>
      <c r="R459" s="220">
        <f>Q459+P459</f>
        <v/>
      </c>
      <c r="S459" s="198">
        <f>ROUNDDOWN(O459*0.51,)+60</f>
        <v/>
      </c>
      <c r="T459" s="207">
        <f>_xlfn.XLOOKUP(G459,[1]Fx!$A$4:$A$10,[1]Fx!$B$4:$B$10)</f>
        <v/>
      </c>
      <c r="U459" s="207">
        <f>_xlfn.XLOOKUP(G459,'[1]BP Setup'!$B$6:$B$72,'[1]BP Setup'!$Q$6:$Q$72)</f>
        <v/>
      </c>
      <c r="V459" s="207">
        <f>_xlfn.XLOOKUP(G459,'[1]BP Setup'!$B$6:$B$72,'[1]BP Setup'!$R$6:$R$72)</f>
        <v/>
      </c>
      <c r="W459" s="207">
        <f>$W$3</f>
        <v/>
      </c>
      <c r="X459" s="207" t="n">
        <v>80</v>
      </c>
      <c r="Y459" s="215">
        <f>T459*R459</f>
        <v/>
      </c>
      <c r="Z459" s="215">
        <f>U459*O459</f>
        <v/>
      </c>
      <c r="AA459" s="215">
        <f>V459*O459</f>
        <v/>
      </c>
      <c r="AB459" s="215">
        <f>W459*O459</f>
        <v/>
      </c>
      <c r="AC459" s="197">
        <f>X459*O459</f>
        <v/>
      </c>
      <c r="AD459" s="215" t="n">
        <v>0</v>
      </c>
      <c r="AE459" s="215" t="n">
        <v>0</v>
      </c>
      <c r="AF459" s="207">
        <f>SUM(Y459:AE459)</f>
        <v/>
      </c>
      <c r="AG459" s="254">
        <f>_xlfn.XLOOKUP(G459,[1]Fx!$A$16:$A$22,[1]Fx!$B$16:$B$22)</f>
        <v/>
      </c>
      <c r="AH459" s="207">
        <f>AG459*R459</f>
        <v/>
      </c>
      <c r="AI459" s="207">
        <f>$AI$3*Z459</f>
        <v/>
      </c>
      <c r="AJ459" s="207">
        <f>$AJ$3*AA459</f>
        <v/>
      </c>
      <c r="AK459" s="207">
        <f>$AK$3*AB459</f>
        <v/>
      </c>
      <c r="AL459" s="207">
        <f>$AL$3*AC459</f>
        <v/>
      </c>
      <c r="AM459" s="220">
        <f>SUM(AH459:AL459)</f>
        <v/>
      </c>
      <c r="AN459" s="220" t="n">
        <v>0</v>
      </c>
      <c r="AO459" s="220">
        <f>AN459*AH459</f>
        <v/>
      </c>
      <c r="AP459" s="220" t="n">
        <v>0</v>
      </c>
      <c r="AQ459" s="220">
        <f>AE459</f>
        <v/>
      </c>
      <c r="AR459" s="208">
        <f>AM459-AO459</f>
        <v/>
      </c>
      <c r="AS459" s="220">
        <f>AR459-AK459</f>
        <v/>
      </c>
      <c r="AT459" s="208">
        <f>AS459*1.075</f>
        <v/>
      </c>
      <c r="AU459" s="208">
        <f>AT459+AK459</f>
        <v/>
      </c>
      <c r="AV459" s="198" t="n">
        <v>263204.3991481314</v>
      </c>
      <c r="AW459" s="264">
        <f>BO459*2</f>
        <v/>
      </c>
      <c r="AX459" s="220">
        <f>AV459-AR459</f>
        <v/>
      </c>
      <c r="AY459" s="35">
        <f>AX459/AR459</f>
        <v/>
      </c>
      <c r="AZ459" s="220">
        <f>AV459-AF459</f>
        <v/>
      </c>
      <c r="BA459" s="215">
        <f>AV459-SUM(Z459:AC459)</f>
        <v/>
      </c>
      <c r="BB459" s="215">
        <f>BA459-Y459</f>
        <v/>
      </c>
      <c r="BC459" s="35">
        <f>BB459/BA459</f>
        <v/>
      </c>
      <c r="BD459" s="35">
        <f>IFERROR(AZ459/AV459,)</f>
        <v/>
      </c>
      <c r="BE459" s="255">
        <f>AV459-SUM(Z459:AC459)</f>
        <v/>
      </c>
      <c r="BF459" s="255">
        <f>AV459-BE459-AC459-AB459</f>
        <v/>
      </c>
      <c r="BG459" s="255">
        <f>AV459-BE459-BF459-AB459</f>
        <v/>
      </c>
      <c r="BH459" s="255">
        <f>AB459</f>
        <v/>
      </c>
      <c r="BI459" s="263" t="inlineStr">
        <is>
          <t>Approved</t>
        </is>
      </c>
    </row>
    <row r="460">
      <c r="C460" s="23" t="inlineStr">
        <is>
          <t>HARUNA/YEKINI</t>
        </is>
      </c>
      <c r="D460">
        <f>CONCATENATE(G460,"-",H460,"-",F460)</f>
        <v/>
      </c>
      <c r="E460" s="24" t="inlineStr">
        <is>
          <t>JMG-10T-Hiabs Logistics-Local</t>
        </is>
      </c>
      <c r="F460" s="23" t="inlineStr">
        <is>
          <t>Local</t>
        </is>
      </c>
      <c r="G460" s="25" t="inlineStr">
        <is>
          <t>Hiabs Logistics</t>
        </is>
      </c>
      <c r="H460" s="24" t="inlineStr">
        <is>
          <t>10T</t>
        </is>
      </c>
      <c r="I460" s="73" t="inlineStr">
        <is>
          <t>JMG</t>
        </is>
      </c>
      <c r="J460" s="74" t="inlineStr">
        <is>
          <t>Abuja</t>
        </is>
      </c>
      <c r="K460" s="74" t="inlineStr">
        <is>
          <t>CITEC Estate</t>
        </is>
      </c>
      <c r="L460" t="inlineStr">
        <is>
          <t>FCT</t>
        </is>
      </c>
      <c r="N460" s="201">
        <f>O460/2</f>
        <v/>
      </c>
      <c r="O460" s="200" t="n">
        <v>19.8</v>
      </c>
      <c r="P460" s="220">
        <f>ROUNDUP(O460/300,)</f>
        <v/>
      </c>
      <c r="Q460" s="220" t="n">
        <v>1</v>
      </c>
      <c r="R460" s="220">
        <f>Q460+P460</f>
        <v/>
      </c>
      <c r="S460" s="198">
        <f>ROUNDDOWN(O460*0.51,)+60</f>
        <v/>
      </c>
      <c r="T460" s="207">
        <f>_xlfn.XLOOKUP(G460,[1]Fx!$A$4:$A$10,[1]Fx!$B$4:$B$10)</f>
        <v/>
      </c>
      <c r="U460" s="207">
        <f>_xlfn.XLOOKUP(G460,'[1]BP Setup'!$B$6:$B$72,'[1]BP Setup'!$Q$6:$Q$72)</f>
        <v/>
      </c>
      <c r="V460" s="207">
        <f>_xlfn.XLOOKUP(G460,'[1]BP Setup'!$B$6:$B$72,'[1]BP Setup'!$R$6:$R$72)</f>
        <v/>
      </c>
      <c r="W460" s="207">
        <f>$W$3</f>
        <v/>
      </c>
      <c r="X460" s="207" t="n">
        <v>80</v>
      </c>
      <c r="Y460" s="215">
        <f>T460*R460</f>
        <v/>
      </c>
      <c r="Z460" s="215">
        <f>U460*O460</f>
        <v/>
      </c>
      <c r="AA460" s="215">
        <f>V460*O460</f>
        <v/>
      </c>
      <c r="AB460" s="215">
        <f>W460*O460</f>
        <v/>
      </c>
      <c r="AC460" s="197">
        <f>X460*O460</f>
        <v/>
      </c>
      <c r="AD460" s="215" t="n">
        <v>0</v>
      </c>
      <c r="AE460" s="215" t="n">
        <v>0</v>
      </c>
      <c r="AF460" s="207">
        <f>SUM(Y460:AE460)</f>
        <v/>
      </c>
      <c r="AG460" s="254">
        <f>_xlfn.XLOOKUP(G460,[1]Fx!$A$16:$A$22,[1]Fx!$B$16:$B$22)</f>
        <v/>
      </c>
      <c r="AH460" s="207">
        <f>AG460*R460</f>
        <v/>
      </c>
      <c r="AI460" s="207">
        <f>$AI$3*Z460</f>
        <v/>
      </c>
      <c r="AJ460" s="207">
        <f>$AJ$3*AA460</f>
        <v/>
      </c>
      <c r="AK460" s="207">
        <f>$AK$3*AB460</f>
        <v/>
      </c>
      <c r="AL460" s="207">
        <f>$AL$3*AC460</f>
        <v/>
      </c>
      <c r="AM460" s="220">
        <f>SUM(AH460:AL460)</f>
        <v/>
      </c>
      <c r="AN460" s="220" t="n">
        <v>0</v>
      </c>
      <c r="AO460" s="220">
        <f>AN460*AH460</f>
        <v/>
      </c>
      <c r="AP460" s="220" t="n">
        <v>0</v>
      </c>
      <c r="AQ460" s="220">
        <f>AE460</f>
        <v/>
      </c>
      <c r="AR460" s="208">
        <f>AM460-AO460</f>
        <v/>
      </c>
      <c r="AS460" s="220">
        <f>AR460-AK460</f>
        <v/>
      </c>
      <c r="AT460" s="208">
        <f>AS460*1.075</f>
        <v/>
      </c>
      <c r="AU460" s="208">
        <f>AT460+AK460</f>
        <v/>
      </c>
      <c r="AV460" s="198" t="n">
        <v>263204.3991481314</v>
      </c>
      <c r="AW460" s="264">
        <f>BO460*2</f>
        <v/>
      </c>
      <c r="AX460" s="220">
        <f>AV460-AR460</f>
        <v/>
      </c>
      <c r="AY460" s="35">
        <f>AX460/AR460</f>
        <v/>
      </c>
      <c r="AZ460" s="220">
        <f>AV460-AF460</f>
        <v/>
      </c>
      <c r="BA460" s="215">
        <f>AV460-SUM(Z460:AC460)</f>
        <v/>
      </c>
      <c r="BB460" s="215">
        <f>BA460-Y460</f>
        <v/>
      </c>
      <c r="BC460" s="35">
        <f>BB460/BA460</f>
        <v/>
      </c>
      <c r="BD460" s="35">
        <f>IFERROR(AZ460/AV460,)</f>
        <v/>
      </c>
      <c r="BE460" s="255">
        <f>AV460-SUM(Z460:AC460)</f>
        <v/>
      </c>
      <c r="BF460" s="255">
        <f>AV460-BE460-AC460-AB460</f>
        <v/>
      </c>
      <c r="BG460" s="255">
        <f>AV460-BE460-BF460-AB460</f>
        <v/>
      </c>
      <c r="BH460" s="255">
        <f>AB460</f>
        <v/>
      </c>
      <c r="BI460" s="263" t="inlineStr">
        <is>
          <t>Approved</t>
        </is>
      </c>
    </row>
    <row r="461">
      <c r="C461" s="23" t="inlineStr">
        <is>
          <t>HARUNA/YEKINI</t>
        </is>
      </c>
      <c r="D461">
        <f>CONCATENATE(G461,"-",H461,"-",F461)</f>
        <v/>
      </c>
      <c r="E461" s="24" t="inlineStr">
        <is>
          <t>JMG-10T-Hiabs Logistics-Local</t>
        </is>
      </c>
      <c r="F461" s="23" t="inlineStr">
        <is>
          <t>Local</t>
        </is>
      </c>
      <c r="G461" s="25" t="inlineStr">
        <is>
          <t>Hiabs Logistics</t>
        </is>
      </c>
      <c r="H461" s="24" t="inlineStr">
        <is>
          <t>10T</t>
        </is>
      </c>
      <c r="I461" s="73" t="inlineStr">
        <is>
          <t>JMG</t>
        </is>
      </c>
      <c r="J461" s="74" t="inlineStr">
        <is>
          <t>Abuja</t>
        </is>
      </c>
      <c r="K461" s="74" t="inlineStr">
        <is>
          <t>Gudu</t>
        </is>
      </c>
      <c r="L461" t="inlineStr">
        <is>
          <t>FCT</t>
        </is>
      </c>
      <c r="N461" s="201">
        <f>O461/2</f>
        <v/>
      </c>
      <c r="O461" s="201" t="n">
        <v>19.5</v>
      </c>
      <c r="P461" s="220">
        <f>ROUNDUP(O461/300,)</f>
        <v/>
      </c>
      <c r="Q461" s="220" t="n">
        <v>1</v>
      </c>
      <c r="R461" s="220">
        <f>Q461+P461</f>
        <v/>
      </c>
      <c r="S461" s="198">
        <f>ROUNDDOWN(O461*0.51,)+60</f>
        <v/>
      </c>
      <c r="T461" s="207">
        <f>_xlfn.XLOOKUP(G461,[1]Fx!$A$4:$A$10,[1]Fx!$B$4:$B$10)</f>
        <v/>
      </c>
      <c r="U461" s="207">
        <f>_xlfn.XLOOKUP(G461,'[1]BP Setup'!$B$6:$B$72,'[1]BP Setup'!$Q$6:$Q$72)</f>
        <v/>
      </c>
      <c r="V461" s="207">
        <f>_xlfn.XLOOKUP(G461,'[1]BP Setup'!$B$6:$B$72,'[1]BP Setup'!$R$6:$R$72)</f>
        <v/>
      </c>
      <c r="W461" s="207">
        <f>$W$3</f>
        <v/>
      </c>
      <c r="X461" s="207" t="n">
        <v>80</v>
      </c>
      <c r="Y461" s="215">
        <f>T461*R461</f>
        <v/>
      </c>
      <c r="Z461" s="215">
        <f>U461*O461</f>
        <v/>
      </c>
      <c r="AA461" s="215">
        <f>V461*O461</f>
        <v/>
      </c>
      <c r="AB461" s="215">
        <f>W461*O461</f>
        <v/>
      </c>
      <c r="AC461" s="197">
        <f>X461*O461</f>
        <v/>
      </c>
      <c r="AD461" s="215" t="n">
        <v>0</v>
      </c>
      <c r="AE461" s="215" t="n">
        <v>0</v>
      </c>
      <c r="AF461" s="207">
        <f>SUM(Y461:AE461)</f>
        <v/>
      </c>
      <c r="AG461" s="254">
        <f>_xlfn.XLOOKUP(G461,[1]Fx!$A$16:$A$22,[1]Fx!$B$16:$B$22)</f>
        <v/>
      </c>
      <c r="AH461" s="207">
        <f>AG461*R461</f>
        <v/>
      </c>
      <c r="AI461" s="207">
        <f>$AI$3*Z461</f>
        <v/>
      </c>
      <c r="AJ461" s="207">
        <f>$AJ$3*AA461</f>
        <v/>
      </c>
      <c r="AK461" s="207">
        <f>$AK$3*AB461</f>
        <v/>
      </c>
      <c r="AL461" s="207">
        <f>$AL$3*AC461</f>
        <v/>
      </c>
      <c r="AM461" s="220">
        <f>SUM(AH461:AL461)</f>
        <v/>
      </c>
      <c r="AN461" s="220" t="n">
        <v>0</v>
      </c>
      <c r="AO461" s="220">
        <f>AN461*AH461</f>
        <v/>
      </c>
      <c r="AP461" s="220" t="n">
        <v>0</v>
      </c>
      <c r="AQ461" s="220">
        <f>AE461</f>
        <v/>
      </c>
      <c r="AR461" s="208">
        <f>AM461-AO461</f>
        <v/>
      </c>
      <c r="AS461" s="220">
        <f>AR461-AK461</f>
        <v/>
      </c>
      <c r="AT461" s="208">
        <f>AS461*1.075</f>
        <v/>
      </c>
      <c r="AU461" s="208">
        <f>AT461+AK461</f>
        <v/>
      </c>
      <c r="AV461" s="198" t="n">
        <v>263204.3991481314</v>
      </c>
      <c r="AW461" s="264">
        <f>BO461*2</f>
        <v/>
      </c>
      <c r="AX461" s="220">
        <f>AV461-AR461</f>
        <v/>
      </c>
      <c r="AY461" s="35">
        <f>AX461/AR461</f>
        <v/>
      </c>
      <c r="AZ461" s="220">
        <f>AV461-AF461</f>
        <v/>
      </c>
      <c r="BA461" s="215">
        <f>AV461-SUM(Z461:AC461)</f>
        <v/>
      </c>
      <c r="BB461" s="215">
        <f>BA461-Y461</f>
        <v/>
      </c>
      <c r="BC461" s="35">
        <f>BB461/BA461</f>
        <v/>
      </c>
      <c r="BD461" s="35">
        <f>IFERROR(AZ461/AV461,)</f>
        <v/>
      </c>
      <c r="BE461" s="255">
        <f>AV461-SUM(Z461:AC461)</f>
        <v/>
      </c>
      <c r="BF461" s="255">
        <f>AV461-BE461-AC461-AB461</f>
        <v/>
      </c>
      <c r="BG461" s="255">
        <f>AV461-BE461-BF461-AB461</f>
        <v/>
      </c>
      <c r="BH461" s="255">
        <f>AB461</f>
        <v/>
      </c>
      <c r="BI461" s="263" t="inlineStr">
        <is>
          <t>Approved</t>
        </is>
      </c>
    </row>
    <row r="462">
      <c r="C462" s="23" t="inlineStr">
        <is>
          <t>HARUNA/YEKINI</t>
        </is>
      </c>
      <c r="D462">
        <f>CONCATENATE(G462,"-",H462,"-",F462)</f>
        <v/>
      </c>
      <c r="E462" s="24" t="inlineStr">
        <is>
          <t>JMG-10T-Hiabs Logistics-Local</t>
        </is>
      </c>
      <c r="F462" s="23" t="inlineStr">
        <is>
          <t>Local</t>
        </is>
      </c>
      <c r="G462" s="25" t="inlineStr">
        <is>
          <t>Hiabs Logistics</t>
        </is>
      </c>
      <c r="H462" s="24" t="inlineStr">
        <is>
          <t>10T</t>
        </is>
      </c>
      <c r="I462" s="73" t="inlineStr">
        <is>
          <t>JMG</t>
        </is>
      </c>
      <c r="J462" s="74" t="inlineStr">
        <is>
          <t>Abuja</t>
        </is>
      </c>
      <c r="K462" s="74" t="inlineStr">
        <is>
          <t>Gwarinpa</t>
        </is>
      </c>
      <c r="L462" t="inlineStr">
        <is>
          <t>FCT</t>
        </is>
      </c>
      <c r="N462" s="201">
        <f>O462/2</f>
        <v/>
      </c>
      <c r="O462" s="200" t="n">
        <v>18.5</v>
      </c>
      <c r="P462" s="220">
        <f>ROUNDUP(O462/300,)</f>
        <v/>
      </c>
      <c r="Q462" s="220" t="n">
        <v>1</v>
      </c>
      <c r="R462" s="220">
        <f>Q462+P462</f>
        <v/>
      </c>
      <c r="S462" s="198">
        <f>ROUNDDOWN(O462*0.51,)+60</f>
        <v/>
      </c>
      <c r="T462" s="207">
        <f>_xlfn.XLOOKUP(G462,[1]Fx!$A$4:$A$10,[1]Fx!$B$4:$B$10)</f>
        <v/>
      </c>
      <c r="U462" s="207">
        <f>_xlfn.XLOOKUP(G462,'[1]BP Setup'!$B$6:$B$72,'[1]BP Setup'!$Q$6:$Q$72)</f>
        <v/>
      </c>
      <c r="V462" s="207">
        <f>_xlfn.XLOOKUP(G462,'[1]BP Setup'!$B$6:$B$72,'[1]BP Setup'!$R$6:$R$72)</f>
        <v/>
      </c>
      <c r="W462" s="207">
        <f>$W$3</f>
        <v/>
      </c>
      <c r="X462" s="207" t="n">
        <v>80</v>
      </c>
      <c r="Y462" s="215">
        <f>T462*R462</f>
        <v/>
      </c>
      <c r="Z462" s="215">
        <f>U462*O462</f>
        <v/>
      </c>
      <c r="AA462" s="215">
        <f>V462*O462</f>
        <v/>
      </c>
      <c r="AB462" s="215">
        <f>W462*O462</f>
        <v/>
      </c>
      <c r="AC462" s="197">
        <f>X462*O462</f>
        <v/>
      </c>
      <c r="AD462" s="215" t="n">
        <v>0</v>
      </c>
      <c r="AE462" s="215" t="n">
        <v>0</v>
      </c>
      <c r="AF462" s="207">
        <f>SUM(Y462:AE462)</f>
        <v/>
      </c>
      <c r="AG462" s="254">
        <f>_xlfn.XLOOKUP(G462,[1]Fx!$A$16:$A$22,[1]Fx!$B$16:$B$22)</f>
        <v/>
      </c>
      <c r="AH462" s="207">
        <f>AG462*R462</f>
        <v/>
      </c>
      <c r="AI462" s="207">
        <f>$AI$3*Z462</f>
        <v/>
      </c>
      <c r="AJ462" s="207">
        <f>$AJ$3*AA462</f>
        <v/>
      </c>
      <c r="AK462" s="207">
        <f>$AK$3*AB462</f>
        <v/>
      </c>
      <c r="AL462" s="207">
        <f>$AL$3*AC462</f>
        <v/>
      </c>
      <c r="AM462" s="220">
        <f>SUM(AH462:AL462)</f>
        <v/>
      </c>
      <c r="AN462" s="220" t="n">
        <v>0</v>
      </c>
      <c r="AO462" s="220">
        <f>AN462*AH462</f>
        <v/>
      </c>
      <c r="AP462" s="220" t="n">
        <v>0</v>
      </c>
      <c r="AQ462" s="220">
        <f>AE462</f>
        <v/>
      </c>
      <c r="AR462" s="208">
        <f>AM462-AO462</f>
        <v/>
      </c>
      <c r="AS462" s="220">
        <f>AR462-AK462</f>
        <v/>
      </c>
      <c r="AT462" s="208">
        <f>AS462*1.075</f>
        <v/>
      </c>
      <c r="AU462" s="208">
        <f>AT462+AK462</f>
        <v/>
      </c>
      <c r="AV462" s="198" t="n">
        <v>263204.3991481314</v>
      </c>
      <c r="AW462" s="264">
        <f>BO462*2</f>
        <v/>
      </c>
      <c r="AX462" s="220">
        <f>AV462-AR462</f>
        <v/>
      </c>
      <c r="AY462" s="35">
        <f>AX462/AR462</f>
        <v/>
      </c>
      <c r="AZ462" s="220">
        <f>AV462-AF462</f>
        <v/>
      </c>
      <c r="BA462" s="215">
        <f>AV462-SUM(Z462:AC462)</f>
        <v/>
      </c>
      <c r="BB462" s="215">
        <f>BA462-Y462</f>
        <v/>
      </c>
      <c r="BC462" s="35">
        <f>BB462/BA462</f>
        <v/>
      </c>
      <c r="BD462" s="35">
        <f>IFERROR(AZ462/AV462,)</f>
        <v/>
      </c>
      <c r="BE462" s="255">
        <f>AV462-SUM(Z462:AC462)</f>
        <v/>
      </c>
      <c r="BF462" s="255">
        <f>AV462-BE462-AC462-AB462</f>
        <v/>
      </c>
      <c r="BG462" s="255">
        <f>AV462-BE462-BF462-AB462</f>
        <v/>
      </c>
      <c r="BH462" s="255">
        <f>AB462</f>
        <v/>
      </c>
      <c r="BI462" s="263" t="inlineStr">
        <is>
          <t>Approved</t>
        </is>
      </c>
    </row>
    <row r="463">
      <c r="C463" s="23" t="inlineStr">
        <is>
          <t>HARUNA/YEKINI</t>
        </is>
      </c>
      <c r="D463">
        <f>CONCATENATE(G463,"-",H463,"-",F463)</f>
        <v/>
      </c>
      <c r="E463" s="24" t="inlineStr">
        <is>
          <t>JMG-10T-Hiabs Logistics-Local</t>
        </is>
      </c>
      <c r="F463" s="23" t="inlineStr">
        <is>
          <t>Local</t>
        </is>
      </c>
      <c r="G463" s="25" t="inlineStr">
        <is>
          <t>Hiabs Logistics</t>
        </is>
      </c>
      <c r="H463" s="24" t="inlineStr">
        <is>
          <t>10T</t>
        </is>
      </c>
      <c r="I463" s="73" t="inlineStr">
        <is>
          <t>JMG</t>
        </is>
      </c>
      <c r="J463" s="74" t="inlineStr">
        <is>
          <t>Abuja</t>
        </is>
      </c>
      <c r="K463" s="74" t="inlineStr">
        <is>
          <t>Apo</t>
        </is>
      </c>
      <c r="L463" t="inlineStr">
        <is>
          <t>FCT</t>
        </is>
      </c>
      <c r="N463" s="201">
        <f>O463/2</f>
        <v/>
      </c>
      <c r="O463" s="201" t="n">
        <v>18.5</v>
      </c>
      <c r="P463" s="220">
        <f>ROUNDUP(O463/300,)</f>
        <v/>
      </c>
      <c r="Q463" s="220" t="n">
        <v>1</v>
      </c>
      <c r="R463" s="220">
        <f>Q463+P463</f>
        <v/>
      </c>
      <c r="S463" s="198">
        <f>ROUNDDOWN(O463*0.51,)+60</f>
        <v/>
      </c>
      <c r="T463" s="207">
        <f>_xlfn.XLOOKUP(G463,[1]Fx!$A$4:$A$10,[1]Fx!$B$4:$B$10)</f>
        <v/>
      </c>
      <c r="U463" s="207">
        <f>_xlfn.XLOOKUP(G463,'[1]BP Setup'!$B$6:$B$72,'[1]BP Setup'!$Q$6:$Q$72)</f>
        <v/>
      </c>
      <c r="V463" s="207">
        <f>_xlfn.XLOOKUP(G463,'[1]BP Setup'!$B$6:$B$72,'[1]BP Setup'!$R$6:$R$72)</f>
        <v/>
      </c>
      <c r="W463" s="207">
        <f>$W$3</f>
        <v/>
      </c>
      <c r="X463" s="207" t="n">
        <v>80</v>
      </c>
      <c r="Y463" s="215">
        <f>T463*R463</f>
        <v/>
      </c>
      <c r="Z463" s="215">
        <f>U463*O463</f>
        <v/>
      </c>
      <c r="AA463" s="215">
        <f>V463*O463</f>
        <v/>
      </c>
      <c r="AB463" s="215">
        <f>W463*O463</f>
        <v/>
      </c>
      <c r="AC463" s="197">
        <f>X463*O463</f>
        <v/>
      </c>
      <c r="AD463" s="215" t="n">
        <v>0</v>
      </c>
      <c r="AE463" s="215" t="n">
        <v>0</v>
      </c>
      <c r="AF463" s="207">
        <f>SUM(Y463:AE463)</f>
        <v/>
      </c>
      <c r="AG463" s="254">
        <f>_xlfn.XLOOKUP(G463,[1]Fx!$A$16:$A$22,[1]Fx!$B$16:$B$22)</f>
        <v/>
      </c>
      <c r="AH463" s="207">
        <f>AG463*R463</f>
        <v/>
      </c>
      <c r="AI463" s="207">
        <f>$AI$3*Z463</f>
        <v/>
      </c>
      <c r="AJ463" s="207">
        <f>$AJ$3*AA463</f>
        <v/>
      </c>
      <c r="AK463" s="207">
        <f>$AK$3*AB463</f>
        <v/>
      </c>
      <c r="AL463" s="207">
        <f>$AL$3*AC463</f>
        <v/>
      </c>
      <c r="AM463" s="220">
        <f>SUM(AH463:AL463)</f>
        <v/>
      </c>
      <c r="AN463" s="220" t="n">
        <v>0</v>
      </c>
      <c r="AO463" s="220">
        <f>AN463*AH463</f>
        <v/>
      </c>
      <c r="AP463" s="220" t="n">
        <v>0</v>
      </c>
      <c r="AQ463" s="220">
        <f>AE463</f>
        <v/>
      </c>
      <c r="AR463" s="208">
        <f>AM463-AO463</f>
        <v/>
      </c>
      <c r="AS463" s="220">
        <f>AR463-AK463</f>
        <v/>
      </c>
      <c r="AT463" s="208">
        <f>AS463*1.075</f>
        <v/>
      </c>
      <c r="AU463" s="208">
        <f>AT463+AK463</f>
        <v/>
      </c>
      <c r="AV463" s="198" t="n">
        <v>263204.3991481314</v>
      </c>
      <c r="AW463" s="264">
        <f>BO463*2</f>
        <v/>
      </c>
      <c r="AX463" s="220">
        <f>AV463-AR463</f>
        <v/>
      </c>
      <c r="AY463" s="35">
        <f>AX463/AR463</f>
        <v/>
      </c>
      <c r="AZ463" s="220">
        <f>AV463-AF463</f>
        <v/>
      </c>
      <c r="BA463" s="215">
        <f>AV463-SUM(Z463:AC463)</f>
        <v/>
      </c>
      <c r="BB463" s="215">
        <f>BA463-Y463</f>
        <v/>
      </c>
      <c r="BC463" s="35">
        <f>BB463/BA463</f>
        <v/>
      </c>
      <c r="BD463" s="35">
        <f>IFERROR(AZ463/AV463,)</f>
        <v/>
      </c>
      <c r="BE463" s="255">
        <f>AV463-SUM(Z463:AC463)</f>
        <v/>
      </c>
      <c r="BF463" s="255">
        <f>AV463-BE463-AC463-AB463</f>
        <v/>
      </c>
      <c r="BG463" s="255">
        <f>AV463-BE463-BF463-AB463</f>
        <v/>
      </c>
      <c r="BH463" s="255">
        <f>AB463</f>
        <v/>
      </c>
      <c r="BI463" s="263" t="inlineStr">
        <is>
          <t>Approved</t>
        </is>
      </c>
    </row>
    <row r="464">
      <c r="C464" s="23" t="inlineStr">
        <is>
          <t>HARUNA/YEKINI</t>
        </is>
      </c>
      <c r="D464">
        <f>CONCATENATE(G464,"-",H464,"-",F464)</f>
        <v/>
      </c>
      <c r="E464" s="24" t="inlineStr">
        <is>
          <t>JMG-10T-Hiabs Logistics-Local</t>
        </is>
      </c>
      <c r="F464" s="23" t="inlineStr">
        <is>
          <t>Local</t>
        </is>
      </c>
      <c r="G464" s="25" t="inlineStr">
        <is>
          <t>Hiabs Logistics</t>
        </is>
      </c>
      <c r="H464" s="24" t="inlineStr">
        <is>
          <t>10T</t>
        </is>
      </c>
      <c r="I464" s="73" t="inlineStr">
        <is>
          <t>JMG</t>
        </is>
      </c>
      <c r="J464" s="74" t="inlineStr">
        <is>
          <t>Abuja</t>
        </is>
      </c>
      <c r="K464" s="74" t="inlineStr">
        <is>
          <t>Apo/Gudu</t>
        </is>
      </c>
      <c r="L464" t="inlineStr">
        <is>
          <t>FCT</t>
        </is>
      </c>
      <c r="N464" s="201">
        <f>O464/2</f>
        <v/>
      </c>
      <c r="O464" s="200" t="n">
        <v>18.4</v>
      </c>
      <c r="P464" s="220">
        <f>ROUNDUP(O464/300,)</f>
        <v/>
      </c>
      <c r="Q464" s="220" t="n">
        <v>1</v>
      </c>
      <c r="R464" s="220">
        <f>Q464+P464</f>
        <v/>
      </c>
      <c r="S464" s="198">
        <f>ROUNDDOWN(O464*0.51,)+60</f>
        <v/>
      </c>
      <c r="T464" s="207">
        <f>_xlfn.XLOOKUP(G464,[1]Fx!$A$4:$A$10,[1]Fx!$B$4:$B$10)</f>
        <v/>
      </c>
      <c r="U464" s="207">
        <f>_xlfn.XLOOKUP(G464,'[1]BP Setup'!$B$6:$B$72,'[1]BP Setup'!$Q$6:$Q$72)</f>
        <v/>
      </c>
      <c r="V464" s="207">
        <f>_xlfn.XLOOKUP(G464,'[1]BP Setup'!$B$6:$B$72,'[1]BP Setup'!$R$6:$R$72)</f>
        <v/>
      </c>
      <c r="W464" s="207">
        <f>$W$3</f>
        <v/>
      </c>
      <c r="X464" s="207" t="n">
        <v>80</v>
      </c>
      <c r="Y464" s="215">
        <f>T464*R464</f>
        <v/>
      </c>
      <c r="Z464" s="215">
        <f>U464*O464</f>
        <v/>
      </c>
      <c r="AA464" s="215">
        <f>V464*O464</f>
        <v/>
      </c>
      <c r="AB464" s="215">
        <f>W464*O464</f>
        <v/>
      </c>
      <c r="AC464" s="197">
        <f>X464*O464</f>
        <v/>
      </c>
      <c r="AD464" s="215" t="n">
        <v>0</v>
      </c>
      <c r="AE464" s="215" t="n">
        <v>0</v>
      </c>
      <c r="AF464" s="207">
        <f>SUM(Y464:AE464)</f>
        <v/>
      </c>
      <c r="AG464" s="254">
        <f>_xlfn.XLOOKUP(G464,[1]Fx!$A$16:$A$22,[1]Fx!$B$16:$B$22)</f>
        <v/>
      </c>
      <c r="AH464" s="207">
        <f>AG464*R464</f>
        <v/>
      </c>
      <c r="AI464" s="207">
        <f>$AI$3*Z464</f>
        <v/>
      </c>
      <c r="AJ464" s="207">
        <f>$AJ$3*AA464</f>
        <v/>
      </c>
      <c r="AK464" s="207">
        <f>$AK$3*AB464</f>
        <v/>
      </c>
      <c r="AL464" s="207">
        <f>$AL$3*AC464</f>
        <v/>
      </c>
      <c r="AM464" s="220">
        <f>SUM(AH464:AL464)</f>
        <v/>
      </c>
      <c r="AN464" s="220" t="n">
        <v>0</v>
      </c>
      <c r="AO464" s="220">
        <f>AN464*AH464</f>
        <v/>
      </c>
      <c r="AP464" s="220" t="n">
        <v>0</v>
      </c>
      <c r="AQ464" s="220">
        <f>AE464</f>
        <v/>
      </c>
      <c r="AR464" s="208">
        <f>AM464-AO464</f>
        <v/>
      </c>
      <c r="AS464" s="220">
        <f>AR464-AK464</f>
        <v/>
      </c>
      <c r="AT464" s="208">
        <f>AS464*1.075</f>
        <v/>
      </c>
      <c r="AU464" s="208">
        <f>AT464+AK464</f>
        <v/>
      </c>
      <c r="AV464" s="198" t="n">
        <v>263204.3991481314</v>
      </c>
      <c r="AW464" s="264">
        <f>BO464*2</f>
        <v/>
      </c>
      <c r="AX464" s="220">
        <f>AV464-AR464</f>
        <v/>
      </c>
      <c r="AY464" s="35">
        <f>AX464/AR464</f>
        <v/>
      </c>
      <c r="AZ464" s="220">
        <f>AV464-AF464</f>
        <v/>
      </c>
      <c r="BA464" s="215">
        <f>AV464-SUM(Z464:AC464)</f>
        <v/>
      </c>
      <c r="BB464" s="215">
        <f>BA464-Y464</f>
        <v/>
      </c>
      <c r="BC464" s="35">
        <f>BB464/BA464</f>
        <v/>
      </c>
      <c r="BD464" s="35">
        <f>IFERROR(AZ464/AV464,)</f>
        <v/>
      </c>
      <c r="BE464" s="255">
        <f>AV464-SUM(Z464:AC464)</f>
        <v/>
      </c>
      <c r="BF464" s="255">
        <f>AV464-BE464-AC464-AB464</f>
        <v/>
      </c>
      <c r="BG464" s="255">
        <f>AV464-BE464-BF464-AB464</f>
        <v/>
      </c>
      <c r="BH464" s="255">
        <f>AB464</f>
        <v/>
      </c>
      <c r="BI464" s="263" t="inlineStr">
        <is>
          <t>Approved</t>
        </is>
      </c>
    </row>
    <row r="465">
      <c r="C465" s="23" t="inlineStr">
        <is>
          <t>HARUNA/YEKINI</t>
        </is>
      </c>
      <c r="D465">
        <f>CONCATENATE(G465,"-",H465,"-",F465)</f>
        <v/>
      </c>
      <c r="E465" s="24" t="inlineStr">
        <is>
          <t>JMG-10T-Hiabs Logistics-Local</t>
        </is>
      </c>
      <c r="F465" s="23" t="inlineStr">
        <is>
          <t>Local</t>
        </is>
      </c>
      <c r="G465" s="25" t="inlineStr">
        <is>
          <t>Hiabs Logistics</t>
        </is>
      </c>
      <c r="H465" s="24" t="inlineStr">
        <is>
          <t>10T</t>
        </is>
      </c>
      <c r="I465" s="73" t="inlineStr">
        <is>
          <t>JMG</t>
        </is>
      </c>
      <c r="J465" s="74" t="inlineStr">
        <is>
          <t>Abuja</t>
        </is>
      </c>
      <c r="K465" s="74" t="inlineStr">
        <is>
          <t>Maitama</t>
        </is>
      </c>
      <c r="L465" t="inlineStr">
        <is>
          <t>FCT</t>
        </is>
      </c>
      <c r="N465" s="201">
        <f>O465/2</f>
        <v/>
      </c>
      <c r="O465" s="200" t="n">
        <v>17.3</v>
      </c>
      <c r="P465" s="220">
        <f>ROUNDUP(O465/300,)</f>
        <v/>
      </c>
      <c r="Q465" s="220" t="n">
        <v>1</v>
      </c>
      <c r="R465" s="220">
        <f>Q465+P465</f>
        <v/>
      </c>
      <c r="S465" s="198">
        <f>ROUNDDOWN(O465*0.51,)+60</f>
        <v/>
      </c>
      <c r="T465" s="207">
        <f>_xlfn.XLOOKUP(G465,[1]Fx!$A$4:$A$10,[1]Fx!$B$4:$B$10)</f>
        <v/>
      </c>
      <c r="U465" s="207">
        <f>_xlfn.XLOOKUP(G465,'[1]BP Setup'!$B$6:$B$72,'[1]BP Setup'!$Q$6:$Q$72)</f>
        <v/>
      </c>
      <c r="V465" s="207">
        <f>_xlfn.XLOOKUP(G465,'[1]BP Setup'!$B$6:$B$72,'[1]BP Setup'!$R$6:$R$72)</f>
        <v/>
      </c>
      <c r="W465" s="207">
        <f>$W$3</f>
        <v/>
      </c>
      <c r="X465" s="207" t="n">
        <v>80</v>
      </c>
      <c r="Y465" s="215">
        <f>T465*R465</f>
        <v/>
      </c>
      <c r="Z465" s="215">
        <f>U465*O465</f>
        <v/>
      </c>
      <c r="AA465" s="215">
        <f>V465*O465</f>
        <v/>
      </c>
      <c r="AB465" s="215">
        <f>W465*O465</f>
        <v/>
      </c>
      <c r="AC465" s="197">
        <f>X465*O465</f>
        <v/>
      </c>
      <c r="AD465" s="215" t="n">
        <v>0</v>
      </c>
      <c r="AE465" s="215" t="n">
        <v>0</v>
      </c>
      <c r="AF465" s="207">
        <f>SUM(Y465:AE465)</f>
        <v/>
      </c>
      <c r="AG465" s="254">
        <f>_xlfn.XLOOKUP(G465,[1]Fx!$A$16:$A$22,[1]Fx!$B$16:$B$22)</f>
        <v/>
      </c>
      <c r="AH465" s="207">
        <f>AG465*R465</f>
        <v/>
      </c>
      <c r="AI465" s="207">
        <f>$AI$3*Z465</f>
        <v/>
      </c>
      <c r="AJ465" s="207">
        <f>$AJ$3*AA465</f>
        <v/>
      </c>
      <c r="AK465" s="207">
        <f>$AK$3*AB465</f>
        <v/>
      </c>
      <c r="AL465" s="207">
        <f>$AL$3*AC465</f>
        <v/>
      </c>
      <c r="AM465" s="220">
        <f>SUM(AH465:AL465)</f>
        <v/>
      </c>
      <c r="AN465" s="220" t="n">
        <v>0</v>
      </c>
      <c r="AO465" s="220">
        <f>AN465*AH465</f>
        <v/>
      </c>
      <c r="AP465" s="220" t="n">
        <v>0</v>
      </c>
      <c r="AQ465" s="220">
        <f>AE465</f>
        <v/>
      </c>
      <c r="AR465" s="208">
        <f>AM465-AO465</f>
        <v/>
      </c>
      <c r="AS465" s="220">
        <f>AR465-AK465</f>
        <v/>
      </c>
      <c r="AT465" s="208">
        <f>AS465*1.075</f>
        <v/>
      </c>
      <c r="AU465" s="208">
        <f>AT465+AK465</f>
        <v/>
      </c>
      <c r="AV465" s="198" t="n">
        <v>263204.3991481314</v>
      </c>
      <c r="AW465" s="264">
        <f>BO465*2</f>
        <v/>
      </c>
      <c r="AX465" s="220">
        <f>AV465-AR465</f>
        <v/>
      </c>
      <c r="AY465" s="35">
        <f>AX465/AR465</f>
        <v/>
      </c>
      <c r="AZ465" s="220">
        <f>AV465-AF465</f>
        <v/>
      </c>
      <c r="BA465" s="215">
        <f>AV465-SUM(Z465:AC465)</f>
        <v/>
      </c>
      <c r="BB465" s="215">
        <f>BA465-Y465</f>
        <v/>
      </c>
      <c r="BC465" s="35">
        <f>BB465/BA465</f>
        <v/>
      </c>
      <c r="BD465" s="35">
        <f>IFERROR(AZ465/AV465,)</f>
        <v/>
      </c>
      <c r="BE465" s="255">
        <f>AV465-SUM(Z465:AC465)</f>
        <v/>
      </c>
      <c r="BF465" s="255">
        <f>AV465-BE465-AC465-AB465</f>
        <v/>
      </c>
      <c r="BG465" s="255">
        <f>AV465-BE465-BF465-AB465</f>
        <v/>
      </c>
      <c r="BH465" s="255">
        <f>AB465</f>
        <v/>
      </c>
      <c r="BI465" s="263" t="inlineStr">
        <is>
          <t>Approved</t>
        </is>
      </c>
    </row>
    <row r="466">
      <c r="C466" s="23" t="inlineStr">
        <is>
          <t>HARUNA/YEKINI</t>
        </is>
      </c>
      <c r="D466">
        <f>CONCATENATE(G466,"-",H466,"-",F466)</f>
        <v/>
      </c>
      <c r="E466" s="24" t="inlineStr">
        <is>
          <t>JMG-10T-Hiabs Logistics-Local</t>
        </is>
      </c>
      <c r="F466" s="23" t="inlineStr">
        <is>
          <t>Local</t>
        </is>
      </c>
      <c r="G466" s="25" t="inlineStr">
        <is>
          <t>Hiabs Logistics</t>
        </is>
      </c>
      <c r="H466" s="24" t="inlineStr">
        <is>
          <t>10T</t>
        </is>
      </c>
      <c r="I466" s="73" t="inlineStr">
        <is>
          <t>JMG</t>
        </is>
      </c>
      <c r="J466" s="74" t="inlineStr">
        <is>
          <t>Abuja</t>
        </is>
      </c>
      <c r="K466" s="74" t="inlineStr">
        <is>
          <t>Maitama</t>
        </is>
      </c>
      <c r="L466" t="inlineStr">
        <is>
          <t>FCT</t>
        </is>
      </c>
      <c r="N466" s="201">
        <f>O466/2</f>
        <v/>
      </c>
      <c r="O466" s="201" t="n">
        <v>17.3</v>
      </c>
      <c r="P466" s="220">
        <f>ROUNDUP(O466/300,)</f>
        <v/>
      </c>
      <c r="Q466" s="220" t="n">
        <v>1</v>
      </c>
      <c r="R466" s="220">
        <f>Q466+P466</f>
        <v/>
      </c>
      <c r="S466" s="198">
        <f>ROUNDDOWN(O466*0.51,)+60</f>
        <v/>
      </c>
      <c r="T466" s="207">
        <f>_xlfn.XLOOKUP(G466,[1]Fx!$A$4:$A$10,[1]Fx!$B$4:$B$10)</f>
        <v/>
      </c>
      <c r="U466" s="207">
        <f>_xlfn.XLOOKUP(G466,'[1]BP Setup'!$B$6:$B$72,'[1]BP Setup'!$Q$6:$Q$72)</f>
        <v/>
      </c>
      <c r="V466" s="207">
        <f>_xlfn.XLOOKUP(G466,'[1]BP Setup'!$B$6:$B$72,'[1]BP Setup'!$R$6:$R$72)</f>
        <v/>
      </c>
      <c r="W466" s="207">
        <f>$W$3</f>
        <v/>
      </c>
      <c r="X466" s="207" t="n">
        <v>80</v>
      </c>
      <c r="Y466" s="215">
        <f>T466*R466</f>
        <v/>
      </c>
      <c r="Z466" s="215">
        <f>U466*O466</f>
        <v/>
      </c>
      <c r="AA466" s="215">
        <f>V466*O466</f>
        <v/>
      </c>
      <c r="AB466" s="215">
        <f>W466*O466</f>
        <v/>
      </c>
      <c r="AC466" s="197">
        <f>X466*O466</f>
        <v/>
      </c>
      <c r="AD466" s="215" t="n">
        <v>0</v>
      </c>
      <c r="AE466" s="215" t="n">
        <v>0</v>
      </c>
      <c r="AF466" s="207">
        <f>SUM(Y466:AE466)</f>
        <v/>
      </c>
      <c r="AG466" s="254">
        <f>_xlfn.XLOOKUP(G466,[1]Fx!$A$16:$A$22,[1]Fx!$B$16:$B$22)</f>
        <v/>
      </c>
      <c r="AH466" s="207">
        <f>AG466*R466</f>
        <v/>
      </c>
      <c r="AI466" s="207">
        <f>$AI$3*Z466</f>
        <v/>
      </c>
      <c r="AJ466" s="207">
        <f>$AJ$3*AA466</f>
        <v/>
      </c>
      <c r="AK466" s="207">
        <f>$AK$3*AB466</f>
        <v/>
      </c>
      <c r="AL466" s="207">
        <f>$AL$3*AC466</f>
        <v/>
      </c>
      <c r="AM466" s="220">
        <f>SUM(AH466:AL466)</f>
        <v/>
      </c>
      <c r="AN466" s="220" t="n">
        <v>0</v>
      </c>
      <c r="AO466" s="220">
        <f>AN466*AH466</f>
        <v/>
      </c>
      <c r="AP466" s="220" t="n">
        <v>0</v>
      </c>
      <c r="AQ466" s="220">
        <f>AE466</f>
        <v/>
      </c>
      <c r="AR466" s="208">
        <f>AM466-AO466</f>
        <v/>
      </c>
      <c r="AS466" s="220">
        <f>AR466-AK466</f>
        <v/>
      </c>
      <c r="AT466" s="208">
        <f>AS466*1.075</f>
        <v/>
      </c>
      <c r="AU466" s="208">
        <f>AT466+AK466</f>
        <v/>
      </c>
      <c r="AV466" s="198" t="n">
        <v>263204.3991481314</v>
      </c>
      <c r="AW466" s="264">
        <f>BO466*2</f>
        <v/>
      </c>
      <c r="AX466" s="220">
        <f>AV466-AR466</f>
        <v/>
      </c>
      <c r="AY466" s="35">
        <f>AX466/AR466</f>
        <v/>
      </c>
      <c r="AZ466" s="220">
        <f>AV466-AF466</f>
        <v/>
      </c>
      <c r="BA466" s="215">
        <f>AV466-SUM(Z466:AC466)</f>
        <v/>
      </c>
      <c r="BB466" s="215">
        <f>BA466-Y466</f>
        <v/>
      </c>
      <c r="BC466" s="35">
        <f>BB466/BA466</f>
        <v/>
      </c>
      <c r="BD466" s="35">
        <f>IFERROR(AZ466/AV466,)</f>
        <v/>
      </c>
      <c r="BE466" s="255">
        <f>AV466-SUM(Z466:AC466)</f>
        <v/>
      </c>
      <c r="BF466" s="255">
        <f>AV466-BE466-AC466-AB466</f>
        <v/>
      </c>
      <c r="BG466" s="255">
        <f>AV466-BE466-BF466-AB466</f>
        <v/>
      </c>
      <c r="BH466" s="255">
        <f>AB466</f>
        <v/>
      </c>
      <c r="BI466" s="263" t="inlineStr">
        <is>
          <t>Approved</t>
        </is>
      </c>
    </row>
    <row r="467">
      <c r="C467" s="23" t="inlineStr">
        <is>
          <t>HARUNA/YEKINI</t>
        </is>
      </c>
      <c r="D467">
        <f>CONCATENATE(G467,"-",H467,"-",F467)</f>
        <v/>
      </c>
      <c r="E467" s="24" t="inlineStr">
        <is>
          <t>JMG-10T-Hiabs Logistics-Local</t>
        </is>
      </c>
      <c r="F467" s="23" t="inlineStr">
        <is>
          <t>Local</t>
        </is>
      </c>
      <c r="G467" s="25" t="inlineStr">
        <is>
          <t>Hiabs Logistics</t>
        </is>
      </c>
      <c r="H467" s="24" t="inlineStr">
        <is>
          <t>10T</t>
        </is>
      </c>
      <c r="I467" s="73" t="inlineStr">
        <is>
          <t>JMG</t>
        </is>
      </c>
      <c r="J467" s="74" t="inlineStr">
        <is>
          <t>Abuja</t>
        </is>
      </c>
      <c r="K467" s="74" t="inlineStr">
        <is>
          <t>Life Camp</t>
        </is>
      </c>
      <c r="L467" t="inlineStr">
        <is>
          <t>FCT</t>
        </is>
      </c>
      <c r="N467" s="201">
        <f>O467/2</f>
        <v/>
      </c>
      <c r="O467" s="200" t="n">
        <v>16.7</v>
      </c>
      <c r="P467" s="220">
        <f>ROUNDUP(O467/300,)</f>
        <v/>
      </c>
      <c r="Q467" s="220" t="n">
        <v>1</v>
      </c>
      <c r="R467" s="220">
        <f>Q467+P467</f>
        <v/>
      </c>
      <c r="S467" s="198">
        <f>ROUNDDOWN(O467*0.51,)+60</f>
        <v/>
      </c>
      <c r="T467" s="207">
        <f>_xlfn.XLOOKUP(G467,[1]Fx!$A$4:$A$10,[1]Fx!$B$4:$B$10)</f>
        <v/>
      </c>
      <c r="U467" s="207">
        <f>_xlfn.XLOOKUP(G467,'[1]BP Setup'!$B$6:$B$72,'[1]BP Setup'!$Q$6:$Q$72)</f>
        <v/>
      </c>
      <c r="V467" s="207">
        <f>_xlfn.XLOOKUP(G467,'[1]BP Setup'!$B$6:$B$72,'[1]BP Setup'!$R$6:$R$72)</f>
        <v/>
      </c>
      <c r="W467" s="207">
        <f>$W$3</f>
        <v/>
      </c>
      <c r="X467" s="207" t="n">
        <v>80</v>
      </c>
      <c r="Y467" s="215">
        <f>T467*R467</f>
        <v/>
      </c>
      <c r="Z467" s="215">
        <f>U467*O467</f>
        <v/>
      </c>
      <c r="AA467" s="215">
        <f>V467*O467</f>
        <v/>
      </c>
      <c r="AB467" s="215">
        <f>W467*O467</f>
        <v/>
      </c>
      <c r="AC467" s="197">
        <f>X467*O467</f>
        <v/>
      </c>
      <c r="AD467" s="215" t="n">
        <v>0</v>
      </c>
      <c r="AE467" s="215" t="n">
        <v>0</v>
      </c>
      <c r="AF467" s="207">
        <f>SUM(Y467:AE467)</f>
        <v/>
      </c>
      <c r="AG467" s="254">
        <f>_xlfn.XLOOKUP(G467,[1]Fx!$A$16:$A$22,[1]Fx!$B$16:$B$22)</f>
        <v/>
      </c>
      <c r="AH467" s="207">
        <f>AG467*R467</f>
        <v/>
      </c>
      <c r="AI467" s="207">
        <f>$AI$3*Z467</f>
        <v/>
      </c>
      <c r="AJ467" s="207">
        <f>$AJ$3*AA467</f>
        <v/>
      </c>
      <c r="AK467" s="207">
        <f>$AK$3*AB467</f>
        <v/>
      </c>
      <c r="AL467" s="207">
        <f>$AL$3*AC467</f>
        <v/>
      </c>
      <c r="AM467" s="220">
        <f>SUM(AH467:AL467)</f>
        <v/>
      </c>
      <c r="AN467" s="220" t="n">
        <v>0</v>
      </c>
      <c r="AO467" s="220">
        <f>AN467*AH467</f>
        <v/>
      </c>
      <c r="AP467" s="220" t="n">
        <v>0</v>
      </c>
      <c r="AQ467" s="220">
        <f>AE467</f>
        <v/>
      </c>
      <c r="AR467" s="208">
        <f>AM467-AO467</f>
        <v/>
      </c>
      <c r="AS467" s="220">
        <f>AR467-AK467</f>
        <v/>
      </c>
      <c r="AT467" s="208">
        <f>AS467*1.075</f>
        <v/>
      </c>
      <c r="AU467" s="208">
        <f>AT467+AK467</f>
        <v/>
      </c>
      <c r="AV467" s="198" t="n">
        <v>263204.3991481314</v>
      </c>
      <c r="AW467" s="264">
        <f>BO467*2</f>
        <v/>
      </c>
      <c r="AX467" s="220">
        <f>AV467-AR467</f>
        <v/>
      </c>
      <c r="AY467" s="35">
        <f>AX467/AR467</f>
        <v/>
      </c>
      <c r="AZ467" s="220">
        <f>AV467-AF467</f>
        <v/>
      </c>
      <c r="BA467" s="215">
        <f>AV467-SUM(Z467:AC467)</f>
        <v/>
      </c>
      <c r="BB467" s="215">
        <f>BA467-Y467</f>
        <v/>
      </c>
      <c r="BC467" s="35">
        <f>BB467/BA467</f>
        <v/>
      </c>
      <c r="BD467" s="35">
        <f>IFERROR(AZ467/AV467,)</f>
        <v/>
      </c>
      <c r="BE467" s="255">
        <f>AV467-SUM(Z467:AC467)</f>
        <v/>
      </c>
      <c r="BF467" s="255">
        <f>AV467-BE467-AC467-AB467</f>
        <v/>
      </c>
      <c r="BG467" s="255">
        <f>AV467-BE467-BF467-AB467</f>
        <v/>
      </c>
      <c r="BH467" s="255">
        <f>AB467</f>
        <v/>
      </c>
      <c r="BI467" s="263" t="inlineStr">
        <is>
          <t>Approved</t>
        </is>
      </c>
    </row>
    <row r="468">
      <c r="C468" s="23" t="inlineStr">
        <is>
          <t>HARUNA/YEKINI</t>
        </is>
      </c>
      <c r="D468">
        <f>CONCATENATE(G468,"-",H468,"-",F468)</f>
        <v/>
      </c>
      <c r="E468" s="24" t="inlineStr">
        <is>
          <t>JMG-10T-Hiabs Logistics-Local</t>
        </is>
      </c>
      <c r="F468" s="23" t="inlineStr">
        <is>
          <t>Local</t>
        </is>
      </c>
      <c r="G468" s="25" t="inlineStr">
        <is>
          <t>Hiabs Logistics</t>
        </is>
      </c>
      <c r="H468" s="24" t="inlineStr">
        <is>
          <t>10T</t>
        </is>
      </c>
      <c r="I468" s="73" t="inlineStr">
        <is>
          <t>JMG</t>
        </is>
      </c>
      <c r="J468" s="74" t="inlineStr">
        <is>
          <t>Abuja</t>
        </is>
      </c>
      <c r="K468" s="74" t="inlineStr">
        <is>
          <t>Kado</t>
        </is>
      </c>
      <c r="L468" t="inlineStr">
        <is>
          <t>FCT</t>
        </is>
      </c>
      <c r="N468" s="201">
        <f>O468/2</f>
        <v/>
      </c>
      <c r="O468" s="200" t="n">
        <v>15.6</v>
      </c>
      <c r="P468" s="220">
        <f>ROUNDUP(O468/300,)</f>
        <v/>
      </c>
      <c r="Q468" s="220" t="n">
        <v>1</v>
      </c>
      <c r="R468" s="220">
        <f>Q468+P468</f>
        <v/>
      </c>
      <c r="S468" s="198">
        <f>ROUNDDOWN(O468*0.51,)+60</f>
        <v/>
      </c>
      <c r="T468" s="207">
        <f>_xlfn.XLOOKUP(G468,[1]Fx!$A$4:$A$10,[1]Fx!$B$4:$B$10)</f>
        <v/>
      </c>
      <c r="U468" s="207">
        <f>_xlfn.XLOOKUP(G468,'[1]BP Setup'!$B$6:$B$72,'[1]BP Setup'!$Q$6:$Q$72)</f>
        <v/>
      </c>
      <c r="V468" s="207">
        <f>_xlfn.XLOOKUP(G468,'[1]BP Setup'!$B$6:$B$72,'[1]BP Setup'!$R$6:$R$72)</f>
        <v/>
      </c>
      <c r="W468" s="207">
        <f>$W$3</f>
        <v/>
      </c>
      <c r="X468" s="207" t="n">
        <v>80</v>
      </c>
      <c r="Y468" s="215">
        <f>T468*R468</f>
        <v/>
      </c>
      <c r="Z468" s="215">
        <f>U468*O468</f>
        <v/>
      </c>
      <c r="AA468" s="215">
        <f>V468*O468</f>
        <v/>
      </c>
      <c r="AB468" s="215">
        <f>W468*O468</f>
        <v/>
      </c>
      <c r="AC468" s="197">
        <f>X468*O468</f>
        <v/>
      </c>
      <c r="AD468" s="215" t="n">
        <v>0</v>
      </c>
      <c r="AE468" s="215" t="n">
        <v>0</v>
      </c>
      <c r="AF468" s="207">
        <f>SUM(Y468:AE468)</f>
        <v/>
      </c>
      <c r="AG468" s="254">
        <f>_xlfn.XLOOKUP(G468,[1]Fx!$A$16:$A$22,[1]Fx!$B$16:$B$22)</f>
        <v/>
      </c>
      <c r="AH468" s="207">
        <f>AG468*R468</f>
        <v/>
      </c>
      <c r="AI468" s="207">
        <f>$AI$3*Z468</f>
        <v/>
      </c>
      <c r="AJ468" s="207">
        <f>$AJ$3*AA468</f>
        <v/>
      </c>
      <c r="AK468" s="207">
        <f>$AK$3*AB468</f>
        <v/>
      </c>
      <c r="AL468" s="207">
        <f>$AL$3*AC468</f>
        <v/>
      </c>
      <c r="AM468" s="220">
        <f>SUM(AH468:AL468)</f>
        <v/>
      </c>
      <c r="AN468" s="220" t="n">
        <v>0</v>
      </c>
      <c r="AO468" s="220">
        <f>AN468*AH468</f>
        <v/>
      </c>
      <c r="AP468" s="220" t="n">
        <v>0</v>
      </c>
      <c r="AQ468" s="220">
        <f>AE468</f>
        <v/>
      </c>
      <c r="AR468" s="208">
        <f>AM468-AO468</f>
        <v/>
      </c>
      <c r="AS468" s="220">
        <f>AR468-AK468</f>
        <v/>
      </c>
      <c r="AT468" s="208">
        <f>AS468*1.075</f>
        <v/>
      </c>
      <c r="AU468" s="208">
        <f>AT468+AK468</f>
        <v/>
      </c>
      <c r="AV468" s="198" t="n">
        <v>263204.3991481314</v>
      </c>
      <c r="AW468" s="264">
        <f>BO468*2</f>
        <v/>
      </c>
      <c r="AX468" s="220">
        <f>AV468-AR468</f>
        <v/>
      </c>
      <c r="AY468" s="35">
        <f>AX468/AR468</f>
        <v/>
      </c>
      <c r="AZ468" s="220">
        <f>AV468-AF468</f>
        <v/>
      </c>
      <c r="BA468" s="215">
        <f>AV468-SUM(Z468:AC468)</f>
        <v/>
      </c>
      <c r="BB468" s="215">
        <f>BA468-Y468</f>
        <v/>
      </c>
      <c r="BC468" s="35">
        <f>BB468/BA468</f>
        <v/>
      </c>
      <c r="BD468" s="35">
        <f>IFERROR(AZ468/AV468,)</f>
        <v/>
      </c>
      <c r="BE468" s="255">
        <f>AV468-SUM(Z468:AC468)</f>
        <v/>
      </c>
      <c r="BF468" s="255">
        <f>AV468-BE468-AC468-AB468</f>
        <v/>
      </c>
      <c r="BG468" s="255">
        <f>AV468-BE468-BF468-AB468</f>
        <v/>
      </c>
      <c r="BH468" s="255">
        <f>AB468</f>
        <v/>
      </c>
      <c r="BI468" s="263" t="inlineStr">
        <is>
          <t>Approved</t>
        </is>
      </c>
    </row>
    <row r="469">
      <c r="C469" s="23" t="inlineStr">
        <is>
          <t>HARUNA/YEKINI</t>
        </is>
      </c>
      <c r="D469">
        <f>CONCATENATE(G469,"-",H469,"-",F469)</f>
        <v/>
      </c>
      <c r="E469" s="24" t="inlineStr">
        <is>
          <t>JMG-10T-Hiabs Logistics-Local</t>
        </is>
      </c>
      <c r="F469" s="23" t="inlineStr">
        <is>
          <t>Local</t>
        </is>
      </c>
      <c r="G469" s="25" t="inlineStr">
        <is>
          <t>Hiabs Logistics</t>
        </is>
      </c>
      <c r="H469" s="24" t="inlineStr">
        <is>
          <t>10T</t>
        </is>
      </c>
      <c r="I469" s="73" t="inlineStr">
        <is>
          <t>JMG</t>
        </is>
      </c>
      <c r="J469" s="74" t="inlineStr">
        <is>
          <t>Abuja</t>
        </is>
      </c>
      <c r="K469" s="74" t="inlineStr">
        <is>
          <t>Katampe</t>
        </is>
      </c>
      <c r="L469" t="inlineStr">
        <is>
          <t>FCT</t>
        </is>
      </c>
      <c r="N469" s="201">
        <f>O469/2</f>
        <v/>
      </c>
      <c r="O469" s="201" t="n">
        <v>15.1</v>
      </c>
      <c r="P469" s="220">
        <f>ROUNDUP(O469/300,)</f>
        <v/>
      </c>
      <c r="Q469" s="220" t="n">
        <v>1</v>
      </c>
      <c r="R469" s="220">
        <f>Q469+P469</f>
        <v/>
      </c>
      <c r="S469" s="198">
        <f>ROUNDDOWN(O469*0.51,)+60</f>
        <v/>
      </c>
      <c r="T469" s="207">
        <f>_xlfn.XLOOKUP(G469,[1]Fx!$A$4:$A$10,[1]Fx!$B$4:$B$10)</f>
        <v/>
      </c>
      <c r="U469" s="207">
        <f>_xlfn.XLOOKUP(G469,'[1]BP Setup'!$B$6:$B$72,'[1]BP Setup'!$Q$6:$Q$72)</f>
        <v/>
      </c>
      <c r="V469" s="207">
        <f>_xlfn.XLOOKUP(G469,'[1]BP Setup'!$B$6:$B$72,'[1]BP Setup'!$R$6:$R$72)</f>
        <v/>
      </c>
      <c r="W469" s="207">
        <f>$W$3</f>
        <v/>
      </c>
      <c r="X469" s="207" t="n">
        <v>80</v>
      </c>
      <c r="Y469" s="215">
        <f>T469*R469</f>
        <v/>
      </c>
      <c r="Z469" s="215">
        <f>U469*O469</f>
        <v/>
      </c>
      <c r="AA469" s="215">
        <f>V469*O469</f>
        <v/>
      </c>
      <c r="AB469" s="215">
        <f>W469*O469</f>
        <v/>
      </c>
      <c r="AC469" s="197">
        <f>X469*O469</f>
        <v/>
      </c>
      <c r="AD469" s="215" t="n">
        <v>0</v>
      </c>
      <c r="AE469" s="215" t="n">
        <v>0</v>
      </c>
      <c r="AF469" s="207">
        <f>SUM(Y469:AE469)</f>
        <v/>
      </c>
      <c r="AG469" s="254">
        <f>_xlfn.XLOOKUP(G469,[1]Fx!$A$16:$A$22,[1]Fx!$B$16:$B$22)</f>
        <v/>
      </c>
      <c r="AH469" s="207">
        <f>AG469*R469</f>
        <v/>
      </c>
      <c r="AI469" s="207">
        <f>$AI$3*Z469</f>
        <v/>
      </c>
      <c r="AJ469" s="207">
        <f>$AJ$3*AA469</f>
        <v/>
      </c>
      <c r="AK469" s="207">
        <f>$AK$3*AB469</f>
        <v/>
      </c>
      <c r="AL469" s="207">
        <f>$AL$3*AC469</f>
        <v/>
      </c>
      <c r="AM469" s="220">
        <f>SUM(AH469:AL469)</f>
        <v/>
      </c>
      <c r="AN469" s="220" t="n">
        <v>0</v>
      </c>
      <c r="AO469" s="220">
        <f>AN469*AH469</f>
        <v/>
      </c>
      <c r="AP469" s="220" t="n">
        <v>0</v>
      </c>
      <c r="AQ469" s="220">
        <f>AE469</f>
        <v/>
      </c>
      <c r="AR469" s="208">
        <f>AM469-AO469</f>
        <v/>
      </c>
      <c r="AS469" s="220">
        <f>AR469-AK469</f>
        <v/>
      </c>
      <c r="AT469" s="208">
        <f>AS469*1.075</f>
        <v/>
      </c>
      <c r="AU469" s="208">
        <f>AT469+AK469</f>
        <v/>
      </c>
      <c r="AV469" s="198" t="n">
        <v>263204.3991481314</v>
      </c>
      <c r="AW469" s="264">
        <f>BO469*2</f>
        <v/>
      </c>
      <c r="AX469" s="220">
        <f>AV469-AR469</f>
        <v/>
      </c>
      <c r="AY469" s="35">
        <f>AX469/AR469</f>
        <v/>
      </c>
      <c r="AZ469" s="220">
        <f>AV469-AF469</f>
        <v/>
      </c>
      <c r="BA469" s="215">
        <f>AV469-SUM(Z469:AC469)</f>
        <v/>
      </c>
      <c r="BB469" s="215">
        <f>BA469-Y469</f>
        <v/>
      </c>
      <c r="BC469" s="35">
        <f>BB469/BA469</f>
        <v/>
      </c>
      <c r="BD469" s="35">
        <f>IFERROR(AZ469/AV469,)</f>
        <v/>
      </c>
      <c r="BE469" s="255">
        <f>AV469-SUM(Z469:AC469)</f>
        <v/>
      </c>
      <c r="BF469" s="255">
        <f>AV469-BE469-AC469-AB469</f>
        <v/>
      </c>
      <c r="BG469" s="255">
        <f>AV469-BE469-BF469-AB469</f>
        <v/>
      </c>
      <c r="BH469" s="255">
        <f>AB469</f>
        <v/>
      </c>
      <c r="BI469" s="263" t="inlineStr">
        <is>
          <t>Approved</t>
        </is>
      </c>
    </row>
    <row r="470">
      <c r="C470" s="23" t="inlineStr">
        <is>
          <t>HARUNA/YEKINI</t>
        </is>
      </c>
      <c r="D470">
        <f>CONCATENATE(G470,"-",H470,"-",F470)</f>
        <v/>
      </c>
      <c r="E470" s="24" t="inlineStr">
        <is>
          <t>JMG-10T-Hiabs Logistics-Local</t>
        </is>
      </c>
      <c r="F470" s="23" t="inlineStr">
        <is>
          <t>Local</t>
        </is>
      </c>
      <c r="G470" s="25" t="inlineStr">
        <is>
          <t>Hiabs Logistics</t>
        </is>
      </c>
      <c r="H470" s="24" t="inlineStr">
        <is>
          <t>10T</t>
        </is>
      </c>
      <c r="I470" s="73" t="inlineStr">
        <is>
          <t>JMG</t>
        </is>
      </c>
      <c r="J470" s="74" t="inlineStr">
        <is>
          <t>Abuja</t>
        </is>
      </c>
      <c r="K470" s="74" t="inlineStr">
        <is>
          <t>Durumi</t>
        </is>
      </c>
      <c r="L470" t="inlineStr">
        <is>
          <t>FCT</t>
        </is>
      </c>
      <c r="N470" s="201">
        <f>O470/2</f>
        <v/>
      </c>
      <c r="O470" s="201" t="n">
        <v>14.7</v>
      </c>
      <c r="P470" s="220">
        <f>ROUNDUP(O470/300,)</f>
        <v/>
      </c>
      <c r="Q470" s="220" t="n">
        <v>1</v>
      </c>
      <c r="R470" s="220">
        <f>Q470+P470</f>
        <v/>
      </c>
      <c r="S470" s="198">
        <f>ROUNDDOWN(O470*0.51,)+60</f>
        <v/>
      </c>
      <c r="T470" s="207">
        <f>_xlfn.XLOOKUP(G470,[1]Fx!$A$4:$A$10,[1]Fx!$B$4:$B$10)</f>
        <v/>
      </c>
      <c r="U470" s="207">
        <f>_xlfn.XLOOKUP(G470,'[1]BP Setup'!$B$6:$B$72,'[1]BP Setup'!$Q$6:$Q$72)</f>
        <v/>
      </c>
      <c r="V470" s="207">
        <f>_xlfn.XLOOKUP(G470,'[1]BP Setup'!$B$6:$B$72,'[1]BP Setup'!$R$6:$R$72)</f>
        <v/>
      </c>
      <c r="W470" s="207">
        <f>$W$3</f>
        <v/>
      </c>
      <c r="X470" s="207" t="n">
        <v>80</v>
      </c>
      <c r="Y470" s="215">
        <f>T470*R470</f>
        <v/>
      </c>
      <c r="Z470" s="215">
        <f>U470*O470</f>
        <v/>
      </c>
      <c r="AA470" s="215">
        <f>V470*O470</f>
        <v/>
      </c>
      <c r="AB470" s="215">
        <f>W470*O470</f>
        <v/>
      </c>
      <c r="AC470" s="197">
        <f>X470*O470</f>
        <v/>
      </c>
      <c r="AD470" s="215" t="n">
        <v>0</v>
      </c>
      <c r="AE470" s="215" t="n">
        <v>0</v>
      </c>
      <c r="AF470" s="207">
        <f>SUM(Y470:AE470)</f>
        <v/>
      </c>
      <c r="AG470" s="254">
        <f>_xlfn.XLOOKUP(G470,[1]Fx!$A$16:$A$22,[1]Fx!$B$16:$B$22)</f>
        <v/>
      </c>
      <c r="AH470" s="207">
        <f>AG470*R470</f>
        <v/>
      </c>
      <c r="AI470" s="207">
        <f>$AI$3*Z470</f>
        <v/>
      </c>
      <c r="AJ470" s="207">
        <f>$AJ$3*AA470</f>
        <v/>
      </c>
      <c r="AK470" s="207">
        <f>$AK$3*AB470</f>
        <v/>
      </c>
      <c r="AL470" s="207">
        <f>$AL$3*AC470</f>
        <v/>
      </c>
      <c r="AM470" s="220">
        <f>SUM(AH470:AL470)</f>
        <v/>
      </c>
      <c r="AN470" s="220" t="n">
        <v>0</v>
      </c>
      <c r="AO470" s="220">
        <f>AN470*AH470</f>
        <v/>
      </c>
      <c r="AP470" s="220" t="n">
        <v>0</v>
      </c>
      <c r="AQ470" s="220">
        <f>AE470</f>
        <v/>
      </c>
      <c r="AR470" s="208">
        <f>AM470-AO470</f>
        <v/>
      </c>
      <c r="AS470" s="220">
        <f>AR470-AK470</f>
        <v/>
      </c>
      <c r="AT470" s="208">
        <f>AS470*1.075</f>
        <v/>
      </c>
      <c r="AU470" s="208">
        <f>AT470+AK470</f>
        <v/>
      </c>
      <c r="AV470" s="198" t="n">
        <v>263204.3991481314</v>
      </c>
      <c r="AW470" s="264">
        <f>BO470*2</f>
        <v/>
      </c>
      <c r="AX470" s="220">
        <f>AV470-AR470</f>
        <v/>
      </c>
      <c r="AY470" s="35">
        <f>AX470/AR470</f>
        <v/>
      </c>
      <c r="AZ470" s="220">
        <f>AV470-AF470</f>
        <v/>
      </c>
      <c r="BA470" s="215">
        <f>AV470-SUM(Z470:AC470)</f>
        <v/>
      </c>
      <c r="BB470" s="215">
        <f>BA470-Y470</f>
        <v/>
      </c>
      <c r="BC470" s="35">
        <f>BB470/BA470</f>
        <v/>
      </c>
      <c r="BD470" s="35">
        <f>IFERROR(AZ470/AV470,)</f>
        <v/>
      </c>
      <c r="BE470" s="255">
        <f>AV470-SUM(Z470:AC470)</f>
        <v/>
      </c>
      <c r="BF470" s="255">
        <f>AV470-BE470-AC470-AB470</f>
        <v/>
      </c>
      <c r="BG470" s="255">
        <f>AV470-BE470-BF470-AB470</f>
        <v/>
      </c>
      <c r="BH470" s="255">
        <f>AB470</f>
        <v/>
      </c>
      <c r="BI470" s="263" t="inlineStr">
        <is>
          <t>Approved</t>
        </is>
      </c>
    </row>
    <row r="471">
      <c r="C471" s="23" t="inlineStr">
        <is>
          <t>HARUNA/YEKINI</t>
        </is>
      </c>
      <c r="D471">
        <f>CONCATENATE(G471,"-",H471,"-",F471)</f>
        <v/>
      </c>
      <c r="E471" s="24" t="inlineStr">
        <is>
          <t>JMG-10T-Hiabs Logistics-Local</t>
        </is>
      </c>
      <c r="F471" s="23" t="inlineStr">
        <is>
          <t>Local</t>
        </is>
      </c>
      <c r="G471" s="25" t="inlineStr">
        <is>
          <t>Hiabs Logistics</t>
        </is>
      </c>
      <c r="H471" s="24" t="inlineStr">
        <is>
          <t>10T</t>
        </is>
      </c>
      <c r="I471" s="73" t="inlineStr">
        <is>
          <t>JMG</t>
        </is>
      </c>
      <c r="J471" s="74" t="inlineStr">
        <is>
          <t>Abuja</t>
        </is>
      </c>
      <c r="K471" s="74" t="inlineStr">
        <is>
          <t>Wuse</t>
        </is>
      </c>
      <c r="L471" s="71" t="inlineStr">
        <is>
          <t>FCT</t>
        </is>
      </c>
      <c r="M471" s="72" t="n"/>
      <c r="N471" s="201">
        <f>O471/2</f>
        <v/>
      </c>
      <c r="O471" s="200" t="n">
        <v>12.5</v>
      </c>
      <c r="P471" s="208">
        <f>ROUNDUP(O471/300,)</f>
        <v/>
      </c>
      <c r="Q471" s="208" t="n">
        <v>1</v>
      </c>
      <c r="R471" s="208">
        <f>Q471+P471</f>
        <v/>
      </c>
      <c r="S471" s="195">
        <f>ROUNDDOWN(O471*0.51,)+60</f>
        <v/>
      </c>
      <c r="T471" s="207">
        <f>_xlfn.XLOOKUP(G471,[1]Fx!$A$4:$A$10,[1]Fx!$B$4:$B$10)</f>
        <v/>
      </c>
      <c r="U471" s="207">
        <f>_xlfn.XLOOKUP(G471,'[1]BP Setup'!$B$6:$B$72,'[1]BP Setup'!$Q$6:$Q$72)</f>
        <v/>
      </c>
      <c r="V471" s="207">
        <f>_xlfn.XLOOKUP(G471,'[1]BP Setup'!$B$6:$B$72,'[1]BP Setup'!$R$6:$R$72)</f>
        <v/>
      </c>
      <c r="W471" s="207">
        <f>$W$3</f>
        <v/>
      </c>
      <c r="X471" s="207" t="n">
        <v>80</v>
      </c>
      <c r="Y471" s="207">
        <f>T471*R471</f>
        <v/>
      </c>
      <c r="Z471" s="207">
        <f>U471*O471</f>
        <v/>
      </c>
      <c r="AA471" s="207">
        <f>V471*O471</f>
        <v/>
      </c>
      <c r="AB471" s="207">
        <f>W471*O471</f>
        <v/>
      </c>
      <c r="AC471" s="194">
        <f>X471*O471</f>
        <v/>
      </c>
      <c r="AD471" s="207" t="n">
        <v>0</v>
      </c>
      <c r="AE471" s="207" t="n">
        <v>0</v>
      </c>
      <c r="AF471" s="207">
        <f>SUM(Y471:AE471)</f>
        <v/>
      </c>
      <c r="AG471" s="254">
        <f>_xlfn.XLOOKUP(G471,[1]Fx!$A$16:$A$22,[1]Fx!$B$16:$B$22)</f>
        <v/>
      </c>
      <c r="AH471" s="207">
        <f>AG471*R471</f>
        <v/>
      </c>
      <c r="AI471" s="207">
        <f>$AI$3*Z471</f>
        <v/>
      </c>
      <c r="AJ471" s="207">
        <f>$AJ$3*AA471</f>
        <v/>
      </c>
      <c r="AK471" s="207">
        <f>$AK$3*AB471</f>
        <v/>
      </c>
      <c r="AL471" s="207">
        <f>$AL$3*AC471</f>
        <v/>
      </c>
      <c r="AM471" s="208">
        <f>SUM(AH471:AL471)</f>
        <v/>
      </c>
      <c r="AN471" s="208" t="n">
        <v>0</v>
      </c>
      <c r="AO471" s="220">
        <f>AN471*AH471</f>
        <v/>
      </c>
      <c r="AP471" s="208">
        <f>AD471</f>
        <v/>
      </c>
      <c r="AQ471" s="208">
        <f>AE471</f>
        <v/>
      </c>
      <c r="AR471" s="208">
        <f>AM471-AO471</f>
        <v/>
      </c>
      <c r="AS471" s="220">
        <f>AR471-AK471</f>
        <v/>
      </c>
      <c r="AT471" s="208">
        <f>AS471*1.075</f>
        <v/>
      </c>
      <c r="AU471" s="208">
        <f>AT471+AK471</f>
        <v/>
      </c>
      <c r="AV471" s="198" t="n">
        <v>263204.3991481314</v>
      </c>
      <c r="AW471" s="264">
        <f>BO471*2</f>
        <v/>
      </c>
      <c r="AX471" s="208">
        <f>AV471-AR471</f>
        <v/>
      </c>
      <c r="AY471" s="54">
        <f>AX471/AR471</f>
        <v/>
      </c>
      <c r="AZ471" s="208">
        <f>AV471-AF471</f>
        <v/>
      </c>
      <c r="BA471" s="207">
        <f>AV471-SUM(Z471:AC471)</f>
        <v/>
      </c>
      <c r="BB471" s="207">
        <f>BA471-Y471</f>
        <v/>
      </c>
      <c r="BC471" s="54">
        <f>BB471/BA471</f>
        <v/>
      </c>
      <c r="BD471" s="54">
        <f>IFERROR(AZ471/AV471,)</f>
        <v/>
      </c>
      <c r="BE471" s="255">
        <f>AV471-SUM(Z471:AC471)</f>
        <v/>
      </c>
      <c r="BF471" s="255">
        <f>AV471-BE471-AC471-AB471</f>
        <v/>
      </c>
      <c r="BG471" s="255">
        <f>AV471-BE471-BF471-AB471</f>
        <v/>
      </c>
      <c r="BH471" s="255">
        <f>AB471</f>
        <v/>
      </c>
      <c r="BI471" s="263" t="inlineStr">
        <is>
          <t>Approved</t>
        </is>
      </c>
    </row>
    <row r="472">
      <c r="C472" s="23" t="inlineStr">
        <is>
          <t>HARUNA/YEKINI</t>
        </is>
      </c>
      <c r="D472">
        <f>CONCATENATE(G472,"-",H472,"-",F472)</f>
        <v/>
      </c>
      <c r="E472" s="24" t="inlineStr">
        <is>
          <t>JMG-10T-Hiabs Logistics-Local</t>
        </is>
      </c>
      <c r="F472" s="23" t="inlineStr">
        <is>
          <t>Local</t>
        </is>
      </c>
      <c r="G472" s="25" t="inlineStr">
        <is>
          <t>Hiabs Logistics</t>
        </is>
      </c>
      <c r="H472" s="24" t="inlineStr">
        <is>
          <t>10T</t>
        </is>
      </c>
      <c r="I472" s="73" t="inlineStr">
        <is>
          <t>JMG</t>
        </is>
      </c>
      <c r="J472" s="74" t="inlineStr">
        <is>
          <t>Abuja</t>
        </is>
      </c>
      <c r="K472" s="74" t="inlineStr">
        <is>
          <t>Wuse</t>
        </is>
      </c>
      <c r="L472" s="67" t="inlineStr">
        <is>
          <t>FCT</t>
        </is>
      </c>
      <c r="M472" s="68" t="n"/>
      <c r="N472" s="201">
        <f>O472/2</f>
        <v/>
      </c>
      <c r="O472" s="201" t="n">
        <v>12.4</v>
      </c>
      <c r="P472" s="220">
        <f>ROUNDUP(O472/300,)</f>
        <v/>
      </c>
      <c r="Q472" s="220" t="n">
        <v>1</v>
      </c>
      <c r="R472" s="220">
        <f>Q472+P472</f>
        <v/>
      </c>
      <c r="S472" s="198">
        <f>ROUNDDOWN(O472*0.51,)+60</f>
        <v/>
      </c>
      <c r="T472" s="207">
        <f>_xlfn.XLOOKUP(G472,[1]Fx!$A$4:$A$10,[1]Fx!$B$4:$B$10)</f>
        <v/>
      </c>
      <c r="U472" s="207">
        <f>_xlfn.XLOOKUP(G472,'[1]BP Setup'!$B$6:$B$72,'[1]BP Setup'!$Q$6:$Q$72)</f>
        <v/>
      </c>
      <c r="V472" s="207">
        <f>_xlfn.XLOOKUP(G472,'[1]BP Setup'!$B$6:$B$72,'[1]BP Setup'!$R$6:$R$72)</f>
        <v/>
      </c>
      <c r="W472" s="207">
        <f>$W$3</f>
        <v/>
      </c>
      <c r="X472" s="207" t="n">
        <v>80</v>
      </c>
      <c r="Y472" s="215">
        <f>T472*R472</f>
        <v/>
      </c>
      <c r="Z472" s="215">
        <f>U472*O472</f>
        <v/>
      </c>
      <c r="AA472" s="215">
        <f>V472*O472</f>
        <v/>
      </c>
      <c r="AB472" s="215">
        <f>W472*O472</f>
        <v/>
      </c>
      <c r="AC472" s="197">
        <f>X472*O472</f>
        <v/>
      </c>
      <c r="AD472" s="215" t="n">
        <v>0</v>
      </c>
      <c r="AE472" s="215" t="n">
        <v>0</v>
      </c>
      <c r="AF472" s="207">
        <f>SUM(Y472:AE472)</f>
        <v/>
      </c>
      <c r="AG472" s="254">
        <f>_xlfn.XLOOKUP(G472,[1]Fx!$A$16:$A$22,[1]Fx!$B$16:$B$22)</f>
        <v/>
      </c>
      <c r="AH472" s="207">
        <f>AG472*R472</f>
        <v/>
      </c>
      <c r="AI472" s="207">
        <f>$AI$3*Z472</f>
        <v/>
      </c>
      <c r="AJ472" s="207">
        <f>$AJ$3*AA472</f>
        <v/>
      </c>
      <c r="AK472" s="207">
        <f>$AK$3*AB472</f>
        <v/>
      </c>
      <c r="AL472" s="207">
        <f>$AL$3*AC472</f>
        <v/>
      </c>
      <c r="AM472" s="220">
        <f>SUM(AH472:AL472)</f>
        <v/>
      </c>
      <c r="AN472" s="220" t="n">
        <v>0</v>
      </c>
      <c r="AO472" s="220">
        <f>AN472*AH472</f>
        <v/>
      </c>
      <c r="AP472" s="220">
        <f>AD472</f>
        <v/>
      </c>
      <c r="AQ472" s="220">
        <f>AE472</f>
        <v/>
      </c>
      <c r="AR472" s="208">
        <f>AM472-AO472</f>
        <v/>
      </c>
      <c r="AS472" s="220">
        <f>AR472-AK472</f>
        <v/>
      </c>
      <c r="AT472" s="208">
        <f>AS472*1.075</f>
        <v/>
      </c>
      <c r="AU472" s="208">
        <f>AT472+AK472</f>
        <v/>
      </c>
      <c r="AV472" s="198" t="n">
        <v>263204.3991481314</v>
      </c>
      <c r="AW472" s="264">
        <f>BO472*2</f>
        <v/>
      </c>
      <c r="AX472" s="220">
        <f>AV472-AR472</f>
        <v/>
      </c>
      <c r="AY472" s="35">
        <f>AX472/AR472</f>
        <v/>
      </c>
      <c r="AZ472" s="220">
        <f>AV472-AF472</f>
        <v/>
      </c>
      <c r="BA472" s="215">
        <f>AV472-SUM(Z472:AC472)</f>
        <v/>
      </c>
      <c r="BB472" s="215">
        <f>BA472-Y472</f>
        <v/>
      </c>
      <c r="BC472" s="35">
        <f>BB472/BA472</f>
        <v/>
      </c>
      <c r="BD472" s="35">
        <f>IFERROR(AZ472/AV472,)</f>
        <v/>
      </c>
      <c r="BE472" s="255">
        <f>AV472-SUM(Z472:AC472)</f>
        <v/>
      </c>
      <c r="BF472" s="255">
        <f>AV472-BE472-AC472-AB472</f>
        <v/>
      </c>
      <c r="BG472" s="255">
        <f>AV472-BE472-BF472-AB472</f>
        <v/>
      </c>
      <c r="BH472" s="255">
        <f>AB472</f>
        <v/>
      </c>
      <c r="BI472" s="263" t="inlineStr">
        <is>
          <t>Approved</t>
        </is>
      </c>
    </row>
    <row r="473">
      <c r="C473" s="23" t="inlineStr">
        <is>
          <t>HARUNA/YEKINI</t>
        </is>
      </c>
      <c r="D473">
        <f>CONCATENATE(G473,"-",H473,"-",F473)</f>
        <v/>
      </c>
      <c r="E473" s="24" t="inlineStr">
        <is>
          <t>JMG-10T-Hiabs Logistics-Local</t>
        </is>
      </c>
      <c r="F473" s="23" t="inlineStr">
        <is>
          <t>Local</t>
        </is>
      </c>
      <c r="G473" s="25" t="inlineStr">
        <is>
          <t>Hiabs Logistics</t>
        </is>
      </c>
      <c r="H473" s="24" t="inlineStr">
        <is>
          <t>10T</t>
        </is>
      </c>
      <c r="I473" s="73" t="inlineStr">
        <is>
          <t>JMG</t>
        </is>
      </c>
      <c r="J473" s="74" t="inlineStr">
        <is>
          <t>Abuja</t>
        </is>
      </c>
      <c r="K473" s="74" t="inlineStr">
        <is>
          <t>Wuse 2</t>
        </is>
      </c>
      <c r="L473" s="25" t="inlineStr">
        <is>
          <t>FCT</t>
        </is>
      </c>
      <c r="M473" s="63" t="n"/>
      <c r="N473" s="201">
        <f>O473/2</f>
        <v/>
      </c>
      <c r="O473" s="200" t="n">
        <v>10.4</v>
      </c>
      <c r="P473" s="220">
        <f>ROUNDUP(O473/300,)</f>
        <v/>
      </c>
      <c r="Q473" s="220" t="n">
        <v>1</v>
      </c>
      <c r="R473" s="220">
        <f>Q473+P473</f>
        <v/>
      </c>
      <c r="S473" s="198">
        <f>ROUNDDOWN(O473*0.51,)+60</f>
        <v/>
      </c>
      <c r="T473" s="207">
        <f>_xlfn.XLOOKUP(G473,[1]Fx!$A$4:$A$10,[1]Fx!$B$4:$B$10)</f>
        <v/>
      </c>
      <c r="U473" s="207">
        <f>_xlfn.XLOOKUP(G473,'[1]BP Setup'!$B$6:$B$72,'[1]BP Setup'!$Q$6:$Q$72)</f>
        <v/>
      </c>
      <c r="V473" s="207">
        <f>_xlfn.XLOOKUP(G473,'[1]BP Setup'!$B$6:$B$72,'[1]BP Setup'!$R$6:$R$72)</f>
        <v/>
      </c>
      <c r="W473" s="207">
        <f>$W$3</f>
        <v/>
      </c>
      <c r="X473" s="207" t="n">
        <v>80</v>
      </c>
      <c r="Y473" s="215">
        <f>T473*R473</f>
        <v/>
      </c>
      <c r="Z473" s="215">
        <f>U473*O473</f>
        <v/>
      </c>
      <c r="AA473" s="215">
        <f>V473*O473</f>
        <v/>
      </c>
      <c r="AB473" s="215">
        <f>W473*O473</f>
        <v/>
      </c>
      <c r="AC473" s="197">
        <f>X473*O473</f>
        <v/>
      </c>
      <c r="AD473" s="215" t="n">
        <v>0</v>
      </c>
      <c r="AE473" s="215" t="n">
        <v>0</v>
      </c>
      <c r="AF473" s="207">
        <f>SUM(Y473:AE473)</f>
        <v/>
      </c>
      <c r="AG473" s="254">
        <f>_xlfn.XLOOKUP(G473,[1]Fx!$A$16:$A$22,[1]Fx!$B$16:$B$22)</f>
        <v/>
      </c>
      <c r="AH473" s="207">
        <f>AG473*R473</f>
        <v/>
      </c>
      <c r="AI473" s="207">
        <f>$AI$3*Z473</f>
        <v/>
      </c>
      <c r="AJ473" s="207">
        <f>$AJ$3*AA473</f>
        <v/>
      </c>
      <c r="AK473" s="207">
        <f>$AK$3*AB473</f>
        <v/>
      </c>
      <c r="AL473" s="207">
        <f>$AL$3*AC473</f>
        <v/>
      </c>
      <c r="AM473" s="220">
        <f>SUM(AH473:AL473)</f>
        <v/>
      </c>
      <c r="AN473" s="220" t="n">
        <v>0</v>
      </c>
      <c r="AO473" s="220">
        <f>AN473*AH473</f>
        <v/>
      </c>
      <c r="AP473" s="220">
        <f>AD473</f>
        <v/>
      </c>
      <c r="AQ473" s="220">
        <f>AE473</f>
        <v/>
      </c>
      <c r="AR473" s="208">
        <f>AM473-AO473</f>
        <v/>
      </c>
      <c r="AS473" s="220">
        <f>AR473-AK473</f>
        <v/>
      </c>
      <c r="AT473" s="208">
        <f>AS473*1.075</f>
        <v/>
      </c>
      <c r="AU473" s="208">
        <f>AT473+AK473</f>
        <v/>
      </c>
      <c r="AV473" s="198" t="n">
        <v>263204.3991481314</v>
      </c>
      <c r="AW473" s="264">
        <f>BO473*2</f>
        <v/>
      </c>
      <c r="AX473" s="220">
        <f>AV473-AR473</f>
        <v/>
      </c>
      <c r="AY473" s="35">
        <f>AX473/AR473</f>
        <v/>
      </c>
      <c r="AZ473" s="220">
        <f>AV473-AF473</f>
        <v/>
      </c>
      <c r="BA473" s="215">
        <f>AV473-SUM(Z473:AC473)</f>
        <v/>
      </c>
      <c r="BB473" s="215">
        <f>BA473-Y473</f>
        <v/>
      </c>
      <c r="BC473" s="35">
        <f>BB473/BA473</f>
        <v/>
      </c>
      <c r="BD473" s="35">
        <f>IFERROR(AZ473/AV473,)</f>
        <v/>
      </c>
      <c r="BE473" s="255">
        <f>AV473-SUM(Z473:AC473)</f>
        <v/>
      </c>
      <c r="BF473" s="255">
        <f>AV473-BE473-AC473-AB473</f>
        <v/>
      </c>
      <c r="BG473" s="255">
        <f>AV473-BE473-BF473-AB473</f>
        <v/>
      </c>
      <c r="BH473" s="255">
        <f>AB473</f>
        <v/>
      </c>
      <c r="BI473" s="263" t="inlineStr">
        <is>
          <t>Approved</t>
        </is>
      </c>
    </row>
    <row r="474">
      <c r="C474" s="23" t="inlineStr">
        <is>
          <t>HARUNA/YEKINI</t>
        </is>
      </c>
      <c r="D474">
        <f>CONCATENATE(G474,"-",H474,"-",F474)</f>
        <v/>
      </c>
      <c r="E474" s="24" t="inlineStr">
        <is>
          <t>JMG-10T-Hiabs Logistics-Local</t>
        </is>
      </c>
      <c r="F474" s="23" t="inlineStr">
        <is>
          <t>Local</t>
        </is>
      </c>
      <c r="G474" s="25" t="inlineStr">
        <is>
          <t>Hiabs Logistics</t>
        </is>
      </c>
      <c r="H474" s="24" t="inlineStr">
        <is>
          <t>10T</t>
        </is>
      </c>
      <c r="I474" s="73" t="inlineStr">
        <is>
          <t>JMG</t>
        </is>
      </c>
      <c r="J474" s="74" t="inlineStr">
        <is>
          <t>Abuja</t>
        </is>
      </c>
      <c r="K474" s="74" t="inlineStr">
        <is>
          <t>Jabi</t>
        </is>
      </c>
      <c r="L474" s="67" t="inlineStr">
        <is>
          <t>FCT</t>
        </is>
      </c>
      <c r="M474" s="63" t="n"/>
      <c r="N474" s="201">
        <f>O474/2</f>
        <v/>
      </c>
      <c r="O474" s="200" t="n">
        <v>7.7</v>
      </c>
      <c r="P474" s="220">
        <f>ROUNDUP(O474/300,)</f>
        <v/>
      </c>
      <c r="Q474" s="220" t="n">
        <v>1</v>
      </c>
      <c r="R474" s="220">
        <f>Q474+P474</f>
        <v/>
      </c>
      <c r="S474" s="198">
        <f>ROUNDDOWN(O474*0.51,)+60</f>
        <v/>
      </c>
      <c r="T474" s="207">
        <f>_xlfn.XLOOKUP(G474,[1]Fx!$A$4:$A$10,[1]Fx!$B$4:$B$10)</f>
        <v/>
      </c>
      <c r="U474" s="207">
        <f>_xlfn.XLOOKUP(G474,'[1]BP Setup'!$B$6:$B$72,'[1]BP Setup'!$Q$6:$Q$72)</f>
        <v/>
      </c>
      <c r="V474" s="207">
        <f>_xlfn.XLOOKUP(G474,'[1]BP Setup'!$B$6:$B$72,'[1]BP Setup'!$R$6:$R$72)</f>
        <v/>
      </c>
      <c r="W474" s="207">
        <f>$W$3</f>
        <v/>
      </c>
      <c r="X474" s="207" t="n">
        <v>80</v>
      </c>
      <c r="Y474" s="215">
        <f>T474*R474</f>
        <v/>
      </c>
      <c r="Z474" s="215">
        <f>U474*O474</f>
        <v/>
      </c>
      <c r="AA474" s="215">
        <f>V474*O474</f>
        <v/>
      </c>
      <c r="AB474" s="215">
        <f>W474*O474</f>
        <v/>
      </c>
      <c r="AC474" s="197">
        <f>X474*O474</f>
        <v/>
      </c>
      <c r="AD474" s="215" t="n">
        <v>0</v>
      </c>
      <c r="AE474" s="215" t="n">
        <v>0</v>
      </c>
      <c r="AF474" s="207">
        <f>SUM(Y474:AE474)</f>
        <v/>
      </c>
      <c r="AG474" s="254">
        <f>_xlfn.XLOOKUP(G474,[1]Fx!$A$16:$A$22,[1]Fx!$B$16:$B$22)</f>
        <v/>
      </c>
      <c r="AH474" s="207">
        <f>AG474*R474</f>
        <v/>
      </c>
      <c r="AI474" s="207">
        <f>$AI$3*Z474</f>
        <v/>
      </c>
      <c r="AJ474" s="207">
        <f>$AJ$3*AA474</f>
        <v/>
      </c>
      <c r="AK474" s="207">
        <f>$AK$3*AB474</f>
        <v/>
      </c>
      <c r="AL474" s="207">
        <f>$AL$3*AC474</f>
        <v/>
      </c>
      <c r="AM474" s="220">
        <f>SUM(AH474:AL474)</f>
        <v/>
      </c>
      <c r="AN474" s="220" t="n">
        <v>0</v>
      </c>
      <c r="AO474" s="220">
        <f>AN474*AH474</f>
        <v/>
      </c>
      <c r="AP474" s="220">
        <f>AD474</f>
        <v/>
      </c>
      <c r="AQ474" s="220">
        <f>AE474</f>
        <v/>
      </c>
      <c r="AR474" s="208">
        <f>AM474-AO474</f>
        <v/>
      </c>
      <c r="AS474" s="220">
        <f>AR474-AK474</f>
        <v/>
      </c>
      <c r="AT474" s="208">
        <f>AS474*1.075</f>
        <v/>
      </c>
      <c r="AU474" s="208">
        <f>AT474+AK474</f>
        <v/>
      </c>
      <c r="AV474" s="198" t="n">
        <v>263204.3991481314</v>
      </c>
      <c r="AW474" s="264">
        <f>BO474*2</f>
        <v/>
      </c>
      <c r="AX474" s="220">
        <f>AV474-AR474</f>
        <v/>
      </c>
      <c r="AY474" s="35">
        <f>AX474/AR474</f>
        <v/>
      </c>
      <c r="AZ474" s="220">
        <f>AV474-AF474</f>
        <v/>
      </c>
      <c r="BA474" s="215">
        <f>AV474-SUM(Z474:AC474)</f>
        <v/>
      </c>
      <c r="BB474" s="215">
        <f>BA474-Y474</f>
        <v/>
      </c>
      <c r="BC474" s="35">
        <f>BB474/BA474</f>
        <v/>
      </c>
      <c r="BD474" s="35">
        <f>IFERROR(AZ474/AV474,)</f>
        <v/>
      </c>
      <c r="BE474" s="255">
        <f>AV474-SUM(Z474:AC474)</f>
        <v/>
      </c>
      <c r="BF474" s="255">
        <f>AV474-BE474-AC474-AB474</f>
        <v/>
      </c>
      <c r="BG474" s="255">
        <f>AV474-BE474-BF474-AB474</f>
        <v/>
      </c>
      <c r="BH474" s="255">
        <f>AB474</f>
        <v/>
      </c>
      <c r="BI474" s="263" t="inlineStr">
        <is>
          <t>Approved</t>
        </is>
      </c>
    </row>
    <row r="475">
      <c r="C475" s="23" t="inlineStr">
        <is>
          <t>HARUNA/YEKINI</t>
        </is>
      </c>
      <c r="D475">
        <f>CONCATENATE(G475,"-",H475,"-",F475)</f>
        <v/>
      </c>
      <c r="E475" s="24" t="inlineStr">
        <is>
          <t>JMG-10T-Hiabs Logistics-Local</t>
        </is>
      </c>
      <c r="F475" s="23" t="inlineStr">
        <is>
          <t>Local</t>
        </is>
      </c>
      <c r="G475" s="25" t="inlineStr">
        <is>
          <t>Hiabs Logistics</t>
        </is>
      </c>
      <c r="H475" s="24" t="inlineStr">
        <is>
          <t>10T</t>
        </is>
      </c>
      <c r="I475" s="73" t="inlineStr">
        <is>
          <t>JMG</t>
        </is>
      </c>
      <c r="J475" s="74" t="inlineStr">
        <is>
          <t>Abuja</t>
        </is>
      </c>
      <c r="K475" s="74" t="inlineStr">
        <is>
          <t>Wuse Zone 6</t>
        </is>
      </c>
      <c r="L475" s="25" t="inlineStr">
        <is>
          <t>FCT</t>
        </is>
      </c>
      <c r="M475" s="63" t="n"/>
      <c r="N475" s="201">
        <f>O475/2</f>
        <v/>
      </c>
      <c r="O475" s="200" t="n">
        <v>5</v>
      </c>
      <c r="P475" s="220">
        <f>ROUNDUP(O475/300,)</f>
        <v/>
      </c>
      <c r="Q475" s="220" t="n">
        <v>0</v>
      </c>
      <c r="R475" s="220">
        <f>Q475+P475</f>
        <v/>
      </c>
      <c r="S475" s="198">
        <f>ROUNDDOWN(O475*0.51,)+60</f>
        <v/>
      </c>
      <c r="T475" s="207">
        <f>_xlfn.XLOOKUP(G475,[1]Fx!$A$4:$A$10,[1]Fx!$B$4:$B$10)</f>
        <v/>
      </c>
      <c r="U475" s="207">
        <f>_xlfn.XLOOKUP(G475,'[1]BP Setup'!$B$6:$B$72,'[1]BP Setup'!$Q$6:$Q$72)</f>
        <v/>
      </c>
      <c r="V475" s="207">
        <f>_xlfn.XLOOKUP(G475,'[1]BP Setup'!$B$6:$B$72,'[1]BP Setup'!$R$6:$R$72)</f>
        <v/>
      </c>
      <c r="W475" s="207">
        <f>$W$3</f>
        <v/>
      </c>
      <c r="X475" s="207" t="n">
        <v>80</v>
      </c>
      <c r="Y475" s="215">
        <f>T475*R475</f>
        <v/>
      </c>
      <c r="Z475" s="215">
        <f>U475*O475</f>
        <v/>
      </c>
      <c r="AA475" s="215">
        <f>V475*O475</f>
        <v/>
      </c>
      <c r="AB475" s="215">
        <f>W475*O475</f>
        <v/>
      </c>
      <c r="AC475" s="197">
        <f>X475*O475</f>
        <v/>
      </c>
      <c r="AD475" s="215" t="n">
        <v>0</v>
      </c>
      <c r="AE475" s="215" t="n">
        <v>0</v>
      </c>
      <c r="AF475" s="207">
        <f>SUM(Y475:AE475)</f>
        <v/>
      </c>
      <c r="AG475" s="254">
        <f>_xlfn.XLOOKUP(G475,[1]Fx!$A$16:$A$22,[1]Fx!$B$16:$B$22)</f>
        <v/>
      </c>
      <c r="AH475" s="207">
        <f>AG475*R475</f>
        <v/>
      </c>
      <c r="AI475" s="207">
        <f>$AI$3*Z475</f>
        <v/>
      </c>
      <c r="AJ475" s="207">
        <f>$AJ$3*AA475</f>
        <v/>
      </c>
      <c r="AK475" s="207">
        <f>$AK$3*AB475</f>
        <v/>
      </c>
      <c r="AL475" s="207">
        <f>$AL$3*AC475</f>
        <v/>
      </c>
      <c r="AM475" s="220">
        <f>SUM(AH475:AL475)</f>
        <v/>
      </c>
      <c r="AN475" s="220" t="n">
        <v>0</v>
      </c>
      <c r="AO475" s="220">
        <f>AN475*AH475</f>
        <v/>
      </c>
      <c r="AP475" s="220">
        <f>AD475</f>
        <v/>
      </c>
      <c r="AQ475" s="220">
        <f>AE475</f>
        <v/>
      </c>
      <c r="AR475" s="208">
        <f>AM475-AO475</f>
        <v/>
      </c>
      <c r="AS475" s="220">
        <f>AR475-AK475</f>
        <v/>
      </c>
      <c r="AT475" s="208">
        <f>AS475*1.075</f>
        <v/>
      </c>
      <c r="AU475" s="208">
        <f>AT475+AK475</f>
        <v/>
      </c>
      <c r="AV475" s="198" t="n">
        <v>131602.1995740657</v>
      </c>
      <c r="AW475" s="264">
        <f>BO475*2</f>
        <v/>
      </c>
      <c r="AX475" s="220">
        <f>AV475-AR475</f>
        <v/>
      </c>
      <c r="AY475" s="35">
        <f>AX475/AR475</f>
        <v/>
      </c>
      <c r="AZ475" s="220">
        <f>AV475-AF475</f>
        <v/>
      </c>
      <c r="BA475" s="215">
        <f>AV475-SUM(Z475:AC475)</f>
        <v/>
      </c>
      <c r="BB475" s="215">
        <f>BA475-Y475</f>
        <v/>
      </c>
      <c r="BC475" s="35">
        <f>BB475/BA475</f>
        <v/>
      </c>
      <c r="BD475" s="35">
        <f>IFERROR(AZ475/AV475,)</f>
        <v/>
      </c>
      <c r="BE475" s="255">
        <f>AV475-SUM(Z475:AC475)</f>
        <v/>
      </c>
      <c r="BF475" s="255">
        <f>AV475-BE475-AC475-AB475</f>
        <v/>
      </c>
      <c r="BG475" s="255">
        <f>AV475-BE475-BF475-AB475</f>
        <v/>
      </c>
      <c r="BH475" s="255">
        <f>AB475</f>
        <v/>
      </c>
      <c r="BI475" s="263" t="inlineStr">
        <is>
          <t>Approved</t>
        </is>
      </c>
    </row>
    <row r="476">
      <c r="C476" s="23" t="inlineStr">
        <is>
          <t>HARUNA/YEKINI</t>
        </is>
      </c>
      <c r="D476">
        <f>CONCATENATE(G476,"-",H476,"-",F476)</f>
        <v/>
      </c>
      <c r="E476" s="24" t="inlineStr">
        <is>
          <t>JMG-10T-Hiabs Logistics-Local</t>
        </is>
      </c>
      <c r="F476" s="23" t="inlineStr">
        <is>
          <t>Local</t>
        </is>
      </c>
      <c r="G476" s="25" t="inlineStr">
        <is>
          <t>Hiabs Logistics</t>
        </is>
      </c>
      <c r="H476" s="24" t="inlineStr">
        <is>
          <t>10T</t>
        </is>
      </c>
      <c r="I476" s="73" t="inlineStr">
        <is>
          <t>JMG</t>
        </is>
      </c>
      <c r="J476" s="74" t="inlineStr">
        <is>
          <t>Abuja</t>
        </is>
      </c>
      <c r="K476" s="74" t="inlineStr">
        <is>
          <t>Wuse Zone 5</t>
        </is>
      </c>
      <c r="L476" s="25" t="inlineStr">
        <is>
          <t>FCT</t>
        </is>
      </c>
      <c r="M476" s="63" t="n"/>
      <c r="N476" s="201">
        <f>O476/2</f>
        <v/>
      </c>
      <c r="O476" s="201" t="n">
        <v>5</v>
      </c>
      <c r="P476" s="220">
        <f>ROUNDUP(O476/300,)</f>
        <v/>
      </c>
      <c r="Q476" s="220" t="n">
        <v>1</v>
      </c>
      <c r="R476" s="220">
        <f>Q476+P476</f>
        <v/>
      </c>
      <c r="S476" s="198">
        <f>ROUNDDOWN(O476*0.51,)+60</f>
        <v/>
      </c>
      <c r="T476" s="207">
        <f>_xlfn.XLOOKUP(G476,[1]Fx!$A$4:$A$10,[1]Fx!$B$4:$B$10)</f>
        <v/>
      </c>
      <c r="U476" s="207">
        <f>_xlfn.XLOOKUP(G476,'[1]BP Setup'!$B$6:$B$72,'[1]BP Setup'!$Q$6:$Q$72)</f>
        <v/>
      </c>
      <c r="V476" s="207">
        <f>_xlfn.XLOOKUP(G476,'[1]BP Setup'!$B$6:$B$72,'[1]BP Setup'!$R$6:$R$72)</f>
        <v/>
      </c>
      <c r="W476" s="207">
        <f>$W$3</f>
        <v/>
      </c>
      <c r="X476" s="207" t="n">
        <v>80</v>
      </c>
      <c r="Y476" s="215">
        <f>T476*R476</f>
        <v/>
      </c>
      <c r="Z476" s="215">
        <f>U476*O476</f>
        <v/>
      </c>
      <c r="AA476" s="215">
        <f>V476*O476</f>
        <v/>
      </c>
      <c r="AB476" s="215">
        <f>W476*O476</f>
        <v/>
      </c>
      <c r="AC476" s="197">
        <f>X476*O476</f>
        <v/>
      </c>
      <c r="AD476" s="215" t="n">
        <v>0</v>
      </c>
      <c r="AE476" s="215" t="n">
        <v>0</v>
      </c>
      <c r="AF476" s="207">
        <f>SUM(Y476:AE476)</f>
        <v/>
      </c>
      <c r="AG476" s="254">
        <f>_xlfn.XLOOKUP(G476,[1]Fx!$A$16:$A$22,[1]Fx!$B$16:$B$22)</f>
        <v/>
      </c>
      <c r="AH476" s="207">
        <f>AG476*R476</f>
        <v/>
      </c>
      <c r="AI476" s="207">
        <f>$AI$3*Z476</f>
        <v/>
      </c>
      <c r="AJ476" s="207">
        <f>$AJ$3*AA476</f>
        <v/>
      </c>
      <c r="AK476" s="207">
        <f>$AK$3*AB476</f>
        <v/>
      </c>
      <c r="AL476" s="207">
        <f>$AL$3*AC476</f>
        <v/>
      </c>
      <c r="AM476" s="220">
        <f>SUM(AH476:AL476)</f>
        <v/>
      </c>
      <c r="AN476" s="220" t="n">
        <v>0</v>
      </c>
      <c r="AO476" s="220">
        <f>AN476*AH476</f>
        <v/>
      </c>
      <c r="AP476" s="220">
        <f>AD476</f>
        <v/>
      </c>
      <c r="AQ476" s="220">
        <f>AE476</f>
        <v/>
      </c>
      <c r="AR476" s="208">
        <f>AM476-AO476</f>
        <v/>
      </c>
      <c r="AS476" s="220">
        <f>AR476-AK476</f>
        <v/>
      </c>
      <c r="AT476" s="208">
        <f>AS476*1.075</f>
        <v/>
      </c>
      <c r="AU476" s="208">
        <f>AT476+AK476</f>
        <v/>
      </c>
      <c r="AV476" s="198" t="n">
        <v>263204.3991481314</v>
      </c>
      <c r="AW476" s="264">
        <f>BO476*2</f>
        <v/>
      </c>
      <c r="AX476" s="220">
        <f>AV476-AR476</f>
        <v/>
      </c>
      <c r="AY476" s="35">
        <f>AX476/AR476</f>
        <v/>
      </c>
      <c r="AZ476" s="220">
        <f>AV476-AF476</f>
        <v/>
      </c>
      <c r="BA476" s="215">
        <f>AV476-SUM(Z476:AC476)</f>
        <v/>
      </c>
      <c r="BB476" s="215">
        <f>BA476-Y476</f>
        <v/>
      </c>
      <c r="BC476" s="35">
        <f>BB476/BA476</f>
        <v/>
      </c>
      <c r="BD476" s="35">
        <f>IFERROR(AZ476/AV476,)</f>
        <v/>
      </c>
      <c r="BE476" s="255">
        <f>AV476-SUM(Z476:AC476)</f>
        <v/>
      </c>
      <c r="BF476" s="255">
        <f>AV476-BE476-AC476-AB476</f>
        <v/>
      </c>
      <c r="BG476" s="255">
        <f>AV476-BE476-BF476-AB476</f>
        <v/>
      </c>
      <c r="BH476" s="255">
        <f>AB476</f>
        <v/>
      </c>
      <c r="BI476" s="263" t="inlineStr">
        <is>
          <t>Approved</t>
        </is>
      </c>
    </row>
    <row r="477">
      <c r="C477" s="23" t="inlineStr">
        <is>
          <t>HARUNA/YEKINI</t>
        </is>
      </c>
      <c r="D477">
        <f>CONCATENATE(G477,"-",H477,"-",F477)</f>
        <v/>
      </c>
      <c r="E477" s="24" t="inlineStr">
        <is>
          <t>JMG-10T-Hiabs Logistics-Local</t>
        </is>
      </c>
      <c r="F477" s="23" t="inlineStr">
        <is>
          <t>Local</t>
        </is>
      </c>
      <c r="G477" s="25" t="inlineStr">
        <is>
          <t>Hiabs Logistics</t>
        </is>
      </c>
      <c r="H477" s="24" t="inlineStr">
        <is>
          <t>10T</t>
        </is>
      </c>
      <c r="I477" s="73" t="inlineStr">
        <is>
          <t>JMG</t>
        </is>
      </c>
      <c r="J477" s="74" t="inlineStr">
        <is>
          <t>Abuja</t>
        </is>
      </c>
      <c r="K477" s="74" t="inlineStr">
        <is>
          <t>Utako</t>
        </is>
      </c>
      <c r="L477" s="25" t="inlineStr">
        <is>
          <t>FCT</t>
        </is>
      </c>
      <c r="M477" s="63" t="n"/>
      <c r="N477" s="201">
        <f>O477/2</f>
        <v/>
      </c>
      <c r="O477" s="200" t="n">
        <v>3</v>
      </c>
      <c r="P477" s="220">
        <f>ROUNDUP(O477/300,)</f>
        <v/>
      </c>
      <c r="Q477" s="220" t="n">
        <v>1</v>
      </c>
      <c r="R477" s="220">
        <f>Q477+P477</f>
        <v/>
      </c>
      <c r="S477" s="198">
        <f>ROUNDDOWN(O477*0.51,)+60</f>
        <v/>
      </c>
      <c r="T477" s="207">
        <f>_xlfn.XLOOKUP(G477,[1]Fx!$A$4:$A$10,[1]Fx!$B$4:$B$10)</f>
        <v/>
      </c>
      <c r="U477" s="207">
        <f>_xlfn.XLOOKUP(G477,'[1]BP Setup'!$B$6:$B$72,'[1]BP Setup'!$Q$6:$Q$72)</f>
        <v/>
      </c>
      <c r="V477" s="207">
        <f>_xlfn.XLOOKUP(G477,'[1]BP Setup'!$B$6:$B$72,'[1]BP Setup'!$R$6:$R$72)</f>
        <v/>
      </c>
      <c r="W477" s="207">
        <f>$W$3</f>
        <v/>
      </c>
      <c r="X477" s="207" t="n">
        <v>80</v>
      </c>
      <c r="Y477" s="215">
        <f>T477*R477</f>
        <v/>
      </c>
      <c r="Z477" s="215">
        <f>U477*O477</f>
        <v/>
      </c>
      <c r="AA477" s="215">
        <f>V477*O477</f>
        <v/>
      </c>
      <c r="AB477" s="215">
        <f>W477*O477</f>
        <v/>
      </c>
      <c r="AC477" s="197">
        <f>X477*O477</f>
        <v/>
      </c>
      <c r="AD477" s="215" t="n">
        <v>0</v>
      </c>
      <c r="AE477" s="215" t="n">
        <v>0</v>
      </c>
      <c r="AF477" s="207">
        <f>SUM(Y477:AE477)</f>
        <v/>
      </c>
      <c r="AG477" s="254">
        <f>_xlfn.XLOOKUP(G477,[1]Fx!$A$16:$A$22,[1]Fx!$B$16:$B$22)</f>
        <v/>
      </c>
      <c r="AH477" s="207">
        <f>AG477*R477</f>
        <v/>
      </c>
      <c r="AI477" s="207">
        <f>$AI$3*Z477</f>
        <v/>
      </c>
      <c r="AJ477" s="207">
        <f>$AJ$3*AA477</f>
        <v/>
      </c>
      <c r="AK477" s="207">
        <f>$AK$3*AB477</f>
        <v/>
      </c>
      <c r="AL477" s="207">
        <f>$AL$3*AC477</f>
        <v/>
      </c>
      <c r="AM477" s="220">
        <f>SUM(AH477:AL477)</f>
        <v/>
      </c>
      <c r="AN477" s="220" t="n">
        <v>0</v>
      </c>
      <c r="AO477" s="220">
        <f>AN477*AH477</f>
        <v/>
      </c>
      <c r="AP477" s="220">
        <f>AD477</f>
        <v/>
      </c>
      <c r="AQ477" s="220">
        <f>AE477</f>
        <v/>
      </c>
      <c r="AR477" s="208">
        <f>AM477-AO477</f>
        <v/>
      </c>
      <c r="AS477" s="220">
        <f>AR477-AK477</f>
        <v/>
      </c>
      <c r="AT477" s="208">
        <f>AS477*1.075</f>
        <v/>
      </c>
      <c r="AU477" s="208">
        <f>AT477+AK477</f>
        <v/>
      </c>
      <c r="AV477" s="198" t="n">
        <v>263204.3991481314</v>
      </c>
      <c r="AW477" s="264">
        <f>BO477*2</f>
        <v/>
      </c>
      <c r="AX477" s="220">
        <f>AV477-AR477</f>
        <v/>
      </c>
      <c r="AY477" s="35">
        <f>AX477/AR477</f>
        <v/>
      </c>
      <c r="AZ477" s="220">
        <f>AV477-AF477</f>
        <v/>
      </c>
      <c r="BA477" s="215">
        <f>AV477-SUM(Z477:AC477)</f>
        <v/>
      </c>
      <c r="BB477" s="215">
        <f>BA477-Y477</f>
        <v/>
      </c>
      <c r="BC477" s="35">
        <f>BB477/BA477</f>
        <v/>
      </c>
      <c r="BD477" s="35">
        <f>IFERROR(AZ477/AV477,)</f>
        <v/>
      </c>
      <c r="BE477" s="255">
        <f>AV477-SUM(Z477:AC477)</f>
        <v/>
      </c>
      <c r="BF477" s="255">
        <f>AV477-BE477-AC477-AB477</f>
        <v/>
      </c>
      <c r="BG477" s="255">
        <f>AV477-BE477-BF477-AB477</f>
        <v/>
      </c>
      <c r="BH477" s="255">
        <f>AB477</f>
        <v/>
      </c>
      <c r="BI477" s="263" t="inlineStr">
        <is>
          <t>Approved</t>
        </is>
      </c>
    </row>
    <row r="478">
      <c r="C478" s="23" t="inlineStr">
        <is>
          <t>YEKINI</t>
        </is>
      </c>
      <c r="D478">
        <f>CONCATENATE(G478,"-",H478,"-",F478)</f>
        <v/>
      </c>
      <c r="E478" s="24" t="inlineStr">
        <is>
          <t>JMG-10T-Hiabs Logistics-Upcountry</t>
        </is>
      </c>
      <c r="F478" s="23" t="inlineStr">
        <is>
          <t>Upcountry</t>
        </is>
      </c>
      <c r="G478" s="25" t="inlineStr">
        <is>
          <t>Hiabs Logistics</t>
        </is>
      </c>
      <c r="H478" s="24" t="inlineStr">
        <is>
          <t>10T</t>
        </is>
      </c>
      <c r="I478" s="73" t="inlineStr">
        <is>
          <t>JMG</t>
        </is>
      </c>
      <c r="J478" s="74" t="inlineStr">
        <is>
          <t>Lagos</t>
        </is>
      </c>
      <c r="K478" s="202" t="inlineStr">
        <is>
          <t>Kano</t>
        </is>
      </c>
      <c r="L478" s="25" t="inlineStr">
        <is>
          <t>Kano</t>
        </is>
      </c>
      <c r="M478" s="79" t="n"/>
      <c r="N478" s="199" t="n">
        <v>1250</v>
      </c>
      <c r="O478" s="201">
        <f>N478*2</f>
        <v/>
      </c>
      <c r="P478" s="245">
        <f>ROUNDUP(O478/300,)</f>
        <v/>
      </c>
      <c r="Q478" s="220" t="n">
        <v>0</v>
      </c>
      <c r="R478" s="220">
        <f>Q478+P478</f>
        <v/>
      </c>
      <c r="S478" s="198">
        <f>ROUNDDOWN(O478*0.51,)+60</f>
        <v/>
      </c>
      <c r="T478" s="207">
        <f>_xlfn.XLOOKUP(G478,[1]Fx!$A$4:$A$10,[1]Fx!$B$4:$B$10)</f>
        <v/>
      </c>
      <c r="U478" s="207">
        <f>_xlfn.XLOOKUP(G478,'[1]BP Setup'!$B$6:$B$72,'[1]BP Setup'!$Q$6:$Q$72)</f>
        <v/>
      </c>
      <c r="V478" s="207">
        <f>_xlfn.XLOOKUP(G478,'[1]BP Setup'!$B$6:$B$72,'[1]BP Setup'!$R$6:$R$72)</f>
        <v/>
      </c>
      <c r="W478" s="207">
        <f>$W$3</f>
        <v/>
      </c>
      <c r="X478" s="207" t="n">
        <v>80</v>
      </c>
      <c r="Y478" s="215">
        <f>T478*R478</f>
        <v/>
      </c>
      <c r="Z478" s="215">
        <f>U478*O478</f>
        <v/>
      </c>
      <c r="AA478" s="215">
        <f>V478*O478</f>
        <v/>
      </c>
      <c r="AB478" s="215">
        <f>W478*O478</f>
        <v/>
      </c>
      <c r="AC478" s="197">
        <f>X478*O478</f>
        <v/>
      </c>
      <c r="AD478" s="215" t="n">
        <v>0</v>
      </c>
      <c r="AE478" s="215" t="n">
        <v>0</v>
      </c>
      <c r="AF478" s="207">
        <f>SUM(Y478:AE478)</f>
        <v/>
      </c>
      <c r="AG478" s="254">
        <f>_xlfn.XLOOKUP(G478,[1]Fx!$A$16:$A$22,[1]Fx!$B$16:$B$22)</f>
        <v/>
      </c>
      <c r="AH478" s="207">
        <f>AG478*R478</f>
        <v/>
      </c>
      <c r="AI478" s="207">
        <f>$AI$3*Z478</f>
        <v/>
      </c>
      <c r="AJ478" s="207">
        <f>$AJ$3*AA478</f>
        <v/>
      </c>
      <c r="AK478" s="207">
        <f>$AK$3*AB478</f>
        <v/>
      </c>
      <c r="AL478" s="207">
        <f>$AL$3*AC478</f>
        <v/>
      </c>
      <c r="AM478" s="220">
        <f>SUM(AH478:AL478)</f>
        <v/>
      </c>
      <c r="AN478" s="220" t="n">
        <v>0</v>
      </c>
      <c r="AO478" s="220">
        <f>AN478*AH478</f>
        <v/>
      </c>
      <c r="AP478" s="220">
        <f>AD478</f>
        <v/>
      </c>
      <c r="AQ478" s="220">
        <f>AE478</f>
        <v/>
      </c>
      <c r="AR478" s="208">
        <f>AM478-AO478</f>
        <v/>
      </c>
      <c r="AS478" s="220">
        <f>AR478-AK478</f>
        <v/>
      </c>
      <c r="AT478" s="208">
        <f>AS478*1.075</f>
        <v/>
      </c>
      <c r="AU478" s="208">
        <f>AT478+AK478</f>
        <v/>
      </c>
      <c r="AV478" s="198" t="n">
        <v>1184419.796166591</v>
      </c>
      <c r="AW478" s="264" t="n">
        <v>0</v>
      </c>
      <c r="AX478" s="220">
        <f>AV478-AR478</f>
        <v/>
      </c>
      <c r="AY478" s="35">
        <f>AX478/AR478</f>
        <v/>
      </c>
      <c r="AZ478" s="220">
        <f>AV478-AF478</f>
        <v/>
      </c>
      <c r="BA478" s="215">
        <f>AV478-SUM(Z478:AC478)</f>
        <v/>
      </c>
      <c r="BB478" s="215">
        <f>BA478-Y478</f>
        <v/>
      </c>
      <c r="BC478" s="35">
        <f>BB478/BA478</f>
        <v/>
      </c>
      <c r="BD478" s="35">
        <f>IFERROR(AZ478/AV478,)</f>
        <v/>
      </c>
      <c r="BE478" s="255">
        <f>AV478-SUM(Z478:AC478)</f>
        <v/>
      </c>
      <c r="BF478" s="255">
        <f>AV478-BE478-AC478-AB478</f>
        <v/>
      </c>
      <c r="BG478" s="255">
        <f>AV478-BE478-BF478-AB478</f>
        <v/>
      </c>
      <c r="BH478" s="255">
        <f>AB478</f>
        <v/>
      </c>
      <c r="BI478" s="263" t="inlineStr">
        <is>
          <t>Approved</t>
        </is>
      </c>
    </row>
    <row r="479">
      <c r="C479" s="23" t="inlineStr">
        <is>
          <t>YEKINI</t>
        </is>
      </c>
      <c r="D479">
        <f>CONCATENATE(G479,"-",H479,"-",F479)</f>
        <v/>
      </c>
      <c r="E479" s="24" t="inlineStr">
        <is>
          <t>JMG-10T-Hiabs Logistics-Upcountry</t>
        </is>
      </c>
      <c r="F479" s="23" t="inlineStr">
        <is>
          <t>Upcountry</t>
        </is>
      </c>
      <c r="G479" s="25" t="inlineStr">
        <is>
          <t>Hiabs Logistics</t>
        </is>
      </c>
      <c r="H479" s="24" t="inlineStr">
        <is>
          <t>10T</t>
        </is>
      </c>
      <c r="I479" s="73" t="inlineStr">
        <is>
          <t>JMG</t>
        </is>
      </c>
      <c r="J479" s="74" t="inlineStr">
        <is>
          <t>Lagos</t>
        </is>
      </c>
      <c r="K479" s="202" t="inlineStr">
        <is>
          <t>Kaduna</t>
        </is>
      </c>
      <c r="L479" s="25" t="inlineStr">
        <is>
          <t>Kaduna</t>
        </is>
      </c>
      <c r="M479" s="79" t="n"/>
      <c r="N479" s="199" t="n">
        <v>950</v>
      </c>
      <c r="O479" s="201">
        <f>N479*2</f>
        <v/>
      </c>
      <c r="P479" s="245">
        <f>ROUNDUP(O479/300,)</f>
        <v/>
      </c>
      <c r="Q479" s="220" t="n">
        <v>0</v>
      </c>
      <c r="R479" s="220">
        <f>Q479+P479</f>
        <v/>
      </c>
      <c r="S479" s="198">
        <f>ROUNDDOWN(O479*0.51,)+60</f>
        <v/>
      </c>
      <c r="T479" s="207">
        <f>_xlfn.XLOOKUP(G479,[1]Fx!$A$4:$A$10,[1]Fx!$B$4:$B$10)</f>
        <v/>
      </c>
      <c r="U479" s="207">
        <f>_xlfn.XLOOKUP(G479,'[1]BP Setup'!$B$6:$B$72,'[1]BP Setup'!$Q$6:$Q$72)</f>
        <v/>
      </c>
      <c r="V479" s="207">
        <f>_xlfn.XLOOKUP(G479,'[1]BP Setup'!$B$6:$B$72,'[1]BP Setup'!$R$6:$R$72)</f>
        <v/>
      </c>
      <c r="W479" s="207">
        <f>$W$3</f>
        <v/>
      </c>
      <c r="X479" s="207" t="n">
        <v>80</v>
      </c>
      <c r="Y479" s="215">
        <f>T479*R479</f>
        <v/>
      </c>
      <c r="Z479" s="215">
        <f>U479*O479</f>
        <v/>
      </c>
      <c r="AA479" s="215">
        <f>V479*O479</f>
        <v/>
      </c>
      <c r="AB479" s="215">
        <f>W479*O479</f>
        <v/>
      </c>
      <c r="AC479" s="197">
        <f>X479*O479</f>
        <v/>
      </c>
      <c r="AD479" s="215" t="n">
        <v>0</v>
      </c>
      <c r="AE479" s="215" t="n">
        <v>0</v>
      </c>
      <c r="AF479" s="207">
        <f>SUM(Y479:AE479)</f>
        <v/>
      </c>
      <c r="AG479" s="254">
        <f>_xlfn.XLOOKUP(G479,[1]Fx!$A$16:$A$22,[1]Fx!$B$16:$B$22)</f>
        <v/>
      </c>
      <c r="AH479" s="207">
        <f>AG479*R479</f>
        <v/>
      </c>
      <c r="AI479" s="207">
        <f>$AI$3*Z479</f>
        <v/>
      </c>
      <c r="AJ479" s="207">
        <f>$AJ$3*AA479</f>
        <v/>
      </c>
      <c r="AK479" s="207">
        <f>$AK$3*AB479</f>
        <v/>
      </c>
      <c r="AL479" s="207">
        <f>$AL$3*AC479</f>
        <v/>
      </c>
      <c r="AM479" s="220">
        <f>SUM(AH479:AL479)</f>
        <v/>
      </c>
      <c r="AN479" s="220" t="n">
        <v>0</v>
      </c>
      <c r="AO479" s="220">
        <f>AN479*AH479</f>
        <v/>
      </c>
      <c r="AP479" s="220">
        <f>AD479</f>
        <v/>
      </c>
      <c r="AQ479" s="220">
        <f>AE479</f>
        <v/>
      </c>
      <c r="AR479" s="208">
        <f>AM479-AO479</f>
        <v/>
      </c>
      <c r="AS479" s="220">
        <f>AR479-AK479</f>
        <v/>
      </c>
      <c r="AT479" s="208">
        <f>AS479*1.075</f>
        <v/>
      </c>
      <c r="AU479" s="208">
        <f>AT479+AK479</f>
        <v/>
      </c>
      <c r="AV479" s="198" t="n">
        <v>921215.3970184599</v>
      </c>
      <c r="AW479" s="264" t="n">
        <v>0</v>
      </c>
      <c r="AX479" s="220">
        <f>AV479-AR479</f>
        <v/>
      </c>
      <c r="AY479" s="35">
        <f>AX479/AR479</f>
        <v/>
      </c>
      <c r="AZ479" s="220">
        <f>AV479-AF479</f>
        <v/>
      </c>
      <c r="BA479" s="215">
        <f>AV479-SUM(Z479:AC479)</f>
        <v/>
      </c>
      <c r="BB479" s="215">
        <f>BA479-Y479</f>
        <v/>
      </c>
      <c r="BC479" s="35">
        <f>BB479/BA479</f>
        <v/>
      </c>
      <c r="BD479" s="35">
        <f>IFERROR(AZ479/AV479,)</f>
        <v/>
      </c>
      <c r="BE479" s="255">
        <f>AV479-SUM(Z479:AC479)</f>
        <v/>
      </c>
      <c r="BF479" s="255">
        <f>AV479-BE479-AC479-AB479</f>
        <v/>
      </c>
      <c r="BG479" s="255">
        <f>AV479-BE479-BF479-AB479</f>
        <v/>
      </c>
      <c r="BH479" s="255">
        <f>AB479</f>
        <v/>
      </c>
      <c r="BI479" s="263" t="inlineStr">
        <is>
          <t>Approved</t>
        </is>
      </c>
    </row>
    <row r="480">
      <c r="C480" s="23" t="inlineStr">
        <is>
          <t>YEKINI</t>
        </is>
      </c>
      <c r="D480">
        <f>CONCATENATE(G480,"-",H480,"-",F480)</f>
        <v/>
      </c>
      <c r="E480" s="24" t="inlineStr">
        <is>
          <t>JMG-10T-Hiabs Logistics-Upcountry</t>
        </is>
      </c>
      <c r="F480" s="23" t="inlineStr">
        <is>
          <t>Upcountry</t>
        </is>
      </c>
      <c r="G480" s="25" t="inlineStr">
        <is>
          <t>Hiabs Logistics</t>
        </is>
      </c>
      <c r="H480" s="24" t="inlineStr">
        <is>
          <t>10T</t>
        </is>
      </c>
      <c r="I480" s="73" t="inlineStr">
        <is>
          <t>JMG</t>
        </is>
      </c>
      <c r="J480" s="74" t="inlineStr">
        <is>
          <t>Lagos</t>
        </is>
      </c>
      <c r="K480" s="202" t="inlineStr">
        <is>
          <t>Abuja</t>
        </is>
      </c>
      <c r="L480" s="25" t="inlineStr">
        <is>
          <t>FCT</t>
        </is>
      </c>
      <c r="M480" s="66" t="n"/>
      <c r="N480" s="199">
        <f>O480/2</f>
        <v/>
      </c>
      <c r="O480" s="201" t="n">
        <v>1510</v>
      </c>
      <c r="P480" s="245">
        <f>ROUNDUP(O480/300,)</f>
        <v/>
      </c>
      <c r="Q480" s="220" t="n">
        <v>0</v>
      </c>
      <c r="R480" s="220">
        <f>Q480+P480</f>
        <v/>
      </c>
      <c r="S480" s="198">
        <f>ROUNDDOWN(O480*0.51,)+60</f>
        <v/>
      </c>
      <c r="T480" s="207">
        <f>_xlfn.XLOOKUP(G480,[1]Fx!$A$4:$A$10,[1]Fx!$B$4:$B$10)</f>
        <v/>
      </c>
      <c r="U480" s="207">
        <f>_xlfn.XLOOKUP(G480,'[1]BP Setup'!$B$6:$B$72,'[1]BP Setup'!$Q$6:$Q$72)</f>
        <v/>
      </c>
      <c r="V480" s="207">
        <f>_xlfn.XLOOKUP(G480,'[1]BP Setup'!$B$6:$B$72,'[1]BP Setup'!$R$6:$R$72)</f>
        <v/>
      </c>
      <c r="W480" s="207">
        <f>$W$3</f>
        <v/>
      </c>
      <c r="X480" s="207" t="n">
        <v>80</v>
      </c>
      <c r="Y480" s="215">
        <f>T480*R480</f>
        <v/>
      </c>
      <c r="Z480" s="215">
        <f>U480*O480</f>
        <v/>
      </c>
      <c r="AA480" s="215">
        <f>V480*O480</f>
        <v/>
      </c>
      <c r="AB480" s="215">
        <f>W480*O480</f>
        <v/>
      </c>
      <c r="AC480" s="197">
        <f>X480*O480</f>
        <v/>
      </c>
      <c r="AD480" s="215" t="n">
        <v>0</v>
      </c>
      <c r="AE480" s="215" t="n">
        <v>0</v>
      </c>
      <c r="AF480" s="207">
        <f>SUM(Y480:AE480)</f>
        <v/>
      </c>
      <c r="AG480" s="254">
        <f>_xlfn.XLOOKUP(G480,[1]Fx!$A$16:$A$22,[1]Fx!$B$16:$B$22)</f>
        <v/>
      </c>
      <c r="AH480" s="207">
        <f>AG480*R480</f>
        <v/>
      </c>
      <c r="AI480" s="207">
        <f>$AI$3*Z480</f>
        <v/>
      </c>
      <c r="AJ480" s="207">
        <f>$AJ$3*AA480</f>
        <v/>
      </c>
      <c r="AK480" s="207">
        <f>$AK$3*AB480</f>
        <v/>
      </c>
      <c r="AL480" s="207">
        <f>$AL$3*AC480</f>
        <v/>
      </c>
      <c r="AM480" s="220">
        <f>SUM(AH480:AL480)</f>
        <v/>
      </c>
      <c r="AN480" s="220" t="n">
        <v>0</v>
      </c>
      <c r="AO480" s="220">
        <f>AN480*AH480</f>
        <v/>
      </c>
      <c r="AP480" s="220">
        <f>AD480</f>
        <v/>
      </c>
      <c r="AQ480" s="220">
        <f>AE480</f>
        <v/>
      </c>
      <c r="AR480" s="208">
        <f>AM480-AO480</f>
        <v/>
      </c>
      <c r="AS480" s="220">
        <f>AR480-AK480</f>
        <v/>
      </c>
      <c r="AT480" s="208">
        <f>AS480*1.075</f>
        <v/>
      </c>
      <c r="AU480" s="208">
        <f>AT480+AK480</f>
        <v/>
      </c>
      <c r="AV480" s="198" t="n">
        <v>789613.1974443941</v>
      </c>
      <c r="AW480" s="264" t="n">
        <v>0</v>
      </c>
      <c r="AX480" s="220">
        <f>AV480-AR480</f>
        <v/>
      </c>
      <c r="AY480" s="35">
        <f>AX480/AR480</f>
        <v/>
      </c>
      <c r="AZ480" s="220">
        <f>AV480-AF480</f>
        <v/>
      </c>
      <c r="BA480" s="215">
        <f>AV480-SUM(Z480:AC480)</f>
        <v/>
      </c>
      <c r="BB480" s="215">
        <f>BA480-Y480</f>
        <v/>
      </c>
      <c r="BC480" s="35">
        <f>BB480/BA480</f>
        <v/>
      </c>
      <c r="BD480" s="35">
        <f>IFERROR(AZ480/AV480,)</f>
        <v/>
      </c>
      <c r="BE480" s="255">
        <f>AV480-SUM(Z480:AC480)</f>
        <v/>
      </c>
      <c r="BF480" s="255">
        <f>AV480-BE480-AC480-AB480</f>
        <v/>
      </c>
      <c r="BG480" s="255">
        <f>AV480-BE480-BF480-AB480</f>
        <v/>
      </c>
      <c r="BH480" s="255">
        <f>AB480</f>
        <v/>
      </c>
      <c r="BI480" s="263" t="inlineStr">
        <is>
          <t>Worst Case Approved</t>
        </is>
      </c>
    </row>
    <row r="481">
      <c r="C481" s="23" t="inlineStr">
        <is>
          <t>YEKINI</t>
        </is>
      </c>
      <c r="D481">
        <f>CONCATENATE(G481,"-",H481,"-",F481)</f>
        <v/>
      </c>
      <c r="E481" s="24" t="inlineStr">
        <is>
          <t>JMG-10T-Hiabs Logistics-Upcountry</t>
        </is>
      </c>
      <c r="F481" s="23" t="inlineStr">
        <is>
          <t>Upcountry</t>
        </is>
      </c>
      <c r="G481" s="25" t="inlineStr">
        <is>
          <t>Hiabs Logistics</t>
        </is>
      </c>
      <c r="H481" s="24" t="inlineStr">
        <is>
          <t>10T</t>
        </is>
      </c>
      <c r="I481" s="73" t="inlineStr">
        <is>
          <t>JMG</t>
        </is>
      </c>
      <c r="J481" s="74" t="inlineStr">
        <is>
          <t>Lagos</t>
        </is>
      </c>
      <c r="K481" s="202" t="inlineStr">
        <is>
          <t>Akwa Ibom</t>
        </is>
      </c>
      <c r="L481" s="25" t="inlineStr">
        <is>
          <t>Akwa Ibom</t>
        </is>
      </c>
      <c r="M481" s="66" t="n"/>
      <c r="N481" s="199" t="n">
        <v>120</v>
      </c>
      <c r="O481" s="201" t="n">
        <v>1450</v>
      </c>
      <c r="P481" s="245">
        <f>ROUNDUP(O481/300,)</f>
        <v/>
      </c>
      <c r="Q481" s="220" t="n">
        <v>0</v>
      </c>
      <c r="R481" s="220">
        <f>Q481+P481</f>
        <v/>
      </c>
      <c r="S481" s="198">
        <f>ROUNDDOWN(O481*0.51,)+60</f>
        <v/>
      </c>
      <c r="T481" s="207">
        <f>_xlfn.XLOOKUP(G481,[1]Fx!$A$4:$A$10,[1]Fx!$B$4:$B$10)</f>
        <v/>
      </c>
      <c r="U481" s="207">
        <f>_xlfn.XLOOKUP(G481,'[1]BP Setup'!$B$6:$B$72,'[1]BP Setup'!$Q$6:$Q$72)</f>
        <v/>
      </c>
      <c r="V481" s="207">
        <f>_xlfn.XLOOKUP(G481,'[1]BP Setup'!$B$6:$B$72,'[1]BP Setup'!$R$6:$R$72)</f>
        <v/>
      </c>
      <c r="W481" s="207">
        <f>$W$3</f>
        <v/>
      </c>
      <c r="X481" s="207" t="n">
        <v>80</v>
      </c>
      <c r="Y481" s="215">
        <f>T481*R481</f>
        <v/>
      </c>
      <c r="Z481" s="215">
        <f>U481*O481</f>
        <v/>
      </c>
      <c r="AA481" s="215">
        <f>V481*O481</f>
        <v/>
      </c>
      <c r="AB481" s="215">
        <f>W481*O481</f>
        <v/>
      </c>
      <c r="AC481" s="197">
        <f>X481*O481</f>
        <v/>
      </c>
      <c r="AD481" s="215" t="n">
        <v>0</v>
      </c>
      <c r="AE481" s="215" t="n">
        <v>0</v>
      </c>
      <c r="AF481" s="207">
        <f>SUM(Y481:AE481)</f>
        <v/>
      </c>
      <c r="AG481" s="254">
        <f>_xlfn.XLOOKUP(G481,[1]Fx!$A$16:$A$22,[1]Fx!$B$16:$B$22)</f>
        <v/>
      </c>
      <c r="AH481" s="207">
        <f>AG481*R481</f>
        <v/>
      </c>
      <c r="AI481" s="207">
        <f>$AI$3*Z481</f>
        <v/>
      </c>
      <c r="AJ481" s="207">
        <f>$AJ$3*AA481</f>
        <v/>
      </c>
      <c r="AK481" s="207">
        <f>$AK$3*AB481</f>
        <v/>
      </c>
      <c r="AL481" s="207">
        <f>$AL$3*AC481</f>
        <v/>
      </c>
      <c r="AM481" s="220">
        <f>SUM(AH481:AL481)</f>
        <v/>
      </c>
      <c r="AN481" s="220" t="n">
        <v>0</v>
      </c>
      <c r="AO481" s="220">
        <f>AN481*AH481</f>
        <v/>
      </c>
      <c r="AP481" s="220">
        <f>AD481</f>
        <v/>
      </c>
      <c r="AQ481" s="220">
        <f>AE481</f>
        <v/>
      </c>
      <c r="AR481" s="208">
        <f>AM481-AO481</f>
        <v/>
      </c>
      <c r="AS481" s="220">
        <f>AR481-AK481</f>
        <v/>
      </c>
      <c r="AT481" s="208">
        <f>AS481*1.075</f>
        <v/>
      </c>
      <c r="AU481" s="208">
        <f>AT481+AK481</f>
        <v/>
      </c>
      <c r="AV481" s="198" t="n">
        <v>658010.9978703284</v>
      </c>
      <c r="AW481" s="264" t="n">
        <v>0</v>
      </c>
      <c r="AX481" s="220">
        <f>AV481-AR481</f>
        <v/>
      </c>
      <c r="AY481" s="35">
        <f>AX481/AR481</f>
        <v/>
      </c>
      <c r="AZ481" s="220">
        <f>AV481-AF481</f>
        <v/>
      </c>
      <c r="BA481" s="215">
        <f>AV481-SUM(Z481:AC481)</f>
        <v/>
      </c>
      <c r="BB481" s="215">
        <f>BA481-Y481</f>
        <v/>
      </c>
      <c r="BC481" s="35">
        <f>BB481/BA481</f>
        <v/>
      </c>
      <c r="BD481" s="35">
        <f>IFERROR(AZ481/AV481,)</f>
        <v/>
      </c>
      <c r="BE481" s="255">
        <f>AV481-SUM(Z481:AC481)</f>
        <v/>
      </c>
      <c r="BF481" s="255">
        <f>AV481-BE481-AC481-AB481</f>
        <v/>
      </c>
      <c r="BG481" s="255">
        <f>AV481-BE481-BF481-AB481</f>
        <v/>
      </c>
      <c r="BH481" s="255">
        <f>AB481</f>
        <v/>
      </c>
      <c r="BI481" s="263" t="inlineStr">
        <is>
          <t>Approved</t>
        </is>
      </c>
    </row>
    <row r="482">
      <c r="C482" s="23" t="inlineStr">
        <is>
          <t>YEKINI</t>
        </is>
      </c>
      <c r="D482">
        <f>CONCATENATE(G482,"-",H482,"-",F482)</f>
        <v/>
      </c>
      <c r="E482" s="24" t="inlineStr">
        <is>
          <t>JMG-10T-Hiabs Logistics-Upcountry</t>
        </is>
      </c>
      <c r="F482" s="23" t="inlineStr">
        <is>
          <t>Upcountry</t>
        </is>
      </c>
      <c r="G482" s="25" t="inlineStr">
        <is>
          <t>Hiabs Logistics</t>
        </is>
      </c>
      <c r="H482" s="24" t="inlineStr">
        <is>
          <t>10T</t>
        </is>
      </c>
      <c r="I482" s="73" t="inlineStr">
        <is>
          <t>JMG</t>
        </is>
      </c>
      <c r="J482" s="74" t="inlineStr">
        <is>
          <t>Lagos</t>
        </is>
      </c>
      <c r="K482" s="202" t="inlineStr">
        <is>
          <t>Port Harcourt</t>
        </is>
      </c>
      <c r="L482" s="25" t="inlineStr">
        <is>
          <t>Rivers</t>
        </is>
      </c>
      <c r="M482" s="79" t="n"/>
      <c r="N482" s="201">
        <f>O482/2</f>
        <v/>
      </c>
      <c r="O482" s="201" t="n">
        <v>1234</v>
      </c>
      <c r="P482" s="245">
        <f>ROUNDUP(O482/300,)</f>
        <v/>
      </c>
      <c r="Q482" s="220" t="n">
        <v>0</v>
      </c>
      <c r="R482" s="220">
        <f>Q482+P482</f>
        <v/>
      </c>
      <c r="S482" s="198">
        <f>ROUNDDOWN(O482*0.51,)+60</f>
        <v/>
      </c>
      <c r="T482" s="207">
        <f>_xlfn.XLOOKUP(G482,[1]Fx!$A$4:$A$10,[1]Fx!$B$4:$B$10)</f>
        <v/>
      </c>
      <c r="U482" s="207">
        <f>_xlfn.XLOOKUP(G482,'[1]BP Setup'!$B$6:$B$72,'[1]BP Setup'!$Q$6:$Q$72)</f>
        <v/>
      </c>
      <c r="V482" s="207">
        <f>_xlfn.XLOOKUP(G482,'[1]BP Setup'!$B$6:$B$72,'[1]BP Setup'!$R$6:$R$72)</f>
        <v/>
      </c>
      <c r="W482" s="207">
        <f>$W$3</f>
        <v/>
      </c>
      <c r="X482" s="207" t="n">
        <v>80</v>
      </c>
      <c r="Y482" s="215">
        <f>T482*R482</f>
        <v/>
      </c>
      <c r="Z482" s="215">
        <f>U482*O482</f>
        <v/>
      </c>
      <c r="AA482" s="215">
        <f>V482*O482</f>
        <v/>
      </c>
      <c r="AB482" s="215">
        <f>W482*O482</f>
        <v/>
      </c>
      <c r="AC482" s="197">
        <f>X482*O482</f>
        <v/>
      </c>
      <c r="AD482" s="215" t="n">
        <v>0</v>
      </c>
      <c r="AE482" s="215" t="n">
        <v>0</v>
      </c>
      <c r="AF482" s="207">
        <f>SUM(Y482:AE482)</f>
        <v/>
      </c>
      <c r="AG482" s="254">
        <f>_xlfn.XLOOKUP(G482,[1]Fx!$A$16:$A$22,[1]Fx!$B$16:$B$22)</f>
        <v/>
      </c>
      <c r="AH482" s="207">
        <f>AG482*R482</f>
        <v/>
      </c>
      <c r="AI482" s="207">
        <f>$AI$3*Z482</f>
        <v/>
      </c>
      <c r="AJ482" s="207">
        <f>$AJ$3*AA482</f>
        <v/>
      </c>
      <c r="AK482" s="207">
        <f>$AK$3*AB482</f>
        <v/>
      </c>
      <c r="AL482" s="207">
        <f>$AL$3*AC482</f>
        <v/>
      </c>
      <c r="AM482" s="220">
        <f>SUM(AH482:AL482)</f>
        <v/>
      </c>
      <c r="AN482" s="220" t="n">
        <v>0</v>
      </c>
      <c r="AO482" s="220">
        <f>AN482*AH482</f>
        <v/>
      </c>
      <c r="AP482" s="220">
        <f>AD482</f>
        <v/>
      </c>
      <c r="AQ482" s="220">
        <f>AE482</f>
        <v/>
      </c>
      <c r="AR482" s="208">
        <f>AM482-AO482</f>
        <v/>
      </c>
      <c r="AS482" s="220">
        <f>AR482-AK482</f>
        <v/>
      </c>
      <c r="AT482" s="208">
        <f>AS482*1.075</f>
        <v/>
      </c>
      <c r="AU482" s="208">
        <f>AT482+AK482</f>
        <v/>
      </c>
      <c r="AV482" s="198" t="n">
        <v>658010.9978703284</v>
      </c>
      <c r="AW482" s="264" t="n">
        <v>0</v>
      </c>
      <c r="AX482" s="220">
        <f>AV482-AR482</f>
        <v/>
      </c>
      <c r="AY482" s="35">
        <f>AX482/AR482</f>
        <v/>
      </c>
      <c r="AZ482" s="220">
        <f>AV482-AF482</f>
        <v/>
      </c>
      <c r="BA482" s="215">
        <f>AV482-SUM(Z482:AC482)</f>
        <v/>
      </c>
      <c r="BB482" s="215">
        <f>BA482-Y482</f>
        <v/>
      </c>
      <c r="BC482" s="35">
        <f>BB482/BA482</f>
        <v/>
      </c>
      <c r="BD482" s="35">
        <f>IFERROR(AZ482/AV482,)</f>
        <v/>
      </c>
      <c r="BE482" s="255">
        <f>AV482-SUM(Z482:AC482)</f>
        <v/>
      </c>
      <c r="BF482" s="255">
        <f>AV482-BE482-AC482-AB482</f>
        <v/>
      </c>
      <c r="BG482" s="255">
        <f>AV482-BE482-BF482-AB482</f>
        <v/>
      </c>
      <c r="BH482" s="255">
        <f>AB482</f>
        <v/>
      </c>
      <c r="BI482" s="263" t="inlineStr">
        <is>
          <t>Approved</t>
        </is>
      </c>
    </row>
    <row r="483">
      <c r="C483" s="23" t="inlineStr">
        <is>
          <t>YEKINI</t>
        </is>
      </c>
      <c r="D483">
        <f>CONCATENATE(G483,"-",H483,"-",F483)</f>
        <v/>
      </c>
      <c r="E483" s="24" t="inlineStr">
        <is>
          <t>JMG-10T-Hiabs Logistics-Upcountry</t>
        </is>
      </c>
      <c r="F483" s="23" t="inlineStr">
        <is>
          <t>Upcountry</t>
        </is>
      </c>
      <c r="G483" s="25" t="inlineStr">
        <is>
          <t>Hiabs Logistics</t>
        </is>
      </c>
      <c r="H483" s="24" t="inlineStr">
        <is>
          <t>10T</t>
        </is>
      </c>
      <c r="I483" s="73" t="inlineStr">
        <is>
          <t>JMG</t>
        </is>
      </c>
      <c r="J483" s="74" t="inlineStr">
        <is>
          <t>Lagos</t>
        </is>
      </c>
      <c r="K483" s="202" t="inlineStr">
        <is>
          <t>Anambra</t>
        </is>
      </c>
      <c r="L483" s="25" t="inlineStr">
        <is>
          <t>Anambra</t>
        </is>
      </c>
      <c r="N483" s="201">
        <f>O483/2</f>
        <v/>
      </c>
      <c r="O483" s="201" t="n">
        <v>1350</v>
      </c>
      <c r="P483" s="245">
        <f>ROUNDUP(O483/300,)</f>
        <v/>
      </c>
      <c r="Q483" s="220" t="n">
        <v>0</v>
      </c>
      <c r="R483" s="220">
        <f>Q483+P483</f>
        <v/>
      </c>
      <c r="S483" s="198">
        <f>ROUNDDOWN(O483*0.51,)+60</f>
        <v/>
      </c>
      <c r="T483" s="207">
        <f>_xlfn.XLOOKUP(G483,[1]Fx!$A$4:$A$10,[1]Fx!$B$4:$B$10)</f>
        <v/>
      </c>
      <c r="U483" s="207">
        <f>_xlfn.XLOOKUP(G483,'[1]BP Setup'!$B$6:$B$72,'[1]BP Setup'!$Q$6:$Q$72)</f>
        <v/>
      </c>
      <c r="V483" s="207">
        <f>_xlfn.XLOOKUP(G483,'[1]BP Setup'!$B$6:$B$72,'[1]BP Setup'!$R$6:$R$72)</f>
        <v/>
      </c>
      <c r="W483" s="207">
        <f>$W$3</f>
        <v/>
      </c>
      <c r="X483" s="207" t="n">
        <v>80</v>
      </c>
      <c r="Y483" s="215">
        <f>T483*R483</f>
        <v/>
      </c>
      <c r="Z483" s="215">
        <f>U483*O483</f>
        <v/>
      </c>
      <c r="AA483" s="215">
        <f>V483*O483</f>
        <v/>
      </c>
      <c r="AB483" s="215">
        <f>W483*O483</f>
        <v/>
      </c>
      <c r="AC483" s="197">
        <f>X483*O483</f>
        <v/>
      </c>
      <c r="AD483" s="215" t="n">
        <v>0</v>
      </c>
      <c r="AE483" s="215" t="n">
        <v>0</v>
      </c>
      <c r="AF483" s="207">
        <f>SUM(Y483:AE483)</f>
        <v/>
      </c>
      <c r="AG483" s="254">
        <f>_xlfn.XLOOKUP(G483,[1]Fx!$A$16:$A$22,[1]Fx!$B$16:$B$22)</f>
        <v/>
      </c>
      <c r="AH483" s="207">
        <f>AG483*R483</f>
        <v/>
      </c>
      <c r="AI483" s="207">
        <f>$AI$3*Z483</f>
        <v/>
      </c>
      <c r="AJ483" s="207">
        <f>$AJ$3*AA483</f>
        <v/>
      </c>
      <c r="AK483" s="207">
        <f>$AK$3*AB483</f>
        <v/>
      </c>
      <c r="AL483" s="207">
        <f>$AL$3*AC483</f>
        <v/>
      </c>
      <c r="AM483" s="220">
        <f>SUM(AH483:AL483)</f>
        <v/>
      </c>
      <c r="AN483" s="220" t="n">
        <v>0</v>
      </c>
      <c r="AO483" s="220">
        <f>AN483*AH483</f>
        <v/>
      </c>
      <c r="AP483" s="220">
        <f>AD483</f>
        <v/>
      </c>
      <c r="AQ483" s="220">
        <f>AE483</f>
        <v/>
      </c>
      <c r="AR483" s="208">
        <f>AM483-AO483</f>
        <v/>
      </c>
      <c r="AS483" s="220">
        <f>AR483-AK483</f>
        <v/>
      </c>
      <c r="AT483" s="208">
        <f>AS483*1.075</f>
        <v/>
      </c>
      <c r="AU483" s="208">
        <f>AT483+AK483</f>
        <v/>
      </c>
      <c r="AV483" s="198" t="n">
        <v>658010.9978703284</v>
      </c>
      <c r="AW483" s="264" t="n">
        <v>0</v>
      </c>
      <c r="AX483" s="220">
        <f>AV483-AR483</f>
        <v/>
      </c>
      <c r="AY483" s="35">
        <f>AX483/AR483</f>
        <v/>
      </c>
      <c r="AZ483" s="220">
        <f>AV483-AF483</f>
        <v/>
      </c>
      <c r="BA483" s="215">
        <f>AV483-SUM(Z483:AC483)</f>
        <v/>
      </c>
      <c r="BB483" s="215">
        <f>BA483-Y483</f>
        <v/>
      </c>
      <c r="BC483" s="35">
        <f>BB483/BA483</f>
        <v/>
      </c>
      <c r="BD483" s="35">
        <f>IFERROR(AZ483/AV483,)</f>
        <v/>
      </c>
      <c r="BE483" s="255">
        <f>AV483-SUM(Z483:AC483)</f>
        <v/>
      </c>
      <c r="BF483" s="255">
        <f>AV483-BE483-AC483-AB483</f>
        <v/>
      </c>
      <c r="BG483" s="255">
        <f>AV483-BE483-BF483-AB483</f>
        <v/>
      </c>
      <c r="BH483" s="255">
        <f>AB483</f>
        <v/>
      </c>
      <c r="BI483" s="263" t="inlineStr">
        <is>
          <t>Worst Case Approved</t>
        </is>
      </c>
    </row>
    <row r="484">
      <c r="C484" s="23" t="inlineStr">
        <is>
          <t>YEKINI</t>
        </is>
      </c>
      <c r="D484">
        <f>CONCATENATE(G484,"-",H484,"-",F484)</f>
        <v/>
      </c>
      <c r="E484" s="24" t="inlineStr">
        <is>
          <t>JMG-10T-Hiabs Logistics-Upcountry</t>
        </is>
      </c>
      <c r="F484" s="23" t="inlineStr">
        <is>
          <t>Upcountry</t>
        </is>
      </c>
      <c r="G484" s="25" t="inlineStr">
        <is>
          <t>Hiabs Logistics</t>
        </is>
      </c>
      <c r="H484" s="24" t="inlineStr">
        <is>
          <t>10T</t>
        </is>
      </c>
      <c r="I484" s="73" t="inlineStr">
        <is>
          <t>JMG</t>
        </is>
      </c>
      <c r="J484" s="74" t="inlineStr">
        <is>
          <t>Lagos</t>
        </is>
      </c>
      <c r="K484" s="202" t="inlineStr">
        <is>
          <t>Onitsha</t>
        </is>
      </c>
      <c r="L484" s="25" t="inlineStr">
        <is>
          <t>Anambra</t>
        </is>
      </c>
      <c r="N484" s="201">
        <f>O484/2</f>
        <v/>
      </c>
      <c r="O484" s="201" t="n">
        <v>1150</v>
      </c>
      <c r="P484" s="245">
        <f>ROUNDUP(O484/300,)</f>
        <v/>
      </c>
      <c r="Q484" s="220" t="n">
        <v>0</v>
      </c>
      <c r="R484" s="220">
        <f>Q484+P484</f>
        <v/>
      </c>
      <c r="S484" s="198">
        <f>ROUNDDOWN(O484*0.51,)+60</f>
        <v/>
      </c>
      <c r="T484" s="207">
        <f>_xlfn.XLOOKUP(G484,[1]Fx!$A$4:$A$10,[1]Fx!$B$4:$B$10)</f>
        <v/>
      </c>
      <c r="U484" s="207">
        <f>_xlfn.XLOOKUP(G484,'[1]BP Setup'!$B$6:$B$72,'[1]BP Setup'!$Q$6:$Q$72)</f>
        <v/>
      </c>
      <c r="V484" s="207">
        <f>_xlfn.XLOOKUP(G484,'[1]BP Setup'!$B$6:$B$72,'[1]BP Setup'!$R$6:$R$72)</f>
        <v/>
      </c>
      <c r="W484" s="207">
        <f>$W$3</f>
        <v/>
      </c>
      <c r="X484" s="207" t="n">
        <v>80</v>
      </c>
      <c r="Y484" s="215">
        <f>T484*R484</f>
        <v/>
      </c>
      <c r="Z484" s="215">
        <f>U484*O484</f>
        <v/>
      </c>
      <c r="AA484" s="215">
        <f>V484*O484</f>
        <v/>
      </c>
      <c r="AB484" s="215">
        <f>W484*O484</f>
        <v/>
      </c>
      <c r="AC484" s="197">
        <f>X484*O484</f>
        <v/>
      </c>
      <c r="AD484" s="215" t="n">
        <v>0</v>
      </c>
      <c r="AE484" s="215" t="n">
        <v>0</v>
      </c>
      <c r="AF484" s="207">
        <f>SUM(Y484:AE484)</f>
        <v/>
      </c>
      <c r="AG484" s="254">
        <f>_xlfn.XLOOKUP(G484,[1]Fx!$A$16:$A$22,[1]Fx!$B$16:$B$22)</f>
        <v/>
      </c>
      <c r="AH484" s="207">
        <f>AG484*R484</f>
        <v/>
      </c>
      <c r="AI484" s="207">
        <f>$AI$3*Z484</f>
        <v/>
      </c>
      <c r="AJ484" s="207">
        <f>$AJ$3*AA484</f>
        <v/>
      </c>
      <c r="AK484" s="207">
        <f>$AK$3*AB484</f>
        <v/>
      </c>
      <c r="AL484" s="207">
        <f>$AL$3*AC484</f>
        <v/>
      </c>
      <c r="AM484" s="220">
        <f>SUM(AH484:AL484)</f>
        <v/>
      </c>
      <c r="AN484" s="220" t="n">
        <v>0</v>
      </c>
      <c r="AO484" s="220">
        <f>AN484*AH484</f>
        <v/>
      </c>
      <c r="AP484" s="220">
        <f>AD484</f>
        <v/>
      </c>
      <c r="AQ484" s="220">
        <f>AE484</f>
        <v/>
      </c>
      <c r="AR484" s="208">
        <f>AM484-AO484</f>
        <v/>
      </c>
      <c r="AS484" s="220">
        <f>AR484-AK484</f>
        <v/>
      </c>
      <c r="AT484" s="208">
        <f>AS484*1.075</f>
        <v/>
      </c>
      <c r="AU484" s="208">
        <f>AT484+AK484</f>
        <v/>
      </c>
      <c r="AV484" s="198" t="n">
        <v>526408.7982962627</v>
      </c>
      <c r="AW484" s="264" t="n">
        <v>0</v>
      </c>
      <c r="AX484" s="220">
        <f>AV484-AR484</f>
        <v/>
      </c>
      <c r="AY484" s="35">
        <f>AX484/AR484</f>
        <v/>
      </c>
      <c r="AZ484" s="220">
        <f>AV484-AF484</f>
        <v/>
      </c>
      <c r="BA484" s="215">
        <f>AV484-SUM(Z484:AC484)</f>
        <v/>
      </c>
      <c r="BB484" s="215">
        <f>BA484-Y484</f>
        <v/>
      </c>
      <c r="BC484" s="35">
        <f>BB484/BA484</f>
        <v/>
      </c>
      <c r="BD484" s="35">
        <f>IFERROR(AZ484/AV484,)</f>
        <v/>
      </c>
      <c r="BE484" s="255">
        <f>AV484-SUM(Z484:AC484)</f>
        <v/>
      </c>
      <c r="BF484" s="255">
        <f>AV484-BE484-AC484-AB484</f>
        <v/>
      </c>
      <c r="BG484" s="255">
        <f>AV484-BE484-BF484-AB484</f>
        <v/>
      </c>
      <c r="BH484" s="255">
        <f>AB484</f>
        <v/>
      </c>
      <c r="BI484" s="263" t="inlineStr">
        <is>
          <t>Approved</t>
        </is>
      </c>
    </row>
    <row r="485" ht="15" customHeight="1" thickBot="1">
      <c r="C485" s="23" t="inlineStr">
        <is>
          <t>YEKINI</t>
        </is>
      </c>
      <c r="D485">
        <f>CONCATENATE(G485,"-",H485,"-",F485)</f>
        <v/>
      </c>
      <c r="E485" s="24" t="inlineStr">
        <is>
          <t>JMG-10T-Hiabs Logistics-Upcountry</t>
        </is>
      </c>
      <c r="F485" s="23" t="inlineStr">
        <is>
          <t>Upcountry</t>
        </is>
      </c>
      <c r="G485" s="25" t="inlineStr">
        <is>
          <t>Hiabs Logistics</t>
        </is>
      </c>
      <c r="H485" s="24" t="inlineStr">
        <is>
          <t>10T</t>
        </is>
      </c>
      <c r="I485" s="73" t="inlineStr">
        <is>
          <t>JMG</t>
        </is>
      </c>
      <c r="J485" s="74" t="inlineStr">
        <is>
          <t>Lagos</t>
        </is>
      </c>
      <c r="K485" s="202" t="inlineStr">
        <is>
          <t>Warri</t>
        </is>
      </c>
      <c r="L485" s="81" t="inlineStr">
        <is>
          <t>Delta</t>
        </is>
      </c>
      <c r="M485" s="82" t="n"/>
      <c r="N485" s="201">
        <f>O485/2</f>
        <v/>
      </c>
      <c r="O485" s="201" t="n">
        <v>750</v>
      </c>
      <c r="P485" s="265">
        <f>ROUNDUP(O485/300,)</f>
        <v/>
      </c>
      <c r="Q485" s="220" t="n">
        <v>0</v>
      </c>
      <c r="R485" s="266">
        <f>Q485+P485</f>
        <v/>
      </c>
      <c r="S485" s="203">
        <f>ROUNDDOWN(O485*0.51,)+60</f>
        <v/>
      </c>
      <c r="T485" s="207">
        <f>_xlfn.XLOOKUP(G485,[1]Fx!$A$4:$A$10,[1]Fx!$B$4:$B$10)</f>
        <v/>
      </c>
      <c r="U485" s="207">
        <f>_xlfn.XLOOKUP(G485,'[1]BP Setup'!$B$6:$B$72,'[1]BP Setup'!$Q$6:$Q$72)</f>
        <v/>
      </c>
      <c r="V485" s="207">
        <f>_xlfn.XLOOKUP(G485,'[1]BP Setup'!$B$6:$B$72,'[1]BP Setup'!$R$6:$R$72)</f>
        <v/>
      </c>
      <c r="W485" s="207">
        <f>$W$3</f>
        <v/>
      </c>
      <c r="X485" s="207" t="n">
        <v>80</v>
      </c>
      <c r="Y485" s="267">
        <f>T485*R485</f>
        <v/>
      </c>
      <c r="Z485" s="267">
        <f>U485*O485</f>
        <v/>
      </c>
      <c r="AA485" s="267">
        <f>V485*O485</f>
        <v/>
      </c>
      <c r="AB485" s="267">
        <f>W485*O485</f>
        <v/>
      </c>
      <c r="AC485" s="268">
        <f>X485*O485</f>
        <v/>
      </c>
      <c r="AD485" s="267" t="n">
        <v>0</v>
      </c>
      <c r="AE485" s="267" t="n">
        <v>0</v>
      </c>
      <c r="AF485" s="207">
        <f>SUM(Y485:AE485)</f>
        <v/>
      </c>
      <c r="AG485" s="254">
        <f>_xlfn.XLOOKUP(G485,[1]Fx!$A$16:$A$22,[1]Fx!$B$16:$B$22)</f>
        <v/>
      </c>
      <c r="AH485" s="207">
        <f>AG485*R485</f>
        <v/>
      </c>
      <c r="AI485" s="207">
        <f>$AI$3*Z485</f>
        <v/>
      </c>
      <c r="AJ485" s="207">
        <f>$AJ$3*AA485</f>
        <v/>
      </c>
      <c r="AK485" s="207">
        <f>$AK$3*AB485</f>
        <v/>
      </c>
      <c r="AL485" s="207">
        <f>$AL$3*AC485</f>
        <v/>
      </c>
      <c r="AM485" s="266">
        <f>SUM(AH485:AL485)</f>
        <v/>
      </c>
      <c r="AN485" s="266" t="n">
        <v>0</v>
      </c>
      <c r="AO485" s="220">
        <f>AN485*AH485</f>
        <v/>
      </c>
      <c r="AP485" s="266">
        <f>AD485</f>
        <v/>
      </c>
      <c r="AQ485" s="266">
        <f>AE485</f>
        <v/>
      </c>
      <c r="AR485" s="208">
        <f>AM485-AO485</f>
        <v/>
      </c>
      <c r="AS485" s="220">
        <f>AR485-AK485</f>
        <v/>
      </c>
      <c r="AT485" s="208">
        <f>AS485*1.075</f>
        <v/>
      </c>
      <c r="AU485" s="208">
        <f>AT485+AK485</f>
        <v/>
      </c>
      <c r="AV485" s="198" t="n">
        <v>394806.5987221971</v>
      </c>
      <c r="AW485" s="264" t="n">
        <v>0</v>
      </c>
      <c r="AX485" s="266">
        <f>AV485-AR485</f>
        <v/>
      </c>
      <c r="AY485" s="86">
        <f>AX485/AR485</f>
        <v/>
      </c>
      <c r="AZ485" s="266">
        <f>AV485-AF485</f>
        <v/>
      </c>
      <c r="BA485" s="267">
        <f>AV485-SUM(Z485:AC485)</f>
        <v/>
      </c>
      <c r="BB485" s="267">
        <f>BA485-Y485</f>
        <v/>
      </c>
      <c r="BC485" s="86">
        <f>BB485/BA485</f>
        <v/>
      </c>
      <c r="BD485" s="86">
        <f>IFERROR(AZ485/AV485,)</f>
        <v/>
      </c>
      <c r="BE485" s="269">
        <f>AV485-SUM(Z485:AC485)</f>
        <v/>
      </c>
      <c r="BF485" s="269">
        <f>AV485-BE485-AC485-AB485</f>
        <v/>
      </c>
      <c r="BG485" s="269">
        <f>AV485-BE485-BF485-AB485</f>
        <v/>
      </c>
      <c r="BH485" s="269">
        <f>AB485</f>
        <v/>
      </c>
      <c r="BI485" s="263" t="inlineStr">
        <is>
          <t>Approved</t>
        </is>
      </c>
    </row>
    <row r="486">
      <c r="C486" s="23" t="inlineStr">
        <is>
          <t>YEKINI</t>
        </is>
      </c>
      <c r="D486">
        <f>CONCATENATE(G486,"-",H486,"-",F486)</f>
        <v/>
      </c>
      <c r="E486" s="24" t="inlineStr">
        <is>
          <t>JMG-10T-Hiabs Logistics-Upcountry</t>
        </is>
      </c>
      <c r="F486" s="23" t="inlineStr">
        <is>
          <t>Upcountry</t>
        </is>
      </c>
      <c r="G486" s="25" t="inlineStr">
        <is>
          <t>Hiabs Logistics</t>
        </is>
      </c>
      <c r="H486" s="24" t="inlineStr">
        <is>
          <t>10T</t>
        </is>
      </c>
      <c r="I486" s="73" t="inlineStr">
        <is>
          <t>JMG</t>
        </is>
      </c>
      <c r="J486" s="74" t="inlineStr">
        <is>
          <t>Lagos</t>
        </is>
      </c>
      <c r="K486" s="121" t="inlineStr">
        <is>
          <t>Ado-Ekiti</t>
        </is>
      </c>
      <c r="L486" s="77" t="inlineStr">
        <is>
          <t>Ekiti</t>
        </is>
      </c>
      <c r="M486" s="66" t="n"/>
      <c r="N486" s="201">
        <f>O486/2</f>
        <v/>
      </c>
      <c r="O486" s="201" t="n">
        <v>753</v>
      </c>
      <c r="P486" s="227">
        <f>ROUNDUP(O486/300,)</f>
        <v/>
      </c>
      <c r="Q486" s="220" t="n">
        <v>0</v>
      </c>
      <c r="R486" s="227">
        <f>Q486+P486</f>
        <v/>
      </c>
      <c r="S486" s="198">
        <f>ROUNDDOWN(O486*0.51,)+60</f>
        <v/>
      </c>
      <c r="T486" s="207">
        <f>_xlfn.XLOOKUP(G486,[1]Fx!$A$4:$A$10,[1]Fx!$B$4:$B$10)</f>
        <v/>
      </c>
      <c r="U486" s="207">
        <f>_xlfn.XLOOKUP(G486,'[1]BP Setup'!$B$6:$B$72,'[1]BP Setup'!$Q$6:$Q$72)</f>
        <v/>
      </c>
      <c r="V486" s="207">
        <f>_xlfn.XLOOKUP(G486,'[1]BP Setup'!$B$6:$B$72,'[1]BP Setup'!$R$6:$R$72)</f>
        <v/>
      </c>
      <c r="W486" s="207">
        <f>$W$3</f>
        <v/>
      </c>
      <c r="X486" s="207" t="n">
        <v>80</v>
      </c>
      <c r="Y486" s="236">
        <f>T486*R486</f>
        <v/>
      </c>
      <c r="Z486" s="236">
        <f>U486*O486</f>
        <v/>
      </c>
      <c r="AA486" s="236">
        <f>V486*O486</f>
        <v/>
      </c>
      <c r="AB486" s="236">
        <f>W486*O486</f>
        <v/>
      </c>
      <c r="AC486" s="197">
        <f>X486*O486</f>
        <v/>
      </c>
      <c r="AD486" s="236" t="n">
        <v>0</v>
      </c>
      <c r="AE486" s="236" t="n">
        <v>0</v>
      </c>
      <c r="AF486" s="207">
        <f>SUM(Y486:AE486)</f>
        <v/>
      </c>
      <c r="AG486" s="254">
        <f>_xlfn.XLOOKUP(G486,[1]Fx!$A$16:$A$22,[1]Fx!$B$16:$B$22)</f>
        <v/>
      </c>
      <c r="AH486" s="207">
        <f>AG486*R486</f>
        <v/>
      </c>
      <c r="AI486" s="207">
        <f>$AI$3*Z486</f>
        <v/>
      </c>
      <c r="AJ486" s="207">
        <f>$AJ$3*AA486</f>
        <v/>
      </c>
      <c r="AK486" s="207">
        <f>$AK$3*AB486</f>
        <v/>
      </c>
      <c r="AL486" s="207">
        <f>$AL$3*AC486</f>
        <v/>
      </c>
      <c r="AM486" s="227">
        <f>SUM(AH486:AL486)</f>
        <v/>
      </c>
      <c r="AN486" s="227" t="n">
        <v>0</v>
      </c>
      <c r="AO486" s="220">
        <f>AN486*AH486</f>
        <v/>
      </c>
      <c r="AP486" s="220">
        <f>AD486</f>
        <v/>
      </c>
      <c r="AQ486" s="220">
        <f>AE486</f>
        <v/>
      </c>
      <c r="AR486" s="208">
        <f>AM486-AO486</f>
        <v/>
      </c>
      <c r="AS486" s="220">
        <f>AR486-AK486</f>
        <v/>
      </c>
      <c r="AT486" s="208">
        <f>AS486*1.075</f>
        <v/>
      </c>
      <c r="AU486" s="208">
        <f>AT486+AK486</f>
        <v/>
      </c>
      <c r="AV486" s="198" t="n">
        <v>394806.5987221971</v>
      </c>
      <c r="AW486" s="264" t="n">
        <v>0</v>
      </c>
      <c r="AX486" s="220">
        <f>AV486-AR486</f>
        <v/>
      </c>
      <c r="AY486" s="35">
        <f>AX486/AR486</f>
        <v/>
      </c>
      <c r="AZ486" s="220">
        <f>AV486-AF486</f>
        <v/>
      </c>
      <c r="BA486" s="215">
        <f>AV486-SUM(Z486:AC486)</f>
        <v/>
      </c>
      <c r="BB486" s="215">
        <f>BA486-Y486</f>
        <v/>
      </c>
      <c r="BC486" s="35">
        <f>BB486/BA486</f>
        <v/>
      </c>
      <c r="BD486" s="35">
        <f>IFERROR(AZ486/AV486,)</f>
        <v/>
      </c>
      <c r="BE486" s="255">
        <f>AV486-SUM(Z486:AC486)</f>
        <v/>
      </c>
      <c r="BF486" s="255">
        <f>AV486-BE486-AC486-AB486</f>
        <v/>
      </c>
      <c r="BG486" s="255">
        <f>AV486-BE486-BF486-AB486</f>
        <v/>
      </c>
      <c r="BH486" s="255">
        <f>AB486</f>
        <v/>
      </c>
      <c r="BI486" s="263" t="inlineStr">
        <is>
          <t>Worst Case Approved</t>
        </is>
      </c>
    </row>
    <row r="487">
      <c r="C487" s="23" t="inlineStr">
        <is>
          <t>YEKINI</t>
        </is>
      </c>
      <c r="D487">
        <f>CONCATENATE(G487,"-",H487,"-",F487)</f>
        <v/>
      </c>
      <c r="E487" s="24" t="inlineStr">
        <is>
          <t>JMG-10T-Hiabs Logistics-Upcountry</t>
        </is>
      </c>
      <c r="F487" s="23" t="inlineStr">
        <is>
          <t>Upcountry</t>
        </is>
      </c>
      <c r="G487" s="25" t="inlineStr">
        <is>
          <t>Hiabs Logistics</t>
        </is>
      </c>
      <c r="H487" s="24" t="inlineStr">
        <is>
          <t>10T</t>
        </is>
      </c>
      <c r="I487" s="73" t="inlineStr">
        <is>
          <t>JMG</t>
        </is>
      </c>
      <c r="J487" s="74" t="inlineStr">
        <is>
          <t>Lagos</t>
        </is>
      </c>
      <c r="K487" s="202" t="inlineStr">
        <is>
          <t>Benin City</t>
        </is>
      </c>
      <c r="L487" s="88" t="inlineStr">
        <is>
          <t>Edo</t>
        </is>
      </c>
      <c r="M487" s="79" t="n"/>
      <c r="N487" s="201">
        <f>O487/2</f>
        <v/>
      </c>
      <c r="O487" s="201" t="n">
        <v>624</v>
      </c>
      <c r="P487" s="227">
        <f>ROUNDUP(O487/300,)</f>
        <v/>
      </c>
      <c r="Q487" s="220" t="n">
        <v>0</v>
      </c>
      <c r="R487" s="227">
        <f>Q487+P487</f>
        <v/>
      </c>
      <c r="S487" s="198">
        <f>ROUNDDOWN(O487*0.51,)+60</f>
        <v/>
      </c>
      <c r="T487" s="207">
        <f>_xlfn.XLOOKUP(G487,[1]Fx!$A$4:$A$10,[1]Fx!$B$4:$B$10)</f>
        <v/>
      </c>
      <c r="U487" s="207">
        <f>_xlfn.XLOOKUP(G487,'[1]BP Setup'!$B$6:$B$72,'[1]BP Setup'!$Q$6:$Q$72)</f>
        <v/>
      </c>
      <c r="V487" s="207">
        <f>_xlfn.XLOOKUP(G487,'[1]BP Setup'!$B$6:$B$72,'[1]BP Setup'!$R$6:$R$72)</f>
        <v/>
      </c>
      <c r="W487" s="207">
        <f>$W$3</f>
        <v/>
      </c>
      <c r="X487" s="207" t="n">
        <v>80</v>
      </c>
      <c r="Y487" s="236">
        <f>T487*R487</f>
        <v/>
      </c>
      <c r="Z487" s="236">
        <f>U487*O487</f>
        <v/>
      </c>
      <c r="AA487" s="236">
        <f>V487*O487</f>
        <v/>
      </c>
      <c r="AB487" s="236">
        <f>W487*O487</f>
        <v/>
      </c>
      <c r="AC487" s="197">
        <f>X487*O487</f>
        <v/>
      </c>
      <c r="AD487" s="236" t="n">
        <v>0</v>
      </c>
      <c r="AE487" s="236" t="n">
        <v>0</v>
      </c>
      <c r="AF487" s="207">
        <f>SUM(Y487:AE487)</f>
        <v/>
      </c>
      <c r="AG487" s="254">
        <f>_xlfn.XLOOKUP(G487,[1]Fx!$A$16:$A$22,[1]Fx!$B$16:$B$22)</f>
        <v/>
      </c>
      <c r="AH487" s="207">
        <f>AG487*R487</f>
        <v/>
      </c>
      <c r="AI487" s="207">
        <f>$AI$3*Z487</f>
        <v/>
      </c>
      <c r="AJ487" s="207">
        <f>$AJ$3*AA487</f>
        <v/>
      </c>
      <c r="AK487" s="207">
        <f>$AK$3*AB487</f>
        <v/>
      </c>
      <c r="AL487" s="207">
        <f>$AL$3*AC487</f>
        <v/>
      </c>
      <c r="AM487" s="227">
        <f>SUM(AH487:AL487)</f>
        <v/>
      </c>
      <c r="AN487" s="227" t="n">
        <v>0</v>
      </c>
      <c r="AO487" s="220">
        <f>AN487*AH487</f>
        <v/>
      </c>
      <c r="AP487" s="220">
        <f>AD487</f>
        <v/>
      </c>
      <c r="AQ487" s="220">
        <f>AE487</f>
        <v/>
      </c>
      <c r="AR487" s="208">
        <f>AM487-AO487</f>
        <v/>
      </c>
      <c r="AS487" s="220">
        <f>AR487-AK487</f>
        <v/>
      </c>
      <c r="AT487" s="208">
        <f>AS487*1.075</f>
        <v/>
      </c>
      <c r="AU487" s="208">
        <f>AT487+AK487</f>
        <v/>
      </c>
      <c r="AV487" s="198" t="n">
        <v>394806.5987221971</v>
      </c>
      <c r="AW487" s="264" t="n">
        <v>0</v>
      </c>
      <c r="AX487" s="220">
        <f>AV487-AR487</f>
        <v/>
      </c>
      <c r="AY487" s="35">
        <f>AX487/AR487</f>
        <v/>
      </c>
      <c r="AZ487" s="220">
        <f>AV487-AF487</f>
        <v/>
      </c>
      <c r="BA487" s="215">
        <f>AV487-SUM(Z487:AC487)</f>
        <v/>
      </c>
      <c r="BB487" s="215">
        <f>BA487-Y487</f>
        <v/>
      </c>
      <c r="BC487" s="35">
        <f>BB487/BA487</f>
        <v/>
      </c>
      <c r="BD487" s="35">
        <f>IFERROR(AZ487/AV487,)</f>
        <v/>
      </c>
      <c r="BE487" s="255">
        <f>AV487-SUM(Z487:AC487)</f>
        <v/>
      </c>
      <c r="BF487" s="255">
        <f>AV487-BE487-AC487-AB487</f>
        <v/>
      </c>
      <c r="BG487" s="255">
        <f>AV487-BE487-BF487-AB487</f>
        <v/>
      </c>
      <c r="BH487" s="255">
        <f>AB487</f>
        <v/>
      </c>
      <c r="BI487" s="263" t="inlineStr">
        <is>
          <t>Worst Case Approved</t>
        </is>
      </c>
    </row>
    <row r="488">
      <c r="C488" s="23" t="inlineStr">
        <is>
          <t>YEKINI</t>
        </is>
      </c>
      <c r="D488">
        <f>CONCATENATE(G488,"-",H488,"-",F488)</f>
        <v/>
      </c>
      <c r="E488" s="24" t="inlineStr">
        <is>
          <t>JMG-10T-Hiabs Logistics-Upcountry</t>
        </is>
      </c>
      <c r="F488" s="23" t="inlineStr">
        <is>
          <t>Upcountry</t>
        </is>
      </c>
      <c r="G488" s="25" t="inlineStr">
        <is>
          <t>Hiabs Logistics</t>
        </is>
      </c>
      <c r="H488" s="24" t="inlineStr">
        <is>
          <t>10T</t>
        </is>
      </c>
      <c r="I488" s="73" t="inlineStr">
        <is>
          <t>JMG</t>
        </is>
      </c>
      <c r="J488" s="74" t="inlineStr">
        <is>
          <t>Lagos</t>
        </is>
      </c>
      <c r="K488" s="202" t="inlineStr">
        <is>
          <t>Akure</t>
        </is>
      </c>
      <c r="L488" s="77" t="inlineStr">
        <is>
          <t>Ondo</t>
        </is>
      </c>
      <c r="M488" s="66" t="n"/>
      <c r="N488" s="201">
        <f>O488/2</f>
        <v/>
      </c>
      <c r="O488" s="201" t="n">
        <v>608</v>
      </c>
      <c r="P488" s="227">
        <f>ROUNDUP(O488/300,)</f>
        <v/>
      </c>
      <c r="Q488" s="220" t="n">
        <v>0</v>
      </c>
      <c r="R488" s="227">
        <f>Q488+P488</f>
        <v/>
      </c>
      <c r="S488" s="198">
        <f>ROUNDDOWN(O488*0.51,)+60</f>
        <v/>
      </c>
      <c r="T488" s="207">
        <f>_xlfn.XLOOKUP(G488,[1]Fx!$A$4:$A$10,[1]Fx!$B$4:$B$10)</f>
        <v/>
      </c>
      <c r="U488" s="207">
        <f>_xlfn.XLOOKUP(G488,'[1]BP Setup'!$B$6:$B$72,'[1]BP Setup'!$Q$6:$Q$72)</f>
        <v/>
      </c>
      <c r="V488" s="207">
        <f>_xlfn.XLOOKUP(G488,'[1]BP Setup'!$B$6:$B$72,'[1]BP Setup'!$R$6:$R$72)</f>
        <v/>
      </c>
      <c r="W488" s="207">
        <f>$W$3</f>
        <v/>
      </c>
      <c r="X488" s="207" t="n">
        <v>80</v>
      </c>
      <c r="Y488" s="236">
        <f>T488*R488</f>
        <v/>
      </c>
      <c r="Z488" s="236">
        <f>U488*O488</f>
        <v/>
      </c>
      <c r="AA488" s="236">
        <f>V488*O488</f>
        <v/>
      </c>
      <c r="AB488" s="236">
        <f>W488*O488</f>
        <v/>
      </c>
      <c r="AC488" s="197">
        <f>X488*O488</f>
        <v/>
      </c>
      <c r="AD488" s="236" t="n">
        <v>0</v>
      </c>
      <c r="AE488" s="236" t="n">
        <v>0</v>
      </c>
      <c r="AF488" s="207">
        <f>SUM(Y488:AE488)</f>
        <v/>
      </c>
      <c r="AG488" s="254">
        <f>_xlfn.XLOOKUP(G488,[1]Fx!$A$16:$A$22,[1]Fx!$B$16:$B$22)</f>
        <v/>
      </c>
      <c r="AH488" s="207">
        <f>AG488*R488</f>
        <v/>
      </c>
      <c r="AI488" s="207">
        <f>$AI$3*Z488</f>
        <v/>
      </c>
      <c r="AJ488" s="207">
        <f>$AJ$3*AA488</f>
        <v/>
      </c>
      <c r="AK488" s="207">
        <f>$AK$3*AB488</f>
        <v/>
      </c>
      <c r="AL488" s="207">
        <f>$AL$3*AC488</f>
        <v/>
      </c>
      <c r="AM488" s="227">
        <f>SUM(AH488:AL488)</f>
        <v/>
      </c>
      <c r="AN488" s="227" t="n">
        <v>0</v>
      </c>
      <c r="AO488" s="220">
        <f>AN488*AH488</f>
        <v/>
      </c>
      <c r="AP488" s="220">
        <f>AD488</f>
        <v/>
      </c>
      <c r="AQ488" s="220">
        <f>AE488</f>
        <v/>
      </c>
      <c r="AR488" s="208">
        <f>AM488-AO488</f>
        <v/>
      </c>
      <c r="AS488" s="220">
        <f>AR488-AK488</f>
        <v/>
      </c>
      <c r="AT488" s="208">
        <f>AS488*1.075</f>
        <v/>
      </c>
      <c r="AU488" s="208">
        <f>AT488+AK488</f>
        <v/>
      </c>
      <c r="AV488" s="198" t="n">
        <v>394806.5987221971</v>
      </c>
      <c r="AW488" s="264" t="n">
        <v>0</v>
      </c>
      <c r="AX488" s="220">
        <f>AV488-AR488</f>
        <v/>
      </c>
      <c r="AY488" s="35">
        <f>AX488/AR488</f>
        <v/>
      </c>
      <c r="AZ488" s="220">
        <f>AV488-AF488</f>
        <v/>
      </c>
      <c r="BA488" s="215">
        <f>AV488-SUM(Z488:AC488)</f>
        <v/>
      </c>
      <c r="BB488" s="215">
        <f>BA488-Y488</f>
        <v/>
      </c>
      <c r="BC488" s="35">
        <f>BB488/BA488</f>
        <v/>
      </c>
      <c r="BD488" s="35">
        <f>IFERROR(AZ488/AV488,)</f>
        <v/>
      </c>
      <c r="BE488" s="255">
        <f>AV488-SUM(Z488:AC488)</f>
        <v/>
      </c>
      <c r="BF488" s="255">
        <f>AV488-BE488-AC488-AB488</f>
        <v/>
      </c>
      <c r="BG488" s="255">
        <f>AV488-BE488-BF488-AB488</f>
        <v/>
      </c>
      <c r="BH488" s="255">
        <f>AB488</f>
        <v/>
      </c>
      <c r="BI488" s="263" t="inlineStr">
        <is>
          <t>Worst Case Approved</t>
        </is>
      </c>
    </row>
    <row r="489">
      <c r="C489" s="23" t="inlineStr">
        <is>
          <t>YEKINI</t>
        </is>
      </c>
      <c r="D489">
        <f>CONCATENATE(G489,"-",H489,"-",F489)</f>
        <v/>
      </c>
      <c r="E489" s="24" t="inlineStr">
        <is>
          <t>JMG-10T-Hiabs Logistics-Upcountry</t>
        </is>
      </c>
      <c r="F489" s="23" t="inlineStr">
        <is>
          <t>Upcountry</t>
        </is>
      </c>
      <c r="G489" s="25" t="inlineStr">
        <is>
          <t>Hiabs Logistics</t>
        </is>
      </c>
      <c r="H489" s="24" t="inlineStr">
        <is>
          <t>10T</t>
        </is>
      </c>
      <c r="I489" s="73" t="inlineStr">
        <is>
          <t>JMG</t>
        </is>
      </c>
      <c r="J489" s="74" t="inlineStr">
        <is>
          <t>Lagos</t>
        </is>
      </c>
      <c r="K489" s="202" t="inlineStr">
        <is>
          <t>Ilorin</t>
        </is>
      </c>
      <c r="L489" s="77" t="inlineStr">
        <is>
          <t>Kwara</t>
        </is>
      </c>
      <c r="M489" s="66" t="n"/>
      <c r="N489" s="201">
        <f>O489/2</f>
        <v/>
      </c>
      <c r="O489" s="201" t="n">
        <v>595</v>
      </c>
      <c r="P489" s="227">
        <f>ROUNDUP(O489/300,)</f>
        <v/>
      </c>
      <c r="Q489" s="220" t="n">
        <v>0</v>
      </c>
      <c r="R489" s="227">
        <f>Q489+P489</f>
        <v/>
      </c>
      <c r="S489" s="198">
        <f>ROUNDDOWN(O489*0.51,)+60</f>
        <v/>
      </c>
      <c r="T489" s="207">
        <f>_xlfn.XLOOKUP(G489,[1]Fx!$A$4:$A$10,[1]Fx!$B$4:$B$10)</f>
        <v/>
      </c>
      <c r="U489" s="207">
        <f>_xlfn.XLOOKUP(G489,'[1]BP Setup'!$B$6:$B$72,'[1]BP Setup'!$Q$6:$Q$72)</f>
        <v/>
      </c>
      <c r="V489" s="207">
        <f>_xlfn.XLOOKUP(G489,'[1]BP Setup'!$B$6:$B$72,'[1]BP Setup'!$R$6:$R$72)</f>
        <v/>
      </c>
      <c r="W489" s="207">
        <f>$W$3</f>
        <v/>
      </c>
      <c r="X489" s="207" t="n">
        <v>80</v>
      </c>
      <c r="Y489" s="236">
        <f>T489*R489</f>
        <v/>
      </c>
      <c r="Z489" s="236">
        <f>U489*O489</f>
        <v/>
      </c>
      <c r="AA489" s="236">
        <f>V489*O489</f>
        <v/>
      </c>
      <c r="AB489" s="236">
        <f>W489*O489</f>
        <v/>
      </c>
      <c r="AC489" s="197">
        <f>X489*O489</f>
        <v/>
      </c>
      <c r="AD489" s="236" t="n">
        <v>0</v>
      </c>
      <c r="AE489" s="236" t="n">
        <v>0</v>
      </c>
      <c r="AF489" s="207">
        <f>SUM(Y489:AE489)</f>
        <v/>
      </c>
      <c r="AG489" s="254">
        <f>_xlfn.XLOOKUP(G489,[1]Fx!$A$16:$A$22,[1]Fx!$B$16:$B$22)</f>
        <v/>
      </c>
      <c r="AH489" s="207">
        <f>AG489*R489</f>
        <v/>
      </c>
      <c r="AI489" s="207">
        <f>$AI$3*Z489</f>
        <v/>
      </c>
      <c r="AJ489" s="207">
        <f>$AJ$3*AA489</f>
        <v/>
      </c>
      <c r="AK489" s="207">
        <f>$AK$3*AB489</f>
        <v/>
      </c>
      <c r="AL489" s="207">
        <f>$AL$3*AC489</f>
        <v/>
      </c>
      <c r="AM489" s="227">
        <f>SUM(AH489:AL489)</f>
        <v/>
      </c>
      <c r="AN489" s="227" t="n">
        <v>0</v>
      </c>
      <c r="AO489" s="220">
        <f>AN489*AH489</f>
        <v/>
      </c>
      <c r="AP489" s="220">
        <f>AD489</f>
        <v/>
      </c>
      <c r="AQ489" s="220">
        <f>AE489</f>
        <v/>
      </c>
      <c r="AR489" s="208">
        <f>AM489-AO489</f>
        <v/>
      </c>
      <c r="AS489" s="220">
        <f>AR489-AK489</f>
        <v/>
      </c>
      <c r="AT489" s="208">
        <f>AS489*1.075</f>
        <v/>
      </c>
      <c r="AU489" s="208">
        <f>AT489+AK489</f>
        <v/>
      </c>
      <c r="AV489" s="198" t="n">
        <v>263204.3991481314</v>
      </c>
      <c r="AW489" s="264" t="n">
        <v>0</v>
      </c>
      <c r="AX489" s="220">
        <f>AV489-AR489</f>
        <v/>
      </c>
      <c r="AY489" s="35">
        <f>AX489/AR489</f>
        <v/>
      </c>
      <c r="AZ489" s="220">
        <f>AV489-AF489</f>
        <v/>
      </c>
      <c r="BA489" s="215">
        <f>AV489-SUM(Z489:AC489)</f>
        <v/>
      </c>
      <c r="BB489" s="215">
        <f>BA489-Y489</f>
        <v/>
      </c>
      <c r="BC489" s="35">
        <f>BB489/BA489</f>
        <v/>
      </c>
      <c r="BD489" s="35">
        <f>IFERROR(AZ489/AV489,)</f>
        <v/>
      </c>
      <c r="BE489" s="255">
        <f>AV489-SUM(Z489:AC489)</f>
        <v/>
      </c>
      <c r="BF489" s="255">
        <f>AV489-BE489-AC489-AB489</f>
        <v/>
      </c>
      <c r="BG489" s="255">
        <f>AV489-BE489-BF489-AB489</f>
        <v/>
      </c>
      <c r="BH489" s="255">
        <f>AB489</f>
        <v/>
      </c>
      <c r="BI489" s="263" t="inlineStr">
        <is>
          <t>Worst Case Approved</t>
        </is>
      </c>
    </row>
    <row r="490">
      <c r="C490" s="23" t="inlineStr">
        <is>
          <t>YEKINI</t>
        </is>
      </c>
      <c r="D490">
        <f>CONCATENATE(G490,"-",H490,"-",F490)</f>
        <v/>
      </c>
      <c r="E490" s="24" t="inlineStr">
        <is>
          <t>JMG-10T-Hiabs Logistics-Upcountry</t>
        </is>
      </c>
      <c r="F490" s="23" t="inlineStr">
        <is>
          <t>Upcountry</t>
        </is>
      </c>
      <c r="G490" s="25" t="inlineStr">
        <is>
          <t>Hiabs Logistics</t>
        </is>
      </c>
      <c r="H490" s="24" t="inlineStr">
        <is>
          <t>10T</t>
        </is>
      </c>
      <c r="I490" s="73" t="inlineStr">
        <is>
          <t>JMG</t>
        </is>
      </c>
      <c r="J490" s="74" t="inlineStr">
        <is>
          <t>Lagos</t>
        </is>
      </c>
      <c r="K490" s="202" t="inlineStr">
        <is>
          <t>Iseyin</t>
        </is>
      </c>
      <c r="L490" s="77" t="inlineStr">
        <is>
          <t>Oyo</t>
        </is>
      </c>
      <c r="M490" s="66" t="n"/>
      <c r="N490" s="201">
        <f>O490/2</f>
        <v/>
      </c>
      <c r="O490" s="201" t="n">
        <v>595</v>
      </c>
      <c r="P490" s="227">
        <f>ROUNDUP(O490/300,)</f>
        <v/>
      </c>
      <c r="Q490" s="220" t="n">
        <v>0</v>
      </c>
      <c r="R490" s="227">
        <f>Q490+P490</f>
        <v/>
      </c>
      <c r="S490" s="198">
        <f>ROUNDDOWN(O490*0.51,)+60</f>
        <v/>
      </c>
      <c r="T490" s="207">
        <f>_xlfn.XLOOKUP(G490,[1]Fx!$A$4:$A$10,[1]Fx!$B$4:$B$10)</f>
        <v/>
      </c>
      <c r="U490" s="207">
        <f>_xlfn.XLOOKUP(G490,'[1]BP Setup'!$B$6:$B$72,'[1]BP Setup'!$Q$6:$Q$72)</f>
        <v/>
      </c>
      <c r="V490" s="207">
        <f>_xlfn.XLOOKUP(G490,'[1]BP Setup'!$B$6:$B$72,'[1]BP Setup'!$R$6:$R$72)</f>
        <v/>
      </c>
      <c r="W490" s="207">
        <f>$W$3</f>
        <v/>
      </c>
      <c r="X490" s="207" t="n">
        <v>80</v>
      </c>
      <c r="Y490" s="236">
        <f>T490*R490</f>
        <v/>
      </c>
      <c r="Z490" s="236">
        <f>U490*O490</f>
        <v/>
      </c>
      <c r="AA490" s="236">
        <f>V490*O490</f>
        <v/>
      </c>
      <c r="AB490" s="236">
        <f>W490*O490</f>
        <v/>
      </c>
      <c r="AC490" s="197">
        <f>X490*O490</f>
        <v/>
      </c>
      <c r="AD490" s="236" t="n">
        <v>0</v>
      </c>
      <c r="AE490" s="236" t="n">
        <v>0</v>
      </c>
      <c r="AF490" s="207">
        <f>SUM(Y490:AE490)</f>
        <v/>
      </c>
      <c r="AG490" s="254">
        <f>_xlfn.XLOOKUP(G490,[1]Fx!$A$16:$A$22,[1]Fx!$B$16:$B$22)</f>
        <v/>
      </c>
      <c r="AH490" s="207">
        <f>AG490*R490</f>
        <v/>
      </c>
      <c r="AI490" s="207">
        <f>$AI$3*Z490</f>
        <v/>
      </c>
      <c r="AJ490" s="207">
        <f>$AJ$3*AA490</f>
        <v/>
      </c>
      <c r="AK490" s="207">
        <f>$AK$3*AB490</f>
        <v/>
      </c>
      <c r="AL490" s="207">
        <f>$AL$3*AC490</f>
        <v/>
      </c>
      <c r="AM490" s="227">
        <f>SUM(AH490:AL490)</f>
        <v/>
      </c>
      <c r="AN490" s="227" t="n">
        <v>0</v>
      </c>
      <c r="AO490" s="220">
        <f>AN490*AH490</f>
        <v/>
      </c>
      <c r="AP490" s="220">
        <f>AD490</f>
        <v/>
      </c>
      <c r="AQ490" s="220">
        <f>AE490</f>
        <v/>
      </c>
      <c r="AR490" s="208">
        <f>AM490-AO490</f>
        <v/>
      </c>
      <c r="AS490" s="220">
        <f>AR490-AK490</f>
        <v/>
      </c>
      <c r="AT490" s="208">
        <f>AS490*1.075</f>
        <v/>
      </c>
      <c r="AU490" s="208">
        <f>AT490+AK490</f>
        <v/>
      </c>
      <c r="AV490" s="198" t="n">
        <v>263204.3991481314</v>
      </c>
      <c r="AW490" s="264" t="n">
        <v>0</v>
      </c>
      <c r="AX490" s="220">
        <f>AV490-AR490</f>
        <v/>
      </c>
      <c r="AY490" s="35">
        <f>AX490/AR490</f>
        <v/>
      </c>
      <c r="AZ490" s="220">
        <f>AV490-AF490</f>
        <v/>
      </c>
      <c r="BA490" s="215">
        <f>AV490-SUM(Z490:AC490)</f>
        <v/>
      </c>
      <c r="BB490" s="215">
        <f>BA490-Y490</f>
        <v/>
      </c>
      <c r="BC490" s="35">
        <f>BB490/BA490</f>
        <v/>
      </c>
      <c r="BD490" s="35">
        <f>IFERROR(AZ490/AV490,)</f>
        <v/>
      </c>
      <c r="BE490" s="255">
        <f>AV490-SUM(Z490:AC490)</f>
        <v/>
      </c>
      <c r="BF490" s="255">
        <f>AV490-BE490-AC490-AB490</f>
        <v/>
      </c>
      <c r="BG490" s="255">
        <f>AV490-BE490-BF490-AB490</f>
        <v/>
      </c>
      <c r="BH490" s="255">
        <f>AB490</f>
        <v/>
      </c>
      <c r="BI490" s="263" t="inlineStr">
        <is>
          <t>Worst Case Approved</t>
        </is>
      </c>
    </row>
    <row r="491">
      <c r="C491" s="23" t="inlineStr">
        <is>
          <t>YEKINI</t>
        </is>
      </c>
      <c r="D491">
        <f>CONCATENATE(G491,"-",H491,"-",F491)</f>
        <v/>
      </c>
      <c r="E491" s="24" t="inlineStr">
        <is>
          <t>JMG-10T-Hiabs Logistics-Upcountry</t>
        </is>
      </c>
      <c r="F491" s="23" t="inlineStr">
        <is>
          <t>Upcountry</t>
        </is>
      </c>
      <c r="G491" s="25" t="inlineStr">
        <is>
          <t>Hiabs Logistics</t>
        </is>
      </c>
      <c r="H491" s="24" t="inlineStr">
        <is>
          <t>10T</t>
        </is>
      </c>
      <c r="I491" s="73" t="inlineStr">
        <is>
          <t>JMG</t>
        </is>
      </c>
      <c r="J491" s="74" t="inlineStr">
        <is>
          <t>Lagos</t>
        </is>
      </c>
      <c r="K491" s="202" t="inlineStr">
        <is>
          <t>Osun</t>
        </is>
      </c>
      <c r="L491" s="77" t="inlineStr">
        <is>
          <t>Osun</t>
        </is>
      </c>
      <c r="M491" s="66" t="n"/>
      <c r="N491" s="201">
        <f>O491/2</f>
        <v/>
      </c>
      <c r="O491" s="201" t="n">
        <v>407</v>
      </c>
      <c r="P491" s="227">
        <f>ROUNDUP(O491/300,)</f>
        <v/>
      </c>
      <c r="Q491" s="220" t="n">
        <v>0</v>
      </c>
      <c r="R491" s="227">
        <f>Q491+P491</f>
        <v/>
      </c>
      <c r="S491" s="198">
        <f>ROUNDDOWN(O491*0.51,)+60</f>
        <v/>
      </c>
      <c r="T491" s="207">
        <f>_xlfn.XLOOKUP(G491,[1]Fx!$A$4:$A$10,[1]Fx!$B$4:$B$10)</f>
        <v/>
      </c>
      <c r="U491" s="207">
        <f>_xlfn.XLOOKUP(G491,'[1]BP Setup'!$B$6:$B$72,'[1]BP Setup'!$Q$6:$Q$72)</f>
        <v/>
      </c>
      <c r="V491" s="207">
        <f>_xlfn.XLOOKUP(G491,'[1]BP Setup'!$B$6:$B$72,'[1]BP Setup'!$R$6:$R$72)</f>
        <v/>
      </c>
      <c r="W491" s="207">
        <f>$W$3</f>
        <v/>
      </c>
      <c r="X491" s="207" t="n">
        <v>80</v>
      </c>
      <c r="Y491" s="236">
        <f>T491*R491</f>
        <v/>
      </c>
      <c r="Z491" s="236">
        <f>U491*O491</f>
        <v/>
      </c>
      <c r="AA491" s="236">
        <f>V491*O491</f>
        <v/>
      </c>
      <c r="AB491" s="236">
        <f>W491*O491</f>
        <v/>
      </c>
      <c r="AC491" s="197">
        <f>X491*O491</f>
        <v/>
      </c>
      <c r="AD491" s="236" t="n">
        <v>0</v>
      </c>
      <c r="AE491" s="236" t="n">
        <v>0</v>
      </c>
      <c r="AF491" s="207">
        <f>SUM(Y491:AE491)</f>
        <v/>
      </c>
      <c r="AG491" s="254">
        <f>_xlfn.XLOOKUP(G491,[1]Fx!$A$16:$A$22,[1]Fx!$B$16:$B$22)</f>
        <v/>
      </c>
      <c r="AH491" s="207">
        <f>AG491*R491</f>
        <v/>
      </c>
      <c r="AI491" s="207">
        <f>$AI$3*Z491</f>
        <v/>
      </c>
      <c r="AJ491" s="207">
        <f>$AJ$3*AA491</f>
        <v/>
      </c>
      <c r="AK491" s="207">
        <f>$AK$3*AB491</f>
        <v/>
      </c>
      <c r="AL491" s="207">
        <f>$AL$3*AC491</f>
        <v/>
      </c>
      <c r="AM491" s="227">
        <f>SUM(AH491:AL491)</f>
        <v/>
      </c>
      <c r="AN491" s="227" t="n">
        <v>0</v>
      </c>
      <c r="AO491" s="220">
        <f>AN491*AH491</f>
        <v/>
      </c>
      <c r="AP491" s="220">
        <f>AD491</f>
        <v/>
      </c>
      <c r="AQ491" s="220">
        <f>AE491</f>
        <v/>
      </c>
      <c r="AR491" s="208">
        <f>AM491-AO491</f>
        <v/>
      </c>
      <c r="AS491" s="220">
        <f>AR491-AK491</f>
        <v/>
      </c>
      <c r="AT491" s="208">
        <f>AS491*1.075</f>
        <v/>
      </c>
      <c r="AU491" s="208">
        <f>AT491+AK491</f>
        <v/>
      </c>
      <c r="AV491" s="198" t="n">
        <v>263204.3991481314</v>
      </c>
      <c r="AW491" s="264" t="n">
        <v>0</v>
      </c>
      <c r="AX491" s="220">
        <f>AV491-AR491</f>
        <v/>
      </c>
      <c r="AY491" s="35">
        <f>AX491/AR491</f>
        <v/>
      </c>
      <c r="AZ491" s="220">
        <f>AV491-AF491</f>
        <v/>
      </c>
      <c r="BA491" s="215">
        <f>AV491-SUM(Z491:AC491)</f>
        <v/>
      </c>
      <c r="BB491" s="215">
        <f>BA491-Y491</f>
        <v/>
      </c>
      <c r="BC491" s="35">
        <f>BB491/BA491</f>
        <v/>
      </c>
      <c r="BD491" s="35">
        <f>IFERROR(AZ491/AV491,)</f>
        <v/>
      </c>
      <c r="BE491" s="255">
        <f>AV491-SUM(Z491:AC491)</f>
        <v/>
      </c>
      <c r="BF491" s="255">
        <f>AV491-BE491-AC491-AB491</f>
        <v/>
      </c>
      <c r="BG491" s="255">
        <f>AV491-BE491-BF491-AB491</f>
        <v/>
      </c>
      <c r="BH491" s="255">
        <f>AB491</f>
        <v/>
      </c>
      <c r="BI491" s="263" t="inlineStr">
        <is>
          <t>Worst Case Approved</t>
        </is>
      </c>
    </row>
    <row r="492">
      <c r="C492" s="23" t="inlineStr">
        <is>
          <t>YEKINI</t>
        </is>
      </c>
      <c r="D492">
        <f>CONCATENATE(G492,"-",H492,"-",F492)</f>
        <v/>
      </c>
      <c r="E492" s="24" t="inlineStr">
        <is>
          <t>JMG-10T-Hiabs Logistics-Upcountry</t>
        </is>
      </c>
      <c r="F492" s="23" t="inlineStr">
        <is>
          <t>Upcountry</t>
        </is>
      </c>
      <c r="G492" s="25" t="inlineStr">
        <is>
          <t>Hiabs Logistics</t>
        </is>
      </c>
      <c r="H492" s="24" t="inlineStr">
        <is>
          <t>10T</t>
        </is>
      </c>
      <c r="I492" s="73" t="inlineStr">
        <is>
          <t>JMG</t>
        </is>
      </c>
      <c r="J492" s="74" t="inlineStr">
        <is>
          <t>Lagos</t>
        </is>
      </c>
      <c r="K492" s="202" t="inlineStr">
        <is>
          <t>Ijebu-Ode</t>
        </is>
      </c>
      <c r="L492" s="77" t="inlineStr">
        <is>
          <t>Ogun</t>
        </is>
      </c>
      <c r="M492" s="66" t="n"/>
      <c r="N492" s="201">
        <f>O492/2</f>
        <v/>
      </c>
      <c r="O492" s="200" t="n">
        <v>200</v>
      </c>
      <c r="P492" s="227">
        <f>ROUNDUP(O492/300,)</f>
        <v/>
      </c>
      <c r="Q492" s="220" t="n">
        <v>0</v>
      </c>
      <c r="R492" s="227">
        <f>Q492+P492</f>
        <v/>
      </c>
      <c r="S492" s="198">
        <f>ROUNDDOWN(O492*0.51,)+60</f>
        <v/>
      </c>
      <c r="T492" s="207">
        <f>_xlfn.XLOOKUP(G492,[1]Fx!$A$4:$A$10,[1]Fx!$B$4:$B$10)</f>
        <v/>
      </c>
      <c r="U492" s="207">
        <f>_xlfn.XLOOKUP(G492,'[1]BP Setup'!$B$6:$B$72,'[1]BP Setup'!$Q$6:$Q$72)</f>
        <v/>
      </c>
      <c r="V492" s="207">
        <f>_xlfn.XLOOKUP(G492,'[1]BP Setup'!$B$6:$B$72,'[1]BP Setup'!$R$6:$R$72)</f>
        <v/>
      </c>
      <c r="W492" s="207">
        <f>$W$3</f>
        <v/>
      </c>
      <c r="X492" s="207" t="n">
        <v>80</v>
      </c>
      <c r="Y492" s="236">
        <f>T492*R492</f>
        <v/>
      </c>
      <c r="Z492" s="236">
        <f>U492*O492</f>
        <v/>
      </c>
      <c r="AA492" s="236">
        <f>V492*O492</f>
        <v/>
      </c>
      <c r="AB492" s="236">
        <f>W492*O492</f>
        <v/>
      </c>
      <c r="AC492" s="197">
        <f>X492*O492</f>
        <v/>
      </c>
      <c r="AD492" s="236" t="n">
        <v>0</v>
      </c>
      <c r="AE492" s="236" t="n">
        <v>0</v>
      </c>
      <c r="AF492" s="207">
        <f>SUM(Y492:AE492)</f>
        <v/>
      </c>
      <c r="AG492" s="254">
        <f>_xlfn.XLOOKUP(G492,[1]Fx!$A$16:$A$22,[1]Fx!$B$16:$B$22)</f>
        <v/>
      </c>
      <c r="AH492" s="207">
        <f>AG492*R492</f>
        <v/>
      </c>
      <c r="AI492" s="207">
        <f>$AI$3*Z492</f>
        <v/>
      </c>
      <c r="AJ492" s="207">
        <f>$AJ$3*AA492</f>
        <v/>
      </c>
      <c r="AK492" s="207">
        <f>$AK$3*AB492</f>
        <v/>
      </c>
      <c r="AL492" s="207">
        <f>$AL$3*AC492</f>
        <v/>
      </c>
      <c r="AM492" s="227">
        <f>SUM(AH492:AL492)</f>
        <v/>
      </c>
      <c r="AN492" s="227" t="n">
        <v>0</v>
      </c>
      <c r="AO492" s="220">
        <f>AN492*AH492</f>
        <v/>
      </c>
      <c r="AP492" s="220">
        <f>AD492</f>
        <v/>
      </c>
      <c r="AQ492" s="220">
        <f>AE492</f>
        <v/>
      </c>
      <c r="AR492" s="208">
        <f>AM492-AO492</f>
        <v/>
      </c>
      <c r="AS492" s="220">
        <f>AR492-AK492</f>
        <v/>
      </c>
      <c r="AT492" s="208">
        <f>AS492*1.075</f>
        <v/>
      </c>
      <c r="AU492" s="208">
        <f>AT492+AK492</f>
        <v/>
      </c>
      <c r="AV492" s="198" t="n">
        <v>131602.1995740657</v>
      </c>
      <c r="AW492" s="264" t="n">
        <v>0</v>
      </c>
      <c r="AX492" s="220">
        <f>AV492-AR492</f>
        <v/>
      </c>
      <c r="AY492" s="35">
        <f>AX492/AR492</f>
        <v/>
      </c>
      <c r="AZ492" s="220">
        <f>AV492-AF492</f>
        <v/>
      </c>
      <c r="BA492" s="215">
        <f>AV492-SUM(Z492:AC492)</f>
        <v/>
      </c>
      <c r="BB492" s="215">
        <f>BA492-Y492</f>
        <v/>
      </c>
      <c r="BC492" s="35">
        <f>BB492/BA492</f>
        <v/>
      </c>
      <c r="BD492" s="35">
        <f>IFERROR(AZ492/AV492,)</f>
        <v/>
      </c>
      <c r="BE492" s="255">
        <f>AV492-SUM(Z492:AC492)</f>
        <v/>
      </c>
      <c r="BF492" s="255">
        <f>AV492-BE492-AC492-AB492</f>
        <v/>
      </c>
      <c r="BG492" s="255">
        <f>AV492-BE492-BF492-AB492</f>
        <v/>
      </c>
      <c r="BH492" s="255">
        <f>AB492</f>
        <v/>
      </c>
      <c r="BI492" s="263" t="inlineStr">
        <is>
          <t>Worst Case Approved</t>
        </is>
      </c>
    </row>
    <row r="493">
      <c r="C493" s="23" t="inlineStr">
        <is>
          <t>YEKINI</t>
        </is>
      </c>
      <c r="D493">
        <f>CONCATENATE(G493,"-",H493,"-",F493)</f>
        <v/>
      </c>
      <c r="E493" s="24" t="inlineStr">
        <is>
          <t>JMG-10T-Hiabs Logistics-Upcountry</t>
        </is>
      </c>
      <c r="F493" s="23" t="inlineStr">
        <is>
          <t>Upcountry</t>
        </is>
      </c>
      <c r="G493" s="25" t="inlineStr">
        <is>
          <t>Hiabs Logistics</t>
        </is>
      </c>
      <c r="H493" s="24" t="inlineStr">
        <is>
          <t>10T</t>
        </is>
      </c>
      <c r="I493" s="73" t="inlineStr">
        <is>
          <t>JMG</t>
        </is>
      </c>
      <c r="J493" s="74" t="inlineStr">
        <is>
          <t>Lagos</t>
        </is>
      </c>
      <c r="K493" s="202" t="inlineStr">
        <is>
          <t>Ile-Ife</t>
        </is>
      </c>
      <c r="L493" s="77" t="inlineStr">
        <is>
          <t>Osun</t>
        </is>
      </c>
      <c r="M493" s="66" t="n"/>
      <c r="N493" s="201">
        <f>O493/2</f>
        <v/>
      </c>
      <c r="O493" s="200" t="n">
        <v>405</v>
      </c>
      <c r="P493" s="227">
        <f>ROUNDUP(O493/300,)</f>
        <v/>
      </c>
      <c r="Q493" s="220" t="n">
        <v>0</v>
      </c>
      <c r="R493" s="227">
        <f>Q493+P493</f>
        <v/>
      </c>
      <c r="S493" s="198">
        <f>ROUNDDOWN(O493*0.51,)+60</f>
        <v/>
      </c>
      <c r="T493" s="207">
        <f>_xlfn.XLOOKUP(G493,[1]Fx!$A$4:$A$10,[1]Fx!$B$4:$B$10)</f>
        <v/>
      </c>
      <c r="U493" s="207">
        <f>_xlfn.XLOOKUP(G493,'[1]BP Setup'!$B$6:$B$72,'[1]BP Setup'!$Q$6:$Q$72)</f>
        <v/>
      </c>
      <c r="V493" s="207">
        <f>_xlfn.XLOOKUP(G493,'[1]BP Setup'!$B$6:$B$72,'[1]BP Setup'!$R$6:$R$72)</f>
        <v/>
      </c>
      <c r="W493" s="207">
        <f>$W$3</f>
        <v/>
      </c>
      <c r="X493" s="207" t="n">
        <v>80</v>
      </c>
      <c r="Y493" s="236">
        <f>T493*R493</f>
        <v/>
      </c>
      <c r="Z493" s="236">
        <f>U493*O493</f>
        <v/>
      </c>
      <c r="AA493" s="236">
        <f>V493*O493</f>
        <v/>
      </c>
      <c r="AB493" s="236">
        <f>W493*O493</f>
        <v/>
      </c>
      <c r="AC493" s="197">
        <f>X493*O493</f>
        <v/>
      </c>
      <c r="AD493" s="236" t="n">
        <v>0</v>
      </c>
      <c r="AE493" s="236" t="n">
        <v>0</v>
      </c>
      <c r="AF493" s="207">
        <f>SUM(Y493:AE493)</f>
        <v/>
      </c>
      <c r="AG493" s="254">
        <f>_xlfn.XLOOKUP(G493,[1]Fx!$A$16:$A$22,[1]Fx!$B$16:$B$22)</f>
        <v/>
      </c>
      <c r="AH493" s="207">
        <f>AG493*R493</f>
        <v/>
      </c>
      <c r="AI493" s="207">
        <f>$AI$3*Z493</f>
        <v/>
      </c>
      <c r="AJ493" s="207">
        <f>$AJ$3*AA493</f>
        <v/>
      </c>
      <c r="AK493" s="207">
        <f>$AK$3*AB493</f>
        <v/>
      </c>
      <c r="AL493" s="207">
        <f>$AL$3*AC493</f>
        <v/>
      </c>
      <c r="AM493" s="227">
        <f>SUM(AH493:AL493)</f>
        <v/>
      </c>
      <c r="AN493" s="227" t="n">
        <v>0</v>
      </c>
      <c r="AO493" s="220">
        <f>AN493*AH493</f>
        <v/>
      </c>
      <c r="AP493" s="220">
        <f>AD493</f>
        <v/>
      </c>
      <c r="AQ493" s="220">
        <f>AE493</f>
        <v/>
      </c>
      <c r="AR493" s="208">
        <f>AM493-AO493</f>
        <v/>
      </c>
      <c r="AS493" s="220">
        <f>AR493-AK493</f>
        <v/>
      </c>
      <c r="AT493" s="208">
        <f>AS493*1.075</f>
        <v/>
      </c>
      <c r="AU493" s="208">
        <f>AT493+AK493</f>
        <v/>
      </c>
      <c r="AV493" s="198" t="n">
        <v>263204.3991481314</v>
      </c>
      <c r="AW493" s="264" t="n">
        <v>0</v>
      </c>
      <c r="AX493" s="220">
        <f>AV493-AR493</f>
        <v/>
      </c>
      <c r="AY493" s="35">
        <f>AX493/AR493</f>
        <v/>
      </c>
      <c r="AZ493" s="220">
        <f>AV493-AF493</f>
        <v/>
      </c>
      <c r="BA493" s="215">
        <f>AV493-SUM(Z493:AC493)</f>
        <v/>
      </c>
      <c r="BB493" s="215">
        <f>BA493-Y493</f>
        <v/>
      </c>
      <c r="BC493" s="35">
        <f>BB493/BA493</f>
        <v/>
      </c>
      <c r="BD493" s="35">
        <f>IFERROR(AZ493/AV493,)</f>
        <v/>
      </c>
      <c r="BE493" s="255">
        <f>AV493-SUM(Z493:AC493)</f>
        <v/>
      </c>
      <c r="BF493" s="255">
        <f>AV493-BE493-AC493-AB493</f>
        <v/>
      </c>
      <c r="BG493" s="255">
        <f>AV493-BE493-BF493-AB493</f>
        <v/>
      </c>
      <c r="BH493" s="255">
        <f>AB493</f>
        <v/>
      </c>
      <c r="BI493" s="263" t="inlineStr">
        <is>
          <t>Approved</t>
        </is>
      </c>
    </row>
    <row r="494">
      <c r="C494" s="23" t="inlineStr">
        <is>
          <t>YEKINI</t>
        </is>
      </c>
      <c r="D494">
        <f>CONCATENATE(G494,"-",H494,"-",F494)</f>
        <v/>
      </c>
      <c r="E494" s="24" t="inlineStr">
        <is>
          <t>JMG-10T-Hiabs Logistics-Upcountry</t>
        </is>
      </c>
      <c r="F494" s="23" t="inlineStr">
        <is>
          <t>Upcountry</t>
        </is>
      </c>
      <c r="G494" s="25" t="inlineStr">
        <is>
          <t>Hiabs Logistics</t>
        </is>
      </c>
      <c r="H494" s="24" t="inlineStr">
        <is>
          <t>10T</t>
        </is>
      </c>
      <c r="I494" s="73" t="inlineStr">
        <is>
          <t>JMG</t>
        </is>
      </c>
      <c r="J494" s="74" t="inlineStr">
        <is>
          <t>Lagos</t>
        </is>
      </c>
      <c r="K494" s="202" t="inlineStr">
        <is>
          <t>Ibadan</t>
        </is>
      </c>
      <c r="L494" s="77" t="inlineStr">
        <is>
          <t>Oyo</t>
        </is>
      </c>
      <c r="M494" s="66" t="n"/>
      <c r="N494" s="201">
        <f>O494/2</f>
        <v/>
      </c>
      <c r="O494" s="201" t="n">
        <v>241</v>
      </c>
      <c r="P494" s="227">
        <f>ROUNDUP(O494/300,)</f>
        <v/>
      </c>
      <c r="Q494" s="220" t="n">
        <v>0</v>
      </c>
      <c r="R494" s="227">
        <f>Q494+P494</f>
        <v/>
      </c>
      <c r="S494" s="198">
        <f>ROUNDDOWN(O494*0.51,)+60</f>
        <v/>
      </c>
      <c r="T494" s="207">
        <f>_xlfn.XLOOKUP(G494,[1]Fx!$A$4:$A$10,[1]Fx!$B$4:$B$10)</f>
        <v/>
      </c>
      <c r="U494" s="207">
        <f>_xlfn.XLOOKUP(G494,'[1]BP Setup'!$B$6:$B$72,'[1]BP Setup'!$Q$6:$Q$72)</f>
        <v/>
      </c>
      <c r="V494" s="207">
        <f>_xlfn.XLOOKUP(G494,'[1]BP Setup'!$B$6:$B$72,'[1]BP Setup'!$R$6:$R$72)</f>
        <v/>
      </c>
      <c r="W494" s="207">
        <f>$W$3</f>
        <v/>
      </c>
      <c r="X494" s="207" t="n">
        <v>80</v>
      </c>
      <c r="Y494" s="236">
        <f>T494*R494</f>
        <v/>
      </c>
      <c r="Z494" s="236">
        <f>U494*O494</f>
        <v/>
      </c>
      <c r="AA494" s="236">
        <f>V494*O494</f>
        <v/>
      </c>
      <c r="AB494" s="236">
        <f>W494*O494</f>
        <v/>
      </c>
      <c r="AC494" s="197">
        <f>X494*O494</f>
        <v/>
      </c>
      <c r="AD494" s="236" t="n">
        <v>0</v>
      </c>
      <c r="AE494" s="236" t="n">
        <v>0</v>
      </c>
      <c r="AF494" s="207">
        <f>SUM(Y494:AE494)</f>
        <v/>
      </c>
      <c r="AG494" s="254">
        <f>_xlfn.XLOOKUP(G494,[1]Fx!$A$16:$A$22,[1]Fx!$B$16:$B$22)</f>
        <v/>
      </c>
      <c r="AH494" s="207">
        <f>AG494*R494</f>
        <v/>
      </c>
      <c r="AI494" s="207">
        <f>$AI$3*Z494</f>
        <v/>
      </c>
      <c r="AJ494" s="207">
        <f>$AJ$3*AA494</f>
        <v/>
      </c>
      <c r="AK494" s="207">
        <f>$AK$3*AB494</f>
        <v/>
      </c>
      <c r="AL494" s="207">
        <f>$AL$3*AC494</f>
        <v/>
      </c>
      <c r="AM494" s="227">
        <f>SUM(AH494:AL494)</f>
        <v/>
      </c>
      <c r="AN494" s="227" t="n">
        <v>0</v>
      </c>
      <c r="AO494" s="220">
        <f>AN494*AH494</f>
        <v/>
      </c>
      <c r="AP494" s="220">
        <f>AD494</f>
        <v/>
      </c>
      <c r="AQ494" s="220">
        <f>AE494</f>
        <v/>
      </c>
      <c r="AR494" s="208">
        <f>AM494-AO494</f>
        <v/>
      </c>
      <c r="AS494" s="220">
        <f>AR494-AK494</f>
        <v/>
      </c>
      <c r="AT494" s="208">
        <f>AS494*1.075</f>
        <v/>
      </c>
      <c r="AU494" s="208">
        <f>AT494+AK494</f>
        <v/>
      </c>
      <c r="AV494" s="198" t="n">
        <v>131602.1995740657</v>
      </c>
      <c r="AW494" s="264" t="n">
        <v>0</v>
      </c>
      <c r="AX494" s="220">
        <f>AV494-AR494</f>
        <v/>
      </c>
      <c r="AY494" s="35">
        <f>AX494/AR494</f>
        <v/>
      </c>
      <c r="AZ494" s="220">
        <f>AV494-AF494</f>
        <v/>
      </c>
      <c r="BA494" s="215">
        <f>AV494-SUM(Z494:AC494)</f>
        <v/>
      </c>
      <c r="BB494" s="215">
        <f>BA494-Y494</f>
        <v/>
      </c>
      <c r="BC494" s="35">
        <f>BB494/BA494</f>
        <v/>
      </c>
      <c r="BD494" s="35">
        <f>IFERROR(AZ494/AV494,)</f>
        <v/>
      </c>
      <c r="BE494" s="255">
        <f>AV494-SUM(Z494:AC494)</f>
        <v/>
      </c>
      <c r="BF494" s="255">
        <f>AV494-BE494-AC494-AB494</f>
        <v/>
      </c>
      <c r="BG494" s="255">
        <f>AV494-BE494-BF494-AB494</f>
        <v/>
      </c>
      <c r="BH494" s="255">
        <f>AB494</f>
        <v/>
      </c>
      <c r="BI494" s="263" t="inlineStr">
        <is>
          <t>Worst Case Approved</t>
        </is>
      </c>
    </row>
    <row r="495">
      <c r="C495" s="23" t="inlineStr">
        <is>
          <t>YEKINI</t>
        </is>
      </c>
      <c r="D495">
        <f>CONCATENATE(G495,"-",H495,"-",F495)</f>
        <v/>
      </c>
      <c r="E495" s="24" t="inlineStr">
        <is>
          <t>JMG-10T-Hiabs Logistics-Local</t>
        </is>
      </c>
      <c r="F495" s="23" t="inlineStr">
        <is>
          <t>Local</t>
        </is>
      </c>
      <c r="G495" s="25" t="inlineStr">
        <is>
          <t>Hiabs Logistics</t>
        </is>
      </c>
      <c r="H495" s="24" t="inlineStr">
        <is>
          <t>10T</t>
        </is>
      </c>
      <c r="I495" s="73" t="inlineStr">
        <is>
          <t>JMG</t>
        </is>
      </c>
      <c r="J495" s="74" t="inlineStr">
        <is>
          <t>Lagos</t>
        </is>
      </c>
      <c r="K495" s="202" t="inlineStr">
        <is>
          <t>Abeokuta</t>
        </is>
      </c>
      <c r="L495" s="77" t="inlineStr">
        <is>
          <t>Ogun</t>
        </is>
      </c>
      <c r="M495" s="66" t="n"/>
      <c r="N495" s="201">
        <f>O495/2</f>
        <v/>
      </c>
      <c r="O495" s="201" t="n">
        <v>199</v>
      </c>
      <c r="P495" s="227">
        <f>ROUNDUP(O495/300,)</f>
        <v/>
      </c>
      <c r="Q495" s="220" t="n">
        <v>0</v>
      </c>
      <c r="R495" s="227">
        <f>Q495+P495</f>
        <v/>
      </c>
      <c r="S495" s="198">
        <f>ROUNDDOWN(O495*0.51,)+60</f>
        <v/>
      </c>
      <c r="T495" s="207">
        <f>_xlfn.XLOOKUP(G495,[1]Fx!$A$4:$A$10,[1]Fx!$B$4:$B$10)</f>
        <v/>
      </c>
      <c r="U495" s="207">
        <f>_xlfn.XLOOKUP(G495,'[1]BP Setup'!$B$6:$B$72,'[1]BP Setup'!$Q$6:$Q$72)</f>
        <v/>
      </c>
      <c r="V495" s="207">
        <f>_xlfn.XLOOKUP(G495,'[1]BP Setup'!$B$6:$B$72,'[1]BP Setup'!$R$6:$R$72)</f>
        <v/>
      </c>
      <c r="W495" s="207">
        <f>$W$3</f>
        <v/>
      </c>
      <c r="X495" s="207" t="n">
        <v>80</v>
      </c>
      <c r="Y495" s="236">
        <f>T495*R495</f>
        <v/>
      </c>
      <c r="Z495" s="236">
        <f>U495*O495</f>
        <v/>
      </c>
      <c r="AA495" s="236">
        <f>V495*O495</f>
        <v/>
      </c>
      <c r="AB495" s="236">
        <f>W495*O495</f>
        <v/>
      </c>
      <c r="AC495" s="197">
        <f>X495*O495</f>
        <v/>
      </c>
      <c r="AD495" s="236" t="n">
        <v>0</v>
      </c>
      <c r="AE495" s="236" t="n">
        <v>0</v>
      </c>
      <c r="AF495" s="207">
        <f>SUM(Y495:AE495)</f>
        <v/>
      </c>
      <c r="AG495" s="254">
        <f>_xlfn.XLOOKUP(G495,[1]Fx!$A$16:$A$22,[1]Fx!$B$16:$B$22)</f>
        <v/>
      </c>
      <c r="AH495" s="207">
        <f>AG495*R495</f>
        <v/>
      </c>
      <c r="AI495" s="207">
        <f>$AI$3*Z495</f>
        <v/>
      </c>
      <c r="AJ495" s="207">
        <f>$AJ$3*AA495</f>
        <v/>
      </c>
      <c r="AK495" s="207">
        <f>$AK$3*AB495</f>
        <v/>
      </c>
      <c r="AL495" s="207">
        <f>$AL$3*AC495</f>
        <v/>
      </c>
      <c r="AM495" s="227">
        <f>SUM(AH495:AL495)</f>
        <v/>
      </c>
      <c r="AN495" s="227" t="n">
        <v>0</v>
      </c>
      <c r="AO495" s="220">
        <f>AN495*AH495</f>
        <v/>
      </c>
      <c r="AP495" s="220">
        <f>AD495</f>
        <v/>
      </c>
      <c r="AQ495" s="220">
        <f>AE495</f>
        <v/>
      </c>
      <c r="AR495" s="208">
        <f>AM495-AO495</f>
        <v/>
      </c>
      <c r="AS495" s="220">
        <f>AR495-AK495</f>
        <v/>
      </c>
      <c r="AT495" s="208">
        <f>AS495*1.075</f>
        <v/>
      </c>
      <c r="AU495" s="208">
        <f>AT495+AK495</f>
        <v/>
      </c>
      <c r="AV495" s="198" t="n">
        <v>131602.1995740657</v>
      </c>
      <c r="AW495" s="264" t="n">
        <v>0</v>
      </c>
      <c r="AX495" s="220">
        <f>AV495-AR495</f>
        <v/>
      </c>
      <c r="AY495" s="35">
        <f>AX495/AR495</f>
        <v/>
      </c>
      <c r="AZ495" s="220">
        <f>AV495-AF495</f>
        <v/>
      </c>
      <c r="BA495" s="215">
        <f>AV495-SUM(Z495:AC495)</f>
        <v/>
      </c>
      <c r="BB495" s="215">
        <f>BA495-Y495</f>
        <v/>
      </c>
      <c r="BC495" s="35">
        <f>BB495/BA495</f>
        <v/>
      </c>
      <c r="BD495" s="35">
        <f>IFERROR(AZ495/AV495,)</f>
        <v/>
      </c>
      <c r="BE495" s="255">
        <f>AV495-SUM(Z495:AC495)</f>
        <v/>
      </c>
      <c r="BF495" s="255">
        <f>AV495-BE495-AC495-AB495</f>
        <v/>
      </c>
      <c r="BG495" s="255">
        <f>AV495-BE495-BF495-AB495</f>
        <v/>
      </c>
      <c r="BH495" s="255">
        <f>AB495</f>
        <v/>
      </c>
      <c r="BI495" s="263" t="inlineStr">
        <is>
          <t>Worst Case Approved</t>
        </is>
      </c>
    </row>
    <row r="496">
      <c r="C496" s="23" t="inlineStr">
        <is>
          <t>YEKINI</t>
        </is>
      </c>
      <c r="D496">
        <f>CONCATENATE(G496,"-",H496,"-",F496)</f>
        <v/>
      </c>
      <c r="E496" s="24" t="inlineStr">
        <is>
          <t>JMG-10T-Hiabs Logistics-Local</t>
        </is>
      </c>
      <c r="F496" s="23" t="inlineStr">
        <is>
          <t>Local</t>
        </is>
      </c>
      <c r="G496" s="25" t="inlineStr">
        <is>
          <t>Hiabs Logistics</t>
        </is>
      </c>
      <c r="H496" s="24" t="inlineStr">
        <is>
          <t>10T</t>
        </is>
      </c>
      <c r="I496" s="73" t="inlineStr">
        <is>
          <t>JMG</t>
        </is>
      </c>
      <c r="J496" s="74" t="inlineStr">
        <is>
          <t>Lagos</t>
        </is>
      </c>
      <c r="K496" s="202" t="inlineStr">
        <is>
          <t>Sagamu</t>
        </is>
      </c>
      <c r="L496" s="89" t="inlineStr">
        <is>
          <t>Ogun</t>
        </is>
      </c>
      <c r="M496" s="90" t="n"/>
      <c r="N496" s="201">
        <f>O496/2</f>
        <v/>
      </c>
      <c r="O496" s="201" t="n">
        <v>140</v>
      </c>
      <c r="P496" s="270">
        <f>ROUNDUP(O496/300,)</f>
        <v/>
      </c>
      <c r="Q496" s="220" t="n">
        <v>0</v>
      </c>
      <c r="R496" s="270">
        <f>Q496+P496</f>
        <v/>
      </c>
      <c r="S496" s="198">
        <f>ROUNDDOWN(O496*0.51,)+60</f>
        <v/>
      </c>
      <c r="T496" s="207">
        <f>_xlfn.XLOOKUP(G496,[1]Fx!$A$4:$A$10,[1]Fx!$B$4:$B$10)</f>
        <v/>
      </c>
      <c r="U496" s="207">
        <f>_xlfn.XLOOKUP(G496,'[1]BP Setup'!$B$6:$B$72,'[1]BP Setup'!$Q$6:$Q$72)</f>
        <v/>
      </c>
      <c r="V496" s="207">
        <f>_xlfn.XLOOKUP(G496,'[1]BP Setup'!$B$6:$B$72,'[1]BP Setup'!$R$6:$R$72)</f>
        <v/>
      </c>
      <c r="W496" s="207">
        <f>$W$3</f>
        <v/>
      </c>
      <c r="X496" s="207" t="n">
        <v>80</v>
      </c>
      <c r="Y496" s="271">
        <f>T496*R496</f>
        <v/>
      </c>
      <c r="Z496" s="271">
        <f>U496*O496</f>
        <v/>
      </c>
      <c r="AA496" s="271">
        <f>V496*O496</f>
        <v/>
      </c>
      <c r="AB496" s="271">
        <f>W496*O496</f>
        <v/>
      </c>
      <c r="AC496" s="197">
        <f>X496*O496</f>
        <v/>
      </c>
      <c r="AD496" s="271" t="n">
        <v>0</v>
      </c>
      <c r="AE496" s="271" t="n">
        <v>0</v>
      </c>
      <c r="AF496" s="207">
        <f>SUM(Y496:AE496)</f>
        <v/>
      </c>
      <c r="AG496" s="254">
        <f>_xlfn.XLOOKUP(G496,[1]Fx!$A$16:$A$22,[1]Fx!$B$16:$B$22)</f>
        <v/>
      </c>
      <c r="AH496" s="207">
        <f>AG496*R496</f>
        <v/>
      </c>
      <c r="AI496" s="207">
        <f>$AI$3*Z496</f>
        <v/>
      </c>
      <c r="AJ496" s="207">
        <f>$AJ$3*AA496</f>
        <v/>
      </c>
      <c r="AK496" s="207">
        <f>$AK$3*AB496</f>
        <v/>
      </c>
      <c r="AL496" s="207">
        <f>$AL$3*AC496</f>
        <v/>
      </c>
      <c r="AM496" s="270">
        <f>SUM(AH496:AL496)</f>
        <v/>
      </c>
      <c r="AN496" s="270" t="n">
        <v>0</v>
      </c>
      <c r="AO496" s="220">
        <f>AN496*AH496</f>
        <v/>
      </c>
      <c r="AP496" s="220">
        <f>AD496</f>
        <v/>
      </c>
      <c r="AQ496" s="220">
        <f>AE496</f>
        <v/>
      </c>
      <c r="AR496" s="208">
        <f>AM496-AO496</f>
        <v/>
      </c>
      <c r="AS496" s="220">
        <f>AR496-AK496</f>
        <v/>
      </c>
      <c r="AT496" s="208">
        <f>AS496*1.075</f>
        <v/>
      </c>
      <c r="AU496" s="208">
        <f>AT496+AK496</f>
        <v/>
      </c>
      <c r="AV496" s="198" t="n">
        <v>131602.1995740657</v>
      </c>
      <c r="AW496" s="264" t="n">
        <v>0</v>
      </c>
      <c r="AX496" s="220">
        <f>AV496-AR496</f>
        <v/>
      </c>
      <c r="AY496" s="35">
        <f>AX496/AR496</f>
        <v/>
      </c>
      <c r="AZ496" s="220">
        <f>AV496-AF496</f>
        <v/>
      </c>
      <c r="BA496" s="215">
        <f>AV496-SUM(Z496:AC496)</f>
        <v/>
      </c>
      <c r="BB496" s="215">
        <f>BA496-Y496</f>
        <v/>
      </c>
      <c r="BC496" s="35">
        <f>BB496/BA496</f>
        <v/>
      </c>
      <c r="BD496" s="35">
        <f>IFERROR(AZ496/AV496,)</f>
        <v/>
      </c>
      <c r="BE496" s="255">
        <f>AV496-SUM(Z496:AC496)</f>
        <v/>
      </c>
      <c r="BF496" s="255">
        <f>AV496-BE496-AC496-AB496</f>
        <v/>
      </c>
      <c r="BG496" s="255">
        <f>AV496-BE496-BF496-AB496</f>
        <v/>
      </c>
      <c r="BH496" s="255">
        <f>AB496</f>
        <v/>
      </c>
      <c r="BI496" s="263" t="inlineStr">
        <is>
          <t>Worst Case Approved</t>
        </is>
      </c>
    </row>
    <row r="497">
      <c r="C497" s="23" t="inlineStr">
        <is>
          <t>YEKINI</t>
        </is>
      </c>
      <c r="D497">
        <f>CONCATENATE(G497,"-",H497,"-",F497)</f>
        <v/>
      </c>
      <c r="E497" s="24" t="inlineStr">
        <is>
          <t>JMG-10T-Hiabs Logistics-Local</t>
        </is>
      </c>
      <c r="F497" s="23" t="inlineStr">
        <is>
          <t>Local</t>
        </is>
      </c>
      <c r="G497" s="25" t="inlineStr">
        <is>
          <t>Hiabs Logistics</t>
        </is>
      </c>
      <c r="H497" s="24" t="inlineStr">
        <is>
          <t>10T</t>
        </is>
      </c>
      <c r="I497" s="73" t="inlineStr">
        <is>
          <t>JMG</t>
        </is>
      </c>
      <c r="J497" s="74" t="inlineStr">
        <is>
          <t>Lagos</t>
        </is>
      </c>
      <c r="K497" s="202" t="inlineStr">
        <is>
          <t>Ogun</t>
        </is>
      </c>
      <c r="L497" s="67" t="inlineStr">
        <is>
          <t>Ogun</t>
        </is>
      </c>
      <c r="M497" s="68" t="n"/>
      <c r="N497" s="201">
        <f>O497/2</f>
        <v/>
      </c>
      <c r="O497" s="201" t="n">
        <v>116</v>
      </c>
      <c r="P497" s="220">
        <f>ROUNDUP(O497/300,)</f>
        <v/>
      </c>
      <c r="Q497" s="220" t="n">
        <v>0</v>
      </c>
      <c r="R497" s="220">
        <f>Q497+P497</f>
        <v/>
      </c>
      <c r="S497" s="198">
        <f>ROUNDDOWN(O497*0.51,)+60</f>
        <v/>
      </c>
      <c r="T497" s="207">
        <f>_xlfn.XLOOKUP(G497,[1]Fx!$A$4:$A$10,[1]Fx!$B$4:$B$10)</f>
        <v/>
      </c>
      <c r="U497" s="207">
        <f>_xlfn.XLOOKUP(G497,'[1]BP Setup'!$B$6:$B$72,'[1]BP Setup'!$Q$6:$Q$72)</f>
        <v/>
      </c>
      <c r="V497" s="207">
        <f>_xlfn.XLOOKUP(G497,'[1]BP Setup'!$B$6:$B$72,'[1]BP Setup'!$R$6:$R$72)</f>
        <v/>
      </c>
      <c r="W497" s="207">
        <f>$W$3</f>
        <v/>
      </c>
      <c r="X497" s="207" t="n">
        <v>80</v>
      </c>
      <c r="Y497" s="215">
        <f>T497*R497</f>
        <v/>
      </c>
      <c r="Z497" s="215">
        <f>U497*O497</f>
        <v/>
      </c>
      <c r="AA497" s="215">
        <f>V497*O497</f>
        <v/>
      </c>
      <c r="AB497" s="215">
        <f>W497*O497</f>
        <v/>
      </c>
      <c r="AC497" s="197">
        <f>X497*O497</f>
        <v/>
      </c>
      <c r="AD497" s="215" t="n">
        <v>25000</v>
      </c>
      <c r="AE497" s="215" t="n">
        <v>0</v>
      </c>
      <c r="AF497" s="207">
        <f>SUM(Y497:AE497)</f>
        <v/>
      </c>
      <c r="AG497" s="254">
        <f>_xlfn.XLOOKUP(G497,[1]Fx!$A$16:$A$22,[1]Fx!$B$16:$B$22)</f>
        <v/>
      </c>
      <c r="AH497" s="207">
        <f>AG497*R497</f>
        <v/>
      </c>
      <c r="AI497" s="207">
        <f>$AI$3*Z497</f>
        <v/>
      </c>
      <c r="AJ497" s="207">
        <f>$AJ$3*AA497</f>
        <v/>
      </c>
      <c r="AK497" s="207">
        <f>$AK$3*AB497</f>
        <v/>
      </c>
      <c r="AL497" s="207">
        <f>$AL$3*AC497</f>
        <v/>
      </c>
      <c r="AM497" s="220">
        <f>SUM(AH497:AL497)</f>
        <v/>
      </c>
      <c r="AN497" s="220" t="n">
        <v>0</v>
      </c>
      <c r="AO497" s="220">
        <f>AN497*AH497</f>
        <v/>
      </c>
      <c r="AP497" s="220" t="n">
        <v>0</v>
      </c>
      <c r="AQ497" s="220">
        <f>AE497</f>
        <v/>
      </c>
      <c r="AR497" s="208">
        <f>AM497-AO497</f>
        <v/>
      </c>
      <c r="AS497" s="220">
        <f>AR497-AK497</f>
        <v/>
      </c>
      <c r="AT497" s="208">
        <f>AS497*1.075</f>
        <v/>
      </c>
      <c r="AU497" s="208">
        <f>AT497+AK497</f>
        <v/>
      </c>
      <c r="AV497" s="198" t="n">
        <v>131602.1995740657</v>
      </c>
      <c r="AW497" s="264" t="n">
        <v>0</v>
      </c>
      <c r="AX497" s="220">
        <f>AV497-AU497</f>
        <v/>
      </c>
      <c r="AY497" s="35">
        <f>AX497/AR497</f>
        <v/>
      </c>
      <c r="AZ497" s="220">
        <f>AV497-AF497</f>
        <v/>
      </c>
      <c r="BA497" s="215">
        <f>AV497-SUM(Z497:AC497)</f>
        <v/>
      </c>
      <c r="BB497" s="215">
        <f>BA497-Y497</f>
        <v/>
      </c>
      <c r="BC497" s="35">
        <f>BB497/BA497</f>
        <v/>
      </c>
      <c r="BD497" s="35">
        <f>IFERROR(AZ497/AV497,)</f>
        <v/>
      </c>
      <c r="BE497" s="255">
        <f>AV497-SUM(Z497:AC497)</f>
        <v/>
      </c>
      <c r="BF497" s="255">
        <f>AV497-BE497-AC497-AB497</f>
        <v/>
      </c>
      <c r="BG497" s="255">
        <f>AV497-BE497-BF497-AB497</f>
        <v/>
      </c>
      <c r="BH497" s="255">
        <f>AB497</f>
        <v/>
      </c>
      <c r="BI497" s="263" t="inlineStr">
        <is>
          <t>Approved</t>
        </is>
      </c>
    </row>
    <row r="498">
      <c r="C498" s="23" t="inlineStr">
        <is>
          <t>YEKINI</t>
        </is>
      </c>
      <c r="D498">
        <f>CONCATENATE(G498,"-",H498,"-",F498)</f>
        <v/>
      </c>
      <c r="E498" s="24" t="inlineStr">
        <is>
          <t>JMG-10T-Hiabs Logistics-Local</t>
        </is>
      </c>
      <c r="F498" s="23" t="inlineStr">
        <is>
          <t>Local</t>
        </is>
      </c>
      <c r="G498" s="25" t="inlineStr">
        <is>
          <t>Hiabs Logistics</t>
        </is>
      </c>
      <c r="H498" s="24" t="inlineStr">
        <is>
          <t>10T</t>
        </is>
      </c>
      <c r="I498" s="73" t="inlineStr">
        <is>
          <t>JMG</t>
        </is>
      </c>
      <c r="J498" s="74" t="inlineStr">
        <is>
          <t>Lagos</t>
        </is>
      </c>
      <c r="K498" s="202" t="inlineStr">
        <is>
          <t>Ajah</t>
        </is>
      </c>
      <c r="L498" s="67" t="inlineStr">
        <is>
          <t>Lagos</t>
        </is>
      </c>
      <c r="M498" s="68" t="n"/>
      <c r="N498" s="201">
        <f>O498/2</f>
        <v/>
      </c>
      <c r="O498" s="201" t="n">
        <v>79.3</v>
      </c>
      <c r="P498" s="220">
        <f>ROUNDUP(O498/300,)</f>
        <v/>
      </c>
      <c r="Q498" s="220" t="n">
        <v>0</v>
      </c>
      <c r="R498" s="220">
        <f>Q498+P498</f>
        <v/>
      </c>
      <c r="S498" s="198">
        <f>ROUNDDOWN(O498*0.51,)+60</f>
        <v/>
      </c>
      <c r="T498" s="207">
        <f>_xlfn.XLOOKUP(G498,[1]Fx!$A$4:$A$10,[1]Fx!$B$4:$B$10)</f>
        <v/>
      </c>
      <c r="U498" s="207">
        <f>_xlfn.XLOOKUP(G498,'[1]BP Setup'!$B$6:$B$72,'[1]BP Setup'!$Q$6:$Q$72)</f>
        <v/>
      </c>
      <c r="V498" s="207">
        <f>_xlfn.XLOOKUP(G498,'[1]BP Setup'!$B$6:$B$72,'[1]BP Setup'!$R$6:$R$72)</f>
        <v/>
      </c>
      <c r="W498" s="207">
        <f>$W$3</f>
        <v/>
      </c>
      <c r="X498" s="207" t="n">
        <v>80</v>
      </c>
      <c r="Y498" s="215">
        <f>T498*R498</f>
        <v/>
      </c>
      <c r="Z498" s="215">
        <f>U498*O498</f>
        <v/>
      </c>
      <c r="AA498" s="215">
        <f>V498*O498</f>
        <v/>
      </c>
      <c r="AB498" s="215">
        <f>W498*O498</f>
        <v/>
      </c>
      <c r="AC498" s="197">
        <f>X498*O498</f>
        <v/>
      </c>
      <c r="AD498" s="215" t="n">
        <v>25000</v>
      </c>
      <c r="AE498" s="215" t="n">
        <v>0</v>
      </c>
      <c r="AF498" s="207">
        <f>SUM(Y498:AE498)</f>
        <v/>
      </c>
      <c r="AG498" s="254">
        <f>_xlfn.XLOOKUP(G498,[1]Fx!$A$16:$A$22,[1]Fx!$B$16:$B$22)</f>
        <v/>
      </c>
      <c r="AH498" s="207">
        <f>AG498*R498</f>
        <v/>
      </c>
      <c r="AI498" s="207">
        <f>$AI$3*Z498</f>
        <v/>
      </c>
      <c r="AJ498" s="207">
        <f>$AJ$3*AA498</f>
        <v/>
      </c>
      <c r="AK498" s="207">
        <f>$AK$3*AB498</f>
        <v/>
      </c>
      <c r="AL498" s="207">
        <f>$AL$3*AC498</f>
        <v/>
      </c>
      <c r="AM498" s="220">
        <f>SUM(AH498:AL498)</f>
        <v/>
      </c>
      <c r="AN498" s="220" t="n">
        <v>0</v>
      </c>
      <c r="AO498" s="220">
        <f>AN498*AH498</f>
        <v/>
      </c>
      <c r="AP498" s="220" t="n">
        <v>0</v>
      </c>
      <c r="AQ498" s="220">
        <f>AE498</f>
        <v/>
      </c>
      <c r="AR498" s="208">
        <f>AM498-AO498</f>
        <v/>
      </c>
      <c r="AS498" s="220">
        <f>AR498-AK498</f>
        <v/>
      </c>
      <c r="AT498" s="208">
        <f>AS498*1.075</f>
        <v/>
      </c>
      <c r="AU498" s="208">
        <f>AT498+AK498</f>
        <v/>
      </c>
      <c r="AV498" s="198" t="n">
        <v>131602.1995740657</v>
      </c>
      <c r="AW498" s="264" t="n">
        <v>225000</v>
      </c>
      <c r="AX498" s="220">
        <f>AV498-AU498</f>
        <v/>
      </c>
      <c r="AY498" s="35">
        <f>AX498/AR498</f>
        <v/>
      </c>
      <c r="AZ498" s="220">
        <f>AV498-AF498</f>
        <v/>
      </c>
      <c r="BA498" s="215">
        <f>AV498-SUM(Z498:AC498)</f>
        <v/>
      </c>
      <c r="BB498" s="215">
        <f>BA498-Y498</f>
        <v/>
      </c>
      <c r="BC498" s="35">
        <f>BB498/BA498</f>
        <v/>
      </c>
      <c r="BD498" s="35">
        <f>IFERROR(AZ498/AV498,)</f>
        <v/>
      </c>
      <c r="BE498" s="255">
        <f>AV498-SUM(Z498:AC498)</f>
        <v/>
      </c>
      <c r="BF498" s="255">
        <f>AV498-BE498-AC498-AB498</f>
        <v/>
      </c>
      <c r="BG498" s="255">
        <f>AV498-BE498-BF498-AB498</f>
        <v/>
      </c>
      <c r="BH498" s="255">
        <f>AB498</f>
        <v/>
      </c>
      <c r="BI498" s="263" t="inlineStr">
        <is>
          <t>Approved</t>
        </is>
      </c>
    </row>
    <row r="499">
      <c r="C499" s="23" t="inlineStr">
        <is>
          <t>YEKINI</t>
        </is>
      </c>
      <c r="D499">
        <f>CONCATENATE(G499,"-",H499,"-",F499)</f>
        <v/>
      </c>
      <c r="E499" s="24" t="inlineStr">
        <is>
          <t>JMG-10T-Hiabs Logistics-Local</t>
        </is>
      </c>
      <c r="F499" s="23" t="inlineStr">
        <is>
          <t>Local</t>
        </is>
      </c>
      <c r="G499" s="25" t="inlineStr">
        <is>
          <t>Hiabs Logistics</t>
        </is>
      </c>
      <c r="H499" s="24" t="inlineStr">
        <is>
          <t>10T</t>
        </is>
      </c>
      <c r="I499" s="73" t="inlineStr">
        <is>
          <t>JMG</t>
        </is>
      </c>
      <c r="J499" s="74" t="inlineStr">
        <is>
          <t>Lagos</t>
        </is>
      </c>
      <c r="K499" s="202" t="inlineStr">
        <is>
          <t>Alaba</t>
        </is>
      </c>
      <c r="L499" s="67" t="inlineStr">
        <is>
          <t>Lagos</t>
        </is>
      </c>
      <c r="M499" s="68" t="n"/>
      <c r="N499" s="201">
        <f>O499/2</f>
        <v/>
      </c>
      <c r="O499" s="201" t="n">
        <v>78</v>
      </c>
      <c r="P499" s="220">
        <f>ROUNDUP(O499/300,)</f>
        <v/>
      </c>
      <c r="Q499" s="220" t="n">
        <v>0</v>
      </c>
      <c r="R499" s="220">
        <f>Q499+P499</f>
        <v/>
      </c>
      <c r="S499" s="198">
        <f>ROUNDDOWN(O499*0.51,)+60</f>
        <v/>
      </c>
      <c r="T499" s="207">
        <f>_xlfn.XLOOKUP(G499,[1]Fx!$A$4:$A$10,[1]Fx!$B$4:$B$10)</f>
        <v/>
      </c>
      <c r="U499" s="207">
        <f>_xlfn.XLOOKUP(G499,'[1]BP Setup'!$B$6:$B$72,'[1]BP Setup'!$Q$6:$Q$72)</f>
        <v/>
      </c>
      <c r="V499" s="207">
        <f>_xlfn.XLOOKUP(G499,'[1]BP Setup'!$B$6:$B$72,'[1]BP Setup'!$R$6:$R$72)</f>
        <v/>
      </c>
      <c r="W499" s="207">
        <f>$W$3</f>
        <v/>
      </c>
      <c r="X499" s="207" t="n">
        <v>80</v>
      </c>
      <c r="Y499" s="215">
        <f>T499*R499</f>
        <v/>
      </c>
      <c r="Z499" s="215">
        <f>U499*O499</f>
        <v/>
      </c>
      <c r="AA499" s="215">
        <f>V499*O499</f>
        <v/>
      </c>
      <c r="AB499" s="215">
        <f>W499*O499</f>
        <v/>
      </c>
      <c r="AC499" s="197">
        <f>X499*O499</f>
        <v/>
      </c>
      <c r="AD499" s="215" t="n">
        <v>25000</v>
      </c>
      <c r="AE499" s="215" t="n">
        <v>0</v>
      </c>
      <c r="AF499" s="207">
        <f>SUM(Y499:AE499)</f>
        <v/>
      </c>
      <c r="AG499" s="254">
        <f>_xlfn.XLOOKUP(G499,[1]Fx!$A$16:$A$22,[1]Fx!$B$16:$B$22)</f>
        <v/>
      </c>
      <c r="AH499" s="207">
        <f>AG499*R499</f>
        <v/>
      </c>
      <c r="AI499" s="207">
        <f>$AI$3*Z499</f>
        <v/>
      </c>
      <c r="AJ499" s="207">
        <f>$AJ$3*AA499</f>
        <v/>
      </c>
      <c r="AK499" s="207">
        <f>$AK$3*AB499</f>
        <v/>
      </c>
      <c r="AL499" s="207">
        <f>$AL$3*AC499</f>
        <v/>
      </c>
      <c r="AM499" s="220">
        <f>SUM(AH499:AL499)</f>
        <v/>
      </c>
      <c r="AN499" s="220" t="n">
        <v>0</v>
      </c>
      <c r="AO499" s="220">
        <f>AN499*AH499</f>
        <v/>
      </c>
      <c r="AP499" s="220" t="n">
        <v>0</v>
      </c>
      <c r="AQ499" s="220">
        <f>AE499</f>
        <v/>
      </c>
      <c r="AR499" s="208">
        <f>AM499-AO499</f>
        <v/>
      </c>
      <c r="AS499" s="220">
        <f>AR499-AK499</f>
        <v/>
      </c>
      <c r="AT499" s="208">
        <f>AS499*1.075</f>
        <v/>
      </c>
      <c r="AU499" s="208">
        <f>AT499+AK499</f>
        <v/>
      </c>
      <c r="AV499" s="198" t="n">
        <v>131602.1995740657</v>
      </c>
      <c r="AW499" s="264" t="n">
        <v>0</v>
      </c>
      <c r="AX499" s="220">
        <f>AV499-AU499</f>
        <v/>
      </c>
      <c r="AY499" s="35">
        <f>AX499/AR499</f>
        <v/>
      </c>
      <c r="AZ499" s="220">
        <f>AV499-AF499</f>
        <v/>
      </c>
      <c r="BA499" s="215">
        <f>AV499-SUM(Z499:AC499)</f>
        <v/>
      </c>
      <c r="BB499" s="215">
        <f>BA499-Y499</f>
        <v/>
      </c>
      <c r="BC499" s="35">
        <f>BB499/BA499</f>
        <v/>
      </c>
      <c r="BD499" s="35">
        <f>IFERROR(AZ499/AV499,)</f>
        <v/>
      </c>
      <c r="BE499" s="255">
        <f>AV499-SUM(Z499:AC499)</f>
        <v/>
      </c>
      <c r="BF499" s="255">
        <f>AV499-BE499-AC499-AB499</f>
        <v/>
      </c>
      <c r="BG499" s="255">
        <f>AV499-BE499-BF499-AB499</f>
        <v/>
      </c>
      <c r="BH499" s="255">
        <f>AB499</f>
        <v/>
      </c>
      <c r="BI499" s="263" t="inlineStr">
        <is>
          <t>Approved</t>
        </is>
      </c>
    </row>
    <row r="500">
      <c r="C500" s="23" t="inlineStr">
        <is>
          <t>YEKINI</t>
        </is>
      </c>
      <c r="D500">
        <f>CONCATENATE(G500,"-",H500,"-",F500)</f>
        <v/>
      </c>
      <c r="E500" s="24" t="inlineStr">
        <is>
          <t>JMG-10T-Hiabs Logistics-Local</t>
        </is>
      </c>
      <c r="F500" s="23" t="inlineStr">
        <is>
          <t>Local</t>
        </is>
      </c>
      <c r="G500" s="25" t="inlineStr">
        <is>
          <t>Hiabs Logistics</t>
        </is>
      </c>
      <c r="H500" s="24" t="inlineStr">
        <is>
          <t>10T</t>
        </is>
      </c>
      <c r="I500" s="73" t="inlineStr">
        <is>
          <t>JMG</t>
        </is>
      </c>
      <c r="J500" s="74" t="inlineStr">
        <is>
          <t>Lagos</t>
        </is>
      </c>
      <c r="K500" s="202" t="inlineStr">
        <is>
          <t>Okokomaiko</t>
        </is>
      </c>
      <c r="L500" t="inlineStr">
        <is>
          <t>Lagos</t>
        </is>
      </c>
      <c r="N500" s="201">
        <f>O500/2</f>
        <v/>
      </c>
      <c r="O500" s="200" t="n">
        <v>76.3</v>
      </c>
      <c r="P500" s="220">
        <f>ROUNDUP(O500/300,)</f>
        <v/>
      </c>
      <c r="Q500" s="220" t="n">
        <v>0</v>
      </c>
      <c r="R500" s="220">
        <f>Q500+P500</f>
        <v/>
      </c>
      <c r="S500" s="198">
        <f>ROUNDDOWN(O500*0.51,)+60</f>
        <v/>
      </c>
      <c r="T500" s="207">
        <f>_xlfn.XLOOKUP(G500,[1]Fx!$A$4:$A$10,[1]Fx!$B$4:$B$10)</f>
        <v/>
      </c>
      <c r="U500" s="207">
        <f>_xlfn.XLOOKUP(G500,'[1]BP Setup'!$B$6:$B$72,'[1]BP Setup'!$Q$6:$Q$72)</f>
        <v/>
      </c>
      <c r="V500" s="207">
        <f>_xlfn.XLOOKUP(G500,'[1]BP Setup'!$B$6:$B$72,'[1]BP Setup'!$R$6:$R$72)</f>
        <v/>
      </c>
      <c r="W500" s="207">
        <f>$W$3</f>
        <v/>
      </c>
      <c r="X500" s="207" t="n">
        <v>80</v>
      </c>
      <c r="Y500" s="215">
        <f>T500*R500</f>
        <v/>
      </c>
      <c r="Z500" s="215">
        <f>U500*O500</f>
        <v/>
      </c>
      <c r="AA500" s="215">
        <f>V500*O500</f>
        <v/>
      </c>
      <c r="AB500" s="215">
        <f>W500*O500</f>
        <v/>
      </c>
      <c r="AC500" s="197">
        <f>X500*O500</f>
        <v/>
      </c>
      <c r="AD500" s="215" t="n">
        <v>25000</v>
      </c>
      <c r="AE500" s="215" t="n">
        <v>0</v>
      </c>
      <c r="AF500" s="207">
        <f>SUM(Y500:AE500)</f>
        <v/>
      </c>
      <c r="AG500" s="254">
        <f>_xlfn.XLOOKUP(G500,[1]Fx!$A$16:$A$22,[1]Fx!$B$16:$B$22)</f>
        <v/>
      </c>
      <c r="AH500" s="207">
        <f>AG500*R500</f>
        <v/>
      </c>
      <c r="AI500" s="207">
        <f>$AI$3*Z500</f>
        <v/>
      </c>
      <c r="AJ500" s="207">
        <f>$AJ$3*AA500</f>
        <v/>
      </c>
      <c r="AK500" s="207">
        <f>$AK$3*AB500</f>
        <v/>
      </c>
      <c r="AL500" s="207">
        <f>$AL$3*AC500</f>
        <v/>
      </c>
      <c r="AM500" s="220">
        <f>SUM(AH500:AL500)</f>
        <v/>
      </c>
      <c r="AN500" s="220" t="n">
        <v>0</v>
      </c>
      <c r="AO500" s="220">
        <f>AN500*AH500</f>
        <v/>
      </c>
      <c r="AP500" s="220" t="n">
        <v>0</v>
      </c>
      <c r="AQ500" s="220">
        <f>AE500</f>
        <v/>
      </c>
      <c r="AR500" s="208">
        <f>AM500-AO500</f>
        <v/>
      </c>
      <c r="AS500" s="220">
        <f>AR500-AK500</f>
        <v/>
      </c>
      <c r="AT500" s="208">
        <f>AS500*1.075</f>
        <v/>
      </c>
      <c r="AU500" s="208">
        <f>AT500+AK500</f>
        <v/>
      </c>
      <c r="AV500" s="198" t="n">
        <v>131602.1995740657</v>
      </c>
      <c r="AW500" s="264" t="n">
        <v>0</v>
      </c>
      <c r="AX500" s="220">
        <f>AV500-AU500</f>
        <v/>
      </c>
      <c r="AY500" s="35">
        <f>AX500/AR500</f>
        <v/>
      </c>
      <c r="AZ500" s="220">
        <f>AV500-AF500</f>
        <v/>
      </c>
      <c r="BA500" s="215">
        <f>AV500-SUM(Z500:AC500)</f>
        <v/>
      </c>
      <c r="BB500" s="215">
        <f>BA500-Y500</f>
        <v/>
      </c>
      <c r="BC500" s="35">
        <f>BB500/BA500</f>
        <v/>
      </c>
      <c r="BD500" s="35">
        <f>IFERROR(AZ500/AV500,)</f>
        <v/>
      </c>
      <c r="BE500" s="255">
        <f>AV500-SUM(Z500:AC500)</f>
        <v/>
      </c>
      <c r="BF500" s="255">
        <f>AV500-BE500-AC500-AB500</f>
        <v/>
      </c>
      <c r="BG500" s="255">
        <f>AV500-BE500-BF500-AB500</f>
        <v/>
      </c>
      <c r="BH500" s="255">
        <f>AB500</f>
        <v/>
      </c>
      <c r="BI500" s="263" t="inlineStr">
        <is>
          <t>Approved</t>
        </is>
      </c>
    </row>
    <row r="501">
      <c r="C501" s="23" t="inlineStr">
        <is>
          <t>YEKINI</t>
        </is>
      </c>
      <c r="D501">
        <f>CONCATENATE(G501,"-",H501,"-",F501)</f>
        <v/>
      </c>
      <c r="E501" s="24" t="inlineStr">
        <is>
          <t>JMG-10T-Hiabs Logistics-Local</t>
        </is>
      </c>
      <c r="F501" s="23" t="inlineStr">
        <is>
          <t>Local</t>
        </is>
      </c>
      <c r="G501" s="25" t="inlineStr">
        <is>
          <t>Hiabs Logistics</t>
        </is>
      </c>
      <c r="H501" s="24" t="inlineStr">
        <is>
          <t>10T</t>
        </is>
      </c>
      <c r="I501" s="73" t="inlineStr">
        <is>
          <t>JMG</t>
        </is>
      </c>
      <c r="J501" s="74" t="inlineStr">
        <is>
          <t>Lagos</t>
        </is>
      </c>
      <c r="K501" s="202" t="inlineStr">
        <is>
          <t>Mowe</t>
        </is>
      </c>
      <c r="L501" t="inlineStr">
        <is>
          <t>Ogun</t>
        </is>
      </c>
      <c r="N501" s="201">
        <f>O501/2</f>
        <v/>
      </c>
      <c r="O501" s="200" t="n">
        <v>75.2</v>
      </c>
      <c r="P501" s="220">
        <f>ROUNDUP(O501/300,)</f>
        <v/>
      </c>
      <c r="Q501" s="220" t="n">
        <v>0</v>
      </c>
      <c r="R501" s="220">
        <f>Q501+P501</f>
        <v/>
      </c>
      <c r="S501" s="198">
        <f>ROUNDDOWN(O501*0.51,)+60</f>
        <v/>
      </c>
      <c r="T501" s="207">
        <f>_xlfn.XLOOKUP(G501,[1]Fx!$A$4:$A$10,[1]Fx!$B$4:$B$10)</f>
        <v/>
      </c>
      <c r="U501" s="207">
        <f>_xlfn.XLOOKUP(G501,'[1]BP Setup'!$B$6:$B$72,'[1]BP Setup'!$Q$6:$Q$72)</f>
        <v/>
      </c>
      <c r="V501" s="207">
        <f>_xlfn.XLOOKUP(G501,'[1]BP Setup'!$B$6:$B$72,'[1]BP Setup'!$R$6:$R$72)</f>
        <v/>
      </c>
      <c r="W501" s="207">
        <f>$W$3</f>
        <v/>
      </c>
      <c r="X501" s="207" t="n">
        <v>80</v>
      </c>
      <c r="Y501" s="215">
        <f>T501*R501</f>
        <v/>
      </c>
      <c r="Z501" s="215">
        <f>U501*O501</f>
        <v/>
      </c>
      <c r="AA501" s="215">
        <f>V501*O501</f>
        <v/>
      </c>
      <c r="AB501" s="215">
        <f>W501*O501</f>
        <v/>
      </c>
      <c r="AC501" s="197">
        <f>X501*O501</f>
        <v/>
      </c>
      <c r="AD501" s="215" t="n">
        <v>25000</v>
      </c>
      <c r="AE501" s="215" t="n">
        <v>0</v>
      </c>
      <c r="AF501" s="207">
        <f>SUM(Y501:AE501)</f>
        <v/>
      </c>
      <c r="AG501" s="254">
        <f>_xlfn.XLOOKUP(G501,[1]Fx!$A$16:$A$22,[1]Fx!$B$16:$B$22)</f>
        <v/>
      </c>
      <c r="AH501" s="207">
        <f>AG501*R501</f>
        <v/>
      </c>
      <c r="AI501" s="207">
        <f>$AI$3*Z501</f>
        <v/>
      </c>
      <c r="AJ501" s="207">
        <f>$AJ$3*AA501</f>
        <v/>
      </c>
      <c r="AK501" s="207">
        <f>$AK$3*AB501</f>
        <v/>
      </c>
      <c r="AL501" s="207">
        <f>$AL$3*AC501</f>
        <v/>
      </c>
      <c r="AM501" s="220">
        <f>SUM(AH501:AL501)</f>
        <v/>
      </c>
      <c r="AN501" s="220" t="n">
        <v>0</v>
      </c>
      <c r="AO501" s="220">
        <f>AN501*AH501</f>
        <v/>
      </c>
      <c r="AP501" s="220" t="n">
        <v>0</v>
      </c>
      <c r="AQ501" s="220">
        <f>AE501</f>
        <v/>
      </c>
      <c r="AR501" s="208">
        <f>AM501-AO501</f>
        <v/>
      </c>
      <c r="AS501" s="220">
        <f>AR501-AK501</f>
        <v/>
      </c>
      <c r="AT501" s="208">
        <f>AS501*1.075</f>
        <v/>
      </c>
      <c r="AU501" s="208">
        <f>AT501+AK501</f>
        <v/>
      </c>
      <c r="AV501" s="198" t="n">
        <v>131602.1995740657</v>
      </c>
      <c r="AW501" s="264" t="n">
        <v>0</v>
      </c>
      <c r="AX501" s="220">
        <f>AV501-AU501</f>
        <v/>
      </c>
      <c r="AY501" s="35">
        <f>AX501/AR501</f>
        <v/>
      </c>
      <c r="AZ501" s="220">
        <f>AV501-AF501</f>
        <v/>
      </c>
      <c r="BA501" s="215">
        <f>AV501-SUM(Z501:AC501)</f>
        <v/>
      </c>
      <c r="BB501" s="215">
        <f>BA501-Y501</f>
        <v/>
      </c>
      <c r="BC501" s="35">
        <f>BB501/BA501</f>
        <v/>
      </c>
      <c r="BD501" s="35">
        <f>IFERROR(AZ501/AV501,)</f>
        <v/>
      </c>
      <c r="BE501" s="255">
        <f>AV501-SUM(Z501:AC501)</f>
        <v/>
      </c>
      <c r="BF501" s="255">
        <f>AV501-BE501-AC501-AB501</f>
        <v/>
      </c>
      <c r="BG501" s="255">
        <f>AV501-BE501-BF501-AB501</f>
        <v/>
      </c>
      <c r="BH501" s="255">
        <f>AB501</f>
        <v/>
      </c>
      <c r="BI501" s="263" t="inlineStr">
        <is>
          <t>Approved</t>
        </is>
      </c>
    </row>
    <row r="502">
      <c r="C502" s="23" t="inlineStr">
        <is>
          <t>YEKINI</t>
        </is>
      </c>
      <c r="D502">
        <f>CONCATENATE(G502,"-",H502,"-",F502)</f>
        <v/>
      </c>
      <c r="E502" s="24" t="inlineStr">
        <is>
          <t>JMG-10T-Hiabs Logistics-Local</t>
        </is>
      </c>
      <c r="F502" s="23" t="inlineStr">
        <is>
          <t>Local</t>
        </is>
      </c>
      <c r="G502" s="25" t="inlineStr">
        <is>
          <t>Hiabs Logistics</t>
        </is>
      </c>
      <c r="H502" s="24" t="inlineStr">
        <is>
          <t>10T</t>
        </is>
      </c>
      <c r="I502" s="73" t="inlineStr">
        <is>
          <t>JMG</t>
        </is>
      </c>
      <c r="J502" s="74" t="inlineStr">
        <is>
          <t>Lagos</t>
        </is>
      </c>
      <c r="K502" s="202" t="inlineStr">
        <is>
          <t>Magboro</t>
        </is>
      </c>
      <c r="L502" t="inlineStr">
        <is>
          <t>Ogun</t>
        </is>
      </c>
      <c r="N502" s="201">
        <f>O502/2</f>
        <v/>
      </c>
      <c r="O502" s="200" t="n">
        <v>66</v>
      </c>
      <c r="P502" s="220">
        <f>ROUNDUP(O502/300,)</f>
        <v/>
      </c>
      <c r="Q502" s="220" t="n">
        <v>0</v>
      </c>
      <c r="R502" s="220">
        <f>Q502+P502</f>
        <v/>
      </c>
      <c r="S502" s="198">
        <f>ROUNDDOWN(O502*0.51,)+60</f>
        <v/>
      </c>
      <c r="T502" s="207">
        <f>_xlfn.XLOOKUP(G502,[1]Fx!$A$4:$A$10,[1]Fx!$B$4:$B$10)</f>
        <v/>
      </c>
      <c r="U502" s="207">
        <f>_xlfn.XLOOKUP(G502,'[1]BP Setup'!$B$6:$B$72,'[1]BP Setup'!$Q$6:$Q$72)</f>
        <v/>
      </c>
      <c r="V502" s="207">
        <f>_xlfn.XLOOKUP(G502,'[1]BP Setup'!$B$6:$B$72,'[1]BP Setup'!$R$6:$R$72)</f>
        <v/>
      </c>
      <c r="W502" s="207">
        <f>$W$3</f>
        <v/>
      </c>
      <c r="X502" s="207" t="n">
        <v>80</v>
      </c>
      <c r="Y502" s="215">
        <f>T502*R502</f>
        <v/>
      </c>
      <c r="Z502" s="215">
        <f>U502*O502</f>
        <v/>
      </c>
      <c r="AA502" s="215">
        <f>V502*O502</f>
        <v/>
      </c>
      <c r="AB502" s="215">
        <f>W502*O502</f>
        <v/>
      </c>
      <c r="AC502" s="197">
        <f>X502*O502</f>
        <v/>
      </c>
      <c r="AD502" s="215" t="n">
        <v>25000</v>
      </c>
      <c r="AE502" s="215" t="n">
        <v>0</v>
      </c>
      <c r="AF502" s="207">
        <f>SUM(Y502:AE502)</f>
        <v/>
      </c>
      <c r="AG502" s="254">
        <f>_xlfn.XLOOKUP(G502,[1]Fx!$A$16:$A$22,[1]Fx!$B$16:$B$22)</f>
        <v/>
      </c>
      <c r="AH502" s="207">
        <f>AG502*R502</f>
        <v/>
      </c>
      <c r="AI502" s="207">
        <f>$AI$3*Z502</f>
        <v/>
      </c>
      <c r="AJ502" s="207">
        <f>$AJ$3*AA502</f>
        <v/>
      </c>
      <c r="AK502" s="207">
        <f>$AK$3*AB502</f>
        <v/>
      </c>
      <c r="AL502" s="207">
        <f>$AL$3*AC502</f>
        <v/>
      </c>
      <c r="AM502" s="220">
        <f>SUM(AH502:AL502)</f>
        <v/>
      </c>
      <c r="AN502" s="220" t="n">
        <v>0</v>
      </c>
      <c r="AO502" s="220">
        <f>AN502*AH502</f>
        <v/>
      </c>
      <c r="AP502" s="220" t="n">
        <v>0</v>
      </c>
      <c r="AQ502" s="220">
        <f>AE502</f>
        <v/>
      </c>
      <c r="AR502" s="208">
        <f>AM502-AO502</f>
        <v/>
      </c>
      <c r="AS502" s="220">
        <f>AR502-AK502</f>
        <v/>
      </c>
      <c r="AT502" s="208">
        <f>AS502*1.075</f>
        <v/>
      </c>
      <c r="AU502" s="208">
        <f>AT502+AK502</f>
        <v/>
      </c>
      <c r="AV502" s="198" t="n">
        <v>131602.1995740657</v>
      </c>
      <c r="AW502" s="264" t="n">
        <v>0</v>
      </c>
      <c r="AX502" s="220">
        <f>AV502-AU502</f>
        <v/>
      </c>
      <c r="AY502" s="35">
        <f>AX502/AR502</f>
        <v/>
      </c>
      <c r="AZ502" s="220">
        <f>AV502-AF502</f>
        <v/>
      </c>
      <c r="BA502" s="215">
        <f>AV502-SUM(Z502:AC502)</f>
        <v/>
      </c>
      <c r="BB502" s="215">
        <f>BA502-Y502</f>
        <v/>
      </c>
      <c r="BC502" s="35">
        <f>BB502/BA502</f>
        <v/>
      </c>
      <c r="BD502" s="35">
        <f>IFERROR(AZ502/AV502,)</f>
        <v/>
      </c>
      <c r="BE502" s="255">
        <f>AV502-SUM(Z502:AC502)</f>
        <v/>
      </c>
      <c r="BF502" s="255">
        <f>AV502-BE502-AC502-AB502</f>
        <v/>
      </c>
      <c r="BG502" s="255">
        <f>AV502-BE502-BF502-AB502</f>
        <v/>
      </c>
      <c r="BH502" s="255">
        <f>AB502</f>
        <v/>
      </c>
      <c r="BI502" s="263" t="inlineStr">
        <is>
          <t>Approved</t>
        </is>
      </c>
    </row>
    <row r="503">
      <c r="C503" s="23" t="inlineStr">
        <is>
          <t>YEKINI</t>
        </is>
      </c>
      <c r="D503">
        <f>CONCATENATE(G503,"-",H503,"-",F503)</f>
        <v/>
      </c>
      <c r="E503" s="24" t="inlineStr">
        <is>
          <t>JMG-10T-Hiabs Logistics-Local</t>
        </is>
      </c>
      <c r="F503" s="23" t="inlineStr">
        <is>
          <t>Local</t>
        </is>
      </c>
      <c r="G503" s="25" t="inlineStr">
        <is>
          <t>Hiabs Logistics</t>
        </is>
      </c>
      <c r="H503" s="24" t="inlineStr">
        <is>
          <t>10T</t>
        </is>
      </c>
      <c r="I503" s="73" t="inlineStr">
        <is>
          <t>JMG</t>
        </is>
      </c>
      <c r="J503" s="74" t="inlineStr">
        <is>
          <t>Lagos</t>
        </is>
      </c>
      <c r="K503" s="202" t="inlineStr">
        <is>
          <t>Trade Fair</t>
        </is>
      </c>
      <c r="L503" t="inlineStr">
        <is>
          <t>Lagos</t>
        </is>
      </c>
      <c r="N503" s="201">
        <f>O503/2</f>
        <v/>
      </c>
      <c r="O503" s="200" t="n">
        <v>59</v>
      </c>
      <c r="P503" s="220">
        <f>ROUNDUP(O503/300,)</f>
        <v/>
      </c>
      <c r="Q503" s="220" t="n">
        <v>0</v>
      </c>
      <c r="R503" s="220">
        <f>Q503+P503</f>
        <v/>
      </c>
      <c r="S503" s="198">
        <f>ROUNDDOWN(O503*0.51,)+60</f>
        <v/>
      </c>
      <c r="T503" s="207">
        <f>_xlfn.XLOOKUP(G503,[1]Fx!$A$4:$A$10,[1]Fx!$B$4:$B$10)</f>
        <v/>
      </c>
      <c r="U503" s="207">
        <f>_xlfn.XLOOKUP(G503,'[1]BP Setup'!$B$6:$B$72,'[1]BP Setup'!$Q$6:$Q$72)</f>
        <v/>
      </c>
      <c r="V503" s="207">
        <f>_xlfn.XLOOKUP(G503,'[1]BP Setup'!$B$6:$B$72,'[1]BP Setup'!$R$6:$R$72)</f>
        <v/>
      </c>
      <c r="W503" s="207">
        <f>$W$3</f>
        <v/>
      </c>
      <c r="X503" s="207" t="n">
        <v>80</v>
      </c>
      <c r="Y503" s="215">
        <f>T503*R503</f>
        <v/>
      </c>
      <c r="Z503" s="215">
        <f>U503*O503</f>
        <v/>
      </c>
      <c r="AA503" s="215">
        <f>V503*O503</f>
        <v/>
      </c>
      <c r="AB503" s="215">
        <f>W503*O503</f>
        <v/>
      </c>
      <c r="AC503" s="197">
        <f>X503*O503</f>
        <v/>
      </c>
      <c r="AD503" s="215" t="n">
        <v>25000</v>
      </c>
      <c r="AE503" s="215" t="n">
        <v>0</v>
      </c>
      <c r="AF503" s="207">
        <f>SUM(Y503:AE503)</f>
        <v/>
      </c>
      <c r="AG503" s="254">
        <f>_xlfn.XLOOKUP(G503,[1]Fx!$A$16:$A$22,[1]Fx!$B$16:$B$22)</f>
        <v/>
      </c>
      <c r="AH503" s="207">
        <f>AG503*R503</f>
        <v/>
      </c>
      <c r="AI503" s="207">
        <f>$AI$3*Z503</f>
        <v/>
      </c>
      <c r="AJ503" s="207">
        <f>$AJ$3*AA503</f>
        <v/>
      </c>
      <c r="AK503" s="207">
        <f>$AK$3*AB503</f>
        <v/>
      </c>
      <c r="AL503" s="207">
        <f>$AL$3*AC503</f>
        <v/>
      </c>
      <c r="AM503" s="220">
        <f>SUM(AH503:AL503)</f>
        <v/>
      </c>
      <c r="AN503" s="220" t="n">
        <v>0</v>
      </c>
      <c r="AO503" s="220">
        <f>AN503*AH503</f>
        <v/>
      </c>
      <c r="AP503" s="220" t="n">
        <v>0</v>
      </c>
      <c r="AQ503" s="220">
        <f>AE503</f>
        <v/>
      </c>
      <c r="AR503" s="208">
        <f>AM503-AO503</f>
        <v/>
      </c>
      <c r="AS503" s="220">
        <f>AR503-AK503</f>
        <v/>
      </c>
      <c r="AT503" s="208">
        <f>AS503*1.075</f>
        <v/>
      </c>
      <c r="AU503" s="208">
        <f>AT503+AK503</f>
        <v/>
      </c>
      <c r="AV503" s="198" t="n">
        <v>131602.1995740657</v>
      </c>
      <c r="AW503" s="264" t="n">
        <v>300000</v>
      </c>
      <c r="AX503" s="220">
        <f>AV503-AU503</f>
        <v/>
      </c>
      <c r="AY503" s="35">
        <f>AX503/AR503</f>
        <v/>
      </c>
      <c r="AZ503" s="220">
        <f>AV503-AF503</f>
        <v/>
      </c>
      <c r="BA503" s="215">
        <f>AV503-SUM(Z503:AC503)</f>
        <v/>
      </c>
      <c r="BB503" s="215">
        <f>BA503-Y503</f>
        <v/>
      </c>
      <c r="BC503" s="35">
        <f>BB503/BA503</f>
        <v/>
      </c>
      <c r="BD503" s="35">
        <f>IFERROR(AZ503/AV503,)</f>
        <v/>
      </c>
      <c r="BE503" s="255">
        <f>AV503-SUM(Z503:AC503)</f>
        <v/>
      </c>
      <c r="BF503" s="255">
        <f>AV503-BE503-AC503-AB503</f>
        <v/>
      </c>
      <c r="BG503" s="255">
        <f>AV503-BE503-BF503-AB503</f>
        <v/>
      </c>
      <c r="BH503" s="255">
        <f>AB503</f>
        <v/>
      </c>
      <c r="BI503" s="263" t="inlineStr">
        <is>
          <t>Approved</t>
        </is>
      </c>
    </row>
    <row r="504">
      <c r="C504" s="23" t="inlineStr">
        <is>
          <t>YEKINI</t>
        </is>
      </c>
      <c r="D504">
        <f>CONCATENATE(G504,"-",H504,"-",F504)</f>
        <v/>
      </c>
      <c r="E504" s="24" t="inlineStr">
        <is>
          <t>JMG-10T-Hiabs Logistics-Local</t>
        </is>
      </c>
      <c r="F504" s="23" t="inlineStr">
        <is>
          <t>Local</t>
        </is>
      </c>
      <c r="G504" s="25" t="inlineStr">
        <is>
          <t>Hiabs Logistics</t>
        </is>
      </c>
      <c r="H504" s="24" t="inlineStr">
        <is>
          <t>10T</t>
        </is>
      </c>
      <c r="I504" s="73" t="inlineStr">
        <is>
          <t>JMG</t>
        </is>
      </c>
      <c r="J504" s="74" t="inlineStr">
        <is>
          <t>Lagos</t>
        </is>
      </c>
      <c r="K504" s="202" t="inlineStr">
        <is>
          <t>Sango-Ota</t>
        </is>
      </c>
      <c r="L504" t="inlineStr">
        <is>
          <t>Ogun</t>
        </is>
      </c>
      <c r="N504" s="201">
        <f>O504/2</f>
        <v/>
      </c>
      <c r="O504" s="200" t="n">
        <v>56.8</v>
      </c>
      <c r="P504" s="220">
        <f>ROUNDUP(O504/300,)</f>
        <v/>
      </c>
      <c r="Q504" s="220" t="n">
        <v>0</v>
      </c>
      <c r="R504" s="220">
        <f>Q504+P504</f>
        <v/>
      </c>
      <c r="S504" s="198">
        <f>ROUNDDOWN(O504*0.51,)+60</f>
        <v/>
      </c>
      <c r="T504" s="207">
        <f>_xlfn.XLOOKUP(G504,[1]Fx!$A$4:$A$10,[1]Fx!$B$4:$B$10)</f>
        <v/>
      </c>
      <c r="U504" s="207">
        <f>_xlfn.XLOOKUP(G504,'[1]BP Setup'!$B$6:$B$72,'[1]BP Setup'!$Q$6:$Q$72)</f>
        <v/>
      </c>
      <c r="V504" s="207">
        <f>_xlfn.XLOOKUP(G504,'[1]BP Setup'!$B$6:$B$72,'[1]BP Setup'!$R$6:$R$72)</f>
        <v/>
      </c>
      <c r="W504" s="207">
        <f>$W$3</f>
        <v/>
      </c>
      <c r="X504" s="207" t="n">
        <v>80</v>
      </c>
      <c r="Y504" s="215">
        <f>T504*R504</f>
        <v/>
      </c>
      <c r="Z504" s="215">
        <f>U504*O504</f>
        <v/>
      </c>
      <c r="AA504" s="215">
        <f>V504*O504</f>
        <v/>
      </c>
      <c r="AB504" s="215">
        <f>W504*O504</f>
        <v/>
      </c>
      <c r="AC504" s="197">
        <f>X504*O504</f>
        <v/>
      </c>
      <c r="AD504" s="215" t="n">
        <v>25000</v>
      </c>
      <c r="AE504" s="215" t="n">
        <v>0</v>
      </c>
      <c r="AF504" s="207">
        <f>SUM(Y504:AE504)</f>
        <v/>
      </c>
      <c r="AG504" s="254">
        <f>_xlfn.XLOOKUP(G504,[1]Fx!$A$16:$A$22,[1]Fx!$B$16:$B$22)</f>
        <v/>
      </c>
      <c r="AH504" s="207">
        <f>AG504*R504</f>
        <v/>
      </c>
      <c r="AI504" s="207">
        <f>$AI$3*Z504</f>
        <v/>
      </c>
      <c r="AJ504" s="207">
        <f>$AJ$3*AA504</f>
        <v/>
      </c>
      <c r="AK504" s="207">
        <f>$AK$3*AB504</f>
        <v/>
      </c>
      <c r="AL504" s="207">
        <f>$AL$3*AC504</f>
        <v/>
      </c>
      <c r="AM504" s="220">
        <f>SUM(AH504:AL504)</f>
        <v/>
      </c>
      <c r="AN504" s="220" t="n">
        <v>0</v>
      </c>
      <c r="AO504" s="220">
        <f>AN504*AH504</f>
        <v/>
      </c>
      <c r="AP504" s="220" t="n">
        <v>0</v>
      </c>
      <c r="AQ504" s="220">
        <f>AE504</f>
        <v/>
      </c>
      <c r="AR504" s="208">
        <f>AM504-AO504</f>
        <v/>
      </c>
      <c r="AS504" s="220">
        <f>AR504-AK504</f>
        <v/>
      </c>
      <c r="AT504" s="208">
        <f>AS504*1.075</f>
        <v/>
      </c>
      <c r="AU504" s="208">
        <f>AT504+AK504</f>
        <v/>
      </c>
      <c r="AV504" s="198" t="n">
        <v>131602.1995740657</v>
      </c>
      <c r="AW504" s="264" t="n">
        <v>0</v>
      </c>
      <c r="AX504" s="220">
        <f>AV504-AU504</f>
        <v/>
      </c>
      <c r="AY504" s="35">
        <f>AX504/AR504</f>
        <v/>
      </c>
      <c r="AZ504" s="220">
        <f>AV504-AF504</f>
        <v/>
      </c>
      <c r="BA504" s="215">
        <f>AV504-SUM(Z504:AC504)</f>
        <v/>
      </c>
      <c r="BB504" s="215">
        <f>BA504-Y504</f>
        <v/>
      </c>
      <c r="BC504" s="35">
        <f>BB504/BA504</f>
        <v/>
      </c>
      <c r="BD504" s="35">
        <f>IFERROR(AZ504/AV504,)</f>
        <v/>
      </c>
      <c r="BE504" s="255">
        <f>AV504-SUM(Z504:AC504)</f>
        <v/>
      </c>
      <c r="BF504" s="255">
        <f>AV504-BE504-AC504-AB504</f>
        <v/>
      </c>
      <c r="BG504" s="255">
        <f>AV504-BE504-BF504-AB504</f>
        <v/>
      </c>
      <c r="BH504" s="255">
        <f>AB504</f>
        <v/>
      </c>
      <c r="BI504" s="263" t="inlineStr">
        <is>
          <t>Approved</t>
        </is>
      </c>
    </row>
    <row r="505">
      <c r="C505" s="23" t="inlineStr">
        <is>
          <t>YEKINI</t>
        </is>
      </c>
      <c r="D505">
        <f>CONCATENATE(G505,"-",H505,"-",F505)</f>
        <v/>
      </c>
      <c r="E505" s="24" t="inlineStr">
        <is>
          <t>JMG-10T-Hiabs Logistics-Local</t>
        </is>
      </c>
      <c r="F505" s="23" t="inlineStr">
        <is>
          <t>Local</t>
        </is>
      </c>
      <c r="G505" s="25" t="inlineStr">
        <is>
          <t>Hiabs Logistics</t>
        </is>
      </c>
      <c r="H505" s="24" t="inlineStr">
        <is>
          <t>10T</t>
        </is>
      </c>
      <c r="I505" s="73" t="inlineStr">
        <is>
          <t>JMG</t>
        </is>
      </c>
      <c r="J505" s="74" t="inlineStr">
        <is>
          <t>Lagos</t>
        </is>
      </c>
      <c r="K505" s="202" t="inlineStr">
        <is>
          <t>Lekki</t>
        </is>
      </c>
      <c r="L505" t="inlineStr">
        <is>
          <t>Lagos</t>
        </is>
      </c>
      <c r="N505" s="201">
        <f>O505/2</f>
        <v/>
      </c>
      <c r="O505" s="201" t="n">
        <v>52.1</v>
      </c>
      <c r="P505" s="220">
        <f>ROUNDUP(O505/300,)</f>
        <v/>
      </c>
      <c r="Q505" s="220" t="n">
        <v>0</v>
      </c>
      <c r="R505" s="220">
        <f>Q505+P505</f>
        <v/>
      </c>
      <c r="S505" s="198">
        <f>ROUNDDOWN(O505*0.51,)+60</f>
        <v/>
      </c>
      <c r="T505" s="207">
        <f>_xlfn.XLOOKUP(G505,[1]Fx!$A$4:$A$10,[1]Fx!$B$4:$B$10)</f>
        <v/>
      </c>
      <c r="U505" s="207">
        <f>_xlfn.XLOOKUP(G505,'[1]BP Setup'!$B$6:$B$72,'[1]BP Setup'!$Q$6:$Q$72)</f>
        <v/>
      </c>
      <c r="V505" s="207">
        <f>_xlfn.XLOOKUP(G505,'[1]BP Setup'!$B$6:$B$72,'[1]BP Setup'!$R$6:$R$72)</f>
        <v/>
      </c>
      <c r="W505" s="207">
        <f>$W$3</f>
        <v/>
      </c>
      <c r="X505" s="207" t="n">
        <v>80</v>
      </c>
      <c r="Y505" s="215">
        <f>T505*R505</f>
        <v/>
      </c>
      <c r="Z505" s="215">
        <f>U505*O505</f>
        <v/>
      </c>
      <c r="AA505" s="215">
        <f>V505*O505</f>
        <v/>
      </c>
      <c r="AB505" s="215">
        <f>W505*O505</f>
        <v/>
      </c>
      <c r="AC505" s="197">
        <f>X505*O505</f>
        <v/>
      </c>
      <c r="AD505" s="215" t="n">
        <v>25000</v>
      </c>
      <c r="AE505" s="215" t="n">
        <v>0</v>
      </c>
      <c r="AF505" s="207">
        <f>SUM(Y505:AE505)</f>
        <v/>
      </c>
      <c r="AG505" s="254">
        <f>_xlfn.XLOOKUP(G505,[1]Fx!$A$16:$A$22,[1]Fx!$B$16:$B$22)</f>
        <v/>
      </c>
      <c r="AH505" s="207">
        <f>AG505*R505</f>
        <v/>
      </c>
      <c r="AI505" s="207">
        <f>$AI$3*Z505</f>
        <v/>
      </c>
      <c r="AJ505" s="207">
        <f>$AJ$3*AA505</f>
        <v/>
      </c>
      <c r="AK505" s="207">
        <f>$AK$3*AB505</f>
        <v/>
      </c>
      <c r="AL505" s="207">
        <f>$AL$3*AC505</f>
        <v/>
      </c>
      <c r="AM505" s="220">
        <f>SUM(AH505:AL505)</f>
        <v/>
      </c>
      <c r="AN505" s="220" t="n">
        <v>0</v>
      </c>
      <c r="AO505" s="220">
        <f>AN505*AH505</f>
        <v/>
      </c>
      <c r="AP505" s="220" t="n">
        <v>0</v>
      </c>
      <c r="AQ505" s="220">
        <f>AE505</f>
        <v/>
      </c>
      <c r="AR505" s="208">
        <f>AM505-AO505</f>
        <v/>
      </c>
      <c r="AS505" s="220">
        <f>AR505-AK505</f>
        <v/>
      </c>
      <c r="AT505" s="208">
        <f>AS505*1.075</f>
        <v/>
      </c>
      <c r="AU505" s="208">
        <f>AT505+AK505</f>
        <v/>
      </c>
      <c r="AV505" s="198" t="n">
        <v>131602.1995740657</v>
      </c>
      <c r="AW505" s="264" t="n">
        <v>130000</v>
      </c>
      <c r="AX505" s="220">
        <f>AV505-AU505</f>
        <v/>
      </c>
      <c r="AY505" s="35">
        <f>AX505/AR505</f>
        <v/>
      </c>
      <c r="AZ505" s="220">
        <f>AV505-AF505</f>
        <v/>
      </c>
      <c r="BA505" s="215">
        <f>AV505-SUM(Z505:AC505)</f>
        <v/>
      </c>
      <c r="BB505" s="215">
        <f>BA505-Y505</f>
        <v/>
      </c>
      <c r="BC505" s="35">
        <f>BB505/BA505</f>
        <v/>
      </c>
      <c r="BD505" s="35">
        <f>IFERROR(AZ505/AV505,)</f>
        <v/>
      </c>
      <c r="BE505" s="255">
        <f>AV505-SUM(Z505:AC505)</f>
        <v/>
      </c>
      <c r="BF505" s="255">
        <f>AV505-BE505-AC505-AB505</f>
        <v/>
      </c>
      <c r="BG505" s="255">
        <f>AV505-BE505-BF505-AB505</f>
        <v/>
      </c>
      <c r="BH505" s="255">
        <f>AB505</f>
        <v/>
      </c>
      <c r="BI505" s="263" t="inlineStr">
        <is>
          <t>Approved</t>
        </is>
      </c>
    </row>
    <row r="506">
      <c r="C506" s="23" t="inlineStr">
        <is>
          <t>YEKINI</t>
        </is>
      </c>
      <c r="D506">
        <f>CONCATENATE(G506,"-",H506,"-",F506)</f>
        <v/>
      </c>
      <c r="E506" s="24" t="inlineStr">
        <is>
          <t>JMG-10T-Hiabs Logistics-Local</t>
        </is>
      </c>
      <c r="F506" s="23" t="inlineStr">
        <is>
          <t>Local</t>
        </is>
      </c>
      <c r="G506" s="25" t="inlineStr">
        <is>
          <t>Hiabs Logistics</t>
        </is>
      </c>
      <c r="H506" s="24" t="inlineStr">
        <is>
          <t>10T</t>
        </is>
      </c>
      <c r="I506" s="73" t="inlineStr">
        <is>
          <t>JMG</t>
        </is>
      </c>
      <c r="J506" s="74" t="inlineStr">
        <is>
          <t>Lagos</t>
        </is>
      </c>
      <c r="K506" s="202" t="inlineStr">
        <is>
          <t>Festac</t>
        </is>
      </c>
      <c r="L506" t="inlineStr">
        <is>
          <t>Lagos</t>
        </is>
      </c>
      <c r="N506" s="201">
        <f>O506/2</f>
        <v/>
      </c>
      <c r="O506" s="200" t="n">
        <v>49.2</v>
      </c>
      <c r="P506" s="220">
        <f>ROUNDUP(O506/300,)</f>
        <v/>
      </c>
      <c r="Q506" s="220" t="n">
        <v>0</v>
      </c>
      <c r="R506" s="220">
        <f>Q506+P506</f>
        <v/>
      </c>
      <c r="S506" s="198">
        <f>ROUNDDOWN(O506*0.51,)+60</f>
        <v/>
      </c>
      <c r="T506" s="207">
        <f>_xlfn.XLOOKUP(G506,[1]Fx!$A$4:$A$10,[1]Fx!$B$4:$B$10)</f>
        <v/>
      </c>
      <c r="U506" s="207">
        <f>_xlfn.XLOOKUP(G506,'[1]BP Setup'!$B$6:$B$72,'[1]BP Setup'!$Q$6:$Q$72)</f>
        <v/>
      </c>
      <c r="V506" s="207">
        <f>_xlfn.XLOOKUP(G506,'[1]BP Setup'!$B$6:$B$72,'[1]BP Setup'!$R$6:$R$72)</f>
        <v/>
      </c>
      <c r="W506" s="207">
        <f>$W$3</f>
        <v/>
      </c>
      <c r="X506" s="207" t="n">
        <v>80</v>
      </c>
      <c r="Y506" s="215">
        <f>T506*R506</f>
        <v/>
      </c>
      <c r="Z506" s="215">
        <f>U506*O506</f>
        <v/>
      </c>
      <c r="AA506" s="215">
        <f>V506*O506</f>
        <v/>
      </c>
      <c r="AB506" s="215">
        <f>W506*O506</f>
        <v/>
      </c>
      <c r="AC506" s="197">
        <f>X506*O506</f>
        <v/>
      </c>
      <c r="AD506" s="215" t="n">
        <v>25000</v>
      </c>
      <c r="AE506" s="215" t="n">
        <v>0</v>
      </c>
      <c r="AF506" s="207">
        <f>SUM(Y506:AE506)</f>
        <v/>
      </c>
      <c r="AG506" s="254">
        <f>_xlfn.XLOOKUP(G506,[1]Fx!$A$16:$A$22,[1]Fx!$B$16:$B$22)</f>
        <v/>
      </c>
      <c r="AH506" s="207">
        <f>AG506*R506</f>
        <v/>
      </c>
      <c r="AI506" s="207">
        <f>$AI$3*Z506</f>
        <v/>
      </c>
      <c r="AJ506" s="207">
        <f>$AJ$3*AA506</f>
        <v/>
      </c>
      <c r="AK506" s="207">
        <f>$AK$3*AB506</f>
        <v/>
      </c>
      <c r="AL506" s="207">
        <f>$AL$3*AC506</f>
        <v/>
      </c>
      <c r="AM506" s="220">
        <f>SUM(AH506:AL506)</f>
        <v/>
      </c>
      <c r="AN506" s="220" t="n">
        <v>0</v>
      </c>
      <c r="AO506" s="220">
        <f>AN506*AH506</f>
        <v/>
      </c>
      <c r="AP506" s="220" t="n">
        <v>0</v>
      </c>
      <c r="AQ506" s="220">
        <f>AE506</f>
        <v/>
      </c>
      <c r="AR506" s="208">
        <f>AM506-AO506</f>
        <v/>
      </c>
      <c r="AS506" s="220">
        <f>AR506-AK506</f>
        <v/>
      </c>
      <c r="AT506" s="208">
        <f>AS506*1.075</f>
        <v/>
      </c>
      <c r="AU506" s="208">
        <f>AT506+AK506</f>
        <v/>
      </c>
      <c r="AV506" s="198" t="n">
        <v>131602.1995740657</v>
      </c>
      <c r="AW506" s="264" t="n">
        <v>0</v>
      </c>
      <c r="AX506" s="220">
        <f>AV506-AU506</f>
        <v/>
      </c>
      <c r="AY506" s="35">
        <f>AX506/AR506</f>
        <v/>
      </c>
      <c r="AZ506" s="220">
        <f>AV506-AF506</f>
        <v/>
      </c>
      <c r="BA506" s="215">
        <f>AV506-SUM(Z506:AC506)</f>
        <v/>
      </c>
      <c r="BB506" s="215">
        <f>BA506-Y506</f>
        <v/>
      </c>
      <c r="BC506" s="35">
        <f>BB506/BA506</f>
        <v/>
      </c>
      <c r="BD506" s="35">
        <f>IFERROR(AZ506/AV506,)</f>
        <v/>
      </c>
      <c r="BE506" s="255">
        <f>AV506-SUM(Z506:AC506)</f>
        <v/>
      </c>
      <c r="BF506" s="255">
        <f>AV506-BE506-AC506-AB506</f>
        <v/>
      </c>
      <c r="BG506" s="255">
        <f>AV506-BE506-BF506-AB506</f>
        <v/>
      </c>
      <c r="BH506" s="255">
        <f>AB506</f>
        <v/>
      </c>
      <c r="BI506" s="263" t="inlineStr">
        <is>
          <t>Approved</t>
        </is>
      </c>
    </row>
    <row r="507">
      <c r="C507" s="23" t="inlineStr">
        <is>
          <t>YEKINI</t>
        </is>
      </c>
      <c r="D507">
        <f>CONCATENATE(G507,"-",H507,"-",F507)</f>
        <v/>
      </c>
      <c r="E507" s="24" t="inlineStr">
        <is>
          <t>JMG-10T-Hiabs Logistics-Local</t>
        </is>
      </c>
      <c r="F507" s="23" t="inlineStr">
        <is>
          <t>Local</t>
        </is>
      </c>
      <c r="G507" s="25" t="inlineStr">
        <is>
          <t>Hiabs Logistics</t>
        </is>
      </c>
      <c r="H507" s="24" t="inlineStr">
        <is>
          <t>10T</t>
        </is>
      </c>
      <c r="I507" s="73" t="inlineStr">
        <is>
          <t>JMG</t>
        </is>
      </c>
      <c r="J507" s="74" t="inlineStr">
        <is>
          <t>Lagos</t>
        </is>
      </c>
      <c r="K507" s="121" t="inlineStr">
        <is>
          <t>Ikorodu</t>
        </is>
      </c>
      <c r="L507" t="inlineStr">
        <is>
          <t>Lagos</t>
        </is>
      </c>
      <c r="N507" s="201">
        <f>O507/2</f>
        <v/>
      </c>
      <c r="O507" s="200" t="n">
        <v>48.5</v>
      </c>
      <c r="P507" s="220">
        <f>ROUNDUP(O507/300,)</f>
        <v/>
      </c>
      <c r="Q507" s="220" t="n">
        <v>0</v>
      </c>
      <c r="R507" s="220">
        <f>Q507+P507</f>
        <v/>
      </c>
      <c r="S507" s="198">
        <f>ROUNDDOWN(O507*0.51,)+60</f>
        <v/>
      </c>
      <c r="T507" s="207">
        <f>_xlfn.XLOOKUP(G507,[1]Fx!$A$4:$A$10,[1]Fx!$B$4:$B$10)</f>
        <v/>
      </c>
      <c r="U507" s="207">
        <f>_xlfn.XLOOKUP(G507,'[1]BP Setup'!$B$6:$B$72,'[1]BP Setup'!$Q$6:$Q$72)</f>
        <v/>
      </c>
      <c r="V507" s="207">
        <f>_xlfn.XLOOKUP(G507,'[1]BP Setup'!$B$6:$B$72,'[1]BP Setup'!$R$6:$R$72)</f>
        <v/>
      </c>
      <c r="W507" s="207">
        <f>$W$3</f>
        <v/>
      </c>
      <c r="X507" s="207" t="n">
        <v>80</v>
      </c>
      <c r="Y507" s="215">
        <f>T507*R507</f>
        <v/>
      </c>
      <c r="Z507" s="215">
        <f>U507*O507</f>
        <v/>
      </c>
      <c r="AA507" s="215">
        <f>V507*O507</f>
        <v/>
      </c>
      <c r="AB507" s="215">
        <f>W507*O507</f>
        <v/>
      </c>
      <c r="AC507" s="197">
        <f>X507*O507</f>
        <v/>
      </c>
      <c r="AD507" s="215" t="n">
        <v>25000</v>
      </c>
      <c r="AE507" s="215" t="n">
        <v>0</v>
      </c>
      <c r="AF507" s="207">
        <f>SUM(Y507:AE507)</f>
        <v/>
      </c>
      <c r="AG507" s="254">
        <f>_xlfn.XLOOKUP(G507,[1]Fx!$A$16:$A$22,[1]Fx!$B$16:$B$22)</f>
        <v/>
      </c>
      <c r="AH507" s="207">
        <f>AG507*R507</f>
        <v/>
      </c>
      <c r="AI507" s="207">
        <f>$AI$3*Z507</f>
        <v/>
      </c>
      <c r="AJ507" s="207">
        <f>$AJ$3*AA507</f>
        <v/>
      </c>
      <c r="AK507" s="207">
        <f>$AK$3*AB507</f>
        <v/>
      </c>
      <c r="AL507" s="207">
        <f>$AL$3*AC507</f>
        <v/>
      </c>
      <c r="AM507" s="220">
        <f>SUM(AH507:AL507)</f>
        <v/>
      </c>
      <c r="AN507" s="220" t="n">
        <v>0</v>
      </c>
      <c r="AO507" s="220">
        <f>AN507*AH507</f>
        <v/>
      </c>
      <c r="AP507" s="220" t="n">
        <v>0</v>
      </c>
      <c r="AQ507" s="220">
        <f>AE507</f>
        <v/>
      </c>
      <c r="AR507" s="208">
        <f>AM507-AO507</f>
        <v/>
      </c>
      <c r="AS507" s="220">
        <f>AR507-AK507</f>
        <v/>
      </c>
      <c r="AT507" s="208">
        <f>AS507*1.075</f>
        <v/>
      </c>
      <c r="AU507" s="208">
        <f>AT507+AK507</f>
        <v/>
      </c>
      <c r="AV507" s="198" t="n">
        <v>131602.1995740657</v>
      </c>
      <c r="AW507" s="264" t="n">
        <v>180000</v>
      </c>
      <c r="AX507" s="220">
        <f>AV507-AU507</f>
        <v/>
      </c>
      <c r="AY507" s="35">
        <f>AX507/AR507</f>
        <v/>
      </c>
      <c r="AZ507" s="220">
        <f>AV507-AF507</f>
        <v/>
      </c>
      <c r="BA507" s="215">
        <f>AV507-SUM(Z507:AC507)</f>
        <v/>
      </c>
      <c r="BB507" s="215">
        <f>BA507-Y507</f>
        <v/>
      </c>
      <c r="BC507" s="35">
        <f>BB507/BA507</f>
        <v/>
      </c>
      <c r="BD507" s="35">
        <f>IFERROR(AZ507/AV507,)</f>
        <v/>
      </c>
      <c r="BE507" s="255">
        <f>AV507-SUM(Z507:AC507)</f>
        <v/>
      </c>
      <c r="BF507" s="255">
        <f>AV507-BE507-AC507-AB507</f>
        <v/>
      </c>
      <c r="BG507" s="255">
        <f>AV507-BE507-BF507-AB507</f>
        <v/>
      </c>
      <c r="BH507" s="255">
        <f>AB507</f>
        <v/>
      </c>
      <c r="BI507" s="263" t="inlineStr">
        <is>
          <t>Approved</t>
        </is>
      </c>
    </row>
    <row r="508">
      <c r="C508" s="23" t="inlineStr">
        <is>
          <t>YEKINI</t>
        </is>
      </c>
      <c r="D508">
        <f>CONCATENATE(G508,"-",H508,"-",F508)</f>
        <v/>
      </c>
      <c r="E508" s="24" t="inlineStr">
        <is>
          <t>JMG-10T-Hiabs Logistics-Local</t>
        </is>
      </c>
      <c r="F508" s="23" t="inlineStr">
        <is>
          <t>Local</t>
        </is>
      </c>
      <c r="G508" s="25" t="inlineStr">
        <is>
          <t>Hiabs Logistics</t>
        </is>
      </c>
      <c r="H508" s="24" t="inlineStr">
        <is>
          <t>10T</t>
        </is>
      </c>
      <c r="I508" s="73" t="inlineStr">
        <is>
          <t>JMG</t>
        </is>
      </c>
      <c r="J508" s="74" t="inlineStr">
        <is>
          <t>Lagos</t>
        </is>
      </c>
      <c r="K508" s="202" t="inlineStr">
        <is>
          <t>Victoria Island</t>
        </is>
      </c>
      <c r="L508" t="inlineStr">
        <is>
          <t>Lagos</t>
        </is>
      </c>
      <c r="N508" s="201">
        <f>O508/2</f>
        <v/>
      </c>
      <c r="O508" s="201" t="n">
        <v>48</v>
      </c>
      <c r="P508" s="220">
        <f>ROUNDUP(O508/300,)</f>
        <v/>
      </c>
      <c r="Q508" s="220" t="n">
        <v>0</v>
      </c>
      <c r="R508" s="220">
        <f>Q508+P508</f>
        <v/>
      </c>
      <c r="S508" s="198">
        <f>ROUNDDOWN(O508*0.51,)+60</f>
        <v/>
      </c>
      <c r="T508" s="207">
        <f>_xlfn.XLOOKUP(G508,[1]Fx!$A$4:$A$10,[1]Fx!$B$4:$B$10)</f>
        <v/>
      </c>
      <c r="U508" s="207">
        <f>_xlfn.XLOOKUP(G508,'[1]BP Setup'!$B$6:$B$72,'[1]BP Setup'!$Q$6:$Q$72)</f>
        <v/>
      </c>
      <c r="V508" s="207">
        <f>_xlfn.XLOOKUP(G508,'[1]BP Setup'!$B$6:$B$72,'[1]BP Setup'!$R$6:$R$72)</f>
        <v/>
      </c>
      <c r="W508" s="207">
        <f>$W$3</f>
        <v/>
      </c>
      <c r="X508" s="207" t="n">
        <v>80</v>
      </c>
      <c r="Y508" s="215">
        <f>T508*R508</f>
        <v/>
      </c>
      <c r="Z508" s="215">
        <f>U508*O508</f>
        <v/>
      </c>
      <c r="AA508" s="215">
        <f>V508*O508</f>
        <v/>
      </c>
      <c r="AB508" s="215">
        <f>W508*O508</f>
        <v/>
      </c>
      <c r="AC508" s="197">
        <f>X508*O508</f>
        <v/>
      </c>
      <c r="AD508" s="215" t="n">
        <v>25000</v>
      </c>
      <c r="AE508" s="215" t="n">
        <v>0</v>
      </c>
      <c r="AF508" s="207">
        <f>SUM(Y508:AE508)</f>
        <v/>
      </c>
      <c r="AG508" s="254">
        <f>_xlfn.XLOOKUP(G508,[1]Fx!$A$16:$A$22,[1]Fx!$B$16:$B$22)</f>
        <v/>
      </c>
      <c r="AH508" s="207">
        <f>AG508*R508</f>
        <v/>
      </c>
      <c r="AI508" s="207">
        <f>$AI$3*Z508</f>
        <v/>
      </c>
      <c r="AJ508" s="207">
        <f>$AJ$3*AA508</f>
        <v/>
      </c>
      <c r="AK508" s="207">
        <f>$AK$3*AB508</f>
        <v/>
      </c>
      <c r="AL508" s="207">
        <f>$AL$3*AC508</f>
        <v/>
      </c>
      <c r="AM508" s="220">
        <f>SUM(AH508:AL508)</f>
        <v/>
      </c>
      <c r="AN508" s="220" t="n">
        <v>0</v>
      </c>
      <c r="AO508" s="220">
        <f>AN508*AH508</f>
        <v/>
      </c>
      <c r="AP508" s="220" t="n">
        <v>0</v>
      </c>
      <c r="AQ508" s="220">
        <f>AE508</f>
        <v/>
      </c>
      <c r="AR508" s="208">
        <f>AM508-AO508</f>
        <v/>
      </c>
      <c r="AS508" s="220">
        <f>AR508-AK508</f>
        <v/>
      </c>
      <c r="AT508" s="208">
        <f>AS508*1.075</f>
        <v/>
      </c>
      <c r="AU508" s="208">
        <f>AT508+AK508</f>
        <v/>
      </c>
      <c r="AV508" s="198" t="n">
        <v>131602.1995740657</v>
      </c>
      <c r="AW508" s="264" t="n">
        <v>150000</v>
      </c>
      <c r="AX508" s="220">
        <f>AV508-AU508</f>
        <v/>
      </c>
      <c r="AY508" s="35">
        <f>AX508/AR508</f>
        <v/>
      </c>
      <c r="AZ508" s="220">
        <f>AV508-AF508</f>
        <v/>
      </c>
      <c r="BA508" s="215">
        <f>AV508-SUM(Z508:AC508)</f>
        <v/>
      </c>
      <c r="BB508" s="215">
        <f>BA508-Y508</f>
        <v/>
      </c>
      <c r="BC508" s="35">
        <f>BB508/BA508</f>
        <v/>
      </c>
      <c r="BD508" s="35">
        <f>IFERROR(AZ508/AV508,)</f>
        <v/>
      </c>
      <c r="BE508" s="255">
        <f>AV508-SUM(Z508:AC508)</f>
        <v/>
      </c>
      <c r="BF508" s="255">
        <f>AV508-BE508-AC508-AB508</f>
        <v/>
      </c>
      <c r="BG508" s="255">
        <f>AV508-BE508-BF508-AB508</f>
        <v/>
      </c>
      <c r="BH508" s="255">
        <f>AB508</f>
        <v/>
      </c>
      <c r="BI508" s="263" t="inlineStr">
        <is>
          <t>Approved</t>
        </is>
      </c>
    </row>
    <row r="509">
      <c r="C509" s="23" t="inlineStr">
        <is>
          <t>YEKINI</t>
        </is>
      </c>
      <c r="D509">
        <f>CONCATENATE(G509,"-",H509,"-",F509)</f>
        <v/>
      </c>
      <c r="E509" s="24" t="inlineStr">
        <is>
          <t>JMG-10T-Hiabs Logistics-Local</t>
        </is>
      </c>
      <c r="F509" s="23" t="inlineStr">
        <is>
          <t>Local</t>
        </is>
      </c>
      <c r="G509" s="25" t="inlineStr">
        <is>
          <t>Hiabs Logistics</t>
        </is>
      </c>
      <c r="H509" s="24" t="inlineStr">
        <is>
          <t>10T</t>
        </is>
      </c>
      <c r="I509" s="73" t="inlineStr">
        <is>
          <t>JMG</t>
        </is>
      </c>
      <c r="J509" s="74" t="inlineStr">
        <is>
          <t>Lagos</t>
        </is>
      </c>
      <c r="K509" s="202" t="inlineStr">
        <is>
          <t>Oniru</t>
        </is>
      </c>
      <c r="L509" t="inlineStr">
        <is>
          <t>Lagos</t>
        </is>
      </c>
      <c r="N509" s="201">
        <f>O509/2</f>
        <v/>
      </c>
      <c r="O509" s="201" t="n">
        <v>46.2</v>
      </c>
      <c r="P509" s="220">
        <f>ROUNDUP(O509/300,)</f>
        <v/>
      </c>
      <c r="Q509" s="220" t="n">
        <v>0</v>
      </c>
      <c r="R509" s="220">
        <f>Q509+P509</f>
        <v/>
      </c>
      <c r="S509" s="198">
        <f>ROUNDDOWN(O509*0.51,)+60</f>
        <v/>
      </c>
      <c r="T509" s="207">
        <f>_xlfn.XLOOKUP(G509,[1]Fx!$A$4:$A$10,[1]Fx!$B$4:$B$10)</f>
        <v/>
      </c>
      <c r="U509" s="207">
        <f>_xlfn.XLOOKUP(G509,'[1]BP Setup'!$B$6:$B$72,'[1]BP Setup'!$Q$6:$Q$72)</f>
        <v/>
      </c>
      <c r="V509" s="207">
        <f>_xlfn.XLOOKUP(G509,'[1]BP Setup'!$B$6:$B$72,'[1]BP Setup'!$R$6:$R$72)</f>
        <v/>
      </c>
      <c r="W509" s="207">
        <f>$W$3</f>
        <v/>
      </c>
      <c r="X509" s="207" t="n">
        <v>80</v>
      </c>
      <c r="Y509" s="215">
        <f>T509*R509</f>
        <v/>
      </c>
      <c r="Z509" s="215">
        <f>U509*O509</f>
        <v/>
      </c>
      <c r="AA509" s="215">
        <f>V509*O509</f>
        <v/>
      </c>
      <c r="AB509" s="215">
        <f>W509*O509</f>
        <v/>
      </c>
      <c r="AC509" s="197">
        <f>X509*O509</f>
        <v/>
      </c>
      <c r="AD509" s="215" t="n">
        <v>25000</v>
      </c>
      <c r="AE509" s="215" t="n">
        <v>0</v>
      </c>
      <c r="AF509" s="207">
        <f>SUM(Y509:AE509)</f>
        <v/>
      </c>
      <c r="AG509" s="254">
        <f>_xlfn.XLOOKUP(G509,[1]Fx!$A$16:$A$22,[1]Fx!$B$16:$B$22)</f>
        <v/>
      </c>
      <c r="AH509" s="207">
        <f>AG509*R509</f>
        <v/>
      </c>
      <c r="AI509" s="207">
        <f>$AI$3*Z509</f>
        <v/>
      </c>
      <c r="AJ509" s="207">
        <f>$AJ$3*AA509</f>
        <v/>
      </c>
      <c r="AK509" s="207">
        <f>$AK$3*AB509</f>
        <v/>
      </c>
      <c r="AL509" s="207">
        <f>$AL$3*AC509</f>
        <v/>
      </c>
      <c r="AM509" s="220">
        <f>SUM(AH509:AL509)</f>
        <v/>
      </c>
      <c r="AN509" s="220" t="n">
        <v>0</v>
      </c>
      <c r="AO509" s="220">
        <f>AN509*AH509</f>
        <v/>
      </c>
      <c r="AP509" s="220" t="n">
        <v>0</v>
      </c>
      <c r="AQ509" s="220">
        <f>AE509</f>
        <v/>
      </c>
      <c r="AR509" s="208">
        <f>AM509-AO509</f>
        <v/>
      </c>
      <c r="AS509" s="220">
        <f>AR509-AK509</f>
        <v/>
      </c>
      <c r="AT509" s="208">
        <f>AS509*1.075</f>
        <v/>
      </c>
      <c r="AU509" s="208">
        <f>AT509+AK509</f>
        <v/>
      </c>
      <c r="AV509" s="198" t="n">
        <v>131602.1995740657</v>
      </c>
      <c r="AW509" s="264" t="n">
        <v>150000</v>
      </c>
      <c r="AX509" s="220">
        <f>AV509-AU509</f>
        <v/>
      </c>
      <c r="AY509" s="35">
        <f>AX509/AR509</f>
        <v/>
      </c>
      <c r="AZ509" s="220">
        <f>AV509-AF509</f>
        <v/>
      </c>
      <c r="BA509" s="215">
        <f>AV509-SUM(Z509:AC509)</f>
        <v/>
      </c>
      <c r="BB509" s="215">
        <f>BA509-Y509</f>
        <v/>
      </c>
      <c r="BC509" s="35">
        <f>BB509/BA509</f>
        <v/>
      </c>
      <c r="BD509" s="35">
        <f>IFERROR(AZ509/AV509,)</f>
        <v/>
      </c>
      <c r="BE509" s="255">
        <f>AV509-SUM(Z509:AC509)</f>
        <v/>
      </c>
      <c r="BF509" s="255">
        <f>AV509-BE509-AC509-AB509</f>
        <v/>
      </c>
      <c r="BG509" s="255">
        <f>AV509-BE509-BF509-AB509</f>
        <v/>
      </c>
      <c r="BH509" s="255">
        <f>AB509</f>
        <v/>
      </c>
      <c r="BI509" s="263" t="inlineStr">
        <is>
          <t>Approved</t>
        </is>
      </c>
    </row>
    <row r="510">
      <c r="C510" s="23" t="inlineStr">
        <is>
          <t>YEKINI</t>
        </is>
      </c>
      <c r="D510">
        <f>CONCATENATE(G510,"-",H510,"-",F510)</f>
        <v/>
      </c>
      <c r="E510" s="24" t="inlineStr">
        <is>
          <t>JMG-10T-Hiabs Logistics-Local</t>
        </is>
      </c>
      <c r="F510" s="23" t="inlineStr">
        <is>
          <t>Local</t>
        </is>
      </c>
      <c r="G510" s="25" t="inlineStr">
        <is>
          <t>Hiabs Logistics</t>
        </is>
      </c>
      <c r="H510" s="24" t="inlineStr">
        <is>
          <t>10T</t>
        </is>
      </c>
      <c r="I510" s="73" t="inlineStr">
        <is>
          <t>JMG</t>
        </is>
      </c>
      <c r="J510" s="74" t="inlineStr">
        <is>
          <t>Lagos</t>
        </is>
      </c>
      <c r="K510" s="202" t="inlineStr">
        <is>
          <t>Lagos Island</t>
        </is>
      </c>
      <c r="L510" t="inlineStr">
        <is>
          <t>Lagos</t>
        </is>
      </c>
      <c r="N510" s="201">
        <f>O510/2</f>
        <v/>
      </c>
      <c r="O510" s="201" t="n">
        <v>46</v>
      </c>
      <c r="P510" s="220">
        <f>ROUNDUP(O510/300,)</f>
        <v/>
      </c>
      <c r="Q510" s="220" t="n">
        <v>0</v>
      </c>
      <c r="R510" s="220">
        <f>Q510+P510</f>
        <v/>
      </c>
      <c r="S510" s="198">
        <f>ROUNDDOWN(O510*0.51,)+60</f>
        <v/>
      </c>
      <c r="T510" s="207">
        <f>_xlfn.XLOOKUP(G510,[1]Fx!$A$4:$A$10,[1]Fx!$B$4:$B$10)</f>
        <v/>
      </c>
      <c r="U510" s="207">
        <f>_xlfn.XLOOKUP(G510,'[1]BP Setup'!$B$6:$B$72,'[1]BP Setup'!$Q$6:$Q$72)</f>
        <v/>
      </c>
      <c r="V510" s="207">
        <f>_xlfn.XLOOKUP(G510,'[1]BP Setup'!$B$6:$B$72,'[1]BP Setup'!$R$6:$R$72)</f>
        <v/>
      </c>
      <c r="W510" s="207">
        <f>$W$3</f>
        <v/>
      </c>
      <c r="X510" s="207" t="n">
        <v>80</v>
      </c>
      <c r="Y510" s="215">
        <f>T510*R510</f>
        <v/>
      </c>
      <c r="Z510" s="215">
        <f>U510*O510</f>
        <v/>
      </c>
      <c r="AA510" s="215">
        <f>V510*O510</f>
        <v/>
      </c>
      <c r="AB510" s="215">
        <f>W510*O510</f>
        <v/>
      </c>
      <c r="AC510" s="197">
        <f>X510*O510</f>
        <v/>
      </c>
      <c r="AD510" s="215" t="n">
        <v>25000</v>
      </c>
      <c r="AE510" s="215" t="n">
        <v>0</v>
      </c>
      <c r="AF510" s="207">
        <f>SUM(Y510:AE510)</f>
        <v/>
      </c>
      <c r="AG510" s="254">
        <f>_xlfn.XLOOKUP(G510,[1]Fx!$A$16:$A$22,[1]Fx!$B$16:$B$22)</f>
        <v/>
      </c>
      <c r="AH510" s="207">
        <f>AG510*R510</f>
        <v/>
      </c>
      <c r="AI510" s="207">
        <f>$AI$3*Z510</f>
        <v/>
      </c>
      <c r="AJ510" s="207">
        <f>$AJ$3*AA510</f>
        <v/>
      </c>
      <c r="AK510" s="207">
        <f>$AK$3*AB510</f>
        <v/>
      </c>
      <c r="AL510" s="207">
        <f>$AL$3*AC510</f>
        <v/>
      </c>
      <c r="AM510" s="220">
        <f>SUM(AH510:AL510)</f>
        <v/>
      </c>
      <c r="AN510" s="220" t="n">
        <v>0</v>
      </c>
      <c r="AO510" s="220">
        <f>AN510*AH510</f>
        <v/>
      </c>
      <c r="AP510" s="220" t="n">
        <v>0</v>
      </c>
      <c r="AQ510" s="220">
        <f>AE510</f>
        <v/>
      </c>
      <c r="AR510" s="208">
        <f>AM510-AO510</f>
        <v/>
      </c>
      <c r="AS510" s="220">
        <f>AR510-AK510</f>
        <v/>
      </c>
      <c r="AT510" s="208">
        <f>AS510*1.075</f>
        <v/>
      </c>
      <c r="AU510" s="208">
        <f>AT510+AK510</f>
        <v/>
      </c>
      <c r="AV510" s="198" t="n">
        <v>131602.1995740657</v>
      </c>
      <c r="AW510" s="264" t="n">
        <v>150000</v>
      </c>
      <c r="AX510" s="220">
        <f>AV510-AU510</f>
        <v/>
      </c>
      <c r="AY510" s="35">
        <f>AX510/AR510</f>
        <v/>
      </c>
      <c r="AZ510" s="220">
        <f>AV510-AF510</f>
        <v/>
      </c>
      <c r="BA510" s="215">
        <f>AV510-SUM(Z510:AC510)</f>
        <v/>
      </c>
      <c r="BB510" s="215">
        <f>BA510-Y510</f>
        <v/>
      </c>
      <c r="BC510" s="35">
        <f>BB510/BA510</f>
        <v/>
      </c>
      <c r="BD510" s="35">
        <f>IFERROR(AZ510/AV510,)</f>
        <v/>
      </c>
      <c r="BE510" s="255">
        <f>AV510-SUM(Z510:AC510)</f>
        <v/>
      </c>
      <c r="BF510" s="255">
        <f>AV510-BE510-AC510-AB510</f>
        <v/>
      </c>
      <c r="BG510" s="255">
        <f>AV510-BE510-BF510-AB510</f>
        <v/>
      </c>
      <c r="BH510" s="255">
        <f>AB510</f>
        <v/>
      </c>
      <c r="BI510" s="263" t="inlineStr">
        <is>
          <t>Approved</t>
        </is>
      </c>
    </row>
    <row r="511">
      <c r="C511" s="23" t="inlineStr">
        <is>
          <t>YEKINI</t>
        </is>
      </c>
      <c r="D511">
        <f>CONCATENATE(G511,"-",H511,"-",F511)</f>
        <v/>
      </c>
      <c r="E511" s="24" t="inlineStr">
        <is>
          <t>JMG-10T-Hiabs Logistics-Local</t>
        </is>
      </c>
      <c r="F511" s="23" t="inlineStr">
        <is>
          <t>Local</t>
        </is>
      </c>
      <c r="G511" s="25" t="inlineStr">
        <is>
          <t>Hiabs Logistics</t>
        </is>
      </c>
      <c r="H511" s="24" t="inlineStr">
        <is>
          <t>10T</t>
        </is>
      </c>
      <c r="I511" s="73" t="inlineStr">
        <is>
          <t>JMG</t>
        </is>
      </c>
      <c r="J511" s="74" t="inlineStr">
        <is>
          <t>Lagos</t>
        </is>
      </c>
      <c r="K511" s="202" t="inlineStr">
        <is>
          <t>Abule Egba</t>
        </is>
      </c>
      <c r="L511" t="inlineStr">
        <is>
          <t>Lagos</t>
        </is>
      </c>
      <c r="N511" s="201">
        <f>O511/2</f>
        <v/>
      </c>
      <c r="O511" s="200" t="n">
        <v>44.5</v>
      </c>
      <c r="P511" s="220">
        <f>ROUNDUP(O511/300,)</f>
        <v/>
      </c>
      <c r="Q511" s="220" t="n">
        <v>0</v>
      </c>
      <c r="R511" s="220">
        <f>Q511+P511</f>
        <v/>
      </c>
      <c r="S511" s="198">
        <f>ROUNDDOWN(O511*0.51,)+60</f>
        <v/>
      </c>
      <c r="T511" s="207">
        <f>_xlfn.XLOOKUP(G511,[1]Fx!$A$4:$A$10,[1]Fx!$B$4:$B$10)</f>
        <v/>
      </c>
      <c r="U511" s="207">
        <f>_xlfn.XLOOKUP(G511,'[1]BP Setup'!$B$6:$B$72,'[1]BP Setup'!$Q$6:$Q$72)</f>
        <v/>
      </c>
      <c r="V511" s="207">
        <f>_xlfn.XLOOKUP(G511,'[1]BP Setup'!$B$6:$B$72,'[1]BP Setup'!$R$6:$R$72)</f>
        <v/>
      </c>
      <c r="W511" s="207">
        <f>$W$3</f>
        <v/>
      </c>
      <c r="X511" s="207" t="n">
        <v>80</v>
      </c>
      <c r="Y511" s="215">
        <f>T511*R511</f>
        <v/>
      </c>
      <c r="Z511" s="215">
        <f>U511*O511</f>
        <v/>
      </c>
      <c r="AA511" s="215">
        <f>V511*O511</f>
        <v/>
      </c>
      <c r="AB511" s="215">
        <f>W511*O511</f>
        <v/>
      </c>
      <c r="AC511" s="197">
        <f>X511*O511</f>
        <v/>
      </c>
      <c r="AD511" s="215" t="n">
        <v>25000</v>
      </c>
      <c r="AE511" s="215" t="n">
        <v>0</v>
      </c>
      <c r="AF511" s="207">
        <f>SUM(Y511:AE511)</f>
        <v/>
      </c>
      <c r="AG511" s="254">
        <f>_xlfn.XLOOKUP(G511,[1]Fx!$A$16:$A$22,[1]Fx!$B$16:$B$22)</f>
        <v/>
      </c>
      <c r="AH511" s="207">
        <f>AG511*R511</f>
        <v/>
      </c>
      <c r="AI511" s="207">
        <f>$AI$3*Z511</f>
        <v/>
      </c>
      <c r="AJ511" s="207">
        <f>$AJ$3*AA511</f>
        <v/>
      </c>
      <c r="AK511" s="207">
        <f>$AK$3*AB511</f>
        <v/>
      </c>
      <c r="AL511" s="207">
        <f>$AL$3*AC511</f>
        <v/>
      </c>
      <c r="AM511" s="220">
        <f>SUM(AH511:AL511)</f>
        <v/>
      </c>
      <c r="AN511" s="220" t="n">
        <v>0</v>
      </c>
      <c r="AO511" s="220">
        <f>AN511*AH511</f>
        <v/>
      </c>
      <c r="AP511" s="220" t="n">
        <v>0</v>
      </c>
      <c r="AQ511" s="220">
        <f>AE511</f>
        <v/>
      </c>
      <c r="AR511" s="208">
        <f>AM511-AO511</f>
        <v/>
      </c>
      <c r="AS511" s="220">
        <f>AR511-AK511</f>
        <v/>
      </c>
      <c r="AT511" s="208">
        <f>AS511*1.075</f>
        <v/>
      </c>
      <c r="AU511" s="208">
        <f>AT511+AK511</f>
        <v/>
      </c>
      <c r="AV511" s="198" t="n">
        <v>131602.1995740657</v>
      </c>
      <c r="AW511" s="264" t="n">
        <v>150000</v>
      </c>
      <c r="AX511" s="220">
        <f>AV511-AU511</f>
        <v/>
      </c>
      <c r="AY511" s="35">
        <f>AX511/AR511</f>
        <v/>
      </c>
      <c r="AZ511" s="220">
        <f>AV511-AF511</f>
        <v/>
      </c>
      <c r="BA511" s="215">
        <f>AV511-SUM(Z511:AC511)</f>
        <v/>
      </c>
      <c r="BB511" s="215">
        <f>BA511-Y511</f>
        <v/>
      </c>
      <c r="BC511" s="35">
        <f>BB511/BA511</f>
        <v/>
      </c>
      <c r="BD511" s="35">
        <f>IFERROR(AZ511/AV511,)</f>
        <v/>
      </c>
      <c r="BE511" s="255">
        <f>AV511-SUM(Z511:AC511)</f>
        <v/>
      </c>
      <c r="BF511" s="255">
        <f>AV511-BE511-AC511-AB511</f>
        <v/>
      </c>
      <c r="BG511" s="255">
        <f>AV511-BE511-BF511-AB511</f>
        <v/>
      </c>
      <c r="BH511" s="255">
        <f>AB511</f>
        <v/>
      </c>
      <c r="BI511" s="263" t="inlineStr">
        <is>
          <t>Approved</t>
        </is>
      </c>
    </row>
    <row r="512">
      <c r="C512" s="23" t="inlineStr">
        <is>
          <t>YEKINI</t>
        </is>
      </c>
      <c r="D512">
        <f>CONCATENATE(G512,"-",H512,"-",F512)</f>
        <v/>
      </c>
      <c r="E512" s="24" t="inlineStr">
        <is>
          <t>JMG-10T-Hiabs Logistics-Local</t>
        </is>
      </c>
      <c r="F512" s="23" t="inlineStr">
        <is>
          <t>Local</t>
        </is>
      </c>
      <c r="G512" s="25" t="inlineStr">
        <is>
          <t>Hiabs Logistics</t>
        </is>
      </c>
      <c r="H512" s="24" t="inlineStr">
        <is>
          <t>10T</t>
        </is>
      </c>
      <c r="I512" s="73" t="inlineStr">
        <is>
          <t>JMG</t>
        </is>
      </c>
      <c r="J512" s="74" t="inlineStr">
        <is>
          <t>Lagos</t>
        </is>
      </c>
      <c r="K512" s="202" t="inlineStr">
        <is>
          <t>Bar Beach</t>
        </is>
      </c>
      <c r="L512" t="inlineStr">
        <is>
          <t>Lagos</t>
        </is>
      </c>
      <c r="N512" s="201">
        <f>O512/2</f>
        <v/>
      </c>
      <c r="O512" s="200" t="n">
        <v>43.8</v>
      </c>
      <c r="P512" s="220">
        <f>ROUNDUP(O512/300,)</f>
        <v/>
      </c>
      <c r="Q512" s="220" t="n">
        <v>0</v>
      </c>
      <c r="R512" s="220">
        <f>Q512+P512</f>
        <v/>
      </c>
      <c r="S512" s="198">
        <f>ROUNDDOWN(O512*0.51,)+60</f>
        <v/>
      </c>
      <c r="T512" s="207">
        <f>_xlfn.XLOOKUP(G512,[1]Fx!$A$4:$A$10,[1]Fx!$B$4:$B$10)</f>
        <v/>
      </c>
      <c r="U512" s="207">
        <f>_xlfn.XLOOKUP(G512,'[1]BP Setup'!$B$6:$B$72,'[1]BP Setup'!$Q$6:$Q$72)</f>
        <v/>
      </c>
      <c r="V512" s="207">
        <f>_xlfn.XLOOKUP(G512,'[1]BP Setup'!$B$6:$B$72,'[1]BP Setup'!$R$6:$R$72)</f>
        <v/>
      </c>
      <c r="W512" s="207">
        <f>$W$3</f>
        <v/>
      </c>
      <c r="X512" s="207" t="n">
        <v>80</v>
      </c>
      <c r="Y512" s="215">
        <f>T512*R512</f>
        <v/>
      </c>
      <c r="Z512" s="215">
        <f>U512*O512</f>
        <v/>
      </c>
      <c r="AA512" s="215">
        <f>V512*O512</f>
        <v/>
      </c>
      <c r="AB512" s="215">
        <f>W512*O512</f>
        <v/>
      </c>
      <c r="AC512" s="197">
        <f>X512*O512</f>
        <v/>
      </c>
      <c r="AD512" s="215" t="n">
        <v>25000</v>
      </c>
      <c r="AE512" s="215" t="n">
        <v>0</v>
      </c>
      <c r="AF512" s="207">
        <f>SUM(Y512:AE512)</f>
        <v/>
      </c>
      <c r="AG512" s="254">
        <f>_xlfn.XLOOKUP(G512,[1]Fx!$A$16:$A$22,[1]Fx!$B$16:$B$22)</f>
        <v/>
      </c>
      <c r="AH512" s="207">
        <f>AG512*R512</f>
        <v/>
      </c>
      <c r="AI512" s="207">
        <f>$AI$3*Z512</f>
        <v/>
      </c>
      <c r="AJ512" s="207">
        <f>$AJ$3*AA512</f>
        <v/>
      </c>
      <c r="AK512" s="207">
        <f>$AK$3*AB512</f>
        <v/>
      </c>
      <c r="AL512" s="207">
        <f>$AL$3*AC512</f>
        <v/>
      </c>
      <c r="AM512" s="220">
        <f>SUM(AH512:AL512)</f>
        <v/>
      </c>
      <c r="AN512" s="220" t="n">
        <v>0</v>
      </c>
      <c r="AO512" s="220">
        <f>AN512*AH512</f>
        <v/>
      </c>
      <c r="AP512" s="220" t="n">
        <v>0</v>
      </c>
      <c r="AQ512" s="220">
        <f>AE512</f>
        <v/>
      </c>
      <c r="AR512" s="208">
        <f>AM512-AO512</f>
        <v/>
      </c>
      <c r="AS512" s="220">
        <f>AR512-AK512</f>
        <v/>
      </c>
      <c r="AT512" s="208">
        <f>AS512*1.075</f>
        <v/>
      </c>
      <c r="AU512" s="208">
        <f>AT512+AK512</f>
        <v/>
      </c>
      <c r="AV512" s="198" t="n">
        <v>131602.1995740657</v>
      </c>
      <c r="AW512" s="264" t="n">
        <v>150000</v>
      </c>
      <c r="AX512" s="220">
        <f>AV512-AU512</f>
        <v/>
      </c>
      <c r="AY512" s="35">
        <f>AX512/AR512</f>
        <v/>
      </c>
      <c r="AZ512" s="220">
        <f>AV512-AF512</f>
        <v/>
      </c>
      <c r="BA512" s="215">
        <f>AV512-SUM(Z512:AC512)</f>
        <v/>
      </c>
      <c r="BB512" s="215">
        <f>BA512-Y512</f>
        <v/>
      </c>
      <c r="BC512" s="35">
        <f>BB512/BA512</f>
        <v/>
      </c>
      <c r="BD512" s="35">
        <f>IFERROR(AZ512/AV512,)</f>
        <v/>
      </c>
      <c r="BE512" s="255">
        <f>AV512-SUM(Z512:AC512)</f>
        <v/>
      </c>
      <c r="BF512" s="255">
        <f>AV512-BE512-AC512-AB512</f>
        <v/>
      </c>
      <c r="BG512" s="255">
        <f>AV512-BE512-BF512-AB512</f>
        <v/>
      </c>
      <c r="BH512" s="255">
        <f>AB512</f>
        <v/>
      </c>
      <c r="BI512" s="263" t="inlineStr">
        <is>
          <t>Approved</t>
        </is>
      </c>
    </row>
    <row r="513">
      <c r="C513" s="23" t="inlineStr">
        <is>
          <t>YEKINI</t>
        </is>
      </c>
      <c r="D513">
        <f>CONCATENATE(G513,"-",H513,"-",F513)</f>
        <v/>
      </c>
      <c r="E513" s="24" t="inlineStr">
        <is>
          <t>JMG-10T-Hiabs Logistics-Local</t>
        </is>
      </c>
      <c r="F513" s="23" t="inlineStr">
        <is>
          <t>Local</t>
        </is>
      </c>
      <c r="G513" s="25" t="inlineStr">
        <is>
          <t>Hiabs Logistics</t>
        </is>
      </c>
      <c r="H513" s="24" t="inlineStr">
        <is>
          <t>10T</t>
        </is>
      </c>
      <c r="I513" s="73" t="inlineStr">
        <is>
          <t>JMG</t>
        </is>
      </c>
      <c r="J513" s="74" t="inlineStr">
        <is>
          <t>Lagos</t>
        </is>
      </c>
      <c r="K513" s="202" t="inlineStr">
        <is>
          <t>Adeola Odeku</t>
        </is>
      </c>
      <c r="L513" t="inlineStr">
        <is>
          <t>Lagos</t>
        </is>
      </c>
      <c r="N513" s="201">
        <f>O513/2</f>
        <v/>
      </c>
      <c r="O513" s="200" t="n">
        <v>43.2</v>
      </c>
      <c r="P513" s="220">
        <f>ROUNDUP(O513/300,)</f>
        <v/>
      </c>
      <c r="Q513" s="220" t="n">
        <v>0</v>
      </c>
      <c r="R513" s="220">
        <f>Q513+P513</f>
        <v/>
      </c>
      <c r="S513" s="198">
        <f>ROUNDDOWN(O513*0.51,)+60</f>
        <v/>
      </c>
      <c r="T513" s="207">
        <f>_xlfn.XLOOKUP(G513,[1]Fx!$A$4:$A$10,[1]Fx!$B$4:$B$10)</f>
        <v/>
      </c>
      <c r="U513" s="207">
        <f>_xlfn.XLOOKUP(G513,'[1]BP Setup'!$B$6:$B$72,'[1]BP Setup'!$Q$6:$Q$72)</f>
        <v/>
      </c>
      <c r="V513" s="207">
        <f>_xlfn.XLOOKUP(G513,'[1]BP Setup'!$B$6:$B$72,'[1]BP Setup'!$R$6:$R$72)</f>
        <v/>
      </c>
      <c r="W513" s="207">
        <f>$W$3</f>
        <v/>
      </c>
      <c r="X513" s="207" t="n">
        <v>80</v>
      </c>
      <c r="Y513" s="215">
        <f>T513*R513</f>
        <v/>
      </c>
      <c r="Z513" s="215">
        <f>U513*O513</f>
        <v/>
      </c>
      <c r="AA513" s="215">
        <f>V513*O513</f>
        <v/>
      </c>
      <c r="AB513" s="215">
        <f>W513*O513</f>
        <v/>
      </c>
      <c r="AC513" s="197">
        <f>X513*O513</f>
        <v/>
      </c>
      <c r="AD513" s="215" t="n">
        <v>25000</v>
      </c>
      <c r="AE513" s="215" t="n">
        <v>0</v>
      </c>
      <c r="AF513" s="207">
        <f>SUM(Y513:AE513)</f>
        <v/>
      </c>
      <c r="AG513" s="254">
        <f>_xlfn.XLOOKUP(G513,[1]Fx!$A$16:$A$22,[1]Fx!$B$16:$B$22)</f>
        <v/>
      </c>
      <c r="AH513" s="207">
        <f>AG513*R513</f>
        <v/>
      </c>
      <c r="AI513" s="207">
        <f>$AI$3*Z513</f>
        <v/>
      </c>
      <c r="AJ513" s="207">
        <f>$AJ$3*AA513</f>
        <v/>
      </c>
      <c r="AK513" s="207">
        <f>$AK$3*AB513</f>
        <v/>
      </c>
      <c r="AL513" s="207">
        <f>$AL$3*AC513</f>
        <v/>
      </c>
      <c r="AM513" s="220">
        <f>SUM(AH513:AL513)</f>
        <v/>
      </c>
      <c r="AN513" s="220" t="n">
        <v>0</v>
      </c>
      <c r="AO513" s="220">
        <f>AN513*AH513</f>
        <v/>
      </c>
      <c r="AP513" s="220" t="n">
        <v>0</v>
      </c>
      <c r="AQ513" s="220">
        <f>AE513</f>
        <v/>
      </c>
      <c r="AR513" s="208">
        <f>AM513-AO513</f>
        <v/>
      </c>
      <c r="AS513" s="220">
        <f>AR513-AK513</f>
        <v/>
      </c>
      <c r="AT513" s="208">
        <f>AS513*1.075</f>
        <v/>
      </c>
      <c r="AU513" s="208">
        <f>AT513+AK513</f>
        <v/>
      </c>
      <c r="AV513" s="198" t="n">
        <v>131602.1995740657</v>
      </c>
      <c r="AW513" s="264" t="n">
        <v>150000</v>
      </c>
      <c r="AX513" s="220">
        <f>AV513-AU513</f>
        <v/>
      </c>
      <c r="AY513" s="35">
        <f>AX513/AR513</f>
        <v/>
      </c>
      <c r="AZ513" s="220">
        <f>AV513-AF513</f>
        <v/>
      </c>
      <c r="BA513" s="215">
        <f>AV513-SUM(Z513:AC513)</f>
        <v/>
      </c>
      <c r="BB513" s="215">
        <f>BA513-Y513</f>
        <v/>
      </c>
      <c r="BC513" s="35">
        <f>BB513/BA513</f>
        <v/>
      </c>
      <c r="BD513" s="35">
        <f>IFERROR(AZ513/AV513,)</f>
        <v/>
      </c>
      <c r="BE513" s="255">
        <f>AV513-SUM(Z513:AC513)</f>
        <v/>
      </c>
      <c r="BF513" s="255">
        <f>AV513-BE513-AC513-AB513</f>
        <v/>
      </c>
      <c r="BG513" s="255">
        <f>AV513-BE513-BF513-AB513</f>
        <v/>
      </c>
      <c r="BH513" s="255">
        <f>AB513</f>
        <v/>
      </c>
      <c r="BI513" s="263" t="inlineStr">
        <is>
          <t>Approved</t>
        </is>
      </c>
    </row>
    <row r="514">
      <c r="C514" s="23" t="inlineStr">
        <is>
          <t>YEKINI</t>
        </is>
      </c>
      <c r="D514">
        <f>CONCATENATE(G514,"-",H514,"-",F514)</f>
        <v/>
      </c>
      <c r="E514" s="24" t="inlineStr">
        <is>
          <t>JMG-10T-Hiabs Logistics-Local</t>
        </is>
      </c>
      <c r="F514" s="23" t="inlineStr">
        <is>
          <t>Local</t>
        </is>
      </c>
      <c r="G514" s="25" t="inlineStr">
        <is>
          <t>Hiabs Logistics</t>
        </is>
      </c>
      <c r="H514" s="24" t="inlineStr">
        <is>
          <t>10T</t>
        </is>
      </c>
      <c r="I514" s="73" t="inlineStr">
        <is>
          <t>JMG</t>
        </is>
      </c>
      <c r="J514" s="74" t="inlineStr">
        <is>
          <t>Lagos</t>
        </is>
      </c>
      <c r="K514" s="121" t="inlineStr">
        <is>
          <t>Mushin</t>
        </is>
      </c>
      <c r="L514" t="inlineStr">
        <is>
          <t>Lagos</t>
        </is>
      </c>
      <c r="N514" s="201">
        <f>O514/2</f>
        <v/>
      </c>
      <c r="O514" s="200" t="n">
        <v>43</v>
      </c>
      <c r="P514" s="220">
        <f>ROUNDUP(O514/300,)</f>
        <v/>
      </c>
      <c r="Q514" s="220" t="n">
        <v>0</v>
      </c>
      <c r="R514" s="220">
        <f>Q514+P514</f>
        <v/>
      </c>
      <c r="S514" s="198">
        <f>ROUNDDOWN(O514*0.51,)+60</f>
        <v/>
      </c>
      <c r="T514" s="207">
        <f>_xlfn.XLOOKUP(G514,[1]Fx!$A$4:$A$10,[1]Fx!$B$4:$B$10)</f>
        <v/>
      </c>
      <c r="U514" s="207">
        <f>_xlfn.XLOOKUP(G514,'[1]BP Setup'!$B$6:$B$72,'[1]BP Setup'!$Q$6:$Q$72)</f>
        <v/>
      </c>
      <c r="V514" s="207">
        <f>_xlfn.XLOOKUP(G514,'[1]BP Setup'!$B$6:$B$72,'[1]BP Setup'!$R$6:$R$72)</f>
        <v/>
      </c>
      <c r="W514" s="207">
        <f>$W$3</f>
        <v/>
      </c>
      <c r="X514" s="207" t="n">
        <v>80</v>
      </c>
      <c r="Y514" s="215">
        <f>T514*R514</f>
        <v/>
      </c>
      <c r="Z514" s="215">
        <f>U514*O514</f>
        <v/>
      </c>
      <c r="AA514" s="215">
        <f>V514*O514</f>
        <v/>
      </c>
      <c r="AB514" s="215">
        <f>W514*O514</f>
        <v/>
      </c>
      <c r="AC514" s="197">
        <f>X514*O514</f>
        <v/>
      </c>
      <c r="AD514" s="215" t="n">
        <v>25000</v>
      </c>
      <c r="AE514" s="215" t="n">
        <v>0</v>
      </c>
      <c r="AF514" s="207">
        <f>SUM(Y514:AE514)</f>
        <v/>
      </c>
      <c r="AG514" s="254">
        <f>_xlfn.XLOOKUP(G514,[1]Fx!$A$16:$A$22,[1]Fx!$B$16:$B$22)</f>
        <v/>
      </c>
      <c r="AH514" s="207">
        <f>AG514*R514</f>
        <v/>
      </c>
      <c r="AI514" s="207">
        <f>$AI$3*Z514</f>
        <v/>
      </c>
      <c r="AJ514" s="207">
        <f>$AJ$3*AA514</f>
        <v/>
      </c>
      <c r="AK514" s="207">
        <f>$AK$3*AB514</f>
        <v/>
      </c>
      <c r="AL514" s="207">
        <f>$AL$3*AC514</f>
        <v/>
      </c>
      <c r="AM514" s="220">
        <f>SUM(AH514:AL514)</f>
        <v/>
      </c>
      <c r="AN514" s="220" t="n">
        <v>0</v>
      </c>
      <c r="AO514" s="220">
        <f>AN514*AH514</f>
        <v/>
      </c>
      <c r="AP514" s="220" t="n">
        <v>0</v>
      </c>
      <c r="AQ514" s="220">
        <f>AE514</f>
        <v/>
      </c>
      <c r="AR514" s="208">
        <f>AM514-AO514</f>
        <v/>
      </c>
      <c r="AS514" s="220">
        <f>AR514-AK514</f>
        <v/>
      </c>
      <c r="AT514" s="208">
        <f>AS514*1.075</f>
        <v/>
      </c>
      <c r="AU514" s="208">
        <f>AT514+AK514</f>
        <v/>
      </c>
      <c r="AV514" s="198" t="n">
        <v>131602.1995740657</v>
      </c>
      <c r="AW514" s="264" t="n">
        <v>150000</v>
      </c>
      <c r="AX514" s="220">
        <f>AV514-AU514</f>
        <v/>
      </c>
      <c r="AY514" s="35">
        <f>AX514/AR514</f>
        <v/>
      </c>
      <c r="AZ514" s="220">
        <f>AV514-AF514</f>
        <v/>
      </c>
      <c r="BA514" s="215">
        <f>AV514-SUM(Z514:AC514)</f>
        <v/>
      </c>
      <c r="BB514" s="215">
        <f>BA514-Y514</f>
        <v/>
      </c>
      <c r="BC514" s="35">
        <f>BB514/BA514</f>
        <v/>
      </c>
      <c r="BD514" s="35">
        <f>IFERROR(AZ514/AV514,)</f>
        <v/>
      </c>
      <c r="BE514" s="255">
        <f>AV514-SUM(Z514:AC514)</f>
        <v/>
      </c>
      <c r="BF514" s="255">
        <f>AV514-BE514-AC514-AB514</f>
        <v/>
      </c>
      <c r="BG514" s="255">
        <f>AV514-BE514-BF514-AB514</f>
        <v/>
      </c>
      <c r="BH514" s="255">
        <f>AB514</f>
        <v/>
      </c>
      <c r="BI514" s="263" t="inlineStr">
        <is>
          <t>Approved</t>
        </is>
      </c>
    </row>
    <row r="515">
      <c r="C515" s="23" t="inlineStr">
        <is>
          <t>YEKINI</t>
        </is>
      </c>
      <c r="D515">
        <f>CONCATENATE(G515,"-",H515,"-",F515)</f>
        <v/>
      </c>
      <c r="E515" s="24" t="inlineStr">
        <is>
          <t>JMG-10T-Hiabs Logistics-Local</t>
        </is>
      </c>
      <c r="F515" s="23" t="inlineStr">
        <is>
          <t>Local</t>
        </is>
      </c>
      <c r="G515" s="25" t="inlineStr">
        <is>
          <t>Hiabs Logistics</t>
        </is>
      </c>
      <c r="H515" s="24" t="inlineStr">
        <is>
          <t>10T</t>
        </is>
      </c>
      <c r="I515" s="73" t="inlineStr">
        <is>
          <t>JMG</t>
        </is>
      </c>
      <c r="J515" s="74" t="inlineStr">
        <is>
          <t>Lagos</t>
        </is>
      </c>
      <c r="K515" s="202" t="inlineStr">
        <is>
          <t>Agbado</t>
        </is>
      </c>
      <c r="L515" t="inlineStr">
        <is>
          <t>Lagos</t>
        </is>
      </c>
      <c r="N515" s="201">
        <f>O515/2</f>
        <v/>
      </c>
      <c r="O515" s="200" t="n">
        <v>42.4</v>
      </c>
      <c r="P515" s="220">
        <f>ROUNDUP(O515/300,)</f>
        <v/>
      </c>
      <c r="Q515" s="220" t="n">
        <v>0</v>
      </c>
      <c r="R515" s="220">
        <f>Q515+P515</f>
        <v/>
      </c>
      <c r="S515" s="198">
        <f>ROUNDDOWN(O515*0.51,)+60</f>
        <v/>
      </c>
      <c r="T515" s="207">
        <f>_xlfn.XLOOKUP(G515,[1]Fx!$A$4:$A$10,[1]Fx!$B$4:$B$10)</f>
        <v/>
      </c>
      <c r="U515" s="207">
        <f>_xlfn.XLOOKUP(G515,'[1]BP Setup'!$B$6:$B$72,'[1]BP Setup'!$Q$6:$Q$72)</f>
        <v/>
      </c>
      <c r="V515" s="207">
        <f>_xlfn.XLOOKUP(G515,'[1]BP Setup'!$B$6:$B$72,'[1]BP Setup'!$R$6:$R$72)</f>
        <v/>
      </c>
      <c r="W515" s="207">
        <f>$W$3</f>
        <v/>
      </c>
      <c r="X515" s="207" t="n">
        <v>80</v>
      </c>
      <c r="Y515" s="215">
        <f>T515*R515</f>
        <v/>
      </c>
      <c r="Z515" s="215">
        <f>U515*O515</f>
        <v/>
      </c>
      <c r="AA515" s="215">
        <f>V515*O515</f>
        <v/>
      </c>
      <c r="AB515" s="215">
        <f>W515*O515</f>
        <v/>
      </c>
      <c r="AC515" s="197">
        <f>X515*O515</f>
        <v/>
      </c>
      <c r="AD515" s="215" t="n">
        <v>25000</v>
      </c>
      <c r="AE515" s="215" t="n">
        <v>0</v>
      </c>
      <c r="AF515" s="207">
        <f>SUM(Y515:AE515)</f>
        <v/>
      </c>
      <c r="AG515" s="254">
        <f>_xlfn.XLOOKUP(G515,[1]Fx!$A$16:$A$22,[1]Fx!$B$16:$B$22)</f>
        <v/>
      </c>
      <c r="AH515" s="207">
        <f>AG515*R515</f>
        <v/>
      </c>
      <c r="AI515" s="207">
        <f>$AI$3*Z515</f>
        <v/>
      </c>
      <c r="AJ515" s="207">
        <f>$AJ$3*AA515</f>
        <v/>
      </c>
      <c r="AK515" s="207">
        <f>$AK$3*AB515</f>
        <v/>
      </c>
      <c r="AL515" s="207">
        <f>$AL$3*AC515</f>
        <v/>
      </c>
      <c r="AM515" s="220">
        <f>SUM(AH515:AL515)</f>
        <v/>
      </c>
      <c r="AN515" s="220" t="n">
        <v>0</v>
      </c>
      <c r="AO515" s="220">
        <f>AN515*AH515</f>
        <v/>
      </c>
      <c r="AP515" s="220" t="n">
        <v>0</v>
      </c>
      <c r="AQ515" s="220">
        <f>AE515</f>
        <v/>
      </c>
      <c r="AR515" s="208">
        <f>AM515-AO515</f>
        <v/>
      </c>
      <c r="AS515" s="220">
        <f>AR515-AK515</f>
        <v/>
      </c>
      <c r="AT515" s="208">
        <f>AS515*1.075</f>
        <v/>
      </c>
      <c r="AU515" s="208">
        <f>AT515+AK515</f>
        <v/>
      </c>
      <c r="AV515" s="198" t="n">
        <v>131602.1995740657</v>
      </c>
      <c r="AW515" s="264" t="n">
        <v>150000</v>
      </c>
      <c r="AX515" s="220">
        <f>AV515-AU515</f>
        <v/>
      </c>
      <c r="AY515" s="35">
        <f>AX515/AR515</f>
        <v/>
      </c>
      <c r="AZ515" s="220">
        <f>AV515-AF515</f>
        <v/>
      </c>
      <c r="BA515" s="215">
        <f>AV515-SUM(Z515:AC515)</f>
        <v/>
      </c>
      <c r="BB515" s="215">
        <f>BA515-Y515</f>
        <v/>
      </c>
      <c r="BC515" s="35">
        <f>BB515/BA515</f>
        <v/>
      </c>
      <c r="BD515" s="35">
        <f>IFERROR(AZ515/AV515,)</f>
        <v/>
      </c>
      <c r="BE515" s="255">
        <f>AV515-SUM(Z515:AC515)</f>
        <v/>
      </c>
      <c r="BF515" s="255">
        <f>AV515-BE515-AC515-AB515</f>
        <v/>
      </c>
      <c r="BG515" s="255">
        <f>AV515-BE515-BF515-AB515</f>
        <v/>
      </c>
      <c r="BH515" s="255">
        <f>AB515</f>
        <v/>
      </c>
      <c r="BI515" s="263" t="inlineStr">
        <is>
          <t>Approved</t>
        </is>
      </c>
    </row>
    <row r="516">
      <c r="C516" s="23" t="inlineStr">
        <is>
          <t>YEKINI</t>
        </is>
      </c>
      <c r="D516">
        <f>CONCATENATE(G516,"-",H516,"-",F516)</f>
        <v/>
      </c>
      <c r="E516" s="24" t="inlineStr">
        <is>
          <t>JMG-10T-Hiabs Logistics-Local</t>
        </is>
      </c>
      <c r="F516" s="23" t="inlineStr">
        <is>
          <t>Local</t>
        </is>
      </c>
      <c r="G516" s="25" t="inlineStr">
        <is>
          <t>Hiabs Logistics</t>
        </is>
      </c>
      <c r="H516" s="24" t="inlineStr">
        <is>
          <t>10T</t>
        </is>
      </c>
      <c r="I516" s="73" t="inlineStr">
        <is>
          <t>JMG</t>
        </is>
      </c>
      <c r="J516" s="74" t="inlineStr">
        <is>
          <t>Lagos</t>
        </is>
      </c>
      <c r="K516" s="202" t="inlineStr">
        <is>
          <t>Akute</t>
        </is>
      </c>
      <c r="L516" t="inlineStr">
        <is>
          <t>Ogun</t>
        </is>
      </c>
      <c r="N516" s="201">
        <f>O516/2</f>
        <v/>
      </c>
      <c r="O516" s="200" t="n">
        <v>41</v>
      </c>
      <c r="P516" s="220">
        <f>ROUNDUP(O516/300,)</f>
        <v/>
      </c>
      <c r="Q516" s="220" t="n">
        <v>0</v>
      </c>
      <c r="R516" s="220">
        <f>Q516+P516</f>
        <v/>
      </c>
      <c r="S516" s="198">
        <f>ROUNDDOWN(O516*0.51,)+60</f>
        <v/>
      </c>
      <c r="T516" s="207">
        <f>_xlfn.XLOOKUP(G516,[1]Fx!$A$4:$A$10,[1]Fx!$B$4:$B$10)</f>
        <v/>
      </c>
      <c r="U516" s="207">
        <f>_xlfn.XLOOKUP(G516,'[1]BP Setup'!$B$6:$B$72,'[1]BP Setup'!$Q$6:$Q$72)</f>
        <v/>
      </c>
      <c r="V516" s="207">
        <f>_xlfn.XLOOKUP(G516,'[1]BP Setup'!$B$6:$B$72,'[1]BP Setup'!$R$6:$R$72)</f>
        <v/>
      </c>
      <c r="W516" s="207">
        <f>$W$3</f>
        <v/>
      </c>
      <c r="X516" s="207" t="n">
        <v>80</v>
      </c>
      <c r="Y516" s="215">
        <f>T516*R516</f>
        <v/>
      </c>
      <c r="Z516" s="215">
        <f>U516*O516</f>
        <v/>
      </c>
      <c r="AA516" s="215">
        <f>V516*O516</f>
        <v/>
      </c>
      <c r="AB516" s="215">
        <f>W516*O516</f>
        <v/>
      </c>
      <c r="AC516" s="197">
        <f>X516*O516</f>
        <v/>
      </c>
      <c r="AD516" s="215" t="n">
        <v>25000</v>
      </c>
      <c r="AE516" s="215" t="n">
        <v>0</v>
      </c>
      <c r="AF516" s="207">
        <f>SUM(Y516:AE516)</f>
        <v/>
      </c>
      <c r="AG516" s="254">
        <f>_xlfn.XLOOKUP(G516,[1]Fx!$A$16:$A$22,[1]Fx!$B$16:$B$22)</f>
        <v/>
      </c>
      <c r="AH516" s="207">
        <f>AG516*R516</f>
        <v/>
      </c>
      <c r="AI516" s="207">
        <f>$AI$3*Z516</f>
        <v/>
      </c>
      <c r="AJ516" s="207">
        <f>$AJ$3*AA516</f>
        <v/>
      </c>
      <c r="AK516" s="207">
        <f>$AK$3*AB516</f>
        <v/>
      </c>
      <c r="AL516" s="207">
        <f>$AL$3*AC516</f>
        <v/>
      </c>
      <c r="AM516" s="220">
        <f>SUM(AH516:AL516)</f>
        <v/>
      </c>
      <c r="AN516" s="220" t="n">
        <v>0</v>
      </c>
      <c r="AO516" s="220">
        <f>AN516*AH516</f>
        <v/>
      </c>
      <c r="AP516" s="220" t="n">
        <v>0</v>
      </c>
      <c r="AQ516" s="220">
        <f>AE516</f>
        <v/>
      </c>
      <c r="AR516" s="208">
        <f>AM516-AO516</f>
        <v/>
      </c>
      <c r="AS516" s="220">
        <f>AR516-AK516</f>
        <v/>
      </c>
      <c r="AT516" s="208">
        <f>AS516*1.075</f>
        <v/>
      </c>
      <c r="AU516" s="208">
        <f>AT516+AK516</f>
        <v/>
      </c>
      <c r="AV516" s="198" t="n">
        <v>131602.1995740657</v>
      </c>
      <c r="AW516" s="264" t="n">
        <v>150000</v>
      </c>
      <c r="AX516" s="220">
        <f>AV516-AU516</f>
        <v/>
      </c>
      <c r="AY516" s="35">
        <f>AX516/AR516</f>
        <v/>
      </c>
      <c r="AZ516" s="220">
        <f>AV516-AF516</f>
        <v/>
      </c>
      <c r="BA516" s="215">
        <f>AV516-SUM(Z516:AC516)</f>
        <v/>
      </c>
      <c r="BB516" s="215">
        <f>BA516-Y516</f>
        <v/>
      </c>
      <c r="BC516" s="35">
        <f>BB516/BA516</f>
        <v/>
      </c>
      <c r="BD516" s="35">
        <f>IFERROR(AZ516/AV516,)</f>
        <v/>
      </c>
      <c r="BE516" s="255">
        <f>AV516-SUM(Z516:AC516)</f>
        <v/>
      </c>
      <c r="BF516" s="255">
        <f>AV516-BE516-AC516-AB516</f>
        <v/>
      </c>
      <c r="BG516" s="255">
        <f>AV516-BE516-BF516-AB516</f>
        <v/>
      </c>
      <c r="BH516" s="255">
        <f>AB516</f>
        <v/>
      </c>
      <c r="BI516" s="263" t="inlineStr">
        <is>
          <t>Approved</t>
        </is>
      </c>
    </row>
    <row r="517">
      <c r="C517" s="23" t="inlineStr">
        <is>
          <t>YEKINI</t>
        </is>
      </c>
      <c r="D517">
        <f>CONCATENATE(G517,"-",H517,"-",F517)</f>
        <v/>
      </c>
      <c r="E517" s="24" t="inlineStr">
        <is>
          <t>JMG-10T-Hiabs Logistics-Local</t>
        </is>
      </c>
      <c r="F517" s="23" t="inlineStr">
        <is>
          <t>Local</t>
        </is>
      </c>
      <c r="G517" s="25" t="inlineStr">
        <is>
          <t>Hiabs Logistics</t>
        </is>
      </c>
      <c r="H517" s="24" t="inlineStr">
        <is>
          <t>10T</t>
        </is>
      </c>
      <c r="I517" s="73" t="inlineStr">
        <is>
          <t>JMG</t>
        </is>
      </c>
      <c r="J517" s="74" t="inlineStr">
        <is>
          <t>Lagos</t>
        </is>
      </c>
      <c r="K517" s="202" t="inlineStr">
        <is>
          <t>IKM</t>
        </is>
      </c>
      <c r="L517" t="inlineStr">
        <is>
          <t>Lagos</t>
        </is>
      </c>
      <c r="N517" s="201">
        <f>O517/2</f>
        <v/>
      </c>
      <c r="O517" s="201" t="n">
        <v>39</v>
      </c>
      <c r="P517" s="220">
        <f>ROUNDUP(O517/300,)</f>
        <v/>
      </c>
      <c r="Q517" s="220" t="n">
        <v>0</v>
      </c>
      <c r="R517" s="220">
        <f>Q517+P517</f>
        <v/>
      </c>
      <c r="S517" s="198">
        <f>ROUNDDOWN(O517*0.51,)+60</f>
        <v/>
      </c>
      <c r="T517" s="207">
        <f>_xlfn.XLOOKUP(G517,[1]Fx!$A$4:$A$10,[1]Fx!$B$4:$B$10)</f>
        <v/>
      </c>
      <c r="U517" s="207">
        <f>_xlfn.XLOOKUP(G517,'[1]BP Setup'!$B$6:$B$72,'[1]BP Setup'!$Q$6:$Q$72)</f>
        <v/>
      </c>
      <c r="V517" s="207">
        <f>_xlfn.XLOOKUP(G517,'[1]BP Setup'!$B$6:$B$72,'[1]BP Setup'!$R$6:$R$72)</f>
        <v/>
      </c>
      <c r="W517" s="207">
        <f>$W$3</f>
        <v/>
      </c>
      <c r="X517" s="207" t="n">
        <v>80</v>
      </c>
      <c r="Y517" s="215">
        <f>T517*R517</f>
        <v/>
      </c>
      <c r="Z517" s="215">
        <f>U517*O517</f>
        <v/>
      </c>
      <c r="AA517" s="215">
        <f>V517*O517</f>
        <v/>
      </c>
      <c r="AB517" s="215">
        <f>W517*O517</f>
        <v/>
      </c>
      <c r="AC517" s="197">
        <f>X517*O517</f>
        <v/>
      </c>
      <c r="AD517" s="215" t="n">
        <v>25000</v>
      </c>
      <c r="AE517" s="215" t="n">
        <v>0</v>
      </c>
      <c r="AF517" s="207">
        <f>SUM(Y517:AE517)</f>
        <v/>
      </c>
      <c r="AG517" s="254">
        <f>_xlfn.XLOOKUP(G517,[1]Fx!$A$16:$A$22,[1]Fx!$B$16:$B$22)</f>
        <v/>
      </c>
      <c r="AH517" s="207">
        <f>AG517*R517</f>
        <v/>
      </c>
      <c r="AI517" s="207">
        <f>$AI$3*Z517</f>
        <v/>
      </c>
      <c r="AJ517" s="207">
        <f>$AJ$3*AA517</f>
        <v/>
      </c>
      <c r="AK517" s="207">
        <f>$AK$3*AB517</f>
        <v/>
      </c>
      <c r="AL517" s="207">
        <f>$AL$3*AC517</f>
        <v/>
      </c>
      <c r="AM517" s="220">
        <f>SUM(AH517:AL517)</f>
        <v/>
      </c>
      <c r="AN517" s="220" t="n">
        <v>0</v>
      </c>
      <c r="AO517" s="220">
        <f>AN517*AH517</f>
        <v/>
      </c>
      <c r="AP517" s="220" t="n">
        <v>0</v>
      </c>
      <c r="AQ517" s="220">
        <f>AE517</f>
        <v/>
      </c>
      <c r="AR517" s="208">
        <f>AM517-AO517</f>
        <v/>
      </c>
      <c r="AS517" s="220">
        <f>AR517-AK517</f>
        <v/>
      </c>
      <c r="AT517" s="208">
        <f>AS517*1.075</f>
        <v/>
      </c>
      <c r="AU517" s="208">
        <f>AT517+AK517</f>
        <v/>
      </c>
      <c r="AV517" s="198" t="n">
        <v>131602.1995740657</v>
      </c>
      <c r="AW517" s="264" t="n">
        <v>150000</v>
      </c>
      <c r="AX517" s="220">
        <f>AV517-AU517</f>
        <v/>
      </c>
      <c r="AY517" s="35">
        <f>AX517/AR517</f>
        <v/>
      </c>
      <c r="AZ517" s="220">
        <f>AV517-AF517</f>
        <v/>
      </c>
      <c r="BA517" s="215">
        <f>AV517-SUM(Z517:AC517)</f>
        <v/>
      </c>
      <c r="BB517" s="215">
        <f>BA517-Y517</f>
        <v/>
      </c>
      <c r="BC517" s="35">
        <f>BB517/BA517</f>
        <v/>
      </c>
      <c r="BD517" s="35">
        <f>IFERROR(AZ517/AV517,)</f>
        <v/>
      </c>
      <c r="BE517" s="255">
        <f>AV517-SUM(Z517:AC517)</f>
        <v/>
      </c>
      <c r="BF517" s="255">
        <f>AV517-BE517-AC517-AB517</f>
        <v/>
      </c>
      <c r="BG517" s="255">
        <f>AV517-BE517-BF517-AB517</f>
        <v/>
      </c>
      <c r="BH517" s="255">
        <f>AB517</f>
        <v/>
      </c>
      <c r="BI517" s="263" t="inlineStr">
        <is>
          <t>Approved</t>
        </is>
      </c>
    </row>
    <row r="518">
      <c r="C518" s="23" t="inlineStr">
        <is>
          <t>YEKINI</t>
        </is>
      </c>
      <c r="D518">
        <f>CONCATENATE(G518,"-",H518,"-",F518)</f>
        <v/>
      </c>
      <c r="E518" s="24" t="inlineStr">
        <is>
          <t>JMG-10T-Hiabs Logistics-Local</t>
        </is>
      </c>
      <c r="F518" s="23" t="inlineStr">
        <is>
          <t>Local</t>
        </is>
      </c>
      <c r="G518" s="25" t="inlineStr">
        <is>
          <t>Hiabs Logistics</t>
        </is>
      </c>
      <c r="H518" s="24" t="inlineStr">
        <is>
          <t>10T</t>
        </is>
      </c>
      <c r="I518" s="73" t="inlineStr">
        <is>
          <t>JMG</t>
        </is>
      </c>
      <c r="J518" s="74" t="inlineStr">
        <is>
          <t>Lagos</t>
        </is>
      </c>
      <c r="K518" s="202" t="inlineStr">
        <is>
          <t>Tejuosho</t>
        </is>
      </c>
      <c r="L518" t="inlineStr">
        <is>
          <t>Lagos</t>
        </is>
      </c>
      <c r="N518" s="201">
        <f>O518/2</f>
        <v/>
      </c>
      <c r="O518" s="201" t="n">
        <v>38</v>
      </c>
      <c r="P518" s="220">
        <f>ROUNDUP(O518/300,)</f>
        <v/>
      </c>
      <c r="Q518" s="220" t="n">
        <v>0</v>
      </c>
      <c r="R518" s="220">
        <f>Q518+P518</f>
        <v/>
      </c>
      <c r="S518" s="198">
        <f>ROUNDDOWN(O518*0.51,)+60</f>
        <v/>
      </c>
      <c r="T518" s="207">
        <f>_xlfn.XLOOKUP(G518,[1]Fx!$A$4:$A$10,[1]Fx!$B$4:$B$10)</f>
        <v/>
      </c>
      <c r="U518" s="207">
        <f>_xlfn.XLOOKUP(G518,'[1]BP Setup'!$B$6:$B$72,'[1]BP Setup'!$Q$6:$Q$72)</f>
        <v/>
      </c>
      <c r="V518" s="207">
        <f>_xlfn.XLOOKUP(G518,'[1]BP Setup'!$B$6:$B$72,'[1]BP Setup'!$R$6:$R$72)</f>
        <v/>
      </c>
      <c r="W518" s="207">
        <f>$W$3</f>
        <v/>
      </c>
      <c r="X518" s="207" t="n">
        <v>80</v>
      </c>
      <c r="Y518" s="215">
        <f>T518*R518</f>
        <v/>
      </c>
      <c r="Z518" s="215">
        <f>U518*O518</f>
        <v/>
      </c>
      <c r="AA518" s="215">
        <f>V518*O518</f>
        <v/>
      </c>
      <c r="AB518" s="215">
        <f>W518*O518</f>
        <v/>
      </c>
      <c r="AC518" s="197">
        <f>X518*O518</f>
        <v/>
      </c>
      <c r="AD518" s="215" t="n">
        <v>25000</v>
      </c>
      <c r="AE518" s="215" t="n">
        <v>0</v>
      </c>
      <c r="AF518" s="207">
        <f>SUM(Y518:AE518)</f>
        <v/>
      </c>
      <c r="AG518" s="254">
        <f>_xlfn.XLOOKUP(G518,[1]Fx!$A$16:$A$22,[1]Fx!$B$16:$B$22)</f>
        <v/>
      </c>
      <c r="AH518" s="207">
        <f>AG518*R518</f>
        <v/>
      </c>
      <c r="AI518" s="207">
        <f>$AI$3*Z518</f>
        <v/>
      </c>
      <c r="AJ518" s="207">
        <f>$AJ$3*AA518</f>
        <v/>
      </c>
      <c r="AK518" s="207">
        <f>$AK$3*AB518</f>
        <v/>
      </c>
      <c r="AL518" s="207">
        <f>$AL$3*AC518</f>
        <v/>
      </c>
      <c r="AM518" s="220">
        <f>SUM(AH518:AL518)</f>
        <v/>
      </c>
      <c r="AN518" s="220" t="n">
        <v>0</v>
      </c>
      <c r="AO518" s="220">
        <f>AN518*AH518</f>
        <v/>
      </c>
      <c r="AP518" s="220" t="n">
        <v>0</v>
      </c>
      <c r="AQ518" s="220">
        <f>AE518</f>
        <v/>
      </c>
      <c r="AR518" s="208">
        <f>AM518-AO518</f>
        <v/>
      </c>
      <c r="AS518" s="220">
        <f>AR518-AK518</f>
        <v/>
      </c>
      <c r="AT518" s="208">
        <f>AS518*1.075</f>
        <v/>
      </c>
      <c r="AU518" s="208">
        <f>AT518+AK518</f>
        <v/>
      </c>
      <c r="AV518" s="198" t="n">
        <v>131602.1995740657</v>
      </c>
      <c r="AW518" s="264" t="n">
        <v>150000</v>
      </c>
      <c r="AX518" s="220">
        <f>AV518-AU518</f>
        <v/>
      </c>
      <c r="AY518" s="35">
        <f>AX518/AR518</f>
        <v/>
      </c>
      <c r="AZ518" s="220">
        <f>AV518-AF518</f>
        <v/>
      </c>
      <c r="BA518" s="215">
        <f>AV518-SUM(Z518:AC518)</f>
        <v/>
      </c>
      <c r="BB518" s="215">
        <f>BA518-Y518</f>
        <v/>
      </c>
      <c r="BC518" s="35">
        <f>BB518/BA518</f>
        <v/>
      </c>
      <c r="BD518" s="35">
        <f>IFERROR(AZ518/AV518,)</f>
        <v/>
      </c>
      <c r="BE518" s="255">
        <f>AV518-SUM(Z518:AC518)</f>
        <v/>
      </c>
      <c r="BF518" s="255">
        <f>AV518-BE518-AC518-AB518</f>
        <v/>
      </c>
      <c r="BG518" s="255">
        <f>AV518-BE518-BF518-AB518</f>
        <v/>
      </c>
      <c r="BH518" s="255">
        <f>AB518</f>
        <v/>
      </c>
      <c r="BI518" s="263" t="inlineStr">
        <is>
          <t>Approved</t>
        </is>
      </c>
    </row>
    <row r="519">
      <c r="C519" s="23" t="inlineStr">
        <is>
          <t>YEKINI</t>
        </is>
      </c>
      <c r="D519">
        <f>CONCATENATE(G519,"-",H519,"-",F519)</f>
        <v/>
      </c>
      <c r="E519" s="24" t="inlineStr">
        <is>
          <t>JMG-10T-Hiabs Logistics-Local</t>
        </is>
      </c>
      <c r="F519" s="23" t="inlineStr">
        <is>
          <t>Local</t>
        </is>
      </c>
      <c r="G519" s="25" t="inlineStr">
        <is>
          <t>Hiabs Logistics</t>
        </is>
      </c>
      <c r="H519" s="24" t="inlineStr">
        <is>
          <t>10T</t>
        </is>
      </c>
      <c r="I519" s="73" t="inlineStr">
        <is>
          <t>JMG</t>
        </is>
      </c>
      <c r="J519" s="74" t="inlineStr">
        <is>
          <t>Lagos</t>
        </is>
      </c>
      <c r="K519" s="202" t="inlineStr">
        <is>
          <t>Dembal</t>
        </is>
      </c>
      <c r="L519" t="inlineStr">
        <is>
          <t>Lagos</t>
        </is>
      </c>
      <c r="N519" s="201">
        <f>O519/2</f>
        <v/>
      </c>
      <c r="O519" s="201" t="n">
        <v>38</v>
      </c>
      <c r="P519" s="220">
        <f>ROUNDUP(O519/300,)</f>
        <v/>
      </c>
      <c r="Q519" s="220" t="n">
        <v>0</v>
      </c>
      <c r="R519" s="220">
        <f>Q519+P519</f>
        <v/>
      </c>
      <c r="S519" s="198">
        <f>ROUNDDOWN(O519*0.51,)+60</f>
        <v/>
      </c>
      <c r="T519" s="207">
        <f>_xlfn.XLOOKUP(G519,[1]Fx!$A$4:$A$10,[1]Fx!$B$4:$B$10)</f>
        <v/>
      </c>
      <c r="U519" s="207">
        <f>_xlfn.XLOOKUP(G519,'[1]BP Setup'!$B$6:$B$72,'[1]BP Setup'!$Q$6:$Q$72)</f>
        <v/>
      </c>
      <c r="V519" s="207">
        <f>_xlfn.XLOOKUP(G519,'[1]BP Setup'!$B$6:$B$72,'[1]BP Setup'!$R$6:$R$72)</f>
        <v/>
      </c>
      <c r="W519" s="207">
        <f>$W$3</f>
        <v/>
      </c>
      <c r="X519" s="207" t="n">
        <v>80</v>
      </c>
      <c r="Y519" s="215">
        <f>T519*R519</f>
        <v/>
      </c>
      <c r="Z519" s="215">
        <f>U519*O519</f>
        <v/>
      </c>
      <c r="AA519" s="215">
        <f>V519*O519</f>
        <v/>
      </c>
      <c r="AB519" s="215">
        <f>W519*O519</f>
        <v/>
      </c>
      <c r="AC519" s="197">
        <f>X519*O519</f>
        <v/>
      </c>
      <c r="AD519" s="215" t="n">
        <v>25000</v>
      </c>
      <c r="AE519" s="215" t="n">
        <v>0</v>
      </c>
      <c r="AF519" s="207">
        <f>SUM(Y519:AE519)</f>
        <v/>
      </c>
      <c r="AG519" s="254">
        <f>_xlfn.XLOOKUP(G519,[1]Fx!$A$16:$A$22,[1]Fx!$B$16:$B$22)</f>
        <v/>
      </c>
      <c r="AH519" s="207">
        <f>AG519*R519</f>
        <v/>
      </c>
      <c r="AI519" s="207">
        <f>$AI$3*Z519</f>
        <v/>
      </c>
      <c r="AJ519" s="207">
        <f>$AJ$3*AA519</f>
        <v/>
      </c>
      <c r="AK519" s="207">
        <f>$AK$3*AB519</f>
        <v/>
      </c>
      <c r="AL519" s="207">
        <f>$AL$3*AC519</f>
        <v/>
      </c>
      <c r="AM519" s="220">
        <f>SUM(AH519:AL519)</f>
        <v/>
      </c>
      <c r="AN519" s="220" t="n">
        <v>0</v>
      </c>
      <c r="AO519" s="220">
        <f>AN519*AH519</f>
        <v/>
      </c>
      <c r="AP519" s="220" t="n">
        <v>0</v>
      </c>
      <c r="AQ519" s="220">
        <f>AE519</f>
        <v/>
      </c>
      <c r="AR519" s="208">
        <f>AM519-AO519</f>
        <v/>
      </c>
      <c r="AS519" s="220">
        <f>AR519-AK519</f>
        <v/>
      </c>
      <c r="AT519" s="208">
        <f>AS519*1.075</f>
        <v/>
      </c>
      <c r="AU519" s="208">
        <f>AT519+AK519</f>
        <v/>
      </c>
      <c r="AV519" s="198" t="n">
        <v>131602.1995740657</v>
      </c>
      <c r="AW519" s="264" t="n">
        <v>150000</v>
      </c>
      <c r="AX519" s="220">
        <f>AV519-AU519</f>
        <v/>
      </c>
      <c r="AY519" s="35">
        <f>AX519/AR519</f>
        <v/>
      </c>
      <c r="AZ519" s="220">
        <f>AV519-AF519</f>
        <v/>
      </c>
      <c r="BA519" s="215">
        <f>AV519-SUM(Z519:AC519)</f>
        <v/>
      </c>
      <c r="BB519" s="215">
        <f>BA519-Y519</f>
        <v/>
      </c>
      <c r="BC519" s="35">
        <f>BB519/BA519</f>
        <v/>
      </c>
      <c r="BD519" s="35">
        <f>IFERROR(AZ519/AV519,)</f>
        <v/>
      </c>
      <c r="BE519" s="255">
        <f>AV519-SUM(Z519:AC519)</f>
        <v/>
      </c>
      <c r="BF519" s="255">
        <f>AV519-BE519-AC519-AB519</f>
        <v/>
      </c>
      <c r="BG519" s="255">
        <f>AV519-BE519-BF519-AB519</f>
        <v/>
      </c>
      <c r="BH519" s="255">
        <f>AB519</f>
        <v/>
      </c>
      <c r="BI519" s="263" t="inlineStr">
        <is>
          <t>Approved</t>
        </is>
      </c>
    </row>
    <row r="520">
      <c r="C520" s="23" t="inlineStr">
        <is>
          <t>YEKINI</t>
        </is>
      </c>
      <c r="D520">
        <f>CONCATENATE(G520,"-",H520,"-",F520)</f>
        <v/>
      </c>
      <c r="E520" s="24" t="inlineStr">
        <is>
          <t>JMG-10T-Hiabs Logistics-Local</t>
        </is>
      </c>
      <c r="F520" s="23" t="inlineStr">
        <is>
          <t>Local</t>
        </is>
      </c>
      <c r="G520" s="25" t="inlineStr">
        <is>
          <t>Hiabs Logistics</t>
        </is>
      </c>
      <c r="H520" s="24" t="inlineStr">
        <is>
          <t>10T</t>
        </is>
      </c>
      <c r="I520" s="73" t="inlineStr">
        <is>
          <t>JMG</t>
        </is>
      </c>
      <c r="J520" s="74" t="inlineStr">
        <is>
          <t>Lagos</t>
        </is>
      </c>
      <c r="K520" s="202" t="inlineStr">
        <is>
          <t>Mile 2</t>
        </is>
      </c>
      <c r="L520" t="inlineStr">
        <is>
          <t>Lagos</t>
        </is>
      </c>
      <c r="N520" s="201">
        <f>O520/2</f>
        <v/>
      </c>
      <c r="O520" s="200" t="n">
        <v>36.8</v>
      </c>
      <c r="P520" s="220">
        <f>ROUNDUP(O520/300,)</f>
        <v/>
      </c>
      <c r="Q520" s="220" t="n">
        <v>0</v>
      </c>
      <c r="R520" s="220">
        <f>Q520+P520</f>
        <v/>
      </c>
      <c r="S520" s="198">
        <f>ROUNDDOWN(O520*0.51,)+60</f>
        <v/>
      </c>
      <c r="T520" s="207">
        <f>_xlfn.XLOOKUP(G520,[1]Fx!$A$4:$A$10,[1]Fx!$B$4:$B$10)</f>
        <v/>
      </c>
      <c r="U520" s="207">
        <f>_xlfn.XLOOKUP(G520,'[1]BP Setup'!$B$6:$B$72,'[1]BP Setup'!$Q$6:$Q$72)</f>
        <v/>
      </c>
      <c r="V520" s="207">
        <f>_xlfn.XLOOKUP(G520,'[1]BP Setup'!$B$6:$B$72,'[1]BP Setup'!$R$6:$R$72)</f>
        <v/>
      </c>
      <c r="W520" s="207">
        <f>$W$3</f>
        <v/>
      </c>
      <c r="X520" s="207" t="n">
        <v>80</v>
      </c>
      <c r="Y520" s="215">
        <f>T520*R520</f>
        <v/>
      </c>
      <c r="Z520" s="215">
        <f>U520*O520</f>
        <v/>
      </c>
      <c r="AA520" s="215">
        <f>V520*O520</f>
        <v/>
      </c>
      <c r="AB520" s="215">
        <f>W520*O520</f>
        <v/>
      </c>
      <c r="AC520" s="197">
        <f>X520*O520</f>
        <v/>
      </c>
      <c r="AD520" s="215" t="n">
        <v>25000</v>
      </c>
      <c r="AE520" s="215" t="n">
        <v>0</v>
      </c>
      <c r="AF520" s="207">
        <f>SUM(Y520:AE520)</f>
        <v/>
      </c>
      <c r="AG520" s="254">
        <f>_xlfn.XLOOKUP(G520,[1]Fx!$A$16:$A$22,[1]Fx!$B$16:$B$22)</f>
        <v/>
      </c>
      <c r="AH520" s="207">
        <f>AG520*R520</f>
        <v/>
      </c>
      <c r="AI520" s="207">
        <f>$AI$3*Z520</f>
        <v/>
      </c>
      <c r="AJ520" s="207">
        <f>$AJ$3*AA520</f>
        <v/>
      </c>
      <c r="AK520" s="207">
        <f>$AK$3*AB520</f>
        <v/>
      </c>
      <c r="AL520" s="207">
        <f>$AL$3*AC520</f>
        <v/>
      </c>
      <c r="AM520" s="220">
        <f>SUM(AH520:AL520)</f>
        <v/>
      </c>
      <c r="AN520" s="220" t="n">
        <v>0</v>
      </c>
      <c r="AO520" s="220">
        <f>AN520*AH520</f>
        <v/>
      </c>
      <c r="AP520" s="220" t="n">
        <v>0</v>
      </c>
      <c r="AQ520" s="220">
        <f>AE520</f>
        <v/>
      </c>
      <c r="AR520" s="208">
        <f>AM520-AO520</f>
        <v/>
      </c>
      <c r="AS520" s="220">
        <f>AR520-AK520</f>
        <v/>
      </c>
      <c r="AT520" s="208">
        <f>AS520*1.075</f>
        <v/>
      </c>
      <c r="AU520" s="208">
        <f>AT520+AK520</f>
        <v/>
      </c>
      <c r="AV520" s="198" t="n">
        <v>131602.1995740657</v>
      </c>
      <c r="AW520" s="264" t="n">
        <v>150000</v>
      </c>
      <c r="AX520" s="220">
        <f>AV520-AU520</f>
        <v/>
      </c>
      <c r="AY520" s="35">
        <f>AX520/AR520</f>
        <v/>
      </c>
      <c r="AZ520" s="220">
        <f>AV520-AF520</f>
        <v/>
      </c>
      <c r="BA520" s="215">
        <f>AV520-SUM(Z520:AC520)</f>
        <v/>
      </c>
      <c r="BB520" s="215">
        <f>BA520-Y520</f>
        <v/>
      </c>
      <c r="BC520" s="35">
        <f>BB520/BA520</f>
        <v/>
      </c>
      <c r="BD520" s="35">
        <f>IFERROR(AZ520/AV520,)</f>
        <v/>
      </c>
      <c r="BE520" s="255">
        <f>AV520-SUM(Z520:AC520)</f>
        <v/>
      </c>
      <c r="BF520" s="255">
        <f>AV520-BE520-AC520-AB520</f>
        <v/>
      </c>
      <c r="BG520" s="255">
        <f>AV520-BE520-BF520-AB520</f>
        <v/>
      </c>
      <c r="BH520" s="255">
        <f>AB520</f>
        <v/>
      </c>
      <c r="BI520" s="263" t="inlineStr">
        <is>
          <t>Approved</t>
        </is>
      </c>
    </row>
    <row r="521">
      <c r="C521" s="23" t="inlineStr">
        <is>
          <t>YEKINI</t>
        </is>
      </c>
      <c r="D521">
        <f>CONCATENATE(G521,"-",H521,"-",F521)</f>
        <v/>
      </c>
      <c r="E521" s="24" t="inlineStr">
        <is>
          <t>JMG-10T-Hiabs Logistics-Local</t>
        </is>
      </c>
      <c r="F521" s="23" t="inlineStr">
        <is>
          <t>Local</t>
        </is>
      </c>
      <c r="G521" s="25" t="inlineStr">
        <is>
          <t>Hiabs Logistics</t>
        </is>
      </c>
      <c r="H521" s="24" t="inlineStr">
        <is>
          <t>10T</t>
        </is>
      </c>
      <c r="I521" s="73" t="inlineStr">
        <is>
          <t>JMG</t>
        </is>
      </c>
      <c r="J521" s="74" t="inlineStr">
        <is>
          <t>Lagos</t>
        </is>
      </c>
      <c r="K521" s="202" t="inlineStr">
        <is>
          <t>Marina</t>
        </is>
      </c>
      <c r="L521" t="inlineStr">
        <is>
          <t>Lagos</t>
        </is>
      </c>
      <c r="N521" s="201">
        <f>O521/2</f>
        <v/>
      </c>
      <c r="O521" s="200" t="n">
        <v>36.1</v>
      </c>
      <c r="P521" s="220">
        <f>ROUNDUP(O521/300,)</f>
        <v/>
      </c>
      <c r="Q521" s="220" t="n">
        <v>0</v>
      </c>
      <c r="R521" s="220">
        <f>Q521+P521</f>
        <v/>
      </c>
      <c r="S521" s="198">
        <f>ROUNDDOWN(O521*0.51,)+60</f>
        <v/>
      </c>
      <c r="T521" s="207">
        <f>_xlfn.XLOOKUP(G521,[1]Fx!$A$4:$A$10,[1]Fx!$B$4:$B$10)</f>
        <v/>
      </c>
      <c r="U521" s="207">
        <f>_xlfn.XLOOKUP(G521,'[1]BP Setup'!$B$6:$B$72,'[1]BP Setup'!$Q$6:$Q$72)</f>
        <v/>
      </c>
      <c r="V521" s="207">
        <f>_xlfn.XLOOKUP(G521,'[1]BP Setup'!$B$6:$B$72,'[1]BP Setup'!$R$6:$R$72)</f>
        <v/>
      </c>
      <c r="W521" s="207">
        <f>$W$3</f>
        <v/>
      </c>
      <c r="X521" s="207" t="n">
        <v>80</v>
      </c>
      <c r="Y521" s="215">
        <f>T521*R521</f>
        <v/>
      </c>
      <c r="Z521" s="215">
        <f>U521*O521</f>
        <v/>
      </c>
      <c r="AA521" s="215">
        <f>V521*O521</f>
        <v/>
      </c>
      <c r="AB521" s="215">
        <f>W521*O521</f>
        <v/>
      </c>
      <c r="AC521" s="197">
        <f>X521*O521</f>
        <v/>
      </c>
      <c r="AD521" s="215" t="n">
        <v>25000</v>
      </c>
      <c r="AE521" s="215" t="n">
        <v>0</v>
      </c>
      <c r="AF521" s="207">
        <f>SUM(Y521:AE521)</f>
        <v/>
      </c>
      <c r="AG521" s="254">
        <f>_xlfn.XLOOKUP(G521,[1]Fx!$A$16:$A$22,[1]Fx!$B$16:$B$22)</f>
        <v/>
      </c>
      <c r="AH521" s="207">
        <f>AG521*R521</f>
        <v/>
      </c>
      <c r="AI521" s="207">
        <f>$AI$3*Z521</f>
        <v/>
      </c>
      <c r="AJ521" s="207">
        <f>$AJ$3*AA521</f>
        <v/>
      </c>
      <c r="AK521" s="207">
        <f>$AK$3*AB521</f>
        <v/>
      </c>
      <c r="AL521" s="207">
        <f>$AL$3*AC521</f>
        <v/>
      </c>
      <c r="AM521" s="220">
        <f>SUM(AH521:AL521)</f>
        <v/>
      </c>
      <c r="AN521" s="220" t="n">
        <v>0</v>
      </c>
      <c r="AO521" s="220">
        <f>AN521*AH521</f>
        <v/>
      </c>
      <c r="AP521" s="220" t="n">
        <v>0</v>
      </c>
      <c r="AQ521" s="220">
        <f>AE521</f>
        <v/>
      </c>
      <c r="AR521" s="208">
        <f>AM521-AO521</f>
        <v/>
      </c>
      <c r="AS521" s="220">
        <f>AR521-AK521</f>
        <v/>
      </c>
      <c r="AT521" s="208">
        <f>AS521*1.075</f>
        <v/>
      </c>
      <c r="AU521" s="208">
        <f>AT521+AK521</f>
        <v/>
      </c>
      <c r="AV521" s="198" t="n">
        <v>131602.1995740657</v>
      </c>
      <c r="AW521" s="264" t="n">
        <v>150000</v>
      </c>
      <c r="AX521" s="220">
        <f>AV521-AU521</f>
        <v/>
      </c>
      <c r="AY521" s="35">
        <f>AX521/AR521</f>
        <v/>
      </c>
      <c r="AZ521" s="220">
        <f>AV521-AF521</f>
        <v/>
      </c>
      <c r="BA521" s="215">
        <f>AV521-SUM(Z521:AC521)</f>
        <v/>
      </c>
      <c r="BB521" s="215">
        <f>BA521-Y521</f>
        <v/>
      </c>
      <c r="BC521" s="35">
        <f>BB521/BA521</f>
        <v/>
      </c>
      <c r="BD521" s="35">
        <f>IFERROR(AZ521/AV521,)</f>
        <v/>
      </c>
      <c r="BE521" s="255">
        <f>AV521-SUM(Z521:AC521)</f>
        <v/>
      </c>
      <c r="BF521" s="255">
        <f>AV521-BE521-AC521-AB521</f>
        <v/>
      </c>
      <c r="BG521" s="255">
        <f>AV521-BE521-BF521-AB521</f>
        <v/>
      </c>
      <c r="BH521" s="255">
        <f>AB521</f>
        <v/>
      </c>
      <c r="BI521" s="263" t="inlineStr">
        <is>
          <t>Approved</t>
        </is>
      </c>
    </row>
    <row r="522">
      <c r="C522" s="23" t="inlineStr">
        <is>
          <t>YEKINI</t>
        </is>
      </c>
      <c r="D522">
        <f>CONCATENATE(G522,"-",H522,"-",F522)</f>
        <v/>
      </c>
      <c r="E522" s="24" t="inlineStr">
        <is>
          <t>JMG-10T-Hiabs Logistics-Local</t>
        </is>
      </c>
      <c r="F522" s="23" t="inlineStr">
        <is>
          <t>Local</t>
        </is>
      </c>
      <c r="G522" s="25" t="inlineStr">
        <is>
          <t>Hiabs Logistics</t>
        </is>
      </c>
      <c r="H522" s="24" t="inlineStr">
        <is>
          <t>10T</t>
        </is>
      </c>
      <c r="I522" s="73" t="inlineStr">
        <is>
          <t>JMG</t>
        </is>
      </c>
      <c r="J522" s="74" t="inlineStr">
        <is>
          <t>Lagos</t>
        </is>
      </c>
      <c r="K522" s="202" t="inlineStr">
        <is>
          <t>Okota</t>
        </is>
      </c>
      <c r="L522" t="inlineStr">
        <is>
          <t>Lagos</t>
        </is>
      </c>
      <c r="N522" s="201">
        <f>O522/2</f>
        <v/>
      </c>
      <c r="O522" s="200" t="n">
        <v>35.7</v>
      </c>
      <c r="P522" s="220">
        <f>ROUNDUP(O522/300,)</f>
        <v/>
      </c>
      <c r="Q522" s="220" t="n">
        <v>0</v>
      </c>
      <c r="R522" s="220">
        <f>Q522+P522</f>
        <v/>
      </c>
      <c r="S522" s="198">
        <f>ROUNDDOWN(O522*0.51,)+60</f>
        <v/>
      </c>
      <c r="T522" s="207">
        <f>_xlfn.XLOOKUP(G522,[1]Fx!$A$4:$A$10,[1]Fx!$B$4:$B$10)</f>
        <v/>
      </c>
      <c r="U522" s="207">
        <f>_xlfn.XLOOKUP(G522,'[1]BP Setup'!$B$6:$B$72,'[1]BP Setup'!$Q$6:$Q$72)</f>
        <v/>
      </c>
      <c r="V522" s="207">
        <f>_xlfn.XLOOKUP(G522,'[1]BP Setup'!$B$6:$B$72,'[1]BP Setup'!$R$6:$R$72)</f>
        <v/>
      </c>
      <c r="W522" s="207">
        <f>$W$3</f>
        <v/>
      </c>
      <c r="X522" s="207" t="n">
        <v>80</v>
      </c>
      <c r="Y522" s="215">
        <f>T522*R522</f>
        <v/>
      </c>
      <c r="Z522" s="215">
        <f>U522*O522</f>
        <v/>
      </c>
      <c r="AA522" s="215">
        <f>V522*O522</f>
        <v/>
      </c>
      <c r="AB522" s="215">
        <f>W522*O522</f>
        <v/>
      </c>
      <c r="AC522" s="197">
        <f>X522*O522</f>
        <v/>
      </c>
      <c r="AD522" s="215" t="n">
        <v>25000</v>
      </c>
      <c r="AE522" s="215" t="n">
        <v>0</v>
      </c>
      <c r="AF522" s="207">
        <f>SUM(Y522:AE522)</f>
        <v/>
      </c>
      <c r="AG522" s="254">
        <f>_xlfn.XLOOKUP(G522,[1]Fx!$A$16:$A$22,[1]Fx!$B$16:$B$22)</f>
        <v/>
      </c>
      <c r="AH522" s="207">
        <f>AG522*R522</f>
        <v/>
      </c>
      <c r="AI522" s="207">
        <f>$AI$3*Z522</f>
        <v/>
      </c>
      <c r="AJ522" s="207">
        <f>$AJ$3*AA522</f>
        <v/>
      </c>
      <c r="AK522" s="207">
        <f>$AK$3*AB522</f>
        <v/>
      </c>
      <c r="AL522" s="207">
        <f>$AL$3*AC522</f>
        <v/>
      </c>
      <c r="AM522" s="220">
        <f>SUM(AH522:AL522)</f>
        <v/>
      </c>
      <c r="AN522" s="220" t="n">
        <v>0</v>
      </c>
      <c r="AO522" s="220">
        <f>AN522*AH522</f>
        <v/>
      </c>
      <c r="AP522" s="220" t="n">
        <v>0</v>
      </c>
      <c r="AQ522" s="220">
        <f>AE522</f>
        <v/>
      </c>
      <c r="AR522" s="208">
        <f>AM522-AO522</f>
        <v/>
      </c>
      <c r="AS522" s="220">
        <f>AR522-AK522</f>
        <v/>
      </c>
      <c r="AT522" s="208">
        <f>AS522*1.075</f>
        <v/>
      </c>
      <c r="AU522" s="208">
        <f>AT522+AK522</f>
        <v/>
      </c>
      <c r="AV522" s="198" t="n">
        <v>131602.1995740657</v>
      </c>
      <c r="AW522" s="264" t="n">
        <v>150000</v>
      </c>
      <c r="AX522" s="220">
        <f>AV522-AU522</f>
        <v/>
      </c>
      <c r="AY522" s="35">
        <f>AX522/AR522</f>
        <v/>
      </c>
      <c r="AZ522" s="220">
        <f>AV522-AF522</f>
        <v/>
      </c>
      <c r="BA522" s="215">
        <f>AV522-SUM(Z522:AC522)</f>
        <v/>
      </c>
      <c r="BB522" s="215">
        <f>BA522-Y522</f>
        <v/>
      </c>
      <c r="BC522" s="35">
        <f>BB522/BA522</f>
        <v/>
      </c>
      <c r="BD522" s="35">
        <f>IFERROR(AZ522/AV522,)</f>
        <v/>
      </c>
      <c r="BE522" s="255">
        <f>AV522-SUM(Z522:AC522)</f>
        <v/>
      </c>
      <c r="BF522" s="255">
        <f>AV522-BE522-AC522-AB522</f>
        <v/>
      </c>
      <c r="BG522" s="255">
        <f>AV522-BE522-BF522-AB522</f>
        <v/>
      </c>
      <c r="BH522" s="255">
        <f>AB522</f>
        <v/>
      </c>
      <c r="BI522" s="263" t="inlineStr">
        <is>
          <t>Approved</t>
        </is>
      </c>
    </row>
    <row r="523">
      <c r="C523" s="23" t="inlineStr">
        <is>
          <t>YEKINI</t>
        </is>
      </c>
      <c r="D523">
        <f>CONCATENATE(G523,"-",H523,"-",F523)</f>
        <v/>
      </c>
      <c r="E523" s="24" t="inlineStr">
        <is>
          <t>JMG-10T-Hiabs Logistics-Local</t>
        </is>
      </c>
      <c r="F523" s="23" t="inlineStr">
        <is>
          <t>Local</t>
        </is>
      </c>
      <c r="G523" s="25" t="inlineStr">
        <is>
          <t>Hiabs Logistics</t>
        </is>
      </c>
      <c r="H523" s="24" t="inlineStr">
        <is>
          <t>10T</t>
        </is>
      </c>
      <c r="I523" s="73" t="inlineStr">
        <is>
          <t>JMG</t>
        </is>
      </c>
      <c r="J523" s="74" t="inlineStr">
        <is>
          <t>Lagos</t>
        </is>
      </c>
      <c r="K523" s="202" t="inlineStr">
        <is>
          <t>Iyana Ipaja</t>
        </is>
      </c>
      <c r="L523" t="inlineStr">
        <is>
          <t>Lagos</t>
        </is>
      </c>
      <c r="N523" s="201">
        <f>O523/2</f>
        <v/>
      </c>
      <c r="O523" s="200" t="n">
        <v>33.6</v>
      </c>
      <c r="P523" s="220">
        <f>ROUNDUP(O523/300,)</f>
        <v/>
      </c>
      <c r="Q523" s="220" t="n">
        <v>0</v>
      </c>
      <c r="R523" s="220">
        <f>Q523+P523</f>
        <v/>
      </c>
      <c r="S523" s="198">
        <f>ROUNDDOWN(O523*0.51,)+60</f>
        <v/>
      </c>
      <c r="T523" s="207">
        <f>_xlfn.XLOOKUP(G523,[1]Fx!$A$4:$A$10,[1]Fx!$B$4:$B$10)</f>
        <v/>
      </c>
      <c r="U523" s="207">
        <f>_xlfn.XLOOKUP(G523,'[1]BP Setup'!$B$6:$B$72,'[1]BP Setup'!$Q$6:$Q$72)</f>
        <v/>
      </c>
      <c r="V523" s="207">
        <f>_xlfn.XLOOKUP(G523,'[1]BP Setup'!$B$6:$B$72,'[1]BP Setup'!$R$6:$R$72)</f>
        <v/>
      </c>
      <c r="W523" s="207">
        <f>$W$3</f>
        <v/>
      </c>
      <c r="X523" s="207" t="n">
        <v>80</v>
      </c>
      <c r="Y523" s="215">
        <f>T523*R523</f>
        <v/>
      </c>
      <c r="Z523" s="215">
        <f>U523*O523</f>
        <v/>
      </c>
      <c r="AA523" s="215">
        <f>V523*O523</f>
        <v/>
      </c>
      <c r="AB523" s="215">
        <f>W523*O523</f>
        <v/>
      </c>
      <c r="AC523" s="197">
        <f>X523*O523</f>
        <v/>
      </c>
      <c r="AD523" s="215" t="n">
        <v>25000</v>
      </c>
      <c r="AE523" s="215" t="n">
        <v>0</v>
      </c>
      <c r="AF523" s="207">
        <f>SUM(Y523:AE523)</f>
        <v/>
      </c>
      <c r="AG523" s="254">
        <f>_xlfn.XLOOKUP(G523,[1]Fx!$A$16:$A$22,[1]Fx!$B$16:$B$22)</f>
        <v/>
      </c>
      <c r="AH523" s="207">
        <f>AG523*R523</f>
        <v/>
      </c>
      <c r="AI523" s="207">
        <f>$AI$3*Z523</f>
        <v/>
      </c>
      <c r="AJ523" s="207">
        <f>$AJ$3*AA523</f>
        <v/>
      </c>
      <c r="AK523" s="207">
        <f>$AK$3*AB523</f>
        <v/>
      </c>
      <c r="AL523" s="207">
        <f>$AL$3*AC523</f>
        <v/>
      </c>
      <c r="AM523" s="220">
        <f>SUM(AH523:AL523)</f>
        <v/>
      </c>
      <c r="AN523" s="220" t="n">
        <v>0</v>
      </c>
      <c r="AO523" s="220">
        <f>AN523*AH523</f>
        <v/>
      </c>
      <c r="AP523" s="220" t="n">
        <v>0</v>
      </c>
      <c r="AQ523" s="220">
        <f>AE523</f>
        <v/>
      </c>
      <c r="AR523" s="208">
        <f>AM523-AO523</f>
        <v/>
      </c>
      <c r="AS523" s="220">
        <f>AR523-AK523</f>
        <v/>
      </c>
      <c r="AT523" s="208">
        <f>AS523*1.075</f>
        <v/>
      </c>
      <c r="AU523" s="208">
        <f>AT523+AK523</f>
        <v/>
      </c>
      <c r="AV523" s="198" t="n">
        <v>131602.1995740657</v>
      </c>
      <c r="AW523" s="264" t="n">
        <v>150000</v>
      </c>
      <c r="AX523" s="220">
        <f>AV523-AU523</f>
        <v/>
      </c>
      <c r="AY523" s="35">
        <f>AX523/AR523</f>
        <v/>
      </c>
      <c r="AZ523" s="220">
        <f>AV523-AF523</f>
        <v/>
      </c>
      <c r="BA523" s="215">
        <f>AV523-SUM(Z523:AC523)</f>
        <v/>
      </c>
      <c r="BB523" s="215">
        <f>BA523-Y523</f>
        <v/>
      </c>
      <c r="BC523" s="35">
        <f>BB523/BA523</f>
        <v/>
      </c>
      <c r="BD523" s="35">
        <f>IFERROR(AZ523/AV523,)</f>
        <v/>
      </c>
      <c r="BE523" s="255">
        <f>AV523-SUM(Z523:AC523)</f>
        <v/>
      </c>
      <c r="BF523" s="255">
        <f>AV523-BE523-AC523-AB523</f>
        <v/>
      </c>
      <c r="BG523" s="255">
        <f>AV523-BE523-BF523-AB523</f>
        <v/>
      </c>
      <c r="BH523" s="255">
        <f>AB523</f>
        <v/>
      </c>
      <c r="BI523" s="263" t="inlineStr">
        <is>
          <t>Approved</t>
        </is>
      </c>
    </row>
    <row r="524">
      <c r="C524" s="23" t="inlineStr">
        <is>
          <t>YEKINI</t>
        </is>
      </c>
      <c r="D524">
        <f>CONCATENATE(G524,"-",H524,"-",F524)</f>
        <v/>
      </c>
      <c r="E524" s="24" t="inlineStr">
        <is>
          <t>JMG-10T-Hiabs Logistics-Local</t>
        </is>
      </c>
      <c r="F524" s="23" t="inlineStr">
        <is>
          <t>Local</t>
        </is>
      </c>
      <c r="G524" s="25" t="inlineStr">
        <is>
          <t>Hiabs Logistics</t>
        </is>
      </c>
      <c r="H524" s="24" t="inlineStr">
        <is>
          <t>10T</t>
        </is>
      </c>
      <c r="I524" s="73" t="inlineStr">
        <is>
          <t>JMG</t>
        </is>
      </c>
      <c r="J524" s="74" t="inlineStr">
        <is>
          <t>Lagos</t>
        </is>
      </c>
      <c r="K524" s="202" t="inlineStr">
        <is>
          <t>Jankara</t>
        </is>
      </c>
      <c r="L524" t="inlineStr">
        <is>
          <t>Lagos</t>
        </is>
      </c>
      <c r="N524" s="201">
        <f>O524/2</f>
        <v/>
      </c>
      <c r="O524" s="200" t="n">
        <v>32.4</v>
      </c>
      <c r="P524" s="220">
        <f>ROUNDUP(O524/300,)</f>
        <v/>
      </c>
      <c r="Q524" s="220" t="n">
        <v>0</v>
      </c>
      <c r="R524" s="220">
        <f>Q524+P524</f>
        <v/>
      </c>
      <c r="S524" s="198">
        <f>ROUNDDOWN(O524*0.51,)+60</f>
        <v/>
      </c>
      <c r="T524" s="207">
        <f>_xlfn.XLOOKUP(G524,[1]Fx!$A$4:$A$10,[1]Fx!$B$4:$B$10)</f>
        <v/>
      </c>
      <c r="U524" s="207">
        <f>_xlfn.XLOOKUP(G524,'[1]BP Setup'!$B$6:$B$72,'[1]BP Setup'!$Q$6:$Q$72)</f>
        <v/>
      </c>
      <c r="V524" s="207">
        <f>_xlfn.XLOOKUP(G524,'[1]BP Setup'!$B$6:$B$72,'[1]BP Setup'!$R$6:$R$72)</f>
        <v/>
      </c>
      <c r="W524" s="207">
        <f>$W$3</f>
        <v/>
      </c>
      <c r="X524" s="207" t="n">
        <v>80</v>
      </c>
      <c r="Y524" s="215">
        <f>T524*R524</f>
        <v/>
      </c>
      <c r="Z524" s="215">
        <f>U524*O524</f>
        <v/>
      </c>
      <c r="AA524" s="215">
        <f>V524*O524</f>
        <v/>
      </c>
      <c r="AB524" s="215">
        <f>W524*O524</f>
        <v/>
      </c>
      <c r="AC524" s="197">
        <f>X524*O524</f>
        <v/>
      </c>
      <c r="AD524" s="215" t="n">
        <v>25000</v>
      </c>
      <c r="AE524" s="215" t="n">
        <v>0</v>
      </c>
      <c r="AF524" s="207">
        <f>SUM(Y524:AE524)</f>
        <v/>
      </c>
      <c r="AG524" s="254">
        <f>_xlfn.XLOOKUP(G524,[1]Fx!$A$16:$A$22,[1]Fx!$B$16:$B$22)</f>
        <v/>
      </c>
      <c r="AH524" s="207">
        <f>AG524*R524</f>
        <v/>
      </c>
      <c r="AI524" s="207">
        <f>$AI$3*Z524</f>
        <v/>
      </c>
      <c r="AJ524" s="207">
        <f>$AJ$3*AA524</f>
        <v/>
      </c>
      <c r="AK524" s="207">
        <f>$AK$3*AB524</f>
        <v/>
      </c>
      <c r="AL524" s="207">
        <f>$AL$3*AC524</f>
        <v/>
      </c>
      <c r="AM524" s="220">
        <f>SUM(AH524:AL524)</f>
        <v/>
      </c>
      <c r="AN524" s="220" t="n">
        <v>0</v>
      </c>
      <c r="AO524" s="220">
        <f>AN524*AH524</f>
        <v/>
      </c>
      <c r="AP524" s="220" t="n">
        <v>0</v>
      </c>
      <c r="AQ524" s="220">
        <f>AE524</f>
        <v/>
      </c>
      <c r="AR524" s="208">
        <f>AM524-AO524</f>
        <v/>
      </c>
      <c r="AS524" s="220">
        <f>AR524-AK524</f>
        <v/>
      </c>
      <c r="AT524" s="208">
        <f>AS524*1.075</f>
        <v/>
      </c>
      <c r="AU524" s="208">
        <f>AT524+AK524</f>
        <v/>
      </c>
      <c r="AV524" s="198" t="n">
        <v>131602.1995740657</v>
      </c>
      <c r="AW524" s="264" t="n">
        <v>150000</v>
      </c>
      <c r="AX524" s="220">
        <f>AV524-AU524</f>
        <v/>
      </c>
      <c r="AY524" s="35">
        <f>AX524/AR524</f>
        <v/>
      </c>
      <c r="AZ524" s="220">
        <f>AV524-AF524</f>
        <v/>
      </c>
      <c r="BA524" s="215">
        <f>AV524-SUM(Z524:AC524)</f>
        <v/>
      </c>
      <c r="BB524" s="215">
        <f>BA524-Y524</f>
        <v/>
      </c>
      <c r="BC524" s="35">
        <f>BB524/BA524</f>
        <v/>
      </c>
      <c r="BD524" s="35">
        <f>IFERROR(AZ524/AV524,)</f>
        <v/>
      </c>
      <c r="BE524" s="255">
        <f>AV524-SUM(Z524:AC524)</f>
        <v/>
      </c>
      <c r="BF524" s="255">
        <f>AV524-BE524-AC524-AB524</f>
        <v/>
      </c>
      <c r="BG524" s="255">
        <f>AV524-BE524-BF524-AB524</f>
        <v/>
      </c>
      <c r="BH524" s="255">
        <f>AB524</f>
        <v/>
      </c>
      <c r="BI524" s="263" t="inlineStr">
        <is>
          <t>Approved</t>
        </is>
      </c>
    </row>
    <row r="525">
      <c r="C525" s="23" t="inlineStr">
        <is>
          <t>YEKINI</t>
        </is>
      </c>
      <c r="D525">
        <f>CONCATENATE(G525,"-",H525,"-",F525)</f>
        <v/>
      </c>
      <c r="E525" s="24" t="inlineStr">
        <is>
          <t>JMG-10T-Hiabs Logistics-Local</t>
        </is>
      </c>
      <c r="F525" s="23" t="inlineStr">
        <is>
          <t>Local</t>
        </is>
      </c>
      <c r="G525" s="25" t="inlineStr">
        <is>
          <t>Hiabs Logistics</t>
        </is>
      </c>
      <c r="H525" s="24" t="inlineStr">
        <is>
          <t>10T</t>
        </is>
      </c>
      <c r="I525" s="73" t="inlineStr">
        <is>
          <t>JMG</t>
        </is>
      </c>
      <c r="J525" s="74" t="inlineStr">
        <is>
          <t>Lagos</t>
        </is>
      </c>
      <c r="K525" s="202" t="inlineStr">
        <is>
          <t>Orile</t>
        </is>
      </c>
      <c r="L525" t="inlineStr">
        <is>
          <t>Lagos</t>
        </is>
      </c>
      <c r="N525" s="201">
        <f>O525/2</f>
        <v/>
      </c>
      <c r="O525" s="200" t="n">
        <v>32.1</v>
      </c>
      <c r="P525" s="220">
        <f>ROUNDUP(O525/300,)</f>
        <v/>
      </c>
      <c r="Q525" s="220" t="n">
        <v>0</v>
      </c>
      <c r="R525" s="220">
        <f>Q525+P525</f>
        <v/>
      </c>
      <c r="S525" s="198">
        <f>ROUNDDOWN(O525*0.51,)+60</f>
        <v/>
      </c>
      <c r="T525" s="207">
        <f>_xlfn.XLOOKUP(G525,[1]Fx!$A$4:$A$10,[1]Fx!$B$4:$B$10)</f>
        <v/>
      </c>
      <c r="U525" s="207">
        <f>_xlfn.XLOOKUP(G525,'[1]BP Setup'!$B$6:$B$72,'[1]BP Setup'!$Q$6:$Q$72)</f>
        <v/>
      </c>
      <c r="V525" s="207">
        <f>_xlfn.XLOOKUP(G525,'[1]BP Setup'!$B$6:$B$72,'[1]BP Setup'!$R$6:$R$72)</f>
        <v/>
      </c>
      <c r="W525" s="207">
        <f>$W$3</f>
        <v/>
      </c>
      <c r="X525" s="207" t="n">
        <v>80</v>
      </c>
      <c r="Y525" s="215">
        <f>T525*R525</f>
        <v/>
      </c>
      <c r="Z525" s="215">
        <f>U525*O525</f>
        <v/>
      </c>
      <c r="AA525" s="215">
        <f>V525*O525</f>
        <v/>
      </c>
      <c r="AB525" s="215">
        <f>W525*O525</f>
        <v/>
      </c>
      <c r="AC525" s="197">
        <f>X525*O525</f>
        <v/>
      </c>
      <c r="AD525" s="215" t="n">
        <v>25000</v>
      </c>
      <c r="AE525" s="215" t="n">
        <v>0</v>
      </c>
      <c r="AF525" s="207">
        <f>SUM(Y525:AE525)</f>
        <v/>
      </c>
      <c r="AG525" s="254">
        <f>_xlfn.XLOOKUP(G525,[1]Fx!$A$16:$A$22,[1]Fx!$B$16:$B$22)</f>
        <v/>
      </c>
      <c r="AH525" s="207">
        <f>AG525*R525</f>
        <v/>
      </c>
      <c r="AI525" s="207">
        <f>$AI$3*Z525</f>
        <v/>
      </c>
      <c r="AJ525" s="207">
        <f>$AJ$3*AA525</f>
        <v/>
      </c>
      <c r="AK525" s="207">
        <f>$AK$3*AB525</f>
        <v/>
      </c>
      <c r="AL525" s="207">
        <f>$AL$3*AC525</f>
        <v/>
      </c>
      <c r="AM525" s="220">
        <f>SUM(AH525:AL525)</f>
        <v/>
      </c>
      <c r="AN525" s="220" t="n">
        <v>0</v>
      </c>
      <c r="AO525" s="220">
        <f>AN525*AH525</f>
        <v/>
      </c>
      <c r="AP525" s="220" t="n">
        <v>0</v>
      </c>
      <c r="AQ525" s="220">
        <f>AE525</f>
        <v/>
      </c>
      <c r="AR525" s="208">
        <f>AM525-AO525</f>
        <v/>
      </c>
      <c r="AS525" s="220">
        <f>AR525-AK525</f>
        <v/>
      </c>
      <c r="AT525" s="208">
        <f>AS525*1.075</f>
        <v/>
      </c>
      <c r="AU525" s="208">
        <f>AT525+AK525</f>
        <v/>
      </c>
      <c r="AV525" s="198" t="n">
        <v>131602.1995740657</v>
      </c>
      <c r="AW525" s="264" t="n">
        <v>150000</v>
      </c>
      <c r="AX525" s="220">
        <f>AV525-AU525</f>
        <v/>
      </c>
      <c r="AY525" s="35">
        <f>AX525/AR525</f>
        <v/>
      </c>
      <c r="AZ525" s="220">
        <f>AV525-AF525</f>
        <v/>
      </c>
      <c r="BA525" s="215">
        <f>AV525-SUM(Z525:AC525)</f>
        <v/>
      </c>
      <c r="BB525" s="215">
        <f>BA525-Y525</f>
        <v/>
      </c>
      <c r="BC525" s="35">
        <f>BB525/BA525</f>
        <v/>
      </c>
      <c r="BD525" s="35">
        <f>IFERROR(AZ525/AV525,)</f>
        <v/>
      </c>
      <c r="BE525" s="255">
        <f>AV525-SUM(Z525:AC525)</f>
        <v/>
      </c>
      <c r="BF525" s="255">
        <f>AV525-BE525-AC525-AB525</f>
        <v/>
      </c>
      <c r="BG525" s="255">
        <f>AV525-BE525-BF525-AB525</f>
        <v/>
      </c>
      <c r="BH525" s="255">
        <f>AB525</f>
        <v/>
      </c>
      <c r="BI525" s="263" t="inlineStr">
        <is>
          <t>Approved</t>
        </is>
      </c>
    </row>
    <row r="526">
      <c r="C526" s="23" t="inlineStr">
        <is>
          <t>YEKINI</t>
        </is>
      </c>
      <c r="D526">
        <f>CONCATENATE(G526,"-",H526,"-",F526)</f>
        <v/>
      </c>
      <c r="E526" s="24" t="inlineStr">
        <is>
          <t>JMG-10T-Hiabs Logistics-Local</t>
        </is>
      </c>
      <c r="F526" s="23" t="inlineStr">
        <is>
          <t>Local</t>
        </is>
      </c>
      <c r="G526" s="25" t="inlineStr">
        <is>
          <t>Hiabs Logistics</t>
        </is>
      </c>
      <c r="H526" s="24" t="inlineStr">
        <is>
          <t>10T</t>
        </is>
      </c>
      <c r="I526" s="73" t="inlineStr">
        <is>
          <t>JMG</t>
        </is>
      </c>
      <c r="J526" s="74" t="inlineStr">
        <is>
          <t>Lagos</t>
        </is>
      </c>
      <c r="K526" s="202" t="inlineStr">
        <is>
          <t>Apapa</t>
        </is>
      </c>
      <c r="L526" t="inlineStr">
        <is>
          <t>Lagos</t>
        </is>
      </c>
      <c r="N526" s="201">
        <f>O526/2</f>
        <v/>
      </c>
      <c r="O526" s="201" t="n">
        <v>32</v>
      </c>
      <c r="P526" s="220">
        <f>ROUNDUP(O526/300,)</f>
        <v/>
      </c>
      <c r="Q526" s="220" t="n">
        <v>0</v>
      </c>
      <c r="R526" s="220">
        <f>Q526+P526</f>
        <v/>
      </c>
      <c r="S526" s="198">
        <f>ROUNDDOWN(O526*0.51,)+60</f>
        <v/>
      </c>
      <c r="T526" s="207">
        <f>_xlfn.XLOOKUP(G526,[1]Fx!$A$4:$A$10,[1]Fx!$B$4:$B$10)</f>
        <v/>
      </c>
      <c r="U526" s="207">
        <f>_xlfn.XLOOKUP(G526,'[1]BP Setup'!$B$6:$B$72,'[1]BP Setup'!$Q$6:$Q$72)</f>
        <v/>
      </c>
      <c r="V526" s="207">
        <f>_xlfn.XLOOKUP(G526,'[1]BP Setup'!$B$6:$B$72,'[1]BP Setup'!$R$6:$R$72)</f>
        <v/>
      </c>
      <c r="W526" s="207">
        <f>$W$3</f>
        <v/>
      </c>
      <c r="X526" s="207" t="n">
        <v>80</v>
      </c>
      <c r="Y526" s="215">
        <f>T526*R526</f>
        <v/>
      </c>
      <c r="Z526" s="215">
        <f>U526*O526</f>
        <v/>
      </c>
      <c r="AA526" s="215">
        <f>V526*O526</f>
        <v/>
      </c>
      <c r="AB526" s="215">
        <f>W526*O526</f>
        <v/>
      </c>
      <c r="AC526" s="197">
        <f>X526*O526</f>
        <v/>
      </c>
      <c r="AD526" s="215" t="n">
        <v>25000</v>
      </c>
      <c r="AE526" s="215" t="n">
        <v>0</v>
      </c>
      <c r="AF526" s="207">
        <f>SUM(Y526:AE526)</f>
        <v/>
      </c>
      <c r="AG526" s="254">
        <f>_xlfn.XLOOKUP(G526,[1]Fx!$A$16:$A$22,[1]Fx!$B$16:$B$22)</f>
        <v/>
      </c>
      <c r="AH526" s="207">
        <f>AG526*R526</f>
        <v/>
      </c>
      <c r="AI526" s="207">
        <f>$AI$3*Z526</f>
        <v/>
      </c>
      <c r="AJ526" s="207">
        <f>$AJ$3*AA526</f>
        <v/>
      </c>
      <c r="AK526" s="207">
        <f>$AK$3*AB526</f>
        <v/>
      </c>
      <c r="AL526" s="207">
        <f>$AL$3*AC526</f>
        <v/>
      </c>
      <c r="AM526" s="220">
        <f>SUM(AH526:AL526)</f>
        <v/>
      </c>
      <c r="AN526" s="220" t="n">
        <v>0</v>
      </c>
      <c r="AO526" s="220">
        <f>AN526*AH526</f>
        <v/>
      </c>
      <c r="AP526" s="220" t="n">
        <v>0</v>
      </c>
      <c r="AQ526" s="220">
        <f>AE526</f>
        <v/>
      </c>
      <c r="AR526" s="208">
        <f>AM526-AO526</f>
        <v/>
      </c>
      <c r="AS526" s="220">
        <f>AR526-AK526</f>
        <v/>
      </c>
      <c r="AT526" s="208">
        <f>AS526*1.075</f>
        <v/>
      </c>
      <c r="AU526" s="208">
        <f>AT526+AK526</f>
        <v/>
      </c>
      <c r="AV526" s="198" t="n">
        <v>131602.1995740657</v>
      </c>
      <c r="AW526" s="264" t="n">
        <v>150000</v>
      </c>
      <c r="AX526" s="220">
        <f>AV526-AU526</f>
        <v/>
      </c>
      <c r="AY526" s="35">
        <f>AX526/AR526</f>
        <v/>
      </c>
      <c r="AZ526" s="220">
        <f>AV526-AF526</f>
        <v/>
      </c>
      <c r="BA526" s="215">
        <f>AV526-SUM(Z526:AC526)</f>
        <v/>
      </c>
      <c r="BB526" s="215">
        <f>BA526-Y526</f>
        <v/>
      </c>
      <c r="BC526" s="35">
        <f>BB526/BA526</f>
        <v/>
      </c>
      <c r="BD526" s="35">
        <f>IFERROR(AZ526/AV526,)</f>
        <v/>
      </c>
      <c r="BE526" s="255">
        <f>AV526-SUM(Z526:AC526)</f>
        <v/>
      </c>
      <c r="BF526" s="255">
        <f>AV526-BE526-AC526-AB526</f>
        <v/>
      </c>
      <c r="BG526" s="255">
        <f>AV526-BE526-BF526-AB526</f>
        <v/>
      </c>
      <c r="BH526" s="255">
        <f>AB526</f>
        <v/>
      </c>
      <c r="BI526" s="263" t="inlineStr">
        <is>
          <t>Approved</t>
        </is>
      </c>
    </row>
    <row r="527">
      <c r="C527" s="23" t="inlineStr">
        <is>
          <t>YEKINI</t>
        </is>
      </c>
      <c r="D527">
        <f>CONCATENATE(G527,"-",H527,"-",F527)</f>
        <v/>
      </c>
      <c r="E527" s="24" t="inlineStr">
        <is>
          <t>JMG-10T-Hiabs Logistics-Local</t>
        </is>
      </c>
      <c r="F527" s="23" t="inlineStr">
        <is>
          <t>Local</t>
        </is>
      </c>
      <c r="G527" s="25" t="inlineStr">
        <is>
          <t>Hiabs Logistics</t>
        </is>
      </c>
      <c r="H527" s="24" t="inlineStr">
        <is>
          <t>10T</t>
        </is>
      </c>
      <c r="I527" s="73" t="inlineStr">
        <is>
          <t>JMG</t>
        </is>
      </c>
      <c r="J527" s="74" t="inlineStr">
        <is>
          <t>Lagos</t>
        </is>
      </c>
      <c r="K527" s="202" t="inlineStr">
        <is>
          <t>Ejigbo</t>
        </is>
      </c>
      <c r="L527" t="inlineStr">
        <is>
          <t>Lagos</t>
        </is>
      </c>
      <c r="N527" s="201">
        <f>O527/2</f>
        <v/>
      </c>
      <c r="O527" s="200" t="n">
        <v>31.5</v>
      </c>
      <c r="P527" s="220">
        <f>ROUNDUP(O527/300,)</f>
        <v/>
      </c>
      <c r="Q527" s="220" t="n">
        <v>0</v>
      </c>
      <c r="R527" s="220">
        <f>Q527+P527</f>
        <v/>
      </c>
      <c r="S527" s="198">
        <f>ROUNDDOWN(O527*0.51,)+60</f>
        <v/>
      </c>
      <c r="T527" s="207">
        <f>_xlfn.XLOOKUP(G527,[1]Fx!$A$4:$A$10,[1]Fx!$B$4:$B$10)</f>
        <v/>
      </c>
      <c r="U527" s="207">
        <f>_xlfn.XLOOKUP(G527,'[1]BP Setup'!$B$6:$B$72,'[1]BP Setup'!$Q$6:$Q$72)</f>
        <v/>
      </c>
      <c r="V527" s="207">
        <f>_xlfn.XLOOKUP(G527,'[1]BP Setup'!$B$6:$B$72,'[1]BP Setup'!$R$6:$R$72)</f>
        <v/>
      </c>
      <c r="W527" s="207">
        <f>$W$3</f>
        <v/>
      </c>
      <c r="X527" s="207" t="n">
        <v>80</v>
      </c>
      <c r="Y527" s="215">
        <f>T527*R527</f>
        <v/>
      </c>
      <c r="Z527" s="215">
        <f>U527*O527</f>
        <v/>
      </c>
      <c r="AA527" s="215">
        <f>V527*O527</f>
        <v/>
      </c>
      <c r="AB527" s="215">
        <f>W527*O527</f>
        <v/>
      </c>
      <c r="AC527" s="197">
        <f>X527*O527</f>
        <v/>
      </c>
      <c r="AD527" s="215" t="n">
        <v>25000</v>
      </c>
      <c r="AE527" s="215" t="n">
        <v>0</v>
      </c>
      <c r="AF527" s="207">
        <f>SUM(Y527:AE527)</f>
        <v/>
      </c>
      <c r="AG527" s="254">
        <f>_xlfn.XLOOKUP(G527,[1]Fx!$A$16:$A$22,[1]Fx!$B$16:$B$22)</f>
        <v/>
      </c>
      <c r="AH527" s="207">
        <f>AG527*R527</f>
        <v/>
      </c>
      <c r="AI527" s="207">
        <f>$AI$3*Z527</f>
        <v/>
      </c>
      <c r="AJ527" s="207">
        <f>$AJ$3*AA527</f>
        <v/>
      </c>
      <c r="AK527" s="207">
        <f>$AK$3*AB527</f>
        <v/>
      </c>
      <c r="AL527" s="207">
        <f>$AL$3*AC527</f>
        <v/>
      </c>
      <c r="AM527" s="220">
        <f>SUM(AH527:AL527)</f>
        <v/>
      </c>
      <c r="AN527" s="220" t="n">
        <v>0</v>
      </c>
      <c r="AO527" s="220">
        <f>AN527*AH527</f>
        <v/>
      </c>
      <c r="AP527" s="220" t="n">
        <v>0</v>
      </c>
      <c r="AQ527" s="220">
        <f>AE527</f>
        <v/>
      </c>
      <c r="AR527" s="208">
        <f>AM527-AO527</f>
        <v/>
      </c>
      <c r="AS527" s="220">
        <f>AR527-AK527</f>
        <v/>
      </c>
      <c r="AT527" s="208">
        <f>AS527*1.075</f>
        <v/>
      </c>
      <c r="AU527" s="208">
        <f>AT527+AK527</f>
        <v/>
      </c>
      <c r="AV527" s="198" t="n">
        <v>131602.1995740657</v>
      </c>
      <c r="AW527" s="264" t="n">
        <v>150000</v>
      </c>
      <c r="AX527" s="220">
        <f>AV527-AU527</f>
        <v/>
      </c>
      <c r="AY527" s="35">
        <f>AX527/AR527</f>
        <v/>
      </c>
      <c r="AZ527" s="220">
        <f>AV527-AF527</f>
        <v/>
      </c>
      <c r="BA527" s="215">
        <f>AV527-SUM(Z527:AC527)</f>
        <v/>
      </c>
      <c r="BB527" s="215">
        <f>BA527-Y527</f>
        <v/>
      </c>
      <c r="BC527" s="35">
        <f>BB527/BA527</f>
        <v/>
      </c>
      <c r="BD527" s="35">
        <f>IFERROR(AZ527/AV527,)</f>
        <v/>
      </c>
      <c r="BE527" s="255">
        <f>AV527-SUM(Z527:AC527)</f>
        <v/>
      </c>
      <c r="BF527" s="255">
        <f>AV527-BE527-AC527-AB527</f>
        <v/>
      </c>
      <c r="BG527" s="255">
        <f>AV527-BE527-BF527-AB527</f>
        <v/>
      </c>
      <c r="BH527" s="255">
        <f>AB527</f>
        <v/>
      </c>
      <c r="BI527" s="263" t="inlineStr">
        <is>
          <t>Approved</t>
        </is>
      </c>
    </row>
    <row r="528">
      <c r="C528" s="23" t="inlineStr">
        <is>
          <t>YEKINI</t>
        </is>
      </c>
      <c r="D528">
        <f>CONCATENATE(G528,"-",H528,"-",F528)</f>
        <v/>
      </c>
      <c r="E528" s="24" t="inlineStr">
        <is>
          <t>JMG-10T-Hiabs Logistics-Local</t>
        </is>
      </c>
      <c r="F528" s="23" t="inlineStr">
        <is>
          <t>Local</t>
        </is>
      </c>
      <c r="G528" s="25" t="inlineStr">
        <is>
          <t>Hiabs Logistics</t>
        </is>
      </c>
      <c r="H528" s="24" t="inlineStr">
        <is>
          <t>10T</t>
        </is>
      </c>
      <c r="I528" s="73" t="inlineStr">
        <is>
          <t>JMG</t>
        </is>
      </c>
      <c r="J528" s="74" t="inlineStr">
        <is>
          <t>Lagos</t>
        </is>
      </c>
      <c r="K528" s="202" t="inlineStr">
        <is>
          <t>Ojodu</t>
        </is>
      </c>
      <c r="L528" t="inlineStr">
        <is>
          <t>Lagos</t>
        </is>
      </c>
      <c r="N528" s="201">
        <f>O528/2</f>
        <v/>
      </c>
      <c r="O528" s="200" t="n">
        <v>29.9</v>
      </c>
      <c r="P528" s="220">
        <f>ROUNDUP(O528/300,)</f>
        <v/>
      </c>
      <c r="Q528" s="220" t="n">
        <v>0</v>
      </c>
      <c r="R528" s="220">
        <f>Q528+P528</f>
        <v/>
      </c>
      <c r="S528" s="198">
        <f>ROUNDDOWN(O528*0.51,)+60</f>
        <v/>
      </c>
      <c r="T528" s="207">
        <f>_xlfn.XLOOKUP(G528,[1]Fx!$A$4:$A$10,[1]Fx!$B$4:$B$10)</f>
        <v/>
      </c>
      <c r="U528" s="207">
        <f>_xlfn.XLOOKUP(G528,'[1]BP Setup'!$B$6:$B$72,'[1]BP Setup'!$Q$6:$Q$72)</f>
        <v/>
      </c>
      <c r="V528" s="207">
        <f>_xlfn.XLOOKUP(G528,'[1]BP Setup'!$B$6:$B$72,'[1]BP Setup'!$R$6:$R$72)</f>
        <v/>
      </c>
      <c r="W528" s="207">
        <f>$W$3</f>
        <v/>
      </c>
      <c r="X528" s="207" t="n">
        <v>80</v>
      </c>
      <c r="Y528" s="215">
        <f>T528*R528</f>
        <v/>
      </c>
      <c r="Z528" s="215">
        <f>U528*O528</f>
        <v/>
      </c>
      <c r="AA528" s="215">
        <f>V528*O528</f>
        <v/>
      </c>
      <c r="AB528" s="215">
        <f>W528*O528</f>
        <v/>
      </c>
      <c r="AC528" s="197">
        <f>X528*O528</f>
        <v/>
      </c>
      <c r="AD528" s="215" t="n">
        <v>25000</v>
      </c>
      <c r="AE528" s="215" t="n">
        <v>0</v>
      </c>
      <c r="AF528" s="207">
        <f>SUM(Y528:AE528)</f>
        <v/>
      </c>
      <c r="AG528" s="254">
        <f>_xlfn.XLOOKUP(G528,[1]Fx!$A$16:$A$22,[1]Fx!$B$16:$B$22)</f>
        <v/>
      </c>
      <c r="AH528" s="207">
        <f>AG528*R528</f>
        <v/>
      </c>
      <c r="AI528" s="207">
        <f>$AI$3*Z528</f>
        <v/>
      </c>
      <c r="AJ528" s="207">
        <f>$AJ$3*AA528</f>
        <v/>
      </c>
      <c r="AK528" s="207">
        <f>$AK$3*AB528</f>
        <v/>
      </c>
      <c r="AL528" s="207">
        <f>$AL$3*AC528</f>
        <v/>
      </c>
      <c r="AM528" s="220">
        <f>SUM(AH528:AL528)</f>
        <v/>
      </c>
      <c r="AN528" s="220" t="n">
        <v>0</v>
      </c>
      <c r="AO528" s="220">
        <f>AN528*AH528</f>
        <v/>
      </c>
      <c r="AP528" s="220" t="n">
        <v>0</v>
      </c>
      <c r="AQ528" s="220">
        <f>AE528</f>
        <v/>
      </c>
      <c r="AR528" s="208">
        <f>AM528-AO528</f>
        <v/>
      </c>
      <c r="AS528" s="220">
        <f>AR528-AK528</f>
        <v/>
      </c>
      <c r="AT528" s="208">
        <f>AS528*1.075</f>
        <v/>
      </c>
      <c r="AU528" s="208">
        <f>AT528+AK528</f>
        <v/>
      </c>
      <c r="AV528" s="198" t="n">
        <v>131602.1995740657</v>
      </c>
      <c r="AW528" s="264" t="n">
        <v>150000</v>
      </c>
      <c r="AX528" s="220">
        <f>AV528-AU528</f>
        <v/>
      </c>
      <c r="AY528" s="35">
        <f>AX528/AR528</f>
        <v/>
      </c>
      <c r="AZ528" s="220">
        <f>AV528-AF528</f>
        <v/>
      </c>
      <c r="BA528" s="215">
        <f>AV528-SUM(Z528:AC528)</f>
        <v/>
      </c>
      <c r="BB528" s="215">
        <f>BA528-Y528</f>
        <v/>
      </c>
      <c r="BC528" s="35">
        <f>BB528/BA528</f>
        <v/>
      </c>
      <c r="BD528" s="35">
        <f>IFERROR(AZ528/AV528,)</f>
        <v/>
      </c>
      <c r="BE528" s="255">
        <f>AV528-SUM(Z528:AC528)</f>
        <v/>
      </c>
      <c r="BF528" s="255">
        <f>AV528-BE528-AC528-AB528</f>
        <v/>
      </c>
      <c r="BG528" s="255">
        <f>AV528-BE528-BF528-AB528</f>
        <v/>
      </c>
      <c r="BH528" s="255">
        <f>AB528</f>
        <v/>
      </c>
      <c r="BI528" s="263" t="inlineStr">
        <is>
          <t>Approved</t>
        </is>
      </c>
    </row>
    <row r="529">
      <c r="C529" s="23" t="inlineStr">
        <is>
          <t>YEKINI</t>
        </is>
      </c>
      <c r="D529">
        <f>CONCATENATE(G529,"-",H529,"-",F529)</f>
        <v/>
      </c>
      <c r="E529" s="24" t="inlineStr">
        <is>
          <t>JMG-10T-Hiabs Logistics-Local</t>
        </is>
      </c>
      <c r="F529" s="23" t="inlineStr">
        <is>
          <t>Local</t>
        </is>
      </c>
      <c r="G529" s="25" t="inlineStr">
        <is>
          <t>Hiabs Logistics</t>
        </is>
      </c>
      <c r="H529" s="24" t="inlineStr">
        <is>
          <t>10T</t>
        </is>
      </c>
      <c r="I529" s="73" t="inlineStr">
        <is>
          <t>JMG</t>
        </is>
      </c>
      <c r="J529" s="74" t="inlineStr">
        <is>
          <t>Lagos</t>
        </is>
      </c>
      <c r="K529" s="202" t="inlineStr">
        <is>
          <t>Agege</t>
        </is>
      </c>
      <c r="L529" t="inlineStr">
        <is>
          <t>Lagos</t>
        </is>
      </c>
      <c r="N529" s="201">
        <f>O529/2</f>
        <v/>
      </c>
      <c r="O529" s="200" t="n">
        <v>27.7</v>
      </c>
      <c r="P529" s="220">
        <f>ROUNDUP(O529/300,)</f>
        <v/>
      </c>
      <c r="Q529" s="220" t="n">
        <v>0</v>
      </c>
      <c r="R529" s="220">
        <f>Q529+P529</f>
        <v/>
      </c>
      <c r="S529" s="198">
        <f>ROUNDDOWN(O529*0.51,)+60</f>
        <v/>
      </c>
      <c r="T529" s="207">
        <f>_xlfn.XLOOKUP(G529,[1]Fx!$A$4:$A$10,[1]Fx!$B$4:$B$10)</f>
        <v/>
      </c>
      <c r="U529" s="207">
        <f>_xlfn.XLOOKUP(G529,'[1]BP Setup'!$B$6:$B$72,'[1]BP Setup'!$Q$6:$Q$72)</f>
        <v/>
      </c>
      <c r="V529" s="207">
        <f>_xlfn.XLOOKUP(G529,'[1]BP Setup'!$B$6:$B$72,'[1]BP Setup'!$R$6:$R$72)</f>
        <v/>
      </c>
      <c r="W529" s="207">
        <f>$W$3</f>
        <v/>
      </c>
      <c r="X529" s="207" t="n">
        <v>80</v>
      </c>
      <c r="Y529" s="215">
        <f>T529*R529</f>
        <v/>
      </c>
      <c r="Z529" s="215">
        <f>U529*O529</f>
        <v/>
      </c>
      <c r="AA529" s="215">
        <f>V529*O529</f>
        <v/>
      </c>
      <c r="AB529" s="215">
        <f>W529*O529</f>
        <v/>
      </c>
      <c r="AC529" s="197">
        <f>X529*O529</f>
        <v/>
      </c>
      <c r="AD529" s="215" t="n">
        <v>25000</v>
      </c>
      <c r="AE529" s="215" t="n">
        <v>0</v>
      </c>
      <c r="AF529" s="207">
        <f>SUM(Y529:AE529)</f>
        <v/>
      </c>
      <c r="AG529" s="254">
        <f>_xlfn.XLOOKUP(G529,[1]Fx!$A$16:$A$22,[1]Fx!$B$16:$B$22)</f>
        <v/>
      </c>
      <c r="AH529" s="207">
        <f>AG529*R529</f>
        <v/>
      </c>
      <c r="AI529" s="207">
        <f>$AI$3*Z529</f>
        <v/>
      </c>
      <c r="AJ529" s="207">
        <f>$AJ$3*AA529</f>
        <v/>
      </c>
      <c r="AK529" s="207">
        <f>$AK$3*AB529</f>
        <v/>
      </c>
      <c r="AL529" s="207">
        <f>$AL$3*AC529</f>
        <v/>
      </c>
      <c r="AM529" s="220">
        <f>SUM(AH529:AL529)</f>
        <v/>
      </c>
      <c r="AN529" s="220" t="n">
        <v>0</v>
      </c>
      <c r="AO529" s="220">
        <f>AN529*AH529</f>
        <v/>
      </c>
      <c r="AP529" s="220" t="n">
        <v>0</v>
      </c>
      <c r="AQ529" s="220">
        <f>AE529</f>
        <v/>
      </c>
      <c r="AR529" s="208">
        <f>AM529-AO529</f>
        <v/>
      </c>
      <c r="AS529" s="220">
        <f>AR529-AK529</f>
        <v/>
      </c>
      <c r="AT529" s="208">
        <f>AS529*1.075</f>
        <v/>
      </c>
      <c r="AU529" s="208">
        <f>AT529+AK529</f>
        <v/>
      </c>
      <c r="AV529" s="198" t="n">
        <v>131602.1995740657</v>
      </c>
      <c r="AW529" s="264" t="n">
        <v>150000</v>
      </c>
      <c r="AX529" s="220">
        <f>AV529-AU529</f>
        <v/>
      </c>
      <c r="AY529" s="35">
        <f>AX529/AR529</f>
        <v/>
      </c>
      <c r="AZ529" s="220">
        <f>AV529-AF529</f>
        <v/>
      </c>
      <c r="BA529" s="215">
        <f>AV529-SUM(Z529:AC529)</f>
        <v/>
      </c>
      <c r="BB529" s="215">
        <f>BA529-Y529</f>
        <v/>
      </c>
      <c r="BC529" s="35">
        <f>BB529/BA529</f>
        <v/>
      </c>
      <c r="BD529" s="35">
        <f>IFERROR(AZ529/AV529,)</f>
        <v/>
      </c>
      <c r="BE529" s="255">
        <f>AV529-SUM(Z529:AC529)</f>
        <v/>
      </c>
      <c r="BF529" s="255">
        <f>AV529-BE529-AC529-AB529</f>
        <v/>
      </c>
      <c r="BG529" s="255">
        <f>AV529-BE529-BF529-AB529</f>
        <v/>
      </c>
      <c r="BH529" s="255">
        <f>AB529</f>
        <v/>
      </c>
      <c r="BI529" s="263" t="inlineStr">
        <is>
          <t>Approved</t>
        </is>
      </c>
    </row>
    <row r="530">
      <c r="C530" s="23" t="inlineStr">
        <is>
          <t>YEKINI</t>
        </is>
      </c>
      <c r="D530">
        <f>CONCATENATE(G530,"-",H530,"-",F530)</f>
        <v/>
      </c>
      <c r="E530" s="24" t="inlineStr">
        <is>
          <t>JMG-10T-Hiabs Logistics-Local</t>
        </is>
      </c>
      <c r="F530" s="23" t="inlineStr">
        <is>
          <t>Local</t>
        </is>
      </c>
      <c r="G530" s="25" t="inlineStr">
        <is>
          <t>Hiabs Logistics</t>
        </is>
      </c>
      <c r="H530" s="24" t="inlineStr">
        <is>
          <t>10T</t>
        </is>
      </c>
      <c r="I530" s="73" t="inlineStr">
        <is>
          <t>JMG</t>
        </is>
      </c>
      <c r="J530" s="74" t="inlineStr">
        <is>
          <t>Lagos</t>
        </is>
      </c>
      <c r="K530" s="202" t="inlineStr">
        <is>
          <t>Ijaiye</t>
        </is>
      </c>
      <c r="L530" t="inlineStr">
        <is>
          <t>Lagos</t>
        </is>
      </c>
      <c r="N530" s="201">
        <f>O530/2</f>
        <v/>
      </c>
      <c r="O530" s="200" t="n">
        <v>28.7</v>
      </c>
      <c r="P530" s="220">
        <f>ROUNDUP(O530/300,)</f>
        <v/>
      </c>
      <c r="Q530" s="220" t="n">
        <v>0</v>
      </c>
      <c r="R530" s="220">
        <f>Q530+P530</f>
        <v/>
      </c>
      <c r="S530" s="198">
        <f>ROUNDDOWN(O530*0.51,)+60</f>
        <v/>
      </c>
      <c r="T530" s="207">
        <f>_xlfn.XLOOKUP(G530,[1]Fx!$A$4:$A$10,[1]Fx!$B$4:$B$10)</f>
        <v/>
      </c>
      <c r="U530" s="207">
        <f>_xlfn.XLOOKUP(G530,'[1]BP Setup'!$B$6:$B$72,'[1]BP Setup'!$Q$6:$Q$72)</f>
        <v/>
      </c>
      <c r="V530" s="207">
        <f>_xlfn.XLOOKUP(G530,'[1]BP Setup'!$B$6:$B$72,'[1]BP Setup'!$R$6:$R$72)</f>
        <v/>
      </c>
      <c r="W530" s="207">
        <f>$W$3</f>
        <v/>
      </c>
      <c r="X530" s="207" t="n">
        <v>80</v>
      </c>
      <c r="Y530" s="215">
        <f>T530*R530</f>
        <v/>
      </c>
      <c r="Z530" s="215">
        <f>U530*O530</f>
        <v/>
      </c>
      <c r="AA530" s="215">
        <f>V530*O530</f>
        <v/>
      </c>
      <c r="AB530" s="215">
        <f>W530*O530</f>
        <v/>
      </c>
      <c r="AC530" s="197">
        <f>X530*O530</f>
        <v/>
      </c>
      <c r="AD530" s="215" t="n">
        <v>25000</v>
      </c>
      <c r="AE530" s="215" t="n">
        <v>0</v>
      </c>
      <c r="AF530" s="207">
        <f>SUM(Y530:AE530)</f>
        <v/>
      </c>
      <c r="AG530" s="254">
        <f>_xlfn.XLOOKUP(G530,[1]Fx!$A$16:$A$22,[1]Fx!$B$16:$B$22)</f>
        <v/>
      </c>
      <c r="AH530" s="207">
        <f>AG530*R530</f>
        <v/>
      </c>
      <c r="AI530" s="207">
        <f>$AI$3*Z530</f>
        <v/>
      </c>
      <c r="AJ530" s="207">
        <f>$AJ$3*AA530</f>
        <v/>
      </c>
      <c r="AK530" s="207">
        <f>$AK$3*AB530</f>
        <v/>
      </c>
      <c r="AL530" s="207">
        <f>$AL$3*AC530</f>
        <v/>
      </c>
      <c r="AM530" s="220">
        <f>SUM(AH530:AL530)</f>
        <v/>
      </c>
      <c r="AN530" s="220" t="n">
        <v>0</v>
      </c>
      <c r="AO530" s="220">
        <f>AN530*AH530</f>
        <v/>
      </c>
      <c r="AP530" s="220" t="n">
        <v>0</v>
      </c>
      <c r="AQ530" s="220">
        <f>AE530</f>
        <v/>
      </c>
      <c r="AR530" s="208">
        <f>AM530-AO530</f>
        <v/>
      </c>
      <c r="AS530" s="220">
        <f>AR530-AK530</f>
        <v/>
      </c>
      <c r="AT530" s="208">
        <f>AS530*1.075</f>
        <v/>
      </c>
      <c r="AU530" s="208">
        <f>AT530+AK530</f>
        <v/>
      </c>
      <c r="AV530" s="198" t="n">
        <v>131602.1995740657</v>
      </c>
      <c r="AW530" s="264" t="n">
        <v>150000</v>
      </c>
      <c r="AX530" s="220">
        <f>AV530-AU530</f>
        <v/>
      </c>
      <c r="AY530" s="35">
        <f>AX530/AR530</f>
        <v/>
      </c>
      <c r="AZ530" s="220">
        <f>AV530-AF530</f>
        <v/>
      </c>
      <c r="BA530" s="215">
        <f>AV530-SUM(Z530:AC530)</f>
        <v/>
      </c>
      <c r="BB530" s="215">
        <f>BA530-Y530</f>
        <v/>
      </c>
      <c r="BC530" s="35">
        <f>BB530/BA530</f>
        <v/>
      </c>
      <c r="BD530" s="35">
        <f>IFERROR(AZ530/AV530,)</f>
        <v/>
      </c>
      <c r="BE530" s="255">
        <f>AV530-SUM(Z530:AC530)</f>
        <v/>
      </c>
      <c r="BF530" s="255">
        <f>AV530-BE530-AC530-AB530</f>
        <v/>
      </c>
      <c r="BG530" s="255">
        <f>AV530-BE530-BF530-AB530</f>
        <v/>
      </c>
      <c r="BH530" s="255">
        <f>AB530</f>
        <v/>
      </c>
      <c r="BI530" s="263" t="inlineStr">
        <is>
          <t>Approved</t>
        </is>
      </c>
    </row>
    <row r="531">
      <c r="C531" s="23" t="inlineStr">
        <is>
          <t>YEKINI</t>
        </is>
      </c>
      <c r="D531">
        <f>CONCATENATE(G531,"-",H531,"-",F531)</f>
        <v/>
      </c>
      <c r="E531" s="24" t="inlineStr">
        <is>
          <t>JMG-10T-Hiabs Logistics-Local</t>
        </is>
      </c>
      <c r="F531" s="23" t="inlineStr">
        <is>
          <t>Local</t>
        </is>
      </c>
      <c r="G531" s="25" t="inlineStr">
        <is>
          <t>Hiabs Logistics</t>
        </is>
      </c>
      <c r="H531" s="24" t="inlineStr">
        <is>
          <t>10T</t>
        </is>
      </c>
      <c r="I531" s="73" t="inlineStr">
        <is>
          <t>JMG</t>
        </is>
      </c>
      <c r="J531" s="74" t="inlineStr">
        <is>
          <t>Lagos</t>
        </is>
      </c>
      <c r="K531" s="202" t="inlineStr">
        <is>
          <t>Ogba</t>
        </is>
      </c>
      <c r="L531" t="inlineStr">
        <is>
          <t>Lagos</t>
        </is>
      </c>
      <c r="N531" s="201">
        <f>O531/2</f>
        <v/>
      </c>
      <c r="O531" s="200" t="n">
        <v>26.1</v>
      </c>
      <c r="P531" s="220">
        <f>ROUNDUP(O531/300,)</f>
        <v/>
      </c>
      <c r="Q531" s="220" t="n">
        <v>0</v>
      </c>
      <c r="R531" s="220">
        <f>Q531+P531</f>
        <v/>
      </c>
      <c r="S531" s="198">
        <f>ROUNDDOWN(O531*0.51,)+60</f>
        <v/>
      </c>
      <c r="T531" s="207">
        <f>_xlfn.XLOOKUP(G531,[1]Fx!$A$4:$A$10,[1]Fx!$B$4:$B$10)</f>
        <v/>
      </c>
      <c r="U531" s="207">
        <f>_xlfn.XLOOKUP(G531,'[1]BP Setup'!$B$6:$B$72,'[1]BP Setup'!$Q$6:$Q$72)</f>
        <v/>
      </c>
      <c r="V531" s="207">
        <f>_xlfn.XLOOKUP(G531,'[1]BP Setup'!$B$6:$B$72,'[1]BP Setup'!$R$6:$R$72)</f>
        <v/>
      </c>
      <c r="W531" s="207">
        <f>$W$3</f>
        <v/>
      </c>
      <c r="X531" s="207" t="n">
        <v>80</v>
      </c>
      <c r="Y531" s="215">
        <f>T531*R531</f>
        <v/>
      </c>
      <c r="Z531" s="215">
        <f>U531*O531</f>
        <v/>
      </c>
      <c r="AA531" s="215">
        <f>V531*O531</f>
        <v/>
      </c>
      <c r="AB531" s="215">
        <f>W531*O531</f>
        <v/>
      </c>
      <c r="AC531" s="197">
        <f>X531*O531</f>
        <v/>
      </c>
      <c r="AD531" s="215" t="n">
        <v>25000</v>
      </c>
      <c r="AE531" s="215" t="n">
        <v>0</v>
      </c>
      <c r="AF531" s="207">
        <f>SUM(Y531:AE531)</f>
        <v/>
      </c>
      <c r="AG531" s="254">
        <f>_xlfn.XLOOKUP(G531,[1]Fx!$A$16:$A$22,[1]Fx!$B$16:$B$22)</f>
        <v/>
      </c>
      <c r="AH531" s="207">
        <f>AG531*R531</f>
        <v/>
      </c>
      <c r="AI531" s="207">
        <f>$AI$3*Z531</f>
        <v/>
      </c>
      <c r="AJ531" s="207">
        <f>$AJ$3*AA531</f>
        <v/>
      </c>
      <c r="AK531" s="207">
        <f>$AK$3*AB531</f>
        <v/>
      </c>
      <c r="AL531" s="207">
        <f>$AL$3*AC531</f>
        <v/>
      </c>
      <c r="AM531" s="220">
        <f>SUM(AH531:AL531)</f>
        <v/>
      </c>
      <c r="AN531" s="220" t="n">
        <v>0</v>
      </c>
      <c r="AO531" s="220">
        <f>AN531*AH531</f>
        <v/>
      </c>
      <c r="AP531" s="220" t="n">
        <v>0</v>
      </c>
      <c r="AQ531" s="220">
        <f>AE531</f>
        <v/>
      </c>
      <c r="AR531" s="208">
        <f>AM531-AO531</f>
        <v/>
      </c>
      <c r="AS531" s="220">
        <f>AR531-AK531</f>
        <v/>
      </c>
      <c r="AT531" s="208">
        <f>AS531*1.075</f>
        <v/>
      </c>
      <c r="AU531" s="208">
        <f>AT531+AK531</f>
        <v/>
      </c>
      <c r="AV531" s="198" t="n">
        <v>131602.1995740657</v>
      </c>
      <c r="AW531" s="264" t="n">
        <v>150000</v>
      </c>
      <c r="AX531" s="220">
        <f>AV531-AU531</f>
        <v/>
      </c>
      <c r="AY531" s="35">
        <f>AX531/AR531</f>
        <v/>
      </c>
      <c r="AZ531" s="220">
        <f>AV531-AF531</f>
        <v/>
      </c>
      <c r="BA531" s="215">
        <f>AV531-SUM(Z531:AC531)</f>
        <v/>
      </c>
      <c r="BB531" s="215">
        <f>BA531-Y531</f>
        <v/>
      </c>
      <c r="BC531" s="35">
        <f>BB531/BA531</f>
        <v/>
      </c>
      <c r="BD531" s="35">
        <f>IFERROR(AZ531/AV531,)</f>
        <v/>
      </c>
      <c r="BE531" s="255">
        <f>AV531-SUM(Z531:AC531)</f>
        <v/>
      </c>
      <c r="BF531" s="255">
        <f>AV531-BE531-AC531-AB531</f>
        <v/>
      </c>
      <c r="BG531" s="255">
        <f>AV531-BE531-BF531-AB531</f>
        <v/>
      </c>
      <c r="BH531" s="255">
        <f>AB531</f>
        <v/>
      </c>
      <c r="BI531" s="263" t="inlineStr">
        <is>
          <t>Approved</t>
        </is>
      </c>
    </row>
    <row r="532">
      <c r="C532" s="23" t="inlineStr">
        <is>
          <t>YEKINI</t>
        </is>
      </c>
      <c r="D532">
        <f>CONCATENATE(G532,"-",H532,"-",F532)</f>
        <v/>
      </c>
      <c r="E532" s="24" t="inlineStr">
        <is>
          <t>JMG-10T-Hiabs Logistics-Local</t>
        </is>
      </c>
      <c r="F532" s="23" t="inlineStr">
        <is>
          <t>Local</t>
        </is>
      </c>
      <c r="G532" s="25" t="inlineStr">
        <is>
          <t>Hiabs Logistics</t>
        </is>
      </c>
      <c r="H532" s="24" t="inlineStr">
        <is>
          <t>10T</t>
        </is>
      </c>
      <c r="I532" s="73" t="inlineStr">
        <is>
          <t>JMG</t>
        </is>
      </c>
      <c r="J532" s="74" t="inlineStr">
        <is>
          <t>Lagos</t>
        </is>
      </c>
      <c r="K532" s="202" t="inlineStr">
        <is>
          <t>Ikeja</t>
        </is>
      </c>
      <c r="L532" t="inlineStr">
        <is>
          <t>Lagos</t>
        </is>
      </c>
      <c r="N532" s="201">
        <f>O532/2</f>
        <v/>
      </c>
      <c r="O532" s="201" t="n">
        <v>26</v>
      </c>
      <c r="P532" s="220">
        <f>ROUNDUP(O532/300,)</f>
        <v/>
      </c>
      <c r="Q532" s="220" t="n">
        <v>0</v>
      </c>
      <c r="R532" s="220">
        <f>Q532+P532</f>
        <v/>
      </c>
      <c r="S532" s="198">
        <f>ROUNDDOWN(O532*0.51,)+60</f>
        <v/>
      </c>
      <c r="T532" s="207">
        <f>_xlfn.XLOOKUP(G532,[1]Fx!$A$4:$A$10,[1]Fx!$B$4:$B$10)</f>
        <v/>
      </c>
      <c r="U532" s="207">
        <f>_xlfn.XLOOKUP(G532,'[1]BP Setup'!$B$6:$B$72,'[1]BP Setup'!$Q$6:$Q$72)</f>
        <v/>
      </c>
      <c r="V532" s="207">
        <f>_xlfn.XLOOKUP(G532,'[1]BP Setup'!$B$6:$B$72,'[1]BP Setup'!$R$6:$R$72)</f>
        <v/>
      </c>
      <c r="W532" s="207">
        <f>$W$3</f>
        <v/>
      </c>
      <c r="X532" s="207" t="n">
        <v>80</v>
      </c>
      <c r="Y532" s="215">
        <f>T532*R532</f>
        <v/>
      </c>
      <c r="Z532" s="215">
        <f>U532*O532</f>
        <v/>
      </c>
      <c r="AA532" s="215">
        <f>V532*O532</f>
        <v/>
      </c>
      <c r="AB532" s="215">
        <f>W532*O532</f>
        <v/>
      </c>
      <c r="AC532" s="197">
        <f>X532*O532</f>
        <v/>
      </c>
      <c r="AD532" s="215" t="n">
        <v>25000</v>
      </c>
      <c r="AE532" s="215" t="n">
        <v>0</v>
      </c>
      <c r="AF532" s="207">
        <f>SUM(Y532:AE532)</f>
        <v/>
      </c>
      <c r="AG532" s="254">
        <f>_xlfn.XLOOKUP(G532,[1]Fx!$A$16:$A$22,[1]Fx!$B$16:$B$22)</f>
        <v/>
      </c>
      <c r="AH532" s="207">
        <f>AG532*R532</f>
        <v/>
      </c>
      <c r="AI532" s="207">
        <f>$AI$3*Z532</f>
        <v/>
      </c>
      <c r="AJ532" s="207">
        <f>$AJ$3*AA532</f>
        <v/>
      </c>
      <c r="AK532" s="207">
        <f>$AK$3*AB532</f>
        <v/>
      </c>
      <c r="AL532" s="207">
        <f>$AL$3*AC532</f>
        <v/>
      </c>
      <c r="AM532" s="220">
        <f>SUM(AH532:AL532)</f>
        <v/>
      </c>
      <c r="AN532" s="220" t="n">
        <v>0</v>
      </c>
      <c r="AO532" s="220">
        <f>AN532*AH532</f>
        <v/>
      </c>
      <c r="AP532" s="220" t="n">
        <v>0</v>
      </c>
      <c r="AQ532" s="220">
        <f>AE532</f>
        <v/>
      </c>
      <c r="AR532" s="208">
        <f>AM532-AO532</f>
        <v/>
      </c>
      <c r="AS532" s="220">
        <f>AR532-AK532</f>
        <v/>
      </c>
      <c r="AT532" s="208">
        <f>AS532*1.075</f>
        <v/>
      </c>
      <c r="AU532" s="208">
        <f>AT532+AK532</f>
        <v/>
      </c>
      <c r="AV532" s="198" t="n">
        <v>131602.1995740657</v>
      </c>
      <c r="AW532" s="264" t="n">
        <v>150000</v>
      </c>
      <c r="AX532" s="220">
        <f>AV532-AU532</f>
        <v/>
      </c>
      <c r="AY532" s="35">
        <f>AX532/AR532</f>
        <v/>
      </c>
      <c r="AZ532" s="220">
        <f>AV532-AF532</f>
        <v/>
      </c>
      <c r="BA532" s="215">
        <f>AV532-SUM(Z532:AC532)</f>
        <v/>
      </c>
      <c r="BB532" s="215">
        <f>BA532-Y532</f>
        <v/>
      </c>
      <c r="BC532" s="35">
        <f>BB532/BA532</f>
        <v/>
      </c>
      <c r="BD532" s="35">
        <f>IFERROR(AZ532/AV532,)</f>
        <v/>
      </c>
      <c r="BE532" s="255">
        <f>AV532-SUM(Z532:AC532)</f>
        <v/>
      </c>
      <c r="BF532" s="255">
        <f>AV532-BE532-AC532-AB532</f>
        <v/>
      </c>
      <c r="BG532" s="255">
        <f>AV532-BE532-BF532-AB532</f>
        <v/>
      </c>
      <c r="BH532" s="255">
        <f>AB532</f>
        <v/>
      </c>
      <c r="BI532" s="263" t="inlineStr">
        <is>
          <t>Approved</t>
        </is>
      </c>
    </row>
    <row r="533">
      <c r="C533" s="23" t="inlineStr">
        <is>
          <t>YEKINI</t>
        </is>
      </c>
      <c r="D533">
        <f>CONCATENATE(G533,"-",H533,"-",F533)</f>
        <v/>
      </c>
      <c r="E533" s="24" t="inlineStr">
        <is>
          <t>JMG-10T-Hiabs Logistics-Local</t>
        </is>
      </c>
      <c r="F533" s="23" t="inlineStr">
        <is>
          <t>Local</t>
        </is>
      </c>
      <c r="G533" s="25" t="inlineStr">
        <is>
          <t>Hiabs Logistics</t>
        </is>
      </c>
      <c r="H533" s="24" t="inlineStr">
        <is>
          <t>10T</t>
        </is>
      </c>
      <c r="I533" s="73" t="inlineStr">
        <is>
          <t>JMG</t>
        </is>
      </c>
      <c r="J533" s="74" t="inlineStr">
        <is>
          <t>Lagos</t>
        </is>
      </c>
      <c r="K533" s="122" t="inlineStr">
        <is>
          <t>Ebute Metta</t>
        </is>
      </c>
      <c r="L533" t="inlineStr">
        <is>
          <t>Lagos</t>
        </is>
      </c>
      <c r="N533" s="201">
        <f>O533/2</f>
        <v/>
      </c>
      <c r="O533" s="201" t="n">
        <v>25.4</v>
      </c>
      <c r="P533" s="220">
        <f>ROUNDUP(O533/300,)</f>
        <v/>
      </c>
      <c r="Q533" s="220" t="n">
        <v>0</v>
      </c>
      <c r="R533" s="220">
        <f>Q533+P533</f>
        <v/>
      </c>
      <c r="S533" s="198">
        <f>ROUNDDOWN(O533*0.51,)+60</f>
        <v/>
      </c>
      <c r="T533" s="207">
        <f>_xlfn.XLOOKUP(G533,[1]Fx!$A$4:$A$10,[1]Fx!$B$4:$B$10)</f>
        <v/>
      </c>
      <c r="U533" s="207">
        <f>_xlfn.XLOOKUP(G533,'[1]BP Setup'!$B$6:$B$72,'[1]BP Setup'!$Q$6:$Q$72)</f>
        <v/>
      </c>
      <c r="V533" s="207">
        <f>_xlfn.XLOOKUP(G533,'[1]BP Setup'!$B$6:$B$72,'[1]BP Setup'!$R$6:$R$72)</f>
        <v/>
      </c>
      <c r="W533" s="207">
        <f>$W$3</f>
        <v/>
      </c>
      <c r="X533" s="207" t="n">
        <v>80</v>
      </c>
      <c r="Y533" s="215">
        <f>T533*R533</f>
        <v/>
      </c>
      <c r="Z533" s="215">
        <f>U533*O533</f>
        <v/>
      </c>
      <c r="AA533" s="215">
        <f>V533*O533</f>
        <v/>
      </c>
      <c r="AB533" s="215">
        <f>W533*O533</f>
        <v/>
      </c>
      <c r="AC533" s="197">
        <f>X533*O533</f>
        <v/>
      </c>
      <c r="AD533" s="215" t="n">
        <v>25000</v>
      </c>
      <c r="AE533" s="215" t="n">
        <v>0</v>
      </c>
      <c r="AF533" s="207">
        <f>SUM(Y533:AE533)</f>
        <v/>
      </c>
      <c r="AG533" s="254">
        <f>_xlfn.XLOOKUP(G533,[1]Fx!$A$16:$A$22,[1]Fx!$B$16:$B$22)</f>
        <v/>
      </c>
      <c r="AH533" s="207">
        <f>AG533*R533</f>
        <v/>
      </c>
      <c r="AI533" s="207">
        <f>$AI$3*Z533</f>
        <v/>
      </c>
      <c r="AJ533" s="207">
        <f>$AJ$3*AA533</f>
        <v/>
      </c>
      <c r="AK533" s="207">
        <f>$AK$3*AB533</f>
        <v/>
      </c>
      <c r="AL533" s="207">
        <f>$AL$3*AC533</f>
        <v/>
      </c>
      <c r="AM533" s="220">
        <f>SUM(AH533:AL533)</f>
        <v/>
      </c>
      <c r="AN533" s="220" t="n">
        <v>0</v>
      </c>
      <c r="AO533" s="220">
        <f>AN533*AH533</f>
        <v/>
      </c>
      <c r="AP533" s="220" t="n">
        <v>0</v>
      </c>
      <c r="AQ533" s="220">
        <f>AE533</f>
        <v/>
      </c>
      <c r="AR533" s="208">
        <f>AM533-AO533</f>
        <v/>
      </c>
      <c r="AS533" s="220">
        <f>AR533-AK533</f>
        <v/>
      </c>
      <c r="AT533" s="208">
        <f>AS533*1.075</f>
        <v/>
      </c>
      <c r="AU533" s="208">
        <f>AT533+AK533</f>
        <v/>
      </c>
      <c r="AV533" s="198" t="n">
        <v>131602.1995740657</v>
      </c>
      <c r="AW533" s="264" t="n">
        <v>150000</v>
      </c>
      <c r="AX533" s="220">
        <f>AV533-AU533</f>
        <v/>
      </c>
      <c r="AY533" s="35">
        <f>AX533/AR533</f>
        <v/>
      </c>
      <c r="AZ533" s="220">
        <f>AV533-AF533</f>
        <v/>
      </c>
      <c r="BA533" s="215">
        <f>AV533-SUM(Z533:AC533)</f>
        <v/>
      </c>
      <c r="BB533" s="215">
        <f>BA533-Y533</f>
        <v/>
      </c>
      <c r="BC533" s="35">
        <f>BB533/BA533</f>
        <v/>
      </c>
      <c r="BD533" s="35">
        <f>IFERROR(AZ533/AV533,)</f>
        <v/>
      </c>
      <c r="BE533" s="255">
        <f>AV533-SUM(Z533:AC533)</f>
        <v/>
      </c>
      <c r="BF533" s="255">
        <f>AV533-BE533-AC533-AB533</f>
        <v/>
      </c>
      <c r="BG533" s="255">
        <f>AV533-BE533-BF533-AB533</f>
        <v/>
      </c>
      <c r="BH533" s="255">
        <f>AB533</f>
        <v/>
      </c>
      <c r="BI533" s="263" t="inlineStr">
        <is>
          <t>Approved</t>
        </is>
      </c>
    </row>
    <row r="534">
      <c r="C534" s="23" t="inlineStr">
        <is>
          <t>YEKINI</t>
        </is>
      </c>
      <c r="D534">
        <f>CONCATENATE(G534,"-",H534,"-",F534)</f>
        <v/>
      </c>
      <c r="E534" s="24" t="inlineStr">
        <is>
          <t>JMG-10T-Hiabs Logistics-Local</t>
        </is>
      </c>
      <c r="F534" s="23" t="inlineStr">
        <is>
          <t>Local</t>
        </is>
      </c>
      <c r="G534" s="25" t="inlineStr">
        <is>
          <t>Hiabs Logistics</t>
        </is>
      </c>
      <c r="H534" s="24" t="inlineStr">
        <is>
          <t>10T</t>
        </is>
      </c>
      <c r="I534" s="73" t="inlineStr">
        <is>
          <t>JMG</t>
        </is>
      </c>
      <c r="J534" s="74" t="inlineStr">
        <is>
          <t>Lagos</t>
        </is>
      </c>
      <c r="K534" s="202" t="inlineStr">
        <is>
          <t>Surulere</t>
        </is>
      </c>
      <c r="L534" t="inlineStr">
        <is>
          <t>Lagos</t>
        </is>
      </c>
      <c r="N534" s="201">
        <f>O534/2</f>
        <v/>
      </c>
      <c r="O534" s="200" t="n">
        <v>24.6</v>
      </c>
      <c r="P534" s="220">
        <f>ROUNDUP(O534/300,)</f>
        <v/>
      </c>
      <c r="Q534" s="220" t="n">
        <v>0</v>
      </c>
      <c r="R534" s="220">
        <f>Q534+P534</f>
        <v/>
      </c>
      <c r="S534" s="198">
        <f>ROUNDDOWN(O534*0.51,)+60</f>
        <v/>
      </c>
      <c r="T534" s="207">
        <f>_xlfn.XLOOKUP(G534,[1]Fx!$A$4:$A$10,[1]Fx!$B$4:$B$10)</f>
        <v/>
      </c>
      <c r="U534" s="207">
        <f>_xlfn.XLOOKUP(G534,'[1]BP Setup'!$B$6:$B$72,'[1]BP Setup'!$Q$6:$Q$72)</f>
        <v/>
      </c>
      <c r="V534" s="207">
        <f>_xlfn.XLOOKUP(G534,'[1]BP Setup'!$B$6:$B$72,'[1]BP Setup'!$R$6:$R$72)</f>
        <v/>
      </c>
      <c r="W534" s="207">
        <f>$W$3</f>
        <v/>
      </c>
      <c r="X534" s="207" t="n">
        <v>80</v>
      </c>
      <c r="Y534" s="215">
        <f>T534*R534</f>
        <v/>
      </c>
      <c r="Z534" s="215">
        <f>U534*O534</f>
        <v/>
      </c>
      <c r="AA534" s="215">
        <f>V534*O534</f>
        <v/>
      </c>
      <c r="AB534" s="215">
        <f>W534*O534</f>
        <v/>
      </c>
      <c r="AC534" s="197">
        <f>X534*O534</f>
        <v/>
      </c>
      <c r="AD534" s="215" t="n">
        <v>25000</v>
      </c>
      <c r="AE534" s="215" t="n">
        <v>0</v>
      </c>
      <c r="AF534" s="207">
        <f>SUM(Y534:AE534)</f>
        <v/>
      </c>
      <c r="AG534" s="254">
        <f>_xlfn.XLOOKUP(G534,[1]Fx!$A$16:$A$22,[1]Fx!$B$16:$B$22)</f>
        <v/>
      </c>
      <c r="AH534" s="207">
        <f>AG534*R534</f>
        <v/>
      </c>
      <c r="AI534" s="207">
        <f>$AI$3*Z534</f>
        <v/>
      </c>
      <c r="AJ534" s="207">
        <f>$AJ$3*AA534</f>
        <v/>
      </c>
      <c r="AK534" s="207">
        <f>$AK$3*AB534</f>
        <v/>
      </c>
      <c r="AL534" s="207">
        <f>$AL$3*AC534</f>
        <v/>
      </c>
      <c r="AM534" s="220">
        <f>SUM(AH534:AL534)</f>
        <v/>
      </c>
      <c r="AN534" s="220" t="n">
        <v>0</v>
      </c>
      <c r="AO534" s="220">
        <f>AN534*AH534</f>
        <v/>
      </c>
      <c r="AP534" s="220" t="n">
        <v>0</v>
      </c>
      <c r="AQ534" s="220">
        <f>AE534</f>
        <v/>
      </c>
      <c r="AR534" s="208">
        <f>AM534-AO534</f>
        <v/>
      </c>
      <c r="AS534" s="220">
        <f>AR534-AK534</f>
        <v/>
      </c>
      <c r="AT534" s="208">
        <f>AS534*1.075</f>
        <v/>
      </c>
      <c r="AU534" s="208">
        <f>AT534+AK534</f>
        <v/>
      </c>
      <c r="AV534" s="198" t="n">
        <v>131602.1995740657</v>
      </c>
      <c r="AW534" s="264" t="n">
        <v>150000</v>
      </c>
      <c r="AX534" s="220">
        <f>AV534-AU534</f>
        <v/>
      </c>
      <c r="AY534" s="35">
        <f>AX534/AR534</f>
        <v/>
      </c>
      <c r="AZ534" s="220">
        <f>AV534-AF534</f>
        <v/>
      </c>
      <c r="BA534" s="215">
        <f>AV534-SUM(Z534:AC534)</f>
        <v/>
      </c>
      <c r="BB534" s="215">
        <f>BA534-Y534</f>
        <v/>
      </c>
      <c r="BC534" s="35">
        <f>BB534/BA534</f>
        <v/>
      </c>
      <c r="BD534" s="35">
        <f>IFERROR(AZ534/AV534,)</f>
        <v/>
      </c>
      <c r="BE534" s="255">
        <f>AV534-SUM(Z534:AC534)</f>
        <v/>
      </c>
      <c r="BF534" s="255">
        <f>AV534-BE534-AC534-AB534</f>
        <v/>
      </c>
      <c r="BG534" s="255">
        <f>AV534-BE534-BF534-AB534</f>
        <v/>
      </c>
      <c r="BH534" s="255">
        <f>AB534</f>
        <v/>
      </c>
      <c r="BI534" s="263" t="inlineStr">
        <is>
          <t>Approved</t>
        </is>
      </c>
    </row>
    <row r="535">
      <c r="C535" s="23" t="inlineStr">
        <is>
          <t>YEKINI</t>
        </is>
      </c>
      <c r="D535">
        <f>CONCATENATE(G535,"-",H535,"-",F535)</f>
        <v/>
      </c>
      <c r="E535" s="24" t="inlineStr">
        <is>
          <t>JMG-10T-Hiabs Logistics-Local</t>
        </is>
      </c>
      <c r="F535" s="23" t="inlineStr">
        <is>
          <t>Local</t>
        </is>
      </c>
      <c r="G535" s="25" t="inlineStr">
        <is>
          <t>Hiabs Logistics</t>
        </is>
      </c>
      <c r="H535" s="24" t="inlineStr">
        <is>
          <t>10T</t>
        </is>
      </c>
      <c r="I535" s="73" t="inlineStr">
        <is>
          <t>JMG</t>
        </is>
      </c>
      <c r="J535" s="74" t="inlineStr">
        <is>
          <t>Lagos</t>
        </is>
      </c>
      <c r="K535" s="202" t="inlineStr">
        <is>
          <t>Isolo</t>
        </is>
      </c>
      <c r="L535" t="inlineStr">
        <is>
          <t>Lagos</t>
        </is>
      </c>
      <c r="N535" s="201">
        <f>O535/2</f>
        <v/>
      </c>
      <c r="O535" s="200" t="n">
        <v>24.2</v>
      </c>
      <c r="P535" s="220">
        <f>ROUNDUP(O535/300,)</f>
        <v/>
      </c>
      <c r="Q535" s="220" t="n">
        <v>0</v>
      </c>
      <c r="R535" s="220">
        <f>Q535+P535</f>
        <v/>
      </c>
      <c r="S535" s="198">
        <f>ROUNDDOWN(O535*0.51,)+60</f>
        <v/>
      </c>
      <c r="T535" s="207">
        <f>_xlfn.XLOOKUP(G535,[1]Fx!$A$4:$A$10,[1]Fx!$B$4:$B$10)</f>
        <v/>
      </c>
      <c r="U535" s="207">
        <f>_xlfn.XLOOKUP(G535,'[1]BP Setup'!$B$6:$B$72,'[1]BP Setup'!$Q$6:$Q$72)</f>
        <v/>
      </c>
      <c r="V535" s="207">
        <f>_xlfn.XLOOKUP(G535,'[1]BP Setup'!$B$6:$B$72,'[1]BP Setup'!$R$6:$R$72)</f>
        <v/>
      </c>
      <c r="W535" s="207">
        <f>$W$3</f>
        <v/>
      </c>
      <c r="X535" s="207" t="n">
        <v>80</v>
      </c>
      <c r="Y535" s="215">
        <f>T535*R535</f>
        <v/>
      </c>
      <c r="Z535" s="215">
        <f>U535*O535</f>
        <v/>
      </c>
      <c r="AA535" s="215">
        <f>V535*O535</f>
        <v/>
      </c>
      <c r="AB535" s="215">
        <f>W535*O535</f>
        <v/>
      </c>
      <c r="AC535" s="197">
        <f>X535*O535</f>
        <v/>
      </c>
      <c r="AD535" s="215" t="n">
        <v>25000</v>
      </c>
      <c r="AE535" s="215" t="n">
        <v>0</v>
      </c>
      <c r="AF535" s="207">
        <f>SUM(Y535:AE535)</f>
        <v/>
      </c>
      <c r="AG535" s="254">
        <f>_xlfn.XLOOKUP(G535,[1]Fx!$A$16:$A$22,[1]Fx!$B$16:$B$22)</f>
        <v/>
      </c>
      <c r="AH535" s="207">
        <f>AG535*R535</f>
        <v/>
      </c>
      <c r="AI535" s="207">
        <f>$AI$3*Z535</f>
        <v/>
      </c>
      <c r="AJ535" s="207">
        <f>$AJ$3*AA535</f>
        <v/>
      </c>
      <c r="AK535" s="207">
        <f>$AK$3*AB535</f>
        <v/>
      </c>
      <c r="AL535" s="207">
        <f>$AL$3*AC535</f>
        <v/>
      </c>
      <c r="AM535" s="220">
        <f>SUM(AH535:AL535)</f>
        <v/>
      </c>
      <c r="AN535" s="220" t="n">
        <v>0</v>
      </c>
      <c r="AO535" s="220">
        <f>AN535*AH535</f>
        <v/>
      </c>
      <c r="AP535" s="220" t="n">
        <v>0</v>
      </c>
      <c r="AQ535" s="220">
        <f>AE535</f>
        <v/>
      </c>
      <c r="AR535" s="208">
        <f>AM535-AO535</f>
        <v/>
      </c>
      <c r="AS535" s="220">
        <f>AR535-AK535</f>
        <v/>
      </c>
      <c r="AT535" s="208">
        <f>AS535*1.075</f>
        <v/>
      </c>
      <c r="AU535" s="208">
        <f>AT535+AK535</f>
        <v/>
      </c>
      <c r="AV535" s="198" t="n">
        <v>131602.1995740657</v>
      </c>
      <c r="AW535" s="264" t="n">
        <v>150000</v>
      </c>
      <c r="AX535" s="220">
        <f>AV535-AU535</f>
        <v/>
      </c>
      <c r="AY535" s="35">
        <f>AX535/AR535</f>
        <v/>
      </c>
      <c r="AZ535" s="220">
        <f>AV535-AF535</f>
        <v/>
      </c>
      <c r="BA535" s="215">
        <f>AV535-SUM(Z535:AC535)</f>
        <v/>
      </c>
      <c r="BB535" s="215">
        <f>BA535-Y535</f>
        <v/>
      </c>
      <c r="BC535" s="35">
        <f>BB535/BA535</f>
        <v/>
      </c>
      <c r="BD535" s="35">
        <f>IFERROR(AZ535/AV535,)</f>
        <v/>
      </c>
      <c r="BE535" s="255">
        <f>AV535-SUM(Z535:AC535)</f>
        <v/>
      </c>
      <c r="BF535" s="255">
        <f>AV535-BE535-AC535-AB535</f>
        <v/>
      </c>
      <c r="BG535" s="255">
        <f>AV535-BE535-BF535-AB535</f>
        <v/>
      </c>
      <c r="BH535" s="255">
        <f>AB535</f>
        <v/>
      </c>
      <c r="BI535" s="263" t="inlineStr">
        <is>
          <t>Approved</t>
        </is>
      </c>
    </row>
    <row r="536">
      <c r="C536" s="23" t="inlineStr">
        <is>
          <t>YEKINI</t>
        </is>
      </c>
      <c r="D536">
        <f>CONCATENATE(G536,"-",H536,"-",F536)</f>
        <v/>
      </c>
      <c r="E536" s="24" t="inlineStr">
        <is>
          <t>JMG-10T-Hiabs Logistics-Local</t>
        </is>
      </c>
      <c r="F536" s="23" t="inlineStr">
        <is>
          <t>Local</t>
        </is>
      </c>
      <c r="G536" s="25" t="inlineStr">
        <is>
          <t>Hiabs Logistics</t>
        </is>
      </c>
      <c r="H536" s="24" t="inlineStr">
        <is>
          <t>10T</t>
        </is>
      </c>
      <c r="I536" s="73" t="inlineStr">
        <is>
          <t>JMG</t>
        </is>
      </c>
      <c r="J536" s="74" t="inlineStr">
        <is>
          <t>Lagos</t>
        </is>
      </c>
      <c r="K536" s="202" t="inlineStr">
        <is>
          <t>Nigerian Gas</t>
        </is>
      </c>
      <c r="L536" t="inlineStr">
        <is>
          <t>Lagos</t>
        </is>
      </c>
      <c r="N536" s="201">
        <f>O536/2</f>
        <v/>
      </c>
      <c r="O536" s="201" t="n">
        <v>21.7</v>
      </c>
      <c r="P536" s="220">
        <f>ROUNDUP(O536/300,)</f>
        <v/>
      </c>
      <c r="Q536" s="220" t="n">
        <v>0</v>
      </c>
      <c r="R536" s="220">
        <f>Q536+P536</f>
        <v/>
      </c>
      <c r="S536" s="198">
        <f>ROUNDDOWN(O536*0.51,)+60</f>
        <v/>
      </c>
      <c r="T536" s="207">
        <f>_xlfn.XLOOKUP(G536,[1]Fx!$A$4:$A$10,[1]Fx!$B$4:$B$10)</f>
        <v/>
      </c>
      <c r="U536" s="207">
        <f>_xlfn.XLOOKUP(G536,'[1]BP Setup'!$B$6:$B$72,'[1]BP Setup'!$Q$6:$Q$72)</f>
        <v/>
      </c>
      <c r="V536" s="207">
        <f>_xlfn.XLOOKUP(G536,'[1]BP Setup'!$B$6:$B$72,'[1]BP Setup'!$R$6:$R$72)</f>
        <v/>
      </c>
      <c r="W536" s="207">
        <f>$W$3</f>
        <v/>
      </c>
      <c r="X536" s="207" t="n">
        <v>80</v>
      </c>
      <c r="Y536" s="215">
        <f>T536*R536</f>
        <v/>
      </c>
      <c r="Z536" s="215">
        <f>U536*O536</f>
        <v/>
      </c>
      <c r="AA536" s="215">
        <f>V536*O536</f>
        <v/>
      </c>
      <c r="AB536" s="215">
        <f>W536*O536</f>
        <v/>
      </c>
      <c r="AC536" s="197">
        <f>X536*O536</f>
        <v/>
      </c>
      <c r="AD536" s="215" t="n">
        <v>25000</v>
      </c>
      <c r="AE536" s="215" t="n">
        <v>0</v>
      </c>
      <c r="AF536" s="207">
        <f>SUM(Y536:AE536)</f>
        <v/>
      </c>
      <c r="AG536" s="254">
        <f>_xlfn.XLOOKUP(G536,[1]Fx!$A$16:$A$22,[1]Fx!$B$16:$B$22)</f>
        <v/>
      </c>
      <c r="AH536" s="207">
        <f>AG536*R536</f>
        <v/>
      </c>
      <c r="AI536" s="207">
        <f>$AI$3*Z536</f>
        <v/>
      </c>
      <c r="AJ536" s="207">
        <f>$AJ$3*AA536</f>
        <v/>
      </c>
      <c r="AK536" s="207">
        <f>$AK$3*AB536</f>
        <v/>
      </c>
      <c r="AL536" s="207">
        <f>$AL$3*AC536</f>
        <v/>
      </c>
      <c r="AM536" s="220">
        <f>SUM(AH536:AL536)</f>
        <v/>
      </c>
      <c r="AN536" s="220" t="n">
        <v>0</v>
      </c>
      <c r="AO536" s="220">
        <f>AN536*AH536</f>
        <v/>
      </c>
      <c r="AP536" s="220" t="n">
        <v>0</v>
      </c>
      <c r="AQ536" s="220">
        <f>AE536</f>
        <v/>
      </c>
      <c r="AR536" s="208">
        <f>AM536-AO536</f>
        <v/>
      </c>
      <c r="AS536" s="220">
        <f>AR536-AK536</f>
        <v/>
      </c>
      <c r="AT536" s="208">
        <f>AS536*1.075</f>
        <v/>
      </c>
      <c r="AU536" s="208">
        <f>AT536+AK536</f>
        <v/>
      </c>
      <c r="AV536" s="198" t="n">
        <v>131602.1995740657</v>
      </c>
      <c r="AW536" s="264" t="n">
        <v>150000</v>
      </c>
      <c r="AX536" s="220">
        <f>AV536-AU536</f>
        <v/>
      </c>
      <c r="AY536" s="35">
        <f>AX536/AR536</f>
        <v/>
      </c>
      <c r="AZ536" s="220">
        <f>AV536-AF536</f>
        <v/>
      </c>
      <c r="BA536" s="215">
        <f>AV536-SUM(Z536:AC536)</f>
        <v/>
      </c>
      <c r="BB536" s="215">
        <f>BA536-Y536</f>
        <v/>
      </c>
      <c r="BC536" s="35">
        <f>BB536/BA536</f>
        <v/>
      </c>
      <c r="BD536" s="35">
        <f>IFERROR(AZ536/AV536,)</f>
        <v/>
      </c>
      <c r="BE536" s="255">
        <f>AV536-SUM(Z536:AC536)</f>
        <v/>
      </c>
      <c r="BF536" s="255">
        <f>AV536-BE536-AC536-AB536</f>
        <v/>
      </c>
      <c r="BG536" s="255">
        <f>AV536-BE536-BF536-AB536</f>
        <v/>
      </c>
      <c r="BH536" s="255">
        <f>AB536</f>
        <v/>
      </c>
      <c r="BI536" s="263" t="inlineStr">
        <is>
          <t>Approved</t>
        </is>
      </c>
    </row>
    <row r="537">
      <c r="C537" s="23" t="inlineStr">
        <is>
          <t>YEKINI</t>
        </is>
      </c>
      <c r="D537">
        <f>CONCATENATE(G537,"-",H537,"-",F537)</f>
        <v/>
      </c>
      <c r="E537" s="24" t="inlineStr">
        <is>
          <t>JMG-10T-Hiabs Logistics-Local</t>
        </is>
      </c>
      <c r="F537" s="23" t="inlineStr">
        <is>
          <t>Local</t>
        </is>
      </c>
      <c r="G537" s="25" t="inlineStr">
        <is>
          <t>Hiabs Logistics</t>
        </is>
      </c>
      <c r="H537" s="24" t="inlineStr">
        <is>
          <t>10T</t>
        </is>
      </c>
      <c r="I537" s="73" t="inlineStr">
        <is>
          <t>JMG</t>
        </is>
      </c>
      <c r="J537" s="74" t="inlineStr">
        <is>
          <t>Lagos</t>
        </is>
      </c>
      <c r="K537" s="202" t="inlineStr">
        <is>
          <t>Ikeja Branch</t>
        </is>
      </c>
      <c r="L537" t="inlineStr">
        <is>
          <t>Lagos</t>
        </is>
      </c>
      <c r="N537" s="201">
        <f>O537/2</f>
        <v/>
      </c>
      <c r="O537" s="201" t="n">
        <v>21.7</v>
      </c>
      <c r="P537" s="220">
        <f>ROUNDUP(O537/300,)</f>
        <v/>
      </c>
      <c r="Q537" s="220" t="n">
        <v>0</v>
      </c>
      <c r="R537" s="220">
        <f>Q537+P537</f>
        <v/>
      </c>
      <c r="S537" s="198">
        <f>ROUNDDOWN(O537*0.51,)+60</f>
        <v/>
      </c>
      <c r="T537" s="207">
        <f>_xlfn.XLOOKUP(G537,[1]Fx!$A$4:$A$10,[1]Fx!$B$4:$B$10)</f>
        <v/>
      </c>
      <c r="U537" s="207">
        <f>_xlfn.XLOOKUP(G537,'[1]BP Setup'!$B$6:$B$72,'[1]BP Setup'!$Q$6:$Q$72)</f>
        <v/>
      </c>
      <c r="V537" s="207">
        <f>_xlfn.XLOOKUP(G537,'[1]BP Setup'!$B$6:$B$72,'[1]BP Setup'!$R$6:$R$72)</f>
        <v/>
      </c>
      <c r="W537" s="207">
        <f>$W$3</f>
        <v/>
      </c>
      <c r="X537" s="207" t="n">
        <v>80</v>
      </c>
      <c r="Y537" s="215">
        <f>T537*R537</f>
        <v/>
      </c>
      <c r="Z537" s="215">
        <f>U537*O537</f>
        <v/>
      </c>
      <c r="AA537" s="215">
        <f>V537*O537</f>
        <v/>
      </c>
      <c r="AB537" s="215">
        <f>W537*O537</f>
        <v/>
      </c>
      <c r="AC537" s="197">
        <f>X537*O537</f>
        <v/>
      </c>
      <c r="AD537" s="215" t="n">
        <v>25000</v>
      </c>
      <c r="AE537" s="215" t="n">
        <v>0</v>
      </c>
      <c r="AF537" s="207">
        <f>SUM(Y537:AE537)</f>
        <v/>
      </c>
      <c r="AG537" s="254">
        <f>_xlfn.XLOOKUP(G537,[1]Fx!$A$16:$A$22,[1]Fx!$B$16:$B$22)</f>
        <v/>
      </c>
      <c r="AH537" s="207">
        <f>AG537*R537</f>
        <v/>
      </c>
      <c r="AI537" s="207">
        <f>$AI$3*Z537</f>
        <v/>
      </c>
      <c r="AJ537" s="207">
        <f>$AJ$3*AA537</f>
        <v/>
      </c>
      <c r="AK537" s="207">
        <f>$AK$3*AB537</f>
        <v/>
      </c>
      <c r="AL537" s="207">
        <f>$AL$3*AC537</f>
        <v/>
      </c>
      <c r="AM537" s="220">
        <f>SUM(AH537:AL537)</f>
        <v/>
      </c>
      <c r="AN537" s="220" t="n">
        <v>0</v>
      </c>
      <c r="AO537" s="220">
        <f>AN537*AH537</f>
        <v/>
      </c>
      <c r="AP537" s="220" t="n">
        <v>0</v>
      </c>
      <c r="AQ537" s="220">
        <f>AE537</f>
        <v/>
      </c>
      <c r="AR537" s="208">
        <f>AM537-AO537</f>
        <v/>
      </c>
      <c r="AS537" s="220">
        <f>AR537-AK537</f>
        <v/>
      </c>
      <c r="AT537" s="208">
        <f>AS537*1.075</f>
        <v/>
      </c>
      <c r="AU537" s="208">
        <f>AT537+AK537</f>
        <v/>
      </c>
      <c r="AV537" s="198" t="n">
        <v>131602.1995740657</v>
      </c>
      <c r="AW537" s="264" t="n">
        <v>150000</v>
      </c>
      <c r="AX537" s="220">
        <f>AV537-AU537</f>
        <v/>
      </c>
      <c r="AY537" s="35">
        <f>AX537/AR537</f>
        <v/>
      </c>
      <c r="AZ537" s="220">
        <f>AV537-AF537</f>
        <v/>
      </c>
      <c r="BA537" s="215">
        <f>AV537-SUM(Z537:AC537)</f>
        <v/>
      </c>
      <c r="BB537" s="215">
        <f>BA537-Y537</f>
        <v/>
      </c>
      <c r="BC537" s="35">
        <f>BB537/BA537</f>
        <v/>
      </c>
      <c r="BD537" s="35">
        <f>IFERROR(AZ537/AV537,)</f>
        <v/>
      </c>
      <c r="BE537" s="255">
        <f>AV537-SUM(Z537:AC537)</f>
        <v/>
      </c>
      <c r="BF537" s="255">
        <f>AV537-BE537-AC537-AB537</f>
        <v/>
      </c>
      <c r="BG537" s="255">
        <f>AV537-BE537-BF537-AB537</f>
        <v/>
      </c>
      <c r="BH537" s="255">
        <f>AB537</f>
        <v/>
      </c>
      <c r="BI537" s="263" t="inlineStr">
        <is>
          <t>Approved</t>
        </is>
      </c>
    </row>
    <row r="538">
      <c r="C538" s="23" t="inlineStr">
        <is>
          <t>YEKINI</t>
        </is>
      </c>
      <c r="D538">
        <f>CONCATENATE(G538,"-",H538,"-",F538)</f>
        <v/>
      </c>
      <c r="E538" s="24" t="inlineStr">
        <is>
          <t>JMG-10T-Hiabs Logistics-Local</t>
        </is>
      </c>
      <c r="F538" s="23" t="inlineStr">
        <is>
          <t>Local</t>
        </is>
      </c>
      <c r="G538" s="25" t="inlineStr">
        <is>
          <t>Hiabs Logistics</t>
        </is>
      </c>
      <c r="H538" s="24" t="inlineStr">
        <is>
          <t>10T</t>
        </is>
      </c>
      <c r="I538" s="73" t="inlineStr">
        <is>
          <t>JMG</t>
        </is>
      </c>
      <c r="J538" s="74" t="inlineStr">
        <is>
          <t>Lagos</t>
        </is>
      </c>
      <c r="K538" s="202" t="inlineStr">
        <is>
          <t>Alapere</t>
        </is>
      </c>
      <c r="L538" t="inlineStr">
        <is>
          <t>Lagos</t>
        </is>
      </c>
      <c r="N538" s="201">
        <f>O538/2</f>
        <v/>
      </c>
      <c r="O538" s="200" t="n">
        <v>20.6</v>
      </c>
      <c r="P538" s="220">
        <f>ROUNDUP(O538/300,)</f>
        <v/>
      </c>
      <c r="Q538" s="220" t="n">
        <v>0</v>
      </c>
      <c r="R538" s="220">
        <f>Q538+P538</f>
        <v/>
      </c>
      <c r="S538" s="198">
        <f>ROUNDDOWN(O538*0.51,)+60</f>
        <v/>
      </c>
      <c r="T538" s="207">
        <f>_xlfn.XLOOKUP(G538,[1]Fx!$A$4:$A$10,[1]Fx!$B$4:$B$10)</f>
        <v/>
      </c>
      <c r="U538" s="207">
        <f>_xlfn.XLOOKUP(G538,'[1]BP Setup'!$B$6:$B$72,'[1]BP Setup'!$Q$6:$Q$72)</f>
        <v/>
      </c>
      <c r="V538" s="207">
        <f>_xlfn.XLOOKUP(G538,'[1]BP Setup'!$B$6:$B$72,'[1]BP Setup'!$R$6:$R$72)</f>
        <v/>
      </c>
      <c r="W538" s="207">
        <f>$W$3</f>
        <v/>
      </c>
      <c r="X538" s="207" t="n">
        <v>80</v>
      </c>
      <c r="Y538" s="215">
        <f>T538*R538</f>
        <v/>
      </c>
      <c r="Z538" s="215">
        <f>U538*O538</f>
        <v/>
      </c>
      <c r="AA538" s="215">
        <f>V538*O538</f>
        <v/>
      </c>
      <c r="AB538" s="215">
        <f>W538*O538</f>
        <v/>
      </c>
      <c r="AC538" s="197">
        <f>X538*O538</f>
        <v/>
      </c>
      <c r="AD538" s="215" t="n">
        <v>25000</v>
      </c>
      <c r="AE538" s="215" t="n">
        <v>0</v>
      </c>
      <c r="AF538" s="207">
        <f>SUM(Y538:AE538)</f>
        <v/>
      </c>
      <c r="AG538" s="254">
        <f>_xlfn.XLOOKUP(G538,[1]Fx!$A$16:$A$22,[1]Fx!$B$16:$B$22)</f>
        <v/>
      </c>
      <c r="AH538" s="207">
        <f>AG538*R538</f>
        <v/>
      </c>
      <c r="AI538" s="207">
        <f>$AI$3*Z538</f>
        <v/>
      </c>
      <c r="AJ538" s="207">
        <f>$AJ$3*AA538</f>
        <v/>
      </c>
      <c r="AK538" s="207">
        <f>$AK$3*AB538</f>
        <v/>
      </c>
      <c r="AL538" s="207">
        <f>$AL$3*AC538</f>
        <v/>
      </c>
      <c r="AM538" s="220">
        <f>SUM(AH538:AL538)</f>
        <v/>
      </c>
      <c r="AN538" s="220" t="n">
        <v>0</v>
      </c>
      <c r="AO538" s="220">
        <f>AN538*AH538</f>
        <v/>
      </c>
      <c r="AP538" s="220" t="n">
        <v>0</v>
      </c>
      <c r="AQ538" s="220">
        <f>AE538</f>
        <v/>
      </c>
      <c r="AR538" s="208">
        <f>AM538-AO538</f>
        <v/>
      </c>
      <c r="AS538" s="220">
        <f>AR538-AK538</f>
        <v/>
      </c>
      <c r="AT538" s="208">
        <f>AS538*1.075</f>
        <v/>
      </c>
      <c r="AU538" s="208">
        <f>AT538+AK538</f>
        <v/>
      </c>
      <c r="AV538" s="198" t="n">
        <v>131602.1995740657</v>
      </c>
      <c r="AW538" s="264" t="n">
        <v>150000</v>
      </c>
      <c r="AX538" s="220">
        <f>AV538-AU538</f>
        <v/>
      </c>
      <c r="AY538" s="35">
        <f>AX538/AR538</f>
        <v/>
      </c>
      <c r="AZ538" s="220">
        <f>AV538-AF538</f>
        <v/>
      </c>
      <c r="BA538" s="215">
        <f>AV538-SUM(Z538:AC538)</f>
        <v/>
      </c>
      <c r="BB538" s="215">
        <f>BA538-Y538</f>
        <v/>
      </c>
      <c r="BC538" s="35">
        <f>BB538/BA538</f>
        <v/>
      </c>
      <c r="BD538" s="35">
        <f>IFERROR(AZ538/AV538,)</f>
        <v/>
      </c>
      <c r="BE538" s="255">
        <f>AV538-SUM(Z538:AC538)</f>
        <v/>
      </c>
      <c r="BF538" s="255">
        <f>AV538-BE538-AC538-AB538</f>
        <v/>
      </c>
      <c r="BG538" s="255">
        <f>AV538-BE538-BF538-AB538</f>
        <v/>
      </c>
      <c r="BH538" s="255">
        <f>AB538</f>
        <v/>
      </c>
      <c r="BI538" s="263" t="inlineStr">
        <is>
          <t>Approved</t>
        </is>
      </c>
    </row>
    <row r="539">
      <c r="C539" s="23" t="inlineStr">
        <is>
          <t>YEKINI</t>
        </is>
      </c>
      <c r="D539">
        <f>CONCATENATE(G539,"-",H539,"-",F539)</f>
        <v/>
      </c>
      <c r="E539" s="24" t="inlineStr">
        <is>
          <t>JMG-10T-Hiabs Logistics-Local</t>
        </is>
      </c>
      <c r="F539" s="23" t="inlineStr">
        <is>
          <t>Local</t>
        </is>
      </c>
      <c r="G539" s="25" t="inlineStr">
        <is>
          <t>Hiabs Logistics</t>
        </is>
      </c>
      <c r="H539" s="24" t="inlineStr">
        <is>
          <t>10T</t>
        </is>
      </c>
      <c r="I539" s="73" t="inlineStr">
        <is>
          <t>JMG</t>
        </is>
      </c>
      <c r="J539" s="74" t="inlineStr">
        <is>
          <t>Lagos</t>
        </is>
      </c>
      <c r="K539" s="202" t="inlineStr">
        <is>
          <t>Kodesoh</t>
        </is>
      </c>
      <c r="L539" t="inlineStr">
        <is>
          <t>Lagos</t>
        </is>
      </c>
      <c r="N539" s="201">
        <f>O539/2</f>
        <v/>
      </c>
      <c r="O539" s="200" t="n">
        <v>19.6</v>
      </c>
      <c r="P539" s="220">
        <f>ROUNDUP(O539/300,)</f>
        <v/>
      </c>
      <c r="Q539" s="220" t="n">
        <v>0</v>
      </c>
      <c r="R539" s="220">
        <f>Q539+P539</f>
        <v/>
      </c>
      <c r="S539" s="198">
        <f>ROUNDDOWN(O539*0.51,)+60</f>
        <v/>
      </c>
      <c r="T539" s="207">
        <f>_xlfn.XLOOKUP(G539,[1]Fx!$A$4:$A$10,[1]Fx!$B$4:$B$10)</f>
        <v/>
      </c>
      <c r="U539" s="207">
        <f>_xlfn.XLOOKUP(G539,'[1]BP Setup'!$B$6:$B$72,'[1]BP Setup'!$Q$6:$Q$72)</f>
        <v/>
      </c>
      <c r="V539" s="207">
        <f>_xlfn.XLOOKUP(G539,'[1]BP Setup'!$B$6:$B$72,'[1]BP Setup'!$R$6:$R$72)</f>
        <v/>
      </c>
      <c r="W539" s="207">
        <f>$W$3</f>
        <v/>
      </c>
      <c r="X539" s="207" t="n">
        <v>80</v>
      </c>
      <c r="Y539" s="215">
        <f>T539*R539</f>
        <v/>
      </c>
      <c r="Z539" s="215">
        <f>U539*O539</f>
        <v/>
      </c>
      <c r="AA539" s="215">
        <f>V539*O539</f>
        <v/>
      </c>
      <c r="AB539" s="215">
        <f>W539*O539</f>
        <v/>
      </c>
      <c r="AC539" s="197">
        <f>X539*O539</f>
        <v/>
      </c>
      <c r="AD539" s="215" t="n">
        <v>25000</v>
      </c>
      <c r="AE539" s="215" t="n">
        <v>0</v>
      </c>
      <c r="AF539" s="207">
        <f>SUM(Y539:AE539)</f>
        <v/>
      </c>
      <c r="AG539" s="254">
        <f>_xlfn.XLOOKUP(G539,[1]Fx!$A$16:$A$22,[1]Fx!$B$16:$B$22)</f>
        <v/>
      </c>
      <c r="AH539" s="207">
        <f>AG539*R539</f>
        <v/>
      </c>
      <c r="AI539" s="207">
        <f>$AI$3*Z539</f>
        <v/>
      </c>
      <c r="AJ539" s="207">
        <f>$AJ$3*AA539</f>
        <v/>
      </c>
      <c r="AK539" s="207">
        <f>$AK$3*AB539</f>
        <v/>
      </c>
      <c r="AL539" s="207">
        <f>$AL$3*AC539</f>
        <v/>
      </c>
      <c r="AM539" s="220">
        <f>SUM(AH539:AL539)</f>
        <v/>
      </c>
      <c r="AN539" s="220" t="n">
        <v>0</v>
      </c>
      <c r="AO539" s="220">
        <f>AN539*AH539</f>
        <v/>
      </c>
      <c r="AP539" s="220" t="n">
        <v>0</v>
      </c>
      <c r="AQ539" s="220">
        <f>AE539</f>
        <v/>
      </c>
      <c r="AR539" s="208">
        <f>AM539-AO539</f>
        <v/>
      </c>
      <c r="AS539" s="220">
        <f>AR539-AK539</f>
        <v/>
      </c>
      <c r="AT539" s="208">
        <f>AS539*1.075</f>
        <v/>
      </c>
      <c r="AU539" s="208">
        <f>AT539+AK539</f>
        <v/>
      </c>
      <c r="AV539" s="198" t="n">
        <v>131602.1995740657</v>
      </c>
      <c r="AW539" s="264" t="n">
        <v>150000</v>
      </c>
      <c r="AX539" s="220">
        <f>AV539-AU539</f>
        <v/>
      </c>
      <c r="AY539" s="35">
        <f>AX539/AR539</f>
        <v/>
      </c>
      <c r="AZ539" s="220">
        <f>AV539-AF539</f>
        <v/>
      </c>
      <c r="BA539" s="215">
        <f>AV539-SUM(Z539:AC539)</f>
        <v/>
      </c>
      <c r="BB539" s="215">
        <f>BA539-Y539</f>
        <v/>
      </c>
      <c r="BC539" s="35">
        <f>BB539/BA539</f>
        <v/>
      </c>
      <c r="BD539" s="35">
        <f>IFERROR(AZ539/AV539,)</f>
        <v/>
      </c>
      <c r="BE539" s="255">
        <f>AV539-SUM(Z539:AC539)</f>
        <v/>
      </c>
      <c r="BF539" s="255">
        <f>AV539-BE539-AC539-AB539</f>
        <v/>
      </c>
      <c r="BG539" s="255">
        <f>AV539-BE539-BF539-AB539</f>
        <v/>
      </c>
      <c r="BH539" s="255">
        <f>AB539</f>
        <v/>
      </c>
      <c r="BI539" s="263" t="inlineStr">
        <is>
          <t>Approved</t>
        </is>
      </c>
    </row>
    <row r="540">
      <c r="C540" s="23" t="inlineStr">
        <is>
          <t>YEKINI</t>
        </is>
      </c>
      <c r="D540">
        <f>CONCATENATE(G540,"-",H540,"-",F540)</f>
        <v/>
      </c>
      <c r="E540" s="24" t="inlineStr">
        <is>
          <t>JMG-10T-Hiabs Logistics-Local</t>
        </is>
      </c>
      <c r="F540" s="23" t="inlineStr">
        <is>
          <t>Local</t>
        </is>
      </c>
      <c r="G540" s="25" t="inlineStr">
        <is>
          <t>Hiabs Logistics</t>
        </is>
      </c>
      <c r="H540" s="24" t="inlineStr">
        <is>
          <t>10T</t>
        </is>
      </c>
      <c r="I540" s="73" t="inlineStr">
        <is>
          <t>JMG</t>
        </is>
      </c>
      <c r="J540" s="74" t="inlineStr">
        <is>
          <t>Lagos</t>
        </is>
      </c>
      <c r="K540" s="202" t="inlineStr">
        <is>
          <t>Yaba</t>
        </is>
      </c>
      <c r="L540" t="inlineStr">
        <is>
          <t>Lagos</t>
        </is>
      </c>
      <c r="N540" s="201">
        <f>O540/2</f>
        <v/>
      </c>
      <c r="O540" s="200" t="n">
        <v>19.2</v>
      </c>
      <c r="P540" s="220">
        <f>ROUNDUP(O540/300,)</f>
        <v/>
      </c>
      <c r="Q540" s="220" t="n">
        <v>0</v>
      </c>
      <c r="R540" s="220">
        <f>Q540+P540</f>
        <v/>
      </c>
      <c r="S540" s="198">
        <f>ROUNDDOWN(O540*0.51,)+60</f>
        <v/>
      </c>
      <c r="T540" s="207">
        <f>_xlfn.XLOOKUP(G540,[1]Fx!$A$4:$A$10,[1]Fx!$B$4:$B$10)</f>
        <v/>
      </c>
      <c r="U540" s="207">
        <f>_xlfn.XLOOKUP(G540,'[1]BP Setup'!$B$6:$B$72,'[1]BP Setup'!$Q$6:$Q$72)</f>
        <v/>
      </c>
      <c r="V540" s="207">
        <f>_xlfn.XLOOKUP(G540,'[1]BP Setup'!$B$6:$B$72,'[1]BP Setup'!$R$6:$R$72)</f>
        <v/>
      </c>
      <c r="W540" s="207">
        <f>$W$3</f>
        <v/>
      </c>
      <c r="X540" s="207" t="n">
        <v>80</v>
      </c>
      <c r="Y540" s="215">
        <f>T540*R540</f>
        <v/>
      </c>
      <c r="Z540" s="215">
        <f>U540*O540</f>
        <v/>
      </c>
      <c r="AA540" s="215">
        <f>V540*O540</f>
        <v/>
      </c>
      <c r="AB540" s="215">
        <f>W540*O540</f>
        <v/>
      </c>
      <c r="AC540" s="197">
        <f>X540*O540</f>
        <v/>
      </c>
      <c r="AD540" s="215" t="n">
        <v>25000</v>
      </c>
      <c r="AE540" s="215" t="n">
        <v>0</v>
      </c>
      <c r="AF540" s="207">
        <f>SUM(Y540:AE540)</f>
        <v/>
      </c>
      <c r="AG540" s="254">
        <f>_xlfn.XLOOKUP(G540,[1]Fx!$A$16:$A$22,[1]Fx!$B$16:$B$22)</f>
        <v/>
      </c>
      <c r="AH540" s="207">
        <f>AG540*R540</f>
        <v/>
      </c>
      <c r="AI540" s="207">
        <f>$AI$3*Z540</f>
        <v/>
      </c>
      <c r="AJ540" s="207">
        <f>$AJ$3*AA540</f>
        <v/>
      </c>
      <c r="AK540" s="207">
        <f>$AK$3*AB540</f>
        <v/>
      </c>
      <c r="AL540" s="207">
        <f>$AL$3*AC540</f>
        <v/>
      </c>
      <c r="AM540" s="220">
        <f>SUM(AH540:AL540)</f>
        <v/>
      </c>
      <c r="AN540" s="220" t="n">
        <v>0</v>
      </c>
      <c r="AO540" s="220">
        <f>AN540*AH540</f>
        <v/>
      </c>
      <c r="AP540" s="220" t="n">
        <v>0</v>
      </c>
      <c r="AQ540" s="220">
        <f>AE540</f>
        <v/>
      </c>
      <c r="AR540" s="208">
        <f>AM540-AO540</f>
        <v/>
      </c>
      <c r="AS540" s="220">
        <f>AR540-AK540</f>
        <v/>
      </c>
      <c r="AT540" s="208">
        <f>AS540*1.075</f>
        <v/>
      </c>
      <c r="AU540" s="208">
        <f>AT540+AK540</f>
        <v/>
      </c>
      <c r="AV540" s="198" t="n">
        <v>131602.1995740657</v>
      </c>
      <c r="AW540" s="264" t="n">
        <v>150000</v>
      </c>
      <c r="AX540" s="220">
        <f>AV540-AU540</f>
        <v/>
      </c>
      <c r="AY540" s="35">
        <f>AX540/AR540</f>
        <v/>
      </c>
      <c r="AZ540" s="220">
        <f>AV540-AF540</f>
        <v/>
      </c>
      <c r="BA540" s="215">
        <f>AV540-SUM(Z540:AC540)</f>
        <v/>
      </c>
      <c r="BB540" s="215">
        <f>BA540-Y540</f>
        <v/>
      </c>
      <c r="BC540" s="35">
        <f>BB540/BA540</f>
        <v/>
      </c>
      <c r="BD540" s="35">
        <f>IFERROR(AZ540/AV540,)</f>
        <v/>
      </c>
      <c r="BE540" s="255">
        <f>AV540-SUM(Z540:AC540)</f>
        <v/>
      </c>
      <c r="BF540" s="255">
        <f>AV540-BE540-AC540-AB540</f>
        <v/>
      </c>
      <c r="BG540" s="255">
        <f>AV540-BE540-BF540-AB540</f>
        <v/>
      </c>
      <c r="BH540" s="255">
        <f>AB540</f>
        <v/>
      </c>
      <c r="BI540" s="263" t="inlineStr">
        <is>
          <t>Approved</t>
        </is>
      </c>
    </row>
    <row r="541">
      <c r="C541" s="23" t="inlineStr">
        <is>
          <t>YEKINI</t>
        </is>
      </c>
      <c r="D541">
        <f>CONCATENATE(G541,"-",H541,"-",F541)</f>
        <v/>
      </c>
      <c r="E541" s="24" t="inlineStr">
        <is>
          <t>JMG-10T-Hiabs Logistics-Local</t>
        </is>
      </c>
      <c r="F541" s="23" t="inlineStr">
        <is>
          <t>Local</t>
        </is>
      </c>
      <c r="G541" s="25" t="inlineStr">
        <is>
          <t>Hiabs Logistics</t>
        </is>
      </c>
      <c r="H541" s="24" t="inlineStr">
        <is>
          <t>10T</t>
        </is>
      </c>
      <c r="I541" s="73" t="inlineStr">
        <is>
          <t>JMG</t>
        </is>
      </c>
      <c r="J541" s="74" t="inlineStr">
        <is>
          <t>Lagos</t>
        </is>
      </c>
      <c r="K541" s="202" t="inlineStr">
        <is>
          <t>Oshodi</t>
        </is>
      </c>
      <c r="L541" t="inlineStr">
        <is>
          <t>Lagos</t>
        </is>
      </c>
      <c r="N541" s="201">
        <f>O541/2</f>
        <v/>
      </c>
      <c r="O541" s="200" t="n">
        <v>18.6</v>
      </c>
      <c r="P541" s="220">
        <f>ROUNDUP(O541/300,)</f>
        <v/>
      </c>
      <c r="Q541" s="220" t="n">
        <v>0</v>
      </c>
      <c r="R541" s="220">
        <f>Q541+P541</f>
        <v/>
      </c>
      <c r="S541" s="198">
        <f>ROUNDDOWN(O541*0.51,)+60</f>
        <v/>
      </c>
      <c r="T541" s="207">
        <f>_xlfn.XLOOKUP(G541,[1]Fx!$A$4:$A$10,[1]Fx!$B$4:$B$10)</f>
        <v/>
      </c>
      <c r="U541" s="207">
        <f>_xlfn.XLOOKUP(G541,'[1]BP Setup'!$B$6:$B$72,'[1]BP Setup'!$Q$6:$Q$72)</f>
        <v/>
      </c>
      <c r="V541" s="207">
        <f>_xlfn.XLOOKUP(G541,'[1]BP Setup'!$B$6:$B$72,'[1]BP Setup'!$R$6:$R$72)</f>
        <v/>
      </c>
      <c r="W541" s="207">
        <f>$W$3</f>
        <v/>
      </c>
      <c r="X541" s="207" t="n">
        <v>80</v>
      </c>
      <c r="Y541" s="215">
        <f>T541*R541</f>
        <v/>
      </c>
      <c r="Z541" s="215">
        <f>U541*O541</f>
        <v/>
      </c>
      <c r="AA541" s="215">
        <f>V541*O541</f>
        <v/>
      </c>
      <c r="AB541" s="215">
        <f>W541*O541</f>
        <v/>
      </c>
      <c r="AC541" s="197">
        <f>X541*O541</f>
        <v/>
      </c>
      <c r="AD541" s="215" t="n">
        <v>25000</v>
      </c>
      <c r="AE541" s="215" t="n">
        <v>0</v>
      </c>
      <c r="AF541" s="207">
        <f>SUM(Y541:AE541)</f>
        <v/>
      </c>
      <c r="AG541" s="254">
        <f>_xlfn.XLOOKUP(G541,[1]Fx!$A$16:$A$22,[1]Fx!$B$16:$B$22)</f>
        <v/>
      </c>
      <c r="AH541" s="207">
        <f>AG541*R541</f>
        <v/>
      </c>
      <c r="AI541" s="207">
        <f>$AI$3*Z541</f>
        <v/>
      </c>
      <c r="AJ541" s="207">
        <f>$AJ$3*AA541</f>
        <v/>
      </c>
      <c r="AK541" s="207">
        <f>$AK$3*AB541</f>
        <v/>
      </c>
      <c r="AL541" s="207">
        <f>$AL$3*AC541</f>
        <v/>
      </c>
      <c r="AM541" s="220">
        <f>SUM(AH541:AL541)</f>
        <v/>
      </c>
      <c r="AN541" s="220" t="n">
        <v>0</v>
      </c>
      <c r="AO541" s="220">
        <f>AN541*AH541</f>
        <v/>
      </c>
      <c r="AP541" s="220" t="n">
        <v>0</v>
      </c>
      <c r="AQ541" s="220">
        <f>AE541</f>
        <v/>
      </c>
      <c r="AR541" s="208">
        <f>AM541-AO541</f>
        <v/>
      </c>
      <c r="AS541" s="220">
        <f>AR541-AK541</f>
        <v/>
      </c>
      <c r="AT541" s="208">
        <f>AS541*1.075</f>
        <v/>
      </c>
      <c r="AU541" s="208">
        <f>AT541+AK541</f>
        <v/>
      </c>
      <c r="AV541" s="198" t="n">
        <v>131602.1995740657</v>
      </c>
      <c r="AW541" s="264" t="n">
        <v>150000</v>
      </c>
      <c r="AX541" s="220">
        <f>AV541-AU541</f>
        <v/>
      </c>
      <c r="AY541" s="35">
        <f>AX541/AR541</f>
        <v/>
      </c>
      <c r="AZ541" s="220">
        <f>AV541-AF541</f>
        <v/>
      </c>
      <c r="BA541" s="215">
        <f>AV541-SUM(Z541:AC541)</f>
        <v/>
      </c>
      <c r="BB541" s="215">
        <f>BA541-Y541</f>
        <v/>
      </c>
      <c r="BC541" s="35">
        <f>BB541/BA541</f>
        <v/>
      </c>
      <c r="BD541" s="35">
        <f>IFERROR(AZ541/AV541,)</f>
        <v/>
      </c>
      <c r="BE541" s="255">
        <f>AV541-SUM(Z541:AC541)</f>
        <v/>
      </c>
      <c r="BF541" s="255">
        <f>AV541-BE541-AC541-AB541</f>
        <v/>
      </c>
      <c r="BG541" s="255">
        <f>AV541-BE541-BF541-AB541</f>
        <v/>
      </c>
      <c r="BH541" s="255">
        <f>AB541</f>
        <v/>
      </c>
      <c r="BI541" s="263" t="inlineStr">
        <is>
          <t>Approved</t>
        </is>
      </c>
    </row>
    <row r="542">
      <c r="C542" s="23" t="inlineStr">
        <is>
          <t>YEKINI</t>
        </is>
      </c>
      <c r="D542">
        <f>CONCATENATE(G542,"-",H542,"-",F542)</f>
        <v/>
      </c>
      <c r="E542" s="24" t="inlineStr">
        <is>
          <t>JMG-10T-Hiabs Logistics-Local</t>
        </is>
      </c>
      <c r="F542" s="23" t="inlineStr">
        <is>
          <t>Local</t>
        </is>
      </c>
      <c r="G542" s="25" t="inlineStr">
        <is>
          <t>Hiabs Logistics</t>
        </is>
      </c>
      <c r="H542" s="24" t="inlineStr">
        <is>
          <t>10T</t>
        </is>
      </c>
      <c r="I542" s="73" t="inlineStr">
        <is>
          <t>JMG</t>
        </is>
      </c>
      <c r="J542" s="74" t="inlineStr">
        <is>
          <t>Lagos</t>
        </is>
      </c>
      <c r="K542" s="202" t="inlineStr">
        <is>
          <t>Matori</t>
        </is>
      </c>
      <c r="L542" t="inlineStr">
        <is>
          <t>Lagos</t>
        </is>
      </c>
      <c r="N542" s="201">
        <f>O542/2</f>
        <v/>
      </c>
      <c r="O542" s="200" t="n">
        <v>16.3</v>
      </c>
      <c r="P542" s="220">
        <f>ROUNDUP(O542/300,)</f>
        <v/>
      </c>
      <c r="Q542" s="220" t="n">
        <v>0</v>
      </c>
      <c r="R542" s="220">
        <f>Q542+P542</f>
        <v/>
      </c>
      <c r="S542" s="198">
        <f>ROUNDDOWN(O542*0.51,)+60</f>
        <v/>
      </c>
      <c r="T542" s="207">
        <f>_xlfn.XLOOKUP(G542,[1]Fx!$A$4:$A$10,[1]Fx!$B$4:$B$10)</f>
        <v/>
      </c>
      <c r="U542" s="207">
        <f>_xlfn.XLOOKUP(G542,'[1]BP Setup'!$B$6:$B$72,'[1]BP Setup'!$Q$6:$Q$72)</f>
        <v/>
      </c>
      <c r="V542" s="207">
        <f>_xlfn.XLOOKUP(G542,'[1]BP Setup'!$B$6:$B$72,'[1]BP Setup'!$R$6:$R$72)</f>
        <v/>
      </c>
      <c r="W542" s="207">
        <f>$W$3</f>
        <v/>
      </c>
      <c r="X542" s="207" t="n">
        <v>80</v>
      </c>
      <c r="Y542" s="215">
        <f>T542*R542</f>
        <v/>
      </c>
      <c r="Z542" s="215">
        <f>U542*O542</f>
        <v/>
      </c>
      <c r="AA542" s="215">
        <f>V542*O542</f>
        <v/>
      </c>
      <c r="AB542" s="215">
        <f>W542*O542</f>
        <v/>
      </c>
      <c r="AC542" s="197">
        <f>X542*O542</f>
        <v/>
      </c>
      <c r="AD542" s="215" t="n">
        <v>25000</v>
      </c>
      <c r="AE542" s="215" t="n">
        <v>0</v>
      </c>
      <c r="AF542" s="207">
        <f>SUM(Y542:AE542)</f>
        <v/>
      </c>
      <c r="AG542" s="254">
        <f>_xlfn.XLOOKUP(G542,[1]Fx!$A$16:$A$22,[1]Fx!$B$16:$B$22)</f>
        <v/>
      </c>
      <c r="AH542" s="207">
        <f>AG542*R542</f>
        <v/>
      </c>
      <c r="AI542" s="207">
        <f>$AI$3*Z542</f>
        <v/>
      </c>
      <c r="AJ542" s="207">
        <f>$AJ$3*AA542</f>
        <v/>
      </c>
      <c r="AK542" s="207">
        <f>$AK$3*AB542</f>
        <v/>
      </c>
      <c r="AL542" s="207">
        <f>$AL$3*AC542</f>
        <v/>
      </c>
      <c r="AM542" s="220">
        <f>SUM(AH542:AL542)</f>
        <v/>
      </c>
      <c r="AN542" s="220" t="n">
        <v>0</v>
      </c>
      <c r="AO542" s="220">
        <f>AN542*AH542</f>
        <v/>
      </c>
      <c r="AP542" s="220" t="n">
        <v>0</v>
      </c>
      <c r="AQ542" s="220">
        <f>AE542</f>
        <v/>
      </c>
      <c r="AR542" s="208">
        <f>AM542-AO542</f>
        <v/>
      </c>
      <c r="AS542" s="220">
        <f>AR542-AK542</f>
        <v/>
      </c>
      <c r="AT542" s="208">
        <f>AS542*1.075</f>
        <v/>
      </c>
      <c r="AU542" s="208">
        <f>AT542+AK542</f>
        <v/>
      </c>
      <c r="AV542" s="198" t="n">
        <v>131602.1995740657</v>
      </c>
      <c r="AW542" s="264" t="n">
        <v>150000</v>
      </c>
      <c r="AX542" s="220">
        <f>AV542-AU542</f>
        <v/>
      </c>
      <c r="AY542" s="35">
        <f>AX542/AR542</f>
        <v/>
      </c>
      <c r="AZ542" s="220">
        <f>AV542-AF542</f>
        <v/>
      </c>
      <c r="BA542" s="215">
        <f>AV542-SUM(Z542:AC542)</f>
        <v/>
      </c>
      <c r="BB542" s="215">
        <f>BA542-Y542</f>
        <v/>
      </c>
      <c r="BC542" s="35">
        <f>BB542/BA542</f>
        <v/>
      </c>
      <c r="BD542" s="35">
        <f>IFERROR(AZ542/AV542,)</f>
        <v/>
      </c>
      <c r="BE542" s="255">
        <f>AV542-SUM(Z542:AC542)</f>
        <v/>
      </c>
      <c r="BF542" s="255">
        <f>AV542-BE542-AC542-AB542</f>
        <v/>
      </c>
      <c r="BG542" s="255">
        <f>AV542-BE542-BF542-AB542</f>
        <v/>
      </c>
      <c r="BH542" s="255">
        <f>AB542</f>
        <v/>
      </c>
      <c r="BI542" s="263" t="inlineStr">
        <is>
          <t>Approved</t>
        </is>
      </c>
    </row>
    <row r="543">
      <c r="C543" s="23" t="inlineStr">
        <is>
          <t>YEKINI</t>
        </is>
      </c>
      <c r="D543">
        <f>CONCATENATE(G543,"-",H543,"-",F543)</f>
        <v/>
      </c>
      <c r="E543" s="24" t="inlineStr">
        <is>
          <t>JMG-10T-Hiabs Logistics-Local</t>
        </is>
      </c>
      <c r="F543" s="23" t="inlineStr">
        <is>
          <t>Local</t>
        </is>
      </c>
      <c r="G543" s="25" t="inlineStr">
        <is>
          <t>Hiabs Logistics</t>
        </is>
      </c>
      <c r="H543" s="24" t="inlineStr">
        <is>
          <t>10T</t>
        </is>
      </c>
      <c r="I543" s="73" t="inlineStr">
        <is>
          <t>JMG</t>
        </is>
      </c>
      <c r="J543" s="74" t="inlineStr">
        <is>
          <t>Lagos</t>
        </is>
      </c>
      <c r="K543" s="202" t="inlineStr">
        <is>
          <t>Bariga</t>
        </is>
      </c>
      <c r="L543" t="inlineStr">
        <is>
          <t>Lagos</t>
        </is>
      </c>
      <c r="N543" s="201">
        <f>O543/2</f>
        <v/>
      </c>
      <c r="O543" s="200" t="n">
        <v>11.5</v>
      </c>
      <c r="P543" s="220">
        <f>ROUNDUP(O543/300,)</f>
        <v/>
      </c>
      <c r="Q543" s="220" t="n">
        <v>0</v>
      </c>
      <c r="R543" s="220">
        <f>Q543+P543</f>
        <v/>
      </c>
      <c r="S543" s="198">
        <f>ROUNDDOWN(O543*0.51,)+60</f>
        <v/>
      </c>
      <c r="T543" s="207">
        <f>_xlfn.XLOOKUP(G543,[1]Fx!$A$4:$A$10,[1]Fx!$B$4:$B$10)</f>
        <v/>
      </c>
      <c r="U543" s="207">
        <f>_xlfn.XLOOKUP(G543,'[1]BP Setup'!$B$6:$B$72,'[1]BP Setup'!$Q$6:$Q$72)</f>
        <v/>
      </c>
      <c r="V543" s="207">
        <f>_xlfn.XLOOKUP(G543,'[1]BP Setup'!$B$6:$B$72,'[1]BP Setup'!$R$6:$R$72)</f>
        <v/>
      </c>
      <c r="W543" s="207">
        <f>$W$3</f>
        <v/>
      </c>
      <c r="X543" s="207" t="n">
        <v>80</v>
      </c>
      <c r="Y543" s="215">
        <f>T543*R543</f>
        <v/>
      </c>
      <c r="Z543" s="215">
        <f>U543*O543</f>
        <v/>
      </c>
      <c r="AA543" s="215">
        <f>V543*O543</f>
        <v/>
      </c>
      <c r="AB543" s="215">
        <f>W543*O543</f>
        <v/>
      </c>
      <c r="AC543" s="197">
        <f>X543*O543</f>
        <v/>
      </c>
      <c r="AD543" s="215" t="n">
        <v>25000</v>
      </c>
      <c r="AE543" s="215" t="n">
        <v>0</v>
      </c>
      <c r="AF543" s="207">
        <f>SUM(Y543:AE543)</f>
        <v/>
      </c>
      <c r="AG543" s="254">
        <f>_xlfn.XLOOKUP(G543,[1]Fx!$A$16:$A$22,[1]Fx!$B$16:$B$22)</f>
        <v/>
      </c>
      <c r="AH543" s="207">
        <f>AG543*R543</f>
        <v/>
      </c>
      <c r="AI543" s="207">
        <f>$AI$3*Z543</f>
        <v/>
      </c>
      <c r="AJ543" s="207">
        <f>$AJ$3*AA543</f>
        <v/>
      </c>
      <c r="AK543" s="207">
        <f>$AK$3*AB543</f>
        <v/>
      </c>
      <c r="AL543" s="207">
        <f>$AL$3*AC543</f>
        <v/>
      </c>
      <c r="AM543" s="220">
        <f>SUM(AH543:AL543)</f>
        <v/>
      </c>
      <c r="AN543" s="220" t="n">
        <v>0</v>
      </c>
      <c r="AO543" s="220">
        <f>AN543*AH543</f>
        <v/>
      </c>
      <c r="AP543" s="220" t="n">
        <v>0</v>
      </c>
      <c r="AQ543" s="220">
        <f>AE543</f>
        <v/>
      </c>
      <c r="AR543" s="208">
        <f>AM543-AO543</f>
        <v/>
      </c>
      <c r="AS543" s="220">
        <f>AR543-AK543</f>
        <v/>
      </c>
      <c r="AT543" s="208">
        <f>AS543*1.075</f>
        <v/>
      </c>
      <c r="AU543" s="208">
        <f>AT543+AK543</f>
        <v/>
      </c>
      <c r="AV543" s="198" t="n">
        <v>131602.1995740657</v>
      </c>
      <c r="AW543" s="264" t="n">
        <v>150000</v>
      </c>
      <c r="AX543" s="220">
        <f>AV543-AU543</f>
        <v/>
      </c>
      <c r="AY543" s="35">
        <f>AX543/AR543</f>
        <v/>
      </c>
      <c r="AZ543" s="220">
        <f>AV543-AF543</f>
        <v/>
      </c>
      <c r="BA543" s="215">
        <f>AV543-SUM(Z543:AC543)</f>
        <v/>
      </c>
      <c r="BB543" s="215">
        <f>BA543-Y543</f>
        <v/>
      </c>
      <c r="BC543" s="35">
        <f>BB543/BA543</f>
        <v/>
      </c>
      <c r="BD543" s="35">
        <f>IFERROR(AZ543/AV543,)</f>
        <v/>
      </c>
      <c r="BE543" s="255">
        <f>AV543-SUM(Z543:AC543)</f>
        <v/>
      </c>
      <c r="BF543" s="255">
        <f>AV543-BE543-AC543-AB543</f>
        <v/>
      </c>
      <c r="BG543" s="255">
        <f>AV543-BE543-BF543-AB543</f>
        <v/>
      </c>
      <c r="BH543" s="255">
        <f>AB543</f>
        <v/>
      </c>
      <c r="BI543" s="263" t="inlineStr">
        <is>
          <t>Approved</t>
        </is>
      </c>
    </row>
    <row r="544">
      <c r="C544" s="23" t="inlineStr">
        <is>
          <t>YEKINI</t>
        </is>
      </c>
      <c r="D544">
        <f>CONCATENATE(G544,"-",H544,"-",F544)</f>
        <v/>
      </c>
      <c r="E544" s="24" t="inlineStr">
        <is>
          <t>JMG-8T-Hiabs Logistics-Upcountry</t>
        </is>
      </c>
      <c r="F544" s="23" t="inlineStr">
        <is>
          <t>Upcountry</t>
        </is>
      </c>
      <c r="G544" s="25" t="inlineStr">
        <is>
          <t>Hiabs Logistics</t>
        </is>
      </c>
      <c r="H544" s="24" t="inlineStr">
        <is>
          <t>8T</t>
        </is>
      </c>
      <c r="I544" s="73" t="inlineStr">
        <is>
          <t>JMG</t>
        </is>
      </c>
      <c r="J544" s="74" t="inlineStr">
        <is>
          <t>Lagos</t>
        </is>
      </c>
      <c r="K544" s="202" t="inlineStr">
        <is>
          <t>Kano</t>
        </is>
      </c>
      <c r="L544" s="25" t="inlineStr">
        <is>
          <t>Kano</t>
        </is>
      </c>
      <c r="M544" s="79" t="n"/>
      <c r="N544" s="199" t="n">
        <v>1250</v>
      </c>
      <c r="O544" s="201">
        <f>N544*2</f>
        <v/>
      </c>
      <c r="P544" s="245">
        <f>ROUNDUP(O544/300,)</f>
        <v/>
      </c>
      <c r="Q544" s="220" t="n">
        <v>0</v>
      </c>
      <c r="R544" s="220">
        <f>Q544+P544</f>
        <v/>
      </c>
      <c r="S544" s="198">
        <f>ROUNDDOWN(O544*0.51,)+60</f>
        <v/>
      </c>
      <c r="T544" s="207">
        <f>_xlfn.XLOOKUP(G544,[1]Fx!$A$4:$A$10,[1]Fx!$B$4:$B$10)</f>
        <v/>
      </c>
      <c r="U544" s="207">
        <f>_xlfn.XLOOKUP(G544,'[1]BP Setup'!$B$6:$B$72,'[1]BP Setup'!$Q$6:$Q$72)</f>
        <v/>
      </c>
      <c r="V544" s="207">
        <f>_xlfn.XLOOKUP(G544,'[1]BP Setup'!$B$6:$B$72,'[1]BP Setup'!$R$6:$R$72)</f>
        <v/>
      </c>
      <c r="W544" s="207">
        <f>$W$3</f>
        <v/>
      </c>
      <c r="X544" s="207" t="n">
        <v>80</v>
      </c>
      <c r="Y544" s="215">
        <f>T544*R544</f>
        <v/>
      </c>
      <c r="Z544" s="215">
        <f>U544*O544</f>
        <v/>
      </c>
      <c r="AA544" s="215">
        <f>V544*O544</f>
        <v/>
      </c>
      <c r="AB544" s="215">
        <f>W544*O544</f>
        <v/>
      </c>
      <c r="AC544" s="197">
        <f>X544*O544</f>
        <v/>
      </c>
      <c r="AD544" s="215" t="n">
        <v>0</v>
      </c>
      <c r="AE544" s="215" t="n">
        <v>0</v>
      </c>
      <c r="AF544" s="207">
        <f>SUM(Y544:AE544)</f>
        <v/>
      </c>
      <c r="AG544" s="254">
        <f>_xlfn.XLOOKUP(G544,[1]Fx!$A$16:$A$22,[1]Fx!$B$16:$B$22)</f>
        <v/>
      </c>
      <c r="AH544" s="207">
        <f>AG544*R544</f>
        <v/>
      </c>
      <c r="AI544" s="207">
        <f>$AI$3*Z544</f>
        <v/>
      </c>
      <c r="AJ544" s="207">
        <f>$AJ$3*AA544</f>
        <v/>
      </c>
      <c r="AK544" s="207">
        <f>$AK$3*AB544</f>
        <v/>
      </c>
      <c r="AL544" s="207">
        <f>$AL$3*AC544</f>
        <v/>
      </c>
      <c r="AM544" s="220">
        <f>SUM(AH544:AL544)</f>
        <v/>
      </c>
      <c r="AN544" s="220" t="n">
        <v>0</v>
      </c>
      <c r="AO544" s="220">
        <f>AN544*AH544</f>
        <v/>
      </c>
      <c r="AP544" s="220">
        <f>AD544</f>
        <v/>
      </c>
      <c r="AQ544" s="220">
        <f>AE544</f>
        <v/>
      </c>
      <c r="AR544" s="208">
        <f>AM544-AO544</f>
        <v/>
      </c>
      <c r="AS544" s="220">
        <f>AR544-AK544</f>
        <v/>
      </c>
      <c r="AT544" s="208">
        <f>AS544*1.075</f>
        <v/>
      </c>
      <c r="AU544" s="208">
        <f>AT544+AK544</f>
        <v/>
      </c>
      <c r="AV544" s="198" t="n">
        <v>1184419.796166591</v>
      </c>
      <c r="AW544" s="264" t="n">
        <v>0</v>
      </c>
      <c r="AX544" s="220">
        <f>AV544-AR544</f>
        <v/>
      </c>
      <c r="AY544" s="35">
        <f>AX544/AR544</f>
        <v/>
      </c>
      <c r="AZ544" s="220">
        <f>AV544-AF544</f>
        <v/>
      </c>
      <c r="BA544" s="215">
        <f>AV544-SUM(Z544:AC544)</f>
        <v/>
      </c>
      <c r="BB544" s="215">
        <f>BA544-Y544</f>
        <v/>
      </c>
      <c r="BC544" s="35">
        <f>BB544/BA544</f>
        <v/>
      </c>
      <c r="BD544" s="35">
        <f>IFERROR(AZ544/AV544,)</f>
        <v/>
      </c>
      <c r="BE544" s="255">
        <f>AV544-SUM(Z544:AC544)</f>
        <v/>
      </c>
      <c r="BF544" s="255">
        <f>AV544-BE544-AC544-AB544</f>
        <v/>
      </c>
      <c r="BG544" s="255">
        <f>AV544-BE544-BF544-AB544</f>
        <v/>
      </c>
      <c r="BH544" s="255">
        <f>AB544</f>
        <v/>
      </c>
      <c r="BI544" s="263" t="inlineStr">
        <is>
          <t>Approved</t>
        </is>
      </c>
    </row>
    <row r="545">
      <c r="C545" s="23" t="inlineStr">
        <is>
          <t>YEKINI</t>
        </is>
      </c>
      <c r="D545">
        <f>CONCATENATE(G545,"-",H545,"-",F545)</f>
        <v/>
      </c>
      <c r="E545" s="24" t="inlineStr">
        <is>
          <t>JMG-8T-Hiabs Logistics-Upcountry</t>
        </is>
      </c>
      <c r="F545" s="23" t="inlineStr">
        <is>
          <t>Upcountry</t>
        </is>
      </c>
      <c r="G545" s="25" t="inlineStr">
        <is>
          <t>Hiabs Logistics</t>
        </is>
      </c>
      <c r="H545" s="24" t="inlineStr">
        <is>
          <t>8T</t>
        </is>
      </c>
      <c r="I545" s="73" t="inlineStr">
        <is>
          <t>JMG</t>
        </is>
      </c>
      <c r="J545" s="74" t="inlineStr">
        <is>
          <t>Lagos</t>
        </is>
      </c>
      <c r="K545" s="202" t="inlineStr">
        <is>
          <t>Kaduna</t>
        </is>
      </c>
      <c r="L545" s="25" t="inlineStr">
        <is>
          <t>Kaduna</t>
        </is>
      </c>
      <c r="M545" s="79" t="n"/>
      <c r="N545" s="199" t="n">
        <v>950</v>
      </c>
      <c r="O545" s="201">
        <f>N545*2</f>
        <v/>
      </c>
      <c r="P545" s="245">
        <f>ROUNDUP(O545/300,)</f>
        <v/>
      </c>
      <c r="Q545" s="220" t="n">
        <v>0</v>
      </c>
      <c r="R545" s="220">
        <f>Q545+P545</f>
        <v/>
      </c>
      <c r="S545" s="198">
        <f>ROUNDDOWN(O545*0.51,)+60</f>
        <v/>
      </c>
      <c r="T545" s="207">
        <f>_xlfn.XLOOKUP(G545,[1]Fx!$A$4:$A$10,[1]Fx!$B$4:$B$10)</f>
        <v/>
      </c>
      <c r="U545" s="207">
        <f>_xlfn.XLOOKUP(G545,'[1]BP Setup'!$B$6:$B$72,'[1]BP Setup'!$Q$6:$Q$72)</f>
        <v/>
      </c>
      <c r="V545" s="207">
        <f>_xlfn.XLOOKUP(G545,'[1]BP Setup'!$B$6:$B$72,'[1]BP Setup'!$R$6:$R$72)</f>
        <v/>
      </c>
      <c r="W545" s="207">
        <f>$W$3</f>
        <v/>
      </c>
      <c r="X545" s="207" t="n">
        <v>80</v>
      </c>
      <c r="Y545" s="215">
        <f>T545*R545</f>
        <v/>
      </c>
      <c r="Z545" s="215">
        <f>U545*O545</f>
        <v/>
      </c>
      <c r="AA545" s="215">
        <f>V545*O545</f>
        <v/>
      </c>
      <c r="AB545" s="215">
        <f>W545*O545</f>
        <v/>
      </c>
      <c r="AC545" s="197">
        <f>X545*O545</f>
        <v/>
      </c>
      <c r="AD545" s="215" t="n">
        <v>0</v>
      </c>
      <c r="AE545" s="215" t="n">
        <v>0</v>
      </c>
      <c r="AF545" s="207">
        <f>SUM(Y545:AE545)</f>
        <v/>
      </c>
      <c r="AG545" s="254">
        <f>_xlfn.XLOOKUP(G545,[1]Fx!$A$16:$A$22,[1]Fx!$B$16:$B$22)</f>
        <v/>
      </c>
      <c r="AH545" s="207">
        <f>AG545*R545</f>
        <v/>
      </c>
      <c r="AI545" s="207">
        <f>$AI$3*Z545</f>
        <v/>
      </c>
      <c r="AJ545" s="207">
        <f>$AJ$3*AA545</f>
        <v/>
      </c>
      <c r="AK545" s="207">
        <f>$AK$3*AB545</f>
        <v/>
      </c>
      <c r="AL545" s="207">
        <f>$AL$3*AC545</f>
        <v/>
      </c>
      <c r="AM545" s="220">
        <f>SUM(AH545:AL545)</f>
        <v/>
      </c>
      <c r="AN545" s="220" t="n">
        <v>0</v>
      </c>
      <c r="AO545" s="220">
        <f>AN545*AH545</f>
        <v/>
      </c>
      <c r="AP545" s="220">
        <f>AD545</f>
        <v/>
      </c>
      <c r="AQ545" s="220">
        <f>AE545</f>
        <v/>
      </c>
      <c r="AR545" s="208">
        <f>AM545-AO545</f>
        <v/>
      </c>
      <c r="AS545" s="220">
        <f>AR545-AK545</f>
        <v/>
      </c>
      <c r="AT545" s="208">
        <f>AS545*1.075</f>
        <v/>
      </c>
      <c r="AU545" s="208">
        <f>AT545+AK545</f>
        <v/>
      </c>
      <c r="AV545" s="198" t="n">
        <v>921215.3970184599</v>
      </c>
      <c r="AW545" s="264" t="n">
        <v>0</v>
      </c>
      <c r="AX545" s="220">
        <f>AV545-AR545</f>
        <v/>
      </c>
      <c r="AY545" s="35">
        <f>AX545/AR545</f>
        <v/>
      </c>
      <c r="AZ545" s="220">
        <f>AV545-AF545</f>
        <v/>
      </c>
      <c r="BA545" s="215">
        <f>AV545-SUM(Z545:AC545)</f>
        <v/>
      </c>
      <c r="BB545" s="215">
        <f>BA545-Y545</f>
        <v/>
      </c>
      <c r="BC545" s="35">
        <f>BB545/BA545</f>
        <v/>
      </c>
      <c r="BD545" s="35">
        <f>IFERROR(AZ545/AV545,)</f>
        <v/>
      </c>
      <c r="BE545" s="255">
        <f>AV545-SUM(Z545:AC545)</f>
        <v/>
      </c>
      <c r="BF545" s="255">
        <f>AV545-BE545-AC545-AB545</f>
        <v/>
      </c>
      <c r="BG545" s="255">
        <f>AV545-BE545-BF545-AB545</f>
        <v/>
      </c>
      <c r="BH545" s="255">
        <f>AB545</f>
        <v/>
      </c>
      <c r="BI545" s="263" t="inlineStr">
        <is>
          <t>Approved</t>
        </is>
      </c>
    </row>
    <row r="546">
      <c r="C546" s="23" t="inlineStr">
        <is>
          <t>YEKINI</t>
        </is>
      </c>
      <c r="D546">
        <f>CONCATENATE(G546,"-",H546,"-",F546)</f>
        <v/>
      </c>
      <c r="E546" s="24" t="inlineStr">
        <is>
          <t>JMG-8T-Hiabs Logistics-Upcountry</t>
        </is>
      </c>
      <c r="F546" s="23" t="inlineStr">
        <is>
          <t>Upcountry</t>
        </is>
      </c>
      <c r="G546" s="25" t="inlineStr">
        <is>
          <t>Hiabs Logistics</t>
        </is>
      </c>
      <c r="H546" s="24" t="inlineStr">
        <is>
          <t>8T</t>
        </is>
      </c>
      <c r="I546" s="73" t="inlineStr">
        <is>
          <t>JMG</t>
        </is>
      </c>
      <c r="J546" s="74" t="inlineStr">
        <is>
          <t>Lagos</t>
        </is>
      </c>
      <c r="K546" s="202" t="inlineStr">
        <is>
          <t>Abuja</t>
        </is>
      </c>
      <c r="L546" s="25" t="inlineStr">
        <is>
          <t>FCT</t>
        </is>
      </c>
      <c r="M546" s="66" t="n"/>
      <c r="N546" s="199">
        <f>O546/2</f>
        <v/>
      </c>
      <c r="O546" s="201" t="n">
        <v>1510</v>
      </c>
      <c r="P546" s="245">
        <f>ROUNDUP(O546/300,)</f>
        <v/>
      </c>
      <c r="Q546" s="220" t="n">
        <v>0</v>
      </c>
      <c r="R546" s="220">
        <f>Q546+P546</f>
        <v/>
      </c>
      <c r="S546" s="198">
        <f>ROUNDDOWN(O546*0.51,)+60</f>
        <v/>
      </c>
      <c r="T546" s="207">
        <f>_xlfn.XLOOKUP(G546,[1]Fx!$A$4:$A$10,[1]Fx!$B$4:$B$10)</f>
        <v/>
      </c>
      <c r="U546" s="207">
        <f>_xlfn.XLOOKUP(G546,'[1]BP Setup'!$B$6:$B$72,'[1]BP Setup'!$Q$6:$Q$72)</f>
        <v/>
      </c>
      <c r="V546" s="207">
        <f>_xlfn.XLOOKUP(G546,'[1]BP Setup'!$B$6:$B$72,'[1]BP Setup'!$R$6:$R$72)</f>
        <v/>
      </c>
      <c r="W546" s="207">
        <f>$W$3</f>
        <v/>
      </c>
      <c r="X546" s="207" t="n">
        <v>80</v>
      </c>
      <c r="Y546" s="215">
        <f>T546*R546</f>
        <v/>
      </c>
      <c r="Z546" s="215">
        <f>U546*O546</f>
        <v/>
      </c>
      <c r="AA546" s="215">
        <f>V546*O546</f>
        <v/>
      </c>
      <c r="AB546" s="215">
        <f>W546*O546</f>
        <v/>
      </c>
      <c r="AC546" s="197">
        <f>X546*O546</f>
        <v/>
      </c>
      <c r="AD546" s="215" t="n">
        <v>0</v>
      </c>
      <c r="AE546" s="215" t="n">
        <v>0</v>
      </c>
      <c r="AF546" s="207">
        <f>SUM(Y546:AE546)</f>
        <v/>
      </c>
      <c r="AG546" s="254">
        <f>_xlfn.XLOOKUP(G546,[1]Fx!$A$16:$A$22,[1]Fx!$B$16:$B$22)</f>
        <v/>
      </c>
      <c r="AH546" s="207">
        <f>AG546*R546</f>
        <v/>
      </c>
      <c r="AI546" s="207">
        <f>$AI$3*Z546</f>
        <v/>
      </c>
      <c r="AJ546" s="207">
        <f>$AJ$3*AA546</f>
        <v/>
      </c>
      <c r="AK546" s="207">
        <f>$AK$3*AB546</f>
        <v/>
      </c>
      <c r="AL546" s="207">
        <f>$AL$3*AC546</f>
        <v/>
      </c>
      <c r="AM546" s="220">
        <f>SUM(AH546:AL546)</f>
        <v/>
      </c>
      <c r="AN546" s="220" t="n">
        <v>0</v>
      </c>
      <c r="AO546" s="220">
        <f>AN546*AH546</f>
        <v/>
      </c>
      <c r="AP546" s="220">
        <f>AD546</f>
        <v/>
      </c>
      <c r="AQ546" s="220">
        <f>AE546</f>
        <v/>
      </c>
      <c r="AR546" s="208">
        <f>AM546-AO546</f>
        <v/>
      </c>
      <c r="AS546" s="220">
        <f>AR546-AK546</f>
        <v/>
      </c>
      <c r="AT546" s="208">
        <f>AS546*1.075</f>
        <v/>
      </c>
      <c r="AU546" s="208">
        <f>AT546+AK546</f>
        <v/>
      </c>
      <c r="AV546" s="198" t="n">
        <v>789613.1974443941</v>
      </c>
      <c r="AW546" s="264" t="n">
        <v>0</v>
      </c>
      <c r="AX546" s="220">
        <f>AV546-AR546</f>
        <v/>
      </c>
      <c r="AY546" s="35">
        <f>AX546/AR546</f>
        <v/>
      </c>
      <c r="AZ546" s="220">
        <f>AV546-AF546</f>
        <v/>
      </c>
      <c r="BA546" s="215">
        <f>AV546-SUM(Z546:AC546)</f>
        <v/>
      </c>
      <c r="BB546" s="215">
        <f>BA546-Y546</f>
        <v/>
      </c>
      <c r="BC546" s="35">
        <f>BB546/BA546</f>
        <v/>
      </c>
      <c r="BD546" s="35">
        <f>IFERROR(AZ546/AV546,)</f>
        <v/>
      </c>
      <c r="BE546" s="255">
        <f>AV546-SUM(Z546:AC546)</f>
        <v/>
      </c>
      <c r="BF546" s="255">
        <f>AV546-BE546-AC546-AB546</f>
        <v/>
      </c>
      <c r="BG546" s="255">
        <f>AV546-BE546-BF546-AB546</f>
        <v/>
      </c>
      <c r="BH546" s="255">
        <f>AB546</f>
        <v/>
      </c>
      <c r="BI546" s="263" t="inlineStr">
        <is>
          <t>Worst Case Approved</t>
        </is>
      </c>
    </row>
    <row r="547">
      <c r="C547" s="23" t="inlineStr">
        <is>
          <t>YEKINI</t>
        </is>
      </c>
      <c r="D547">
        <f>CONCATENATE(G547,"-",H547,"-",F547)</f>
        <v/>
      </c>
      <c r="E547" s="24" t="inlineStr">
        <is>
          <t>JMG-8T-Hiabs Logistics-Upcountry</t>
        </is>
      </c>
      <c r="F547" s="23" t="inlineStr">
        <is>
          <t>Upcountry</t>
        </is>
      </c>
      <c r="G547" s="25" t="inlineStr">
        <is>
          <t>Hiabs Logistics</t>
        </is>
      </c>
      <c r="H547" s="24" t="inlineStr">
        <is>
          <t>8T</t>
        </is>
      </c>
      <c r="I547" s="73" t="inlineStr">
        <is>
          <t>JMG</t>
        </is>
      </c>
      <c r="J547" s="74" t="inlineStr">
        <is>
          <t>Lagos</t>
        </is>
      </c>
      <c r="K547" s="202" t="inlineStr">
        <is>
          <t>Akwa Ibom</t>
        </is>
      </c>
      <c r="L547" s="25" t="inlineStr">
        <is>
          <t>Akwa Ibom</t>
        </is>
      </c>
      <c r="M547" s="66" t="n"/>
      <c r="N547" s="199">
        <f>O547/2</f>
        <v/>
      </c>
      <c r="O547" s="201" t="n">
        <v>1450</v>
      </c>
      <c r="P547" s="245">
        <f>ROUNDUP(O547/300,)</f>
        <v/>
      </c>
      <c r="Q547" s="220" t="n">
        <v>0</v>
      </c>
      <c r="R547" s="220">
        <f>Q547+P547</f>
        <v/>
      </c>
      <c r="S547" s="198">
        <f>ROUNDDOWN(O547*0.51,)+60</f>
        <v/>
      </c>
      <c r="T547" s="207">
        <f>_xlfn.XLOOKUP(G547,[1]Fx!$A$4:$A$10,[1]Fx!$B$4:$B$10)</f>
        <v/>
      </c>
      <c r="U547" s="207">
        <f>_xlfn.XLOOKUP(G547,'[1]BP Setup'!$B$6:$B$72,'[1]BP Setup'!$Q$6:$Q$72)</f>
        <v/>
      </c>
      <c r="V547" s="207">
        <f>_xlfn.XLOOKUP(G547,'[1]BP Setup'!$B$6:$B$72,'[1]BP Setup'!$R$6:$R$72)</f>
        <v/>
      </c>
      <c r="W547" s="207">
        <f>$W$3</f>
        <v/>
      </c>
      <c r="X547" s="207" t="n">
        <v>80</v>
      </c>
      <c r="Y547" s="215">
        <f>T547*R547</f>
        <v/>
      </c>
      <c r="Z547" s="215">
        <f>U547*O547</f>
        <v/>
      </c>
      <c r="AA547" s="215">
        <f>V547*O547</f>
        <v/>
      </c>
      <c r="AB547" s="215">
        <f>W547*O547</f>
        <v/>
      </c>
      <c r="AC547" s="197">
        <f>X547*O547</f>
        <v/>
      </c>
      <c r="AD547" s="215" t="n">
        <v>0</v>
      </c>
      <c r="AE547" s="215" t="n">
        <v>0</v>
      </c>
      <c r="AF547" s="207">
        <f>SUM(Y547:AE547)</f>
        <v/>
      </c>
      <c r="AG547" s="254">
        <f>_xlfn.XLOOKUP(G547,[1]Fx!$A$16:$A$22,[1]Fx!$B$16:$B$22)</f>
        <v/>
      </c>
      <c r="AH547" s="207">
        <f>AG547*R547</f>
        <v/>
      </c>
      <c r="AI547" s="207">
        <f>$AI$3*Z547</f>
        <v/>
      </c>
      <c r="AJ547" s="207">
        <f>$AJ$3*AA547</f>
        <v/>
      </c>
      <c r="AK547" s="207">
        <f>$AK$3*AB547</f>
        <v/>
      </c>
      <c r="AL547" s="207">
        <f>$AL$3*AC547</f>
        <v/>
      </c>
      <c r="AM547" s="220">
        <f>SUM(AH547:AL547)</f>
        <v/>
      </c>
      <c r="AN547" s="220" t="n">
        <v>0</v>
      </c>
      <c r="AO547" s="220">
        <f>AN547*AH547</f>
        <v/>
      </c>
      <c r="AP547" s="220">
        <f>AD547</f>
        <v/>
      </c>
      <c r="AQ547" s="220">
        <f>AE547</f>
        <v/>
      </c>
      <c r="AR547" s="208">
        <f>AM547-AO547</f>
        <v/>
      </c>
      <c r="AS547" s="220">
        <f>AR547-AK547</f>
        <v/>
      </c>
      <c r="AT547" s="208">
        <f>AS547*1.075</f>
        <v/>
      </c>
      <c r="AU547" s="208">
        <f>AT547+AK547</f>
        <v/>
      </c>
      <c r="AV547" s="198" t="n">
        <v>658010.9978703284</v>
      </c>
      <c r="AW547" s="264" t="n">
        <v>0</v>
      </c>
      <c r="AX547" s="220">
        <f>AV547-AR547</f>
        <v/>
      </c>
      <c r="AY547" s="35">
        <f>AX547/AR547</f>
        <v/>
      </c>
      <c r="AZ547" s="220">
        <f>AV547-AF547</f>
        <v/>
      </c>
      <c r="BA547" s="215">
        <f>AV547-SUM(Z547:AC547)</f>
        <v/>
      </c>
      <c r="BB547" s="215">
        <f>BA547-Y547</f>
        <v/>
      </c>
      <c r="BC547" s="35">
        <f>BB547/BA547</f>
        <v/>
      </c>
      <c r="BD547" s="35">
        <f>IFERROR(AZ547/AV547,)</f>
        <v/>
      </c>
      <c r="BE547" s="255">
        <f>AV547-SUM(Z547:AC547)</f>
        <v/>
      </c>
      <c r="BF547" s="255">
        <f>AV547-BE547-AC547-AB547</f>
        <v/>
      </c>
      <c r="BG547" s="255">
        <f>AV547-BE547-BF547-AB547</f>
        <v/>
      </c>
      <c r="BH547" s="255">
        <f>AB547</f>
        <v/>
      </c>
      <c r="BI547" s="263" t="inlineStr">
        <is>
          <t>Approved</t>
        </is>
      </c>
    </row>
    <row r="548">
      <c r="C548" s="23" t="inlineStr">
        <is>
          <t>YEKINI</t>
        </is>
      </c>
      <c r="D548">
        <f>CONCATENATE(G548,"-",H548,"-",F548)</f>
        <v/>
      </c>
      <c r="E548" s="24" t="inlineStr">
        <is>
          <t>JMG-8T-Hiabs Logistics-Upcountry</t>
        </is>
      </c>
      <c r="F548" s="23" t="inlineStr">
        <is>
          <t>Upcountry</t>
        </is>
      </c>
      <c r="G548" s="25" t="inlineStr">
        <is>
          <t>Hiabs Logistics</t>
        </is>
      </c>
      <c r="H548" s="24" t="inlineStr">
        <is>
          <t>8T</t>
        </is>
      </c>
      <c r="I548" s="73" t="inlineStr">
        <is>
          <t>JMG</t>
        </is>
      </c>
      <c r="J548" s="74" t="inlineStr">
        <is>
          <t>Lagos</t>
        </is>
      </c>
      <c r="K548" s="202" t="inlineStr">
        <is>
          <t>Port Harcourt</t>
        </is>
      </c>
      <c r="L548" s="25" t="inlineStr">
        <is>
          <t>Rivers</t>
        </is>
      </c>
      <c r="M548" s="79" t="n"/>
      <c r="N548" s="201">
        <f>O548/2</f>
        <v/>
      </c>
      <c r="O548" s="201" t="n">
        <v>1234</v>
      </c>
      <c r="P548" s="245">
        <f>ROUNDUP(O548/300,)</f>
        <v/>
      </c>
      <c r="Q548" s="220" t="n">
        <v>0</v>
      </c>
      <c r="R548" s="220">
        <f>Q548+P548</f>
        <v/>
      </c>
      <c r="S548" s="198">
        <f>ROUNDDOWN(O548*0.51,)+60</f>
        <v/>
      </c>
      <c r="T548" s="207">
        <f>_xlfn.XLOOKUP(G548,[1]Fx!$A$4:$A$10,[1]Fx!$B$4:$B$10)</f>
        <v/>
      </c>
      <c r="U548" s="207">
        <f>_xlfn.XLOOKUP(G548,'[1]BP Setup'!$B$6:$B$72,'[1]BP Setup'!$Q$6:$Q$72)</f>
        <v/>
      </c>
      <c r="V548" s="207">
        <f>_xlfn.XLOOKUP(G548,'[1]BP Setup'!$B$6:$B$72,'[1]BP Setup'!$R$6:$R$72)</f>
        <v/>
      </c>
      <c r="W548" s="207">
        <f>$W$3</f>
        <v/>
      </c>
      <c r="X548" s="207" t="n">
        <v>80</v>
      </c>
      <c r="Y548" s="215">
        <f>T548*R548</f>
        <v/>
      </c>
      <c r="Z548" s="215">
        <f>U548*O548</f>
        <v/>
      </c>
      <c r="AA548" s="215">
        <f>V548*O548</f>
        <v/>
      </c>
      <c r="AB548" s="215">
        <f>W548*O548</f>
        <v/>
      </c>
      <c r="AC548" s="197">
        <f>X548*O548</f>
        <v/>
      </c>
      <c r="AD548" s="215" t="n">
        <v>0</v>
      </c>
      <c r="AE548" s="215" t="n">
        <v>0</v>
      </c>
      <c r="AF548" s="207">
        <f>SUM(Y548:AE548)</f>
        <v/>
      </c>
      <c r="AG548" s="254">
        <f>_xlfn.XLOOKUP(G548,[1]Fx!$A$16:$A$22,[1]Fx!$B$16:$B$22)</f>
        <v/>
      </c>
      <c r="AH548" s="207">
        <f>AG548*R548</f>
        <v/>
      </c>
      <c r="AI548" s="207">
        <f>$AI$3*Z548</f>
        <v/>
      </c>
      <c r="AJ548" s="207">
        <f>$AJ$3*AA548</f>
        <v/>
      </c>
      <c r="AK548" s="207">
        <f>$AK$3*AB548</f>
        <v/>
      </c>
      <c r="AL548" s="207">
        <f>$AL$3*AC548</f>
        <v/>
      </c>
      <c r="AM548" s="220">
        <f>SUM(AH548:AL548)</f>
        <v/>
      </c>
      <c r="AN548" s="220" t="n">
        <v>0</v>
      </c>
      <c r="AO548" s="220">
        <f>AN548*AH548</f>
        <v/>
      </c>
      <c r="AP548" s="220">
        <f>AD548</f>
        <v/>
      </c>
      <c r="AQ548" s="220">
        <f>AE548</f>
        <v/>
      </c>
      <c r="AR548" s="208">
        <f>AM548-AO548</f>
        <v/>
      </c>
      <c r="AS548" s="220">
        <f>AR548-AK548</f>
        <v/>
      </c>
      <c r="AT548" s="208">
        <f>AS548*1.075</f>
        <v/>
      </c>
      <c r="AU548" s="208">
        <f>AT548+AK548</f>
        <v/>
      </c>
      <c r="AV548" s="198" t="n">
        <v>658010.9978703284</v>
      </c>
      <c r="AW548" s="264" t="n">
        <v>0</v>
      </c>
      <c r="AX548" s="220">
        <f>AV548-AR548</f>
        <v/>
      </c>
      <c r="AY548" s="35">
        <f>AX548/AR548</f>
        <v/>
      </c>
      <c r="AZ548" s="220">
        <f>AV548-AF548</f>
        <v/>
      </c>
      <c r="BA548" s="215">
        <f>AV548-SUM(Z548:AC548)</f>
        <v/>
      </c>
      <c r="BB548" s="215">
        <f>BA548-Y548</f>
        <v/>
      </c>
      <c r="BC548" s="35">
        <f>BB548/BA548</f>
        <v/>
      </c>
      <c r="BD548" s="35">
        <f>IFERROR(AZ548/AV548,)</f>
        <v/>
      </c>
      <c r="BE548" s="255">
        <f>AV548-SUM(Z548:AC548)</f>
        <v/>
      </c>
      <c r="BF548" s="255">
        <f>AV548-BE548-AC548-AB548</f>
        <v/>
      </c>
      <c r="BG548" s="255">
        <f>AV548-BE548-BF548-AB548</f>
        <v/>
      </c>
      <c r="BH548" s="255">
        <f>AB548</f>
        <v/>
      </c>
      <c r="BI548" s="263" t="inlineStr">
        <is>
          <t>Approved</t>
        </is>
      </c>
    </row>
    <row r="549">
      <c r="C549" s="23" t="inlineStr">
        <is>
          <t>YEKINI</t>
        </is>
      </c>
      <c r="D549">
        <f>CONCATENATE(G549,"-",H549,"-",F549)</f>
        <v/>
      </c>
      <c r="E549" s="24" t="inlineStr">
        <is>
          <t>JMG-8T-Hiabs Logistics-Upcountry</t>
        </is>
      </c>
      <c r="F549" s="23" t="inlineStr">
        <is>
          <t>Upcountry</t>
        </is>
      </c>
      <c r="G549" s="25" t="inlineStr">
        <is>
          <t>Hiabs Logistics</t>
        </is>
      </c>
      <c r="H549" s="24" t="inlineStr">
        <is>
          <t>8T</t>
        </is>
      </c>
      <c r="I549" s="73" t="inlineStr">
        <is>
          <t>JMG</t>
        </is>
      </c>
      <c r="J549" s="74" t="inlineStr">
        <is>
          <t>Lagos</t>
        </is>
      </c>
      <c r="K549" s="202" t="inlineStr">
        <is>
          <t>Anambra</t>
        </is>
      </c>
      <c r="L549" s="25" t="inlineStr">
        <is>
          <t>Anambra</t>
        </is>
      </c>
      <c r="N549" s="201">
        <f>O549/2</f>
        <v/>
      </c>
      <c r="O549" s="201" t="n">
        <v>1350</v>
      </c>
      <c r="P549" s="245">
        <f>ROUNDUP(O549/300,)</f>
        <v/>
      </c>
      <c r="Q549" s="220" t="n">
        <v>0</v>
      </c>
      <c r="R549" s="220">
        <f>Q549+P549</f>
        <v/>
      </c>
      <c r="S549" s="198">
        <f>ROUNDDOWN(O549*0.51,)+60</f>
        <v/>
      </c>
      <c r="T549" s="207">
        <f>_xlfn.XLOOKUP(G549,[1]Fx!$A$4:$A$10,[1]Fx!$B$4:$B$10)</f>
        <v/>
      </c>
      <c r="U549" s="207">
        <f>_xlfn.XLOOKUP(G549,'[1]BP Setup'!$B$6:$B$72,'[1]BP Setup'!$Q$6:$Q$72)</f>
        <v/>
      </c>
      <c r="V549" s="207">
        <f>_xlfn.XLOOKUP(G549,'[1]BP Setup'!$B$6:$B$72,'[1]BP Setup'!$R$6:$R$72)</f>
        <v/>
      </c>
      <c r="W549" s="207">
        <f>$W$3</f>
        <v/>
      </c>
      <c r="X549" s="207" t="n">
        <v>80</v>
      </c>
      <c r="Y549" s="215">
        <f>T549*R549</f>
        <v/>
      </c>
      <c r="Z549" s="215">
        <f>U549*O549</f>
        <v/>
      </c>
      <c r="AA549" s="215">
        <f>V549*O549</f>
        <v/>
      </c>
      <c r="AB549" s="215">
        <f>W549*O549</f>
        <v/>
      </c>
      <c r="AC549" s="197">
        <f>X549*O549</f>
        <v/>
      </c>
      <c r="AD549" s="215" t="n">
        <v>0</v>
      </c>
      <c r="AE549" s="215" t="n">
        <v>0</v>
      </c>
      <c r="AF549" s="207">
        <f>SUM(Y549:AE549)</f>
        <v/>
      </c>
      <c r="AG549" s="254">
        <f>_xlfn.XLOOKUP(G549,[1]Fx!$A$16:$A$22,[1]Fx!$B$16:$B$22)</f>
        <v/>
      </c>
      <c r="AH549" s="207">
        <f>AG549*R549</f>
        <v/>
      </c>
      <c r="AI549" s="207">
        <f>$AI$3*Z549</f>
        <v/>
      </c>
      <c r="AJ549" s="207">
        <f>$AJ$3*AA549</f>
        <v/>
      </c>
      <c r="AK549" s="207">
        <f>$AK$3*AB549</f>
        <v/>
      </c>
      <c r="AL549" s="207">
        <f>$AL$3*AC549</f>
        <v/>
      </c>
      <c r="AM549" s="220">
        <f>SUM(AH549:AL549)</f>
        <v/>
      </c>
      <c r="AN549" s="220" t="n">
        <v>0</v>
      </c>
      <c r="AO549" s="220">
        <f>AN549*AH549</f>
        <v/>
      </c>
      <c r="AP549" s="220">
        <f>AD549</f>
        <v/>
      </c>
      <c r="AQ549" s="220">
        <f>AE549</f>
        <v/>
      </c>
      <c r="AR549" s="208">
        <f>AM549-AO549</f>
        <v/>
      </c>
      <c r="AS549" s="220">
        <f>AR549-AK549</f>
        <v/>
      </c>
      <c r="AT549" s="208">
        <f>AS549*1.075</f>
        <v/>
      </c>
      <c r="AU549" s="208">
        <f>AT549+AK549</f>
        <v/>
      </c>
      <c r="AV549" s="198" t="n">
        <v>658010.9978703284</v>
      </c>
      <c r="AW549" s="264" t="n">
        <v>0</v>
      </c>
      <c r="AX549" s="220">
        <f>AV549-AR549</f>
        <v/>
      </c>
      <c r="AY549" s="35">
        <f>AX549/AR549</f>
        <v/>
      </c>
      <c r="AZ549" s="220">
        <f>AV549-AF549</f>
        <v/>
      </c>
      <c r="BA549" s="215">
        <f>AV549-SUM(Z549:AC549)</f>
        <v/>
      </c>
      <c r="BB549" s="215">
        <f>BA549-Y549</f>
        <v/>
      </c>
      <c r="BC549" s="35">
        <f>BB549/BA549</f>
        <v/>
      </c>
      <c r="BD549" s="35">
        <f>IFERROR(AZ549/AV549,)</f>
        <v/>
      </c>
      <c r="BE549" s="255">
        <f>AV549-SUM(Z549:AC549)</f>
        <v/>
      </c>
      <c r="BF549" s="255">
        <f>AV549-BE549-AC549-AB549</f>
        <v/>
      </c>
      <c r="BG549" s="255">
        <f>AV549-BE549-BF549-AB549</f>
        <v/>
      </c>
      <c r="BH549" s="255">
        <f>AB549</f>
        <v/>
      </c>
      <c r="BI549" s="263" t="inlineStr">
        <is>
          <t>Worst Case Approved</t>
        </is>
      </c>
    </row>
    <row r="550">
      <c r="C550" s="23" t="inlineStr">
        <is>
          <t>YEKINI</t>
        </is>
      </c>
      <c r="D550">
        <f>CONCATENATE(G550,"-",H550,"-",F550)</f>
        <v/>
      </c>
      <c r="E550" s="24" t="inlineStr">
        <is>
          <t>JMG-8T-Hiabs Logistics-Upcountry</t>
        </is>
      </c>
      <c r="F550" s="23" t="inlineStr">
        <is>
          <t>Upcountry</t>
        </is>
      </c>
      <c r="G550" s="25" t="inlineStr">
        <is>
          <t>Hiabs Logistics</t>
        </is>
      </c>
      <c r="H550" s="24" t="inlineStr">
        <is>
          <t>8T</t>
        </is>
      </c>
      <c r="I550" s="73" t="inlineStr">
        <is>
          <t>JMG</t>
        </is>
      </c>
      <c r="J550" s="74" t="inlineStr">
        <is>
          <t>Lagos</t>
        </is>
      </c>
      <c r="K550" s="202" t="inlineStr">
        <is>
          <t>Onitsha</t>
        </is>
      </c>
      <c r="L550" s="25" t="inlineStr">
        <is>
          <t>Anambra</t>
        </is>
      </c>
      <c r="N550" s="201">
        <f>O550/2</f>
        <v/>
      </c>
      <c r="O550" s="201" t="n">
        <v>1150</v>
      </c>
      <c r="P550" s="245">
        <f>ROUNDUP(O550/300,)</f>
        <v/>
      </c>
      <c r="Q550" s="220" t="n">
        <v>0</v>
      </c>
      <c r="R550" s="220">
        <f>Q550+P550</f>
        <v/>
      </c>
      <c r="S550" s="198">
        <f>ROUNDDOWN(O550*0.51,)+60</f>
        <v/>
      </c>
      <c r="T550" s="207">
        <f>_xlfn.XLOOKUP(G550,[1]Fx!$A$4:$A$10,[1]Fx!$B$4:$B$10)</f>
        <v/>
      </c>
      <c r="U550" s="207">
        <f>_xlfn.XLOOKUP(G550,'[1]BP Setup'!$B$6:$B$72,'[1]BP Setup'!$Q$6:$Q$72)</f>
        <v/>
      </c>
      <c r="V550" s="207">
        <f>_xlfn.XLOOKUP(G550,'[1]BP Setup'!$B$6:$B$72,'[1]BP Setup'!$R$6:$R$72)</f>
        <v/>
      </c>
      <c r="W550" s="207">
        <f>$W$3</f>
        <v/>
      </c>
      <c r="X550" s="207" t="n">
        <v>80</v>
      </c>
      <c r="Y550" s="215">
        <f>T550*R550</f>
        <v/>
      </c>
      <c r="Z550" s="215">
        <f>U550*O550</f>
        <v/>
      </c>
      <c r="AA550" s="215">
        <f>V550*O550</f>
        <v/>
      </c>
      <c r="AB550" s="215">
        <f>W550*O550</f>
        <v/>
      </c>
      <c r="AC550" s="197">
        <f>X550*O550</f>
        <v/>
      </c>
      <c r="AD550" s="215" t="n">
        <v>0</v>
      </c>
      <c r="AE550" s="215" t="n">
        <v>0</v>
      </c>
      <c r="AF550" s="207">
        <f>SUM(Y550:AE550)</f>
        <v/>
      </c>
      <c r="AG550" s="254">
        <f>_xlfn.XLOOKUP(G550,[1]Fx!$A$16:$A$22,[1]Fx!$B$16:$B$22)</f>
        <v/>
      </c>
      <c r="AH550" s="207">
        <f>AG550*R550</f>
        <v/>
      </c>
      <c r="AI550" s="207">
        <f>$AI$3*Z550</f>
        <v/>
      </c>
      <c r="AJ550" s="207">
        <f>$AJ$3*AA550</f>
        <v/>
      </c>
      <c r="AK550" s="207">
        <f>$AK$3*AB550</f>
        <v/>
      </c>
      <c r="AL550" s="207">
        <f>$AL$3*AC550</f>
        <v/>
      </c>
      <c r="AM550" s="220">
        <f>SUM(AH550:AL550)</f>
        <v/>
      </c>
      <c r="AN550" s="220" t="n">
        <v>0</v>
      </c>
      <c r="AO550" s="220">
        <f>AN550*AH550</f>
        <v/>
      </c>
      <c r="AP550" s="220">
        <f>AD550</f>
        <v/>
      </c>
      <c r="AQ550" s="220">
        <f>AE550</f>
        <v/>
      </c>
      <c r="AR550" s="208">
        <f>AM550-AO550</f>
        <v/>
      </c>
      <c r="AS550" s="220">
        <f>AR550-AK550</f>
        <v/>
      </c>
      <c r="AT550" s="208">
        <f>AS550*1.075</f>
        <v/>
      </c>
      <c r="AU550" s="208">
        <f>AT550+AK550</f>
        <v/>
      </c>
      <c r="AV550" s="198" t="n">
        <v>526408.7982962627</v>
      </c>
      <c r="AW550" s="264" t="n">
        <v>0</v>
      </c>
      <c r="AX550" s="220">
        <f>AV550-AR550</f>
        <v/>
      </c>
      <c r="AY550" s="35">
        <f>AX550/AR550</f>
        <v/>
      </c>
      <c r="AZ550" s="220">
        <f>AV550-AF550</f>
        <v/>
      </c>
      <c r="BA550" s="215">
        <f>AV550-SUM(Z550:AC550)</f>
        <v/>
      </c>
      <c r="BB550" s="215">
        <f>BA550-Y550</f>
        <v/>
      </c>
      <c r="BC550" s="35">
        <f>BB550/BA550</f>
        <v/>
      </c>
      <c r="BD550" s="35">
        <f>IFERROR(AZ550/AV550,)</f>
        <v/>
      </c>
      <c r="BE550" s="255">
        <f>AV550-SUM(Z550:AC550)</f>
        <v/>
      </c>
      <c r="BF550" s="255">
        <f>AV550-BE550-AC550-AB550</f>
        <v/>
      </c>
      <c r="BG550" s="255">
        <f>AV550-BE550-BF550-AB550</f>
        <v/>
      </c>
      <c r="BH550" s="255">
        <f>AB550</f>
        <v/>
      </c>
      <c r="BI550" s="263" t="inlineStr">
        <is>
          <t>Approved</t>
        </is>
      </c>
    </row>
    <row r="551" ht="15" customHeight="1" thickBot="1">
      <c r="C551" s="23" t="inlineStr">
        <is>
          <t>YEKINI</t>
        </is>
      </c>
      <c r="D551">
        <f>CONCATENATE(G551,"-",H551,"-",F551)</f>
        <v/>
      </c>
      <c r="E551" s="24" t="inlineStr">
        <is>
          <t>JMG-8T-Hiabs Logistics-Upcountry</t>
        </is>
      </c>
      <c r="F551" s="23" t="inlineStr">
        <is>
          <t>Upcountry</t>
        </is>
      </c>
      <c r="G551" s="25" t="inlineStr">
        <is>
          <t>Hiabs Logistics</t>
        </is>
      </c>
      <c r="H551" s="24" t="inlineStr">
        <is>
          <t>8T</t>
        </is>
      </c>
      <c r="I551" s="73" t="inlineStr">
        <is>
          <t>JMG</t>
        </is>
      </c>
      <c r="J551" s="74" t="inlineStr">
        <is>
          <t>Lagos</t>
        </is>
      </c>
      <c r="K551" s="202" t="inlineStr">
        <is>
          <t>Warri</t>
        </is>
      </c>
      <c r="L551" s="81" t="inlineStr">
        <is>
          <t>Delta</t>
        </is>
      </c>
      <c r="M551" s="82" t="n"/>
      <c r="N551" s="201">
        <f>O551/2</f>
        <v/>
      </c>
      <c r="O551" s="201" t="n">
        <v>750</v>
      </c>
      <c r="P551" s="265">
        <f>ROUNDUP(O551/300,)</f>
        <v/>
      </c>
      <c r="Q551" s="220" t="n">
        <v>0</v>
      </c>
      <c r="R551" s="266">
        <f>Q551+P551</f>
        <v/>
      </c>
      <c r="S551" s="203">
        <f>ROUNDDOWN(O551*0.51,)+60</f>
        <v/>
      </c>
      <c r="T551" s="207">
        <f>_xlfn.XLOOKUP(G551,[1]Fx!$A$4:$A$10,[1]Fx!$B$4:$B$10)</f>
        <v/>
      </c>
      <c r="U551" s="207">
        <f>_xlfn.XLOOKUP(G551,'[1]BP Setup'!$B$6:$B$72,'[1]BP Setup'!$Q$6:$Q$72)</f>
        <v/>
      </c>
      <c r="V551" s="207">
        <f>_xlfn.XLOOKUP(G551,'[1]BP Setup'!$B$6:$B$72,'[1]BP Setup'!$R$6:$R$72)</f>
        <v/>
      </c>
      <c r="W551" s="207">
        <f>$W$3</f>
        <v/>
      </c>
      <c r="X551" s="207" t="n">
        <v>80</v>
      </c>
      <c r="Y551" s="267">
        <f>T551*R551</f>
        <v/>
      </c>
      <c r="Z551" s="267">
        <f>U551*O551</f>
        <v/>
      </c>
      <c r="AA551" s="267">
        <f>V551*O551</f>
        <v/>
      </c>
      <c r="AB551" s="267">
        <f>W551*O551</f>
        <v/>
      </c>
      <c r="AC551" s="268">
        <f>X551*O551</f>
        <v/>
      </c>
      <c r="AD551" s="267" t="n">
        <v>0</v>
      </c>
      <c r="AE551" s="267" t="n">
        <v>0</v>
      </c>
      <c r="AF551" s="207">
        <f>SUM(Y551:AE551)</f>
        <v/>
      </c>
      <c r="AG551" s="254">
        <f>_xlfn.XLOOKUP(G551,[1]Fx!$A$16:$A$22,[1]Fx!$B$16:$B$22)</f>
        <v/>
      </c>
      <c r="AH551" s="207">
        <f>AG551*R551</f>
        <v/>
      </c>
      <c r="AI551" s="207">
        <f>$AI$3*Z551</f>
        <v/>
      </c>
      <c r="AJ551" s="207">
        <f>$AJ$3*AA551</f>
        <v/>
      </c>
      <c r="AK551" s="207">
        <f>$AK$3*AB551</f>
        <v/>
      </c>
      <c r="AL551" s="207">
        <f>$AL$3*AC551</f>
        <v/>
      </c>
      <c r="AM551" s="266">
        <f>SUM(AH551:AL551)</f>
        <v/>
      </c>
      <c r="AN551" s="266" t="n">
        <v>0</v>
      </c>
      <c r="AO551" s="220">
        <f>AN551*AH551</f>
        <v/>
      </c>
      <c r="AP551" s="266">
        <f>AD551</f>
        <v/>
      </c>
      <c r="AQ551" s="266">
        <f>AE551</f>
        <v/>
      </c>
      <c r="AR551" s="208">
        <f>AM551-AO551</f>
        <v/>
      </c>
      <c r="AS551" s="220">
        <f>AR551-AK551</f>
        <v/>
      </c>
      <c r="AT551" s="208">
        <f>AS551*1.075</f>
        <v/>
      </c>
      <c r="AU551" s="208">
        <f>AT551+AK551</f>
        <v/>
      </c>
      <c r="AV551" s="198" t="n">
        <v>394806.5987221971</v>
      </c>
      <c r="AW551" s="264" t="n">
        <v>0</v>
      </c>
      <c r="AX551" s="266">
        <f>AV551-AR551</f>
        <v/>
      </c>
      <c r="AY551" s="86">
        <f>AX551/AR551</f>
        <v/>
      </c>
      <c r="AZ551" s="266">
        <f>AV551-AF551</f>
        <v/>
      </c>
      <c r="BA551" s="267">
        <f>AV551-SUM(Z551:AC551)</f>
        <v/>
      </c>
      <c r="BB551" s="267">
        <f>BA551-Y551</f>
        <v/>
      </c>
      <c r="BC551" s="86">
        <f>BB551/BA551</f>
        <v/>
      </c>
      <c r="BD551" s="86">
        <f>IFERROR(AZ551/AV551,)</f>
        <v/>
      </c>
      <c r="BE551" s="269">
        <f>AV551-SUM(Z551:AC551)</f>
        <v/>
      </c>
      <c r="BF551" s="269">
        <f>AV551-BE551-AC551-AB551</f>
        <v/>
      </c>
      <c r="BG551" s="269">
        <f>AV551-BE551-BF551-AB551</f>
        <v/>
      </c>
      <c r="BH551" s="269">
        <f>AB551</f>
        <v/>
      </c>
      <c r="BI551" s="263" t="inlineStr">
        <is>
          <t>Approved</t>
        </is>
      </c>
    </row>
    <row r="552">
      <c r="C552" s="23" t="inlineStr">
        <is>
          <t>YEKINI</t>
        </is>
      </c>
      <c r="D552">
        <f>CONCATENATE(G552,"-",H552,"-",F552)</f>
        <v/>
      </c>
      <c r="E552" s="24" t="inlineStr">
        <is>
          <t>JMG-8T-Hiabs Logistics-Upcountry</t>
        </is>
      </c>
      <c r="F552" s="23" t="inlineStr">
        <is>
          <t>Upcountry</t>
        </is>
      </c>
      <c r="G552" s="25" t="inlineStr">
        <is>
          <t>Hiabs Logistics</t>
        </is>
      </c>
      <c r="H552" s="24" t="inlineStr">
        <is>
          <t>8T</t>
        </is>
      </c>
      <c r="I552" s="73" t="inlineStr">
        <is>
          <t>JMG</t>
        </is>
      </c>
      <c r="J552" s="74" t="inlineStr">
        <is>
          <t>Lagos</t>
        </is>
      </c>
      <c r="K552" s="121" t="inlineStr">
        <is>
          <t>Ado-Ekiti</t>
        </is>
      </c>
      <c r="L552" s="77" t="inlineStr">
        <is>
          <t>Ekiti</t>
        </is>
      </c>
      <c r="M552" s="66" t="n"/>
      <c r="N552" s="201">
        <f>O552/2</f>
        <v/>
      </c>
      <c r="O552" s="201" t="n">
        <v>753</v>
      </c>
      <c r="P552" s="227">
        <f>ROUNDUP(O552/300,)</f>
        <v/>
      </c>
      <c r="Q552" s="220" t="n">
        <v>0</v>
      </c>
      <c r="R552" s="227">
        <f>Q552+P552</f>
        <v/>
      </c>
      <c r="S552" s="198">
        <f>ROUNDDOWN(O552*0.51,)+60</f>
        <v/>
      </c>
      <c r="T552" s="207">
        <f>_xlfn.XLOOKUP(G552,[1]Fx!$A$4:$A$10,[1]Fx!$B$4:$B$10)</f>
        <v/>
      </c>
      <c r="U552" s="207">
        <f>_xlfn.XLOOKUP(G552,'[1]BP Setup'!$B$6:$B$72,'[1]BP Setup'!$Q$6:$Q$72)</f>
        <v/>
      </c>
      <c r="V552" s="207">
        <f>_xlfn.XLOOKUP(G552,'[1]BP Setup'!$B$6:$B$72,'[1]BP Setup'!$R$6:$R$72)</f>
        <v/>
      </c>
      <c r="W552" s="207">
        <f>$W$3</f>
        <v/>
      </c>
      <c r="X552" s="207" t="n">
        <v>80</v>
      </c>
      <c r="Y552" s="236">
        <f>T552*R552</f>
        <v/>
      </c>
      <c r="Z552" s="236">
        <f>U552*O552</f>
        <v/>
      </c>
      <c r="AA552" s="236">
        <f>V552*O552</f>
        <v/>
      </c>
      <c r="AB552" s="236">
        <f>W552*O552</f>
        <v/>
      </c>
      <c r="AC552" s="197">
        <f>X552*O552</f>
        <v/>
      </c>
      <c r="AD552" s="236" t="n">
        <v>0</v>
      </c>
      <c r="AE552" s="236" t="n">
        <v>0</v>
      </c>
      <c r="AF552" s="207">
        <f>SUM(Y552:AE552)</f>
        <v/>
      </c>
      <c r="AG552" s="254">
        <f>_xlfn.XLOOKUP(G552,[1]Fx!$A$16:$A$22,[1]Fx!$B$16:$B$22)</f>
        <v/>
      </c>
      <c r="AH552" s="207">
        <f>AG552*R552</f>
        <v/>
      </c>
      <c r="AI552" s="207">
        <f>$AI$3*Z552</f>
        <v/>
      </c>
      <c r="AJ552" s="207">
        <f>$AJ$3*AA552</f>
        <v/>
      </c>
      <c r="AK552" s="207">
        <f>$AK$3*AB552</f>
        <v/>
      </c>
      <c r="AL552" s="207">
        <f>$AL$3*AC552</f>
        <v/>
      </c>
      <c r="AM552" s="227">
        <f>SUM(AH552:AL552)</f>
        <v/>
      </c>
      <c r="AN552" s="227" t="n">
        <v>0</v>
      </c>
      <c r="AO552" s="220">
        <f>AN552*AH552</f>
        <v/>
      </c>
      <c r="AP552" s="220">
        <f>AD552</f>
        <v/>
      </c>
      <c r="AQ552" s="220">
        <f>AE552</f>
        <v/>
      </c>
      <c r="AR552" s="208">
        <f>AM552-AO552</f>
        <v/>
      </c>
      <c r="AS552" s="220">
        <f>AR552-AK552</f>
        <v/>
      </c>
      <c r="AT552" s="208">
        <f>AS552*1.075</f>
        <v/>
      </c>
      <c r="AU552" s="208">
        <f>AT552+AK552</f>
        <v/>
      </c>
      <c r="AV552" s="198" t="n">
        <v>394806.5987221971</v>
      </c>
      <c r="AW552" s="264" t="n">
        <v>0</v>
      </c>
      <c r="AX552" s="220">
        <f>AV552-AR552</f>
        <v/>
      </c>
      <c r="AY552" s="35">
        <f>AX552/AR552</f>
        <v/>
      </c>
      <c r="AZ552" s="220">
        <f>AV552-AF552</f>
        <v/>
      </c>
      <c r="BA552" s="215">
        <f>AV552-SUM(Z552:AC552)</f>
        <v/>
      </c>
      <c r="BB552" s="215">
        <f>BA552-Y552</f>
        <v/>
      </c>
      <c r="BC552" s="35">
        <f>BB552/BA552</f>
        <v/>
      </c>
      <c r="BD552" s="35">
        <f>IFERROR(AZ552/AV552,)</f>
        <v/>
      </c>
      <c r="BE552" s="255">
        <f>AV552-SUM(Z552:AC552)</f>
        <v/>
      </c>
      <c r="BF552" s="255">
        <f>AV552-BE552-AC552-AB552</f>
        <v/>
      </c>
      <c r="BG552" s="255">
        <f>AV552-BE552-BF552-AB552</f>
        <v/>
      </c>
      <c r="BH552" s="255">
        <f>AB552</f>
        <v/>
      </c>
      <c r="BI552" s="263" t="inlineStr">
        <is>
          <t>Worst Case Approved</t>
        </is>
      </c>
    </row>
    <row r="553">
      <c r="C553" s="23" t="inlineStr">
        <is>
          <t>YEKINI</t>
        </is>
      </c>
      <c r="D553">
        <f>CONCATENATE(G553,"-",H553,"-",F553)</f>
        <v/>
      </c>
      <c r="E553" s="24" t="inlineStr">
        <is>
          <t>JMG-8T-Hiabs Logistics-Upcountry</t>
        </is>
      </c>
      <c r="F553" s="23" t="inlineStr">
        <is>
          <t>Upcountry</t>
        </is>
      </c>
      <c r="G553" s="25" t="inlineStr">
        <is>
          <t>Hiabs Logistics</t>
        </is>
      </c>
      <c r="H553" s="24" t="inlineStr">
        <is>
          <t>8T</t>
        </is>
      </c>
      <c r="I553" s="73" t="inlineStr">
        <is>
          <t>JMG</t>
        </is>
      </c>
      <c r="J553" s="74" t="inlineStr">
        <is>
          <t>Lagos</t>
        </is>
      </c>
      <c r="K553" s="202" t="inlineStr">
        <is>
          <t>Benin City</t>
        </is>
      </c>
      <c r="L553" s="88" t="inlineStr">
        <is>
          <t>Edo</t>
        </is>
      </c>
      <c r="M553" s="79" t="n"/>
      <c r="N553" s="201">
        <f>O553/2</f>
        <v/>
      </c>
      <c r="O553" s="201" t="n">
        <v>624</v>
      </c>
      <c r="P553" s="227">
        <f>ROUNDUP(O553/300,)</f>
        <v/>
      </c>
      <c r="Q553" s="220" t="n">
        <v>0</v>
      </c>
      <c r="R553" s="227">
        <f>Q553+P553</f>
        <v/>
      </c>
      <c r="S553" s="198">
        <f>ROUNDDOWN(O553*0.51,)+60</f>
        <v/>
      </c>
      <c r="T553" s="207">
        <f>_xlfn.XLOOKUP(G553,[1]Fx!$A$4:$A$10,[1]Fx!$B$4:$B$10)</f>
        <v/>
      </c>
      <c r="U553" s="207">
        <f>_xlfn.XLOOKUP(G553,'[1]BP Setup'!$B$6:$B$72,'[1]BP Setup'!$Q$6:$Q$72)</f>
        <v/>
      </c>
      <c r="V553" s="207">
        <f>_xlfn.XLOOKUP(G553,'[1]BP Setup'!$B$6:$B$72,'[1]BP Setup'!$R$6:$R$72)</f>
        <v/>
      </c>
      <c r="W553" s="207">
        <f>$W$3</f>
        <v/>
      </c>
      <c r="X553" s="207" t="n">
        <v>80</v>
      </c>
      <c r="Y553" s="236">
        <f>T553*R553</f>
        <v/>
      </c>
      <c r="Z553" s="236">
        <f>U553*O553</f>
        <v/>
      </c>
      <c r="AA553" s="236">
        <f>V553*O553</f>
        <v/>
      </c>
      <c r="AB553" s="236">
        <f>W553*O553</f>
        <v/>
      </c>
      <c r="AC553" s="197">
        <f>X553*O553</f>
        <v/>
      </c>
      <c r="AD553" s="236" t="n">
        <v>0</v>
      </c>
      <c r="AE553" s="236" t="n">
        <v>0</v>
      </c>
      <c r="AF553" s="207">
        <f>SUM(Y553:AE553)</f>
        <v/>
      </c>
      <c r="AG553" s="254">
        <f>_xlfn.XLOOKUP(G553,[1]Fx!$A$16:$A$22,[1]Fx!$B$16:$B$22)</f>
        <v/>
      </c>
      <c r="AH553" s="207">
        <f>AG553*R553</f>
        <v/>
      </c>
      <c r="AI553" s="207">
        <f>$AI$3*Z553</f>
        <v/>
      </c>
      <c r="AJ553" s="207">
        <f>$AJ$3*AA553</f>
        <v/>
      </c>
      <c r="AK553" s="207">
        <f>$AK$3*AB553</f>
        <v/>
      </c>
      <c r="AL553" s="207">
        <f>$AL$3*AC553</f>
        <v/>
      </c>
      <c r="AM553" s="227">
        <f>SUM(AH553:AL553)</f>
        <v/>
      </c>
      <c r="AN553" s="227" t="n">
        <v>0</v>
      </c>
      <c r="AO553" s="220">
        <f>AN553*AH553</f>
        <v/>
      </c>
      <c r="AP553" s="220">
        <f>AD553</f>
        <v/>
      </c>
      <c r="AQ553" s="220">
        <f>AE553</f>
        <v/>
      </c>
      <c r="AR553" s="208">
        <f>AM553-AO553</f>
        <v/>
      </c>
      <c r="AS553" s="220">
        <f>AR553-AK553</f>
        <v/>
      </c>
      <c r="AT553" s="208">
        <f>AS553*1.075</f>
        <v/>
      </c>
      <c r="AU553" s="208">
        <f>AT553+AK553</f>
        <v/>
      </c>
      <c r="AV553" s="198" t="n">
        <v>394806.5987221971</v>
      </c>
      <c r="AW553" s="264" t="n">
        <v>0</v>
      </c>
      <c r="AX553" s="220">
        <f>AV553-AR553</f>
        <v/>
      </c>
      <c r="AY553" s="35">
        <f>AX553/AR553</f>
        <v/>
      </c>
      <c r="AZ553" s="220">
        <f>AV553-AF553</f>
        <v/>
      </c>
      <c r="BA553" s="215">
        <f>AV553-SUM(Z553:AC553)</f>
        <v/>
      </c>
      <c r="BB553" s="215">
        <f>BA553-Y553</f>
        <v/>
      </c>
      <c r="BC553" s="35">
        <f>BB553/BA553</f>
        <v/>
      </c>
      <c r="BD553" s="35">
        <f>IFERROR(AZ553/AV553,)</f>
        <v/>
      </c>
      <c r="BE553" s="255">
        <f>AV553-SUM(Z553:AC553)</f>
        <v/>
      </c>
      <c r="BF553" s="255">
        <f>AV553-BE553-AC553-AB553</f>
        <v/>
      </c>
      <c r="BG553" s="255">
        <f>AV553-BE553-BF553-AB553</f>
        <v/>
      </c>
      <c r="BH553" s="255">
        <f>AB553</f>
        <v/>
      </c>
      <c r="BI553" s="263" t="inlineStr">
        <is>
          <t>Worst Case Approved</t>
        </is>
      </c>
    </row>
    <row r="554">
      <c r="C554" s="23" t="inlineStr">
        <is>
          <t>YEKINI</t>
        </is>
      </c>
      <c r="D554">
        <f>CONCATENATE(G554,"-",H554,"-",F554)</f>
        <v/>
      </c>
      <c r="E554" s="24" t="inlineStr">
        <is>
          <t>JMG-8T-Hiabs Logistics-Upcountry</t>
        </is>
      </c>
      <c r="F554" s="23" t="inlineStr">
        <is>
          <t>Upcountry</t>
        </is>
      </c>
      <c r="G554" s="25" t="inlineStr">
        <is>
          <t>Hiabs Logistics</t>
        </is>
      </c>
      <c r="H554" s="24" t="inlineStr">
        <is>
          <t>8T</t>
        </is>
      </c>
      <c r="I554" s="73" t="inlineStr">
        <is>
          <t>JMG</t>
        </is>
      </c>
      <c r="J554" s="74" t="inlineStr">
        <is>
          <t>Lagos</t>
        </is>
      </c>
      <c r="K554" s="202" t="inlineStr">
        <is>
          <t>Akure</t>
        </is>
      </c>
      <c r="L554" s="77" t="inlineStr">
        <is>
          <t>Ondo</t>
        </is>
      </c>
      <c r="M554" s="66" t="n"/>
      <c r="N554" s="201">
        <f>O554/2</f>
        <v/>
      </c>
      <c r="O554" s="201" t="n">
        <v>608</v>
      </c>
      <c r="P554" s="227">
        <f>ROUNDUP(O554/300,)</f>
        <v/>
      </c>
      <c r="Q554" s="220" t="n">
        <v>0</v>
      </c>
      <c r="R554" s="227">
        <f>Q554+P554</f>
        <v/>
      </c>
      <c r="S554" s="198">
        <f>ROUNDDOWN(O554*0.51,)+60</f>
        <v/>
      </c>
      <c r="T554" s="207">
        <f>_xlfn.XLOOKUP(G554,[1]Fx!$A$4:$A$10,[1]Fx!$B$4:$B$10)</f>
        <v/>
      </c>
      <c r="U554" s="207">
        <f>_xlfn.XLOOKUP(G554,'[1]BP Setup'!$B$6:$B$72,'[1]BP Setup'!$Q$6:$Q$72)</f>
        <v/>
      </c>
      <c r="V554" s="207">
        <f>_xlfn.XLOOKUP(G554,'[1]BP Setup'!$B$6:$B$72,'[1]BP Setup'!$R$6:$R$72)</f>
        <v/>
      </c>
      <c r="W554" s="207">
        <f>$W$3</f>
        <v/>
      </c>
      <c r="X554" s="207" t="n">
        <v>80</v>
      </c>
      <c r="Y554" s="236">
        <f>T554*R554</f>
        <v/>
      </c>
      <c r="Z554" s="236">
        <f>U554*O554</f>
        <v/>
      </c>
      <c r="AA554" s="236">
        <f>V554*O554</f>
        <v/>
      </c>
      <c r="AB554" s="236">
        <f>W554*O554</f>
        <v/>
      </c>
      <c r="AC554" s="197">
        <f>X554*O554</f>
        <v/>
      </c>
      <c r="AD554" s="236" t="n">
        <v>0</v>
      </c>
      <c r="AE554" s="236" t="n">
        <v>0</v>
      </c>
      <c r="AF554" s="207">
        <f>SUM(Y554:AE554)</f>
        <v/>
      </c>
      <c r="AG554" s="254">
        <f>_xlfn.XLOOKUP(G554,[1]Fx!$A$16:$A$22,[1]Fx!$B$16:$B$22)</f>
        <v/>
      </c>
      <c r="AH554" s="207">
        <f>AG554*R554</f>
        <v/>
      </c>
      <c r="AI554" s="207">
        <f>$AI$3*Z554</f>
        <v/>
      </c>
      <c r="AJ554" s="207">
        <f>$AJ$3*AA554</f>
        <v/>
      </c>
      <c r="AK554" s="207">
        <f>$AK$3*AB554</f>
        <v/>
      </c>
      <c r="AL554" s="207">
        <f>$AL$3*AC554</f>
        <v/>
      </c>
      <c r="AM554" s="227">
        <f>SUM(AH554:AL554)</f>
        <v/>
      </c>
      <c r="AN554" s="227" t="n">
        <v>0</v>
      </c>
      <c r="AO554" s="220">
        <f>AN554*AH554</f>
        <v/>
      </c>
      <c r="AP554" s="220">
        <f>AD554</f>
        <v/>
      </c>
      <c r="AQ554" s="220">
        <f>AE554</f>
        <v/>
      </c>
      <c r="AR554" s="208">
        <f>AM554-AO554</f>
        <v/>
      </c>
      <c r="AS554" s="220">
        <f>AR554-AK554</f>
        <v/>
      </c>
      <c r="AT554" s="208">
        <f>AS554*1.075</f>
        <v/>
      </c>
      <c r="AU554" s="208">
        <f>AT554+AK554</f>
        <v/>
      </c>
      <c r="AV554" s="198" t="n">
        <v>394806.5987221971</v>
      </c>
      <c r="AW554" s="264" t="n">
        <v>0</v>
      </c>
      <c r="AX554" s="220">
        <f>AV554-AR554</f>
        <v/>
      </c>
      <c r="AY554" s="35">
        <f>AX554/AR554</f>
        <v/>
      </c>
      <c r="AZ554" s="220">
        <f>AV554-AF554</f>
        <v/>
      </c>
      <c r="BA554" s="215">
        <f>AV554-SUM(Z554:AC554)</f>
        <v/>
      </c>
      <c r="BB554" s="215">
        <f>BA554-Y554</f>
        <v/>
      </c>
      <c r="BC554" s="35">
        <f>BB554/BA554</f>
        <v/>
      </c>
      <c r="BD554" s="35">
        <f>IFERROR(AZ554/AV554,)</f>
        <v/>
      </c>
      <c r="BE554" s="255">
        <f>AV554-SUM(Z554:AC554)</f>
        <v/>
      </c>
      <c r="BF554" s="255">
        <f>AV554-BE554-AC554-AB554</f>
        <v/>
      </c>
      <c r="BG554" s="255">
        <f>AV554-BE554-BF554-AB554</f>
        <v/>
      </c>
      <c r="BH554" s="255">
        <f>AB554</f>
        <v/>
      </c>
      <c r="BI554" s="263" t="inlineStr">
        <is>
          <t>Worst Case Approved</t>
        </is>
      </c>
    </row>
    <row r="555">
      <c r="C555" s="23" t="inlineStr">
        <is>
          <t>YEKINI</t>
        </is>
      </c>
      <c r="D555">
        <f>CONCATENATE(G555,"-",H555,"-",F555)</f>
        <v/>
      </c>
      <c r="E555" s="24" t="inlineStr">
        <is>
          <t>JMG-8T-Hiabs Logistics-Upcountry</t>
        </is>
      </c>
      <c r="F555" s="23" t="inlineStr">
        <is>
          <t>Upcountry</t>
        </is>
      </c>
      <c r="G555" s="25" t="inlineStr">
        <is>
          <t>Hiabs Logistics</t>
        </is>
      </c>
      <c r="H555" s="24" t="inlineStr">
        <is>
          <t>8T</t>
        </is>
      </c>
      <c r="I555" s="73" t="inlineStr">
        <is>
          <t>JMG</t>
        </is>
      </c>
      <c r="J555" s="74" t="inlineStr">
        <is>
          <t>Lagos</t>
        </is>
      </c>
      <c r="K555" s="202" t="inlineStr">
        <is>
          <t>Ilorin</t>
        </is>
      </c>
      <c r="L555" s="77" t="inlineStr">
        <is>
          <t>Kwara</t>
        </is>
      </c>
      <c r="M555" s="66" t="n"/>
      <c r="N555" s="201">
        <f>O555/2</f>
        <v/>
      </c>
      <c r="O555" s="201" t="n">
        <v>595</v>
      </c>
      <c r="P555" s="227">
        <f>ROUNDUP(O555/300,)</f>
        <v/>
      </c>
      <c r="Q555" s="220" t="n">
        <v>0</v>
      </c>
      <c r="R555" s="227">
        <f>Q555+P555</f>
        <v/>
      </c>
      <c r="S555" s="198">
        <f>ROUNDDOWN(O555*0.51,)+60</f>
        <v/>
      </c>
      <c r="T555" s="207">
        <f>_xlfn.XLOOKUP(G555,[1]Fx!$A$4:$A$10,[1]Fx!$B$4:$B$10)</f>
        <v/>
      </c>
      <c r="U555" s="207">
        <f>_xlfn.XLOOKUP(G555,'[1]BP Setup'!$B$6:$B$72,'[1]BP Setup'!$Q$6:$Q$72)</f>
        <v/>
      </c>
      <c r="V555" s="207">
        <f>_xlfn.XLOOKUP(G555,'[1]BP Setup'!$B$6:$B$72,'[1]BP Setup'!$R$6:$R$72)</f>
        <v/>
      </c>
      <c r="W555" s="207">
        <f>$W$3</f>
        <v/>
      </c>
      <c r="X555" s="207" t="n">
        <v>80</v>
      </c>
      <c r="Y555" s="236">
        <f>T555*R555</f>
        <v/>
      </c>
      <c r="Z555" s="236">
        <f>U555*O555</f>
        <v/>
      </c>
      <c r="AA555" s="236">
        <f>V555*O555</f>
        <v/>
      </c>
      <c r="AB555" s="236">
        <f>W555*O555</f>
        <v/>
      </c>
      <c r="AC555" s="197">
        <f>X555*O555</f>
        <v/>
      </c>
      <c r="AD555" s="236" t="n">
        <v>0</v>
      </c>
      <c r="AE555" s="236" t="n">
        <v>0</v>
      </c>
      <c r="AF555" s="207">
        <f>SUM(Y555:AE555)</f>
        <v/>
      </c>
      <c r="AG555" s="254">
        <f>_xlfn.XLOOKUP(G555,[1]Fx!$A$16:$A$22,[1]Fx!$B$16:$B$22)</f>
        <v/>
      </c>
      <c r="AH555" s="207">
        <f>AG555*R555</f>
        <v/>
      </c>
      <c r="AI555" s="207">
        <f>$AI$3*Z555</f>
        <v/>
      </c>
      <c r="AJ555" s="207">
        <f>$AJ$3*AA555</f>
        <v/>
      </c>
      <c r="AK555" s="207">
        <f>$AK$3*AB555</f>
        <v/>
      </c>
      <c r="AL555" s="207">
        <f>$AL$3*AC555</f>
        <v/>
      </c>
      <c r="AM555" s="227">
        <f>SUM(AH555:AL555)</f>
        <v/>
      </c>
      <c r="AN555" s="227" t="n">
        <v>0</v>
      </c>
      <c r="AO555" s="220">
        <f>AN555*AH555</f>
        <v/>
      </c>
      <c r="AP555" s="220">
        <f>AD555</f>
        <v/>
      </c>
      <c r="AQ555" s="220">
        <f>AE555</f>
        <v/>
      </c>
      <c r="AR555" s="208">
        <f>AM555-AO555</f>
        <v/>
      </c>
      <c r="AS555" s="220">
        <f>AR555-AK555</f>
        <v/>
      </c>
      <c r="AT555" s="208">
        <f>AS555*1.075</f>
        <v/>
      </c>
      <c r="AU555" s="208">
        <f>AT555+AK555</f>
        <v/>
      </c>
      <c r="AV555" s="198" t="n">
        <v>263204.3991481314</v>
      </c>
      <c r="AW555" s="264" t="n">
        <v>0</v>
      </c>
      <c r="AX555" s="220">
        <f>AV555-AR555</f>
        <v/>
      </c>
      <c r="AY555" s="35">
        <f>AX555/AR555</f>
        <v/>
      </c>
      <c r="AZ555" s="220">
        <f>AV555-AF555</f>
        <v/>
      </c>
      <c r="BA555" s="215">
        <f>AV555-SUM(Z555:AC555)</f>
        <v/>
      </c>
      <c r="BB555" s="215">
        <f>BA555-Y555</f>
        <v/>
      </c>
      <c r="BC555" s="35">
        <f>BB555/BA555</f>
        <v/>
      </c>
      <c r="BD555" s="35">
        <f>IFERROR(AZ555/AV555,)</f>
        <v/>
      </c>
      <c r="BE555" s="255">
        <f>AV555-SUM(Z555:AC555)</f>
        <v/>
      </c>
      <c r="BF555" s="255">
        <f>AV555-BE555-AC555-AB555</f>
        <v/>
      </c>
      <c r="BG555" s="255">
        <f>AV555-BE555-BF555-AB555</f>
        <v/>
      </c>
      <c r="BH555" s="255">
        <f>AB555</f>
        <v/>
      </c>
      <c r="BI555" s="263" t="inlineStr">
        <is>
          <t>Worst Case Approved</t>
        </is>
      </c>
    </row>
    <row r="556">
      <c r="C556" s="23" t="inlineStr">
        <is>
          <t>YEKINI</t>
        </is>
      </c>
      <c r="D556">
        <f>CONCATENATE(G556,"-",H556,"-",F556)</f>
        <v/>
      </c>
      <c r="E556" s="24" t="inlineStr">
        <is>
          <t>JMG-8T-Hiabs Logistics-Upcountry</t>
        </is>
      </c>
      <c r="F556" s="23" t="inlineStr">
        <is>
          <t>Upcountry</t>
        </is>
      </c>
      <c r="G556" s="25" t="inlineStr">
        <is>
          <t>Hiabs Logistics</t>
        </is>
      </c>
      <c r="H556" s="24" t="inlineStr">
        <is>
          <t>8T</t>
        </is>
      </c>
      <c r="I556" s="73" t="inlineStr">
        <is>
          <t>JMG</t>
        </is>
      </c>
      <c r="J556" s="74" t="inlineStr">
        <is>
          <t>Lagos</t>
        </is>
      </c>
      <c r="K556" s="202" t="inlineStr">
        <is>
          <t>Iseyin</t>
        </is>
      </c>
      <c r="L556" s="77" t="inlineStr">
        <is>
          <t>Oyo</t>
        </is>
      </c>
      <c r="M556" s="66" t="n"/>
      <c r="N556" s="201">
        <f>O556/2</f>
        <v/>
      </c>
      <c r="O556" s="201" t="n">
        <v>595</v>
      </c>
      <c r="P556" s="227">
        <f>ROUNDUP(O556/300,)</f>
        <v/>
      </c>
      <c r="Q556" s="220" t="n">
        <v>0</v>
      </c>
      <c r="R556" s="227">
        <f>Q556+P556</f>
        <v/>
      </c>
      <c r="S556" s="198">
        <f>ROUNDDOWN(O556*0.51,)+60</f>
        <v/>
      </c>
      <c r="T556" s="207">
        <f>_xlfn.XLOOKUP(G556,[1]Fx!$A$4:$A$10,[1]Fx!$B$4:$B$10)</f>
        <v/>
      </c>
      <c r="U556" s="207">
        <f>_xlfn.XLOOKUP(G556,'[1]BP Setup'!$B$6:$B$72,'[1]BP Setup'!$Q$6:$Q$72)</f>
        <v/>
      </c>
      <c r="V556" s="207">
        <f>_xlfn.XLOOKUP(G556,'[1]BP Setup'!$B$6:$B$72,'[1]BP Setup'!$R$6:$R$72)</f>
        <v/>
      </c>
      <c r="W556" s="207">
        <f>$W$3</f>
        <v/>
      </c>
      <c r="X556" s="207" t="n">
        <v>80</v>
      </c>
      <c r="Y556" s="236">
        <f>T556*R556</f>
        <v/>
      </c>
      <c r="Z556" s="236">
        <f>U556*O556</f>
        <v/>
      </c>
      <c r="AA556" s="236">
        <f>V556*O556</f>
        <v/>
      </c>
      <c r="AB556" s="236">
        <f>W556*O556</f>
        <v/>
      </c>
      <c r="AC556" s="197">
        <f>X556*O556</f>
        <v/>
      </c>
      <c r="AD556" s="236" t="n">
        <v>0</v>
      </c>
      <c r="AE556" s="236" t="n">
        <v>0</v>
      </c>
      <c r="AF556" s="207">
        <f>SUM(Y556:AE556)</f>
        <v/>
      </c>
      <c r="AG556" s="254">
        <f>_xlfn.XLOOKUP(G556,[1]Fx!$A$16:$A$22,[1]Fx!$B$16:$B$22)</f>
        <v/>
      </c>
      <c r="AH556" s="207">
        <f>AG556*R556</f>
        <v/>
      </c>
      <c r="AI556" s="207">
        <f>$AI$3*Z556</f>
        <v/>
      </c>
      <c r="AJ556" s="207">
        <f>$AJ$3*AA556</f>
        <v/>
      </c>
      <c r="AK556" s="207">
        <f>$AK$3*AB556</f>
        <v/>
      </c>
      <c r="AL556" s="207">
        <f>$AL$3*AC556</f>
        <v/>
      </c>
      <c r="AM556" s="227">
        <f>SUM(AH556:AL556)</f>
        <v/>
      </c>
      <c r="AN556" s="227" t="n">
        <v>0</v>
      </c>
      <c r="AO556" s="220">
        <f>AN556*AH556</f>
        <v/>
      </c>
      <c r="AP556" s="220">
        <f>AD556</f>
        <v/>
      </c>
      <c r="AQ556" s="220">
        <f>AE556</f>
        <v/>
      </c>
      <c r="AR556" s="208">
        <f>AM556-AO556</f>
        <v/>
      </c>
      <c r="AS556" s="220">
        <f>AR556-AK556</f>
        <v/>
      </c>
      <c r="AT556" s="208">
        <f>AS556*1.075</f>
        <v/>
      </c>
      <c r="AU556" s="208">
        <f>AT556+AK556</f>
        <v/>
      </c>
      <c r="AV556" s="198" t="n">
        <v>263204.3991481314</v>
      </c>
      <c r="AW556" s="264" t="n">
        <v>0</v>
      </c>
      <c r="AX556" s="220">
        <f>AV556-AR556</f>
        <v/>
      </c>
      <c r="AY556" s="35">
        <f>AX556/AR556</f>
        <v/>
      </c>
      <c r="AZ556" s="220">
        <f>AV556-AF556</f>
        <v/>
      </c>
      <c r="BA556" s="215">
        <f>AV556-SUM(Z556:AC556)</f>
        <v/>
      </c>
      <c r="BB556" s="215">
        <f>BA556-Y556</f>
        <v/>
      </c>
      <c r="BC556" s="35">
        <f>BB556/BA556</f>
        <v/>
      </c>
      <c r="BD556" s="35">
        <f>IFERROR(AZ556/AV556,)</f>
        <v/>
      </c>
      <c r="BE556" s="255">
        <f>AV556-SUM(Z556:AC556)</f>
        <v/>
      </c>
      <c r="BF556" s="255">
        <f>AV556-BE556-AC556-AB556</f>
        <v/>
      </c>
      <c r="BG556" s="255">
        <f>AV556-BE556-BF556-AB556</f>
        <v/>
      </c>
      <c r="BH556" s="255">
        <f>AB556</f>
        <v/>
      </c>
      <c r="BI556" s="263" t="inlineStr">
        <is>
          <t>Worst Case Approved</t>
        </is>
      </c>
    </row>
    <row r="557">
      <c r="C557" s="23" t="inlineStr">
        <is>
          <t>YEKINI</t>
        </is>
      </c>
      <c r="D557">
        <f>CONCATENATE(G557,"-",H557,"-",F557)</f>
        <v/>
      </c>
      <c r="E557" s="24" t="inlineStr">
        <is>
          <t>JMG-8T-Hiabs Logistics-Upcountry</t>
        </is>
      </c>
      <c r="F557" s="23" t="inlineStr">
        <is>
          <t>Upcountry</t>
        </is>
      </c>
      <c r="G557" s="25" t="inlineStr">
        <is>
          <t>Hiabs Logistics</t>
        </is>
      </c>
      <c r="H557" s="24" t="inlineStr">
        <is>
          <t>8T</t>
        </is>
      </c>
      <c r="I557" s="73" t="inlineStr">
        <is>
          <t>JMG</t>
        </is>
      </c>
      <c r="J557" s="74" t="inlineStr">
        <is>
          <t>Lagos</t>
        </is>
      </c>
      <c r="K557" s="202" t="inlineStr">
        <is>
          <t>Osun</t>
        </is>
      </c>
      <c r="L557" s="77" t="inlineStr">
        <is>
          <t>Osun</t>
        </is>
      </c>
      <c r="M557" s="66" t="n"/>
      <c r="N557" s="201">
        <f>O557/2</f>
        <v/>
      </c>
      <c r="O557" s="201" t="n">
        <v>407</v>
      </c>
      <c r="P557" s="227">
        <f>ROUNDUP(O557/300,)</f>
        <v/>
      </c>
      <c r="Q557" s="220" t="n">
        <v>0</v>
      </c>
      <c r="R557" s="227">
        <f>Q557+P557</f>
        <v/>
      </c>
      <c r="S557" s="198">
        <f>ROUNDDOWN(O557*0.51,)+60</f>
        <v/>
      </c>
      <c r="T557" s="207">
        <f>_xlfn.XLOOKUP(G557,[1]Fx!$A$4:$A$10,[1]Fx!$B$4:$B$10)</f>
        <v/>
      </c>
      <c r="U557" s="207">
        <f>_xlfn.XLOOKUP(G557,'[1]BP Setup'!$B$6:$B$72,'[1]BP Setup'!$Q$6:$Q$72)</f>
        <v/>
      </c>
      <c r="V557" s="207">
        <f>_xlfn.XLOOKUP(G557,'[1]BP Setup'!$B$6:$B$72,'[1]BP Setup'!$R$6:$R$72)</f>
        <v/>
      </c>
      <c r="W557" s="207">
        <f>$W$3</f>
        <v/>
      </c>
      <c r="X557" s="207" t="n">
        <v>80</v>
      </c>
      <c r="Y557" s="236">
        <f>T557*R557</f>
        <v/>
      </c>
      <c r="Z557" s="236">
        <f>U557*O557</f>
        <v/>
      </c>
      <c r="AA557" s="236">
        <f>V557*O557</f>
        <v/>
      </c>
      <c r="AB557" s="236">
        <f>W557*O557</f>
        <v/>
      </c>
      <c r="AC557" s="197">
        <f>X557*O557</f>
        <v/>
      </c>
      <c r="AD557" s="236" t="n">
        <v>0</v>
      </c>
      <c r="AE557" s="236" t="n">
        <v>0</v>
      </c>
      <c r="AF557" s="207">
        <f>SUM(Y557:AE557)</f>
        <v/>
      </c>
      <c r="AG557" s="254">
        <f>_xlfn.XLOOKUP(G557,[1]Fx!$A$16:$A$22,[1]Fx!$B$16:$B$22)</f>
        <v/>
      </c>
      <c r="AH557" s="207">
        <f>AG557*R557</f>
        <v/>
      </c>
      <c r="AI557" s="207">
        <f>$AI$3*Z557</f>
        <v/>
      </c>
      <c r="AJ557" s="207">
        <f>$AJ$3*AA557</f>
        <v/>
      </c>
      <c r="AK557" s="207">
        <f>$AK$3*AB557</f>
        <v/>
      </c>
      <c r="AL557" s="207">
        <f>$AL$3*AC557</f>
        <v/>
      </c>
      <c r="AM557" s="227">
        <f>SUM(AH557:AL557)</f>
        <v/>
      </c>
      <c r="AN557" s="227" t="n">
        <v>0</v>
      </c>
      <c r="AO557" s="220">
        <f>AN557*AH557</f>
        <v/>
      </c>
      <c r="AP557" s="220">
        <f>AD557</f>
        <v/>
      </c>
      <c r="AQ557" s="220">
        <f>AE557</f>
        <v/>
      </c>
      <c r="AR557" s="208">
        <f>AM557-AO557</f>
        <v/>
      </c>
      <c r="AS557" s="220">
        <f>AR557-AK557</f>
        <v/>
      </c>
      <c r="AT557" s="208">
        <f>AS557*1.075</f>
        <v/>
      </c>
      <c r="AU557" s="208">
        <f>AT557+AK557</f>
        <v/>
      </c>
      <c r="AV557" s="198" t="n">
        <v>263204.3991481314</v>
      </c>
      <c r="AW557" s="264" t="n">
        <v>0</v>
      </c>
      <c r="AX557" s="220">
        <f>AV557-AR557</f>
        <v/>
      </c>
      <c r="AY557" s="35">
        <f>AX557/AR557</f>
        <v/>
      </c>
      <c r="AZ557" s="220">
        <f>AV557-AF557</f>
        <v/>
      </c>
      <c r="BA557" s="215">
        <f>AV557-SUM(Z557:AC557)</f>
        <v/>
      </c>
      <c r="BB557" s="215">
        <f>BA557-Y557</f>
        <v/>
      </c>
      <c r="BC557" s="35">
        <f>BB557/BA557</f>
        <v/>
      </c>
      <c r="BD557" s="35">
        <f>IFERROR(AZ557/AV557,)</f>
        <v/>
      </c>
      <c r="BE557" s="255">
        <f>AV557-SUM(Z557:AC557)</f>
        <v/>
      </c>
      <c r="BF557" s="255">
        <f>AV557-BE557-AC557-AB557</f>
        <v/>
      </c>
      <c r="BG557" s="255">
        <f>AV557-BE557-BF557-AB557</f>
        <v/>
      </c>
      <c r="BH557" s="255">
        <f>AB557</f>
        <v/>
      </c>
      <c r="BI557" s="263" t="inlineStr">
        <is>
          <t>Worst Case Approved</t>
        </is>
      </c>
    </row>
    <row r="558">
      <c r="C558" s="23" t="inlineStr">
        <is>
          <t>YEKINI</t>
        </is>
      </c>
      <c r="D558">
        <f>CONCATENATE(G558,"-",H558,"-",F558)</f>
        <v/>
      </c>
      <c r="E558" s="24" t="inlineStr">
        <is>
          <t>JMG-8T-Hiabs Logistics-Upcountry</t>
        </is>
      </c>
      <c r="F558" s="23" t="inlineStr">
        <is>
          <t>Upcountry</t>
        </is>
      </c>
      <c r="G558" s="25" t="inlineStr">
        <is>
          <t>Hiabs Logistics</t>
        </is>
      </c>
      <c r="H558" s="24" t="inlineStr">
        <is>
          <t>8T</t>
        </is>
      </c>
      <c r="I558" s="73" t="inlineStr">
        <is>
          <t>JMG</t>
        </is>
      </c>
      <c r="J558" s="74" t="inlineStr">
        <is>
          <t>Lagos</t>
        </is>
      </c>
      <c r="K558" s="202" t="inlineStr">
        <is>
          <t>Ijebu-Ode</t>
        </is>
      </c>
      <c r="L558" s="77" t="inlineStr">
        <is>
          <t>Ogun</t>
        </is>
      </c>
      <c r="M558" s="66" t="n"/>
      <c r="N558" s="201">
        <f>O558/2</f>
        <v/>
      </c>
      <c r="O558" s="200" t="n">
        <v>200</v>
      </c>
      <c r="P558" s="227">
        <f>ROUNDUP(O558/300,)</f>
        <v/>
      </c>
      <c r="Q558" s="220" t="n">
        <v>0</v>
      </c>
      <c r="R558" s="227">
        <f>Q558+P558</f>
        <v/>
      </c>
      <c r="S558" s="198">
        <f>ROUNDDOWN(O558*0.51,)+60</f>
        <v/>
      </c>
      <c r="T558" s="207">
        <f>_xlfn.XLOOKUP(G558,[1]Fx!$A$4:$A$10,[1]Fx!$B$4:$B$10)</f>
        <v/>
      </c>
      <c r="U558" s="207">
        <f>_xlfn.XLOOKUP(G558,'[1]BP Setup'!$B$6:$B$72,'[1]BP Setup'!$Q$6:$Q$72)</f>
        <v/>
      </c>
      <c r="V558" s="207">
        <f>_xlfn.XLOOKUP(G558,'[1]BP Setup'!$B$6:$B$72,'[1]BP Setup'!$R$6:$R$72)</f>
        <v/>
      </c>
      <c r="W558" s="207">
        <f>$W$3</f>
        <v/>
      </c>
      <c r="X558" s="207" t="n">
        <v>80</v>
      </c>
      <c r="Y558" s="236">
        <f>T558*R558</f>
        <v/>
      </c>
      <c r="Z558" s="236">
        <f>U558*O558</f>
        <v/>
      </c>
      <c r="AA558" s="236">
        <f>V558*O558</f>
        <v/>
      </c>
      <c r="AB558" s="236">
        <f>W558*O558</f>
        <v/>
      </c>
      <c r="AC558" s="197">
        <f>X558*O558</f>
        <v/>
      </c>
      <c r="AD558" s="236" t="n">
        <v>0</v>
      </c>
      <c r="AE558" s="236" t="n">
        <v>0</v>
      </c>
      <c r="AF558" s="207">
        <f>SUM(Y558:AE558)</f>
        <v/>
      </c>
      <c r="AG558" s="254">
        <f>_xlfn.XLOOKUP(G558,[1]Fx!$A$16:$A$22,[1]Fx!$B$16:$B$22)</f>
        <v/>
      </c>
      <c r="AH558" s="207">
        <f>AG558*R558</f>
        <v/>
      </c>
      <c r="AI558" s="207">
        <f>$AI$3*Z558</f>
        <v/>
      </c>
      <c r="AJ558" s="207">
        <f>$AJ$3*AA558</f>
        <v/>
      </c>
      <c r="AK558" s="207">
        <f>$AK$3*AB558</f>
        <v/>
      </c>
      <c r="AL558" s="207">
        <f>$AL$3*AC558</f>
        <v/>
      </c>
      <c r="AM558" s="227">
        <f>SUM(AH558:AL558)</f>
        <v/>
      </c>
      <c r="AN558" s="227" t="n">
        <v>0</v>
      </c>
      <c r="AO558" s="220">
        <f>AN558*AH558</f>
        <v/>
      </c>
      <c r="AP558" s="220">
        <f>AD558</f>
        <v/>
      </c>
      <c r="AQ558" s="220">
        <f>AE558</f>
        <v/>
      </c>
      <c r="AR558" s="208">
        <f>AM558-AO558</f>
        <v/>
      </c>
      <c r="AS558" s="220">
        <f>AR558-AK558</f>
        <v/>
      </c>
      <c r="AT558" s="208">
        <f>AS558*1.075</f>
        <v/>
      </c>
      <c r="AU558" s="208">
        <f>AT558+AK558</f>
        <v/>
      </c>
      <c r="AV558" s="198" t="n">
        <v>131602.1995740657</v>
      </c>
      <c r="AW558" s="264" t="n">
        <v>0</v>
      </c>
      <c r="AX558" s="220">
        <f>AV558-AR558</f>
        <v/>
      </c>
      <c r="AY558" s="35">
        <f>AX558/AR558</f>
        <v/>
      </c>
      <c r="AZ558" s="220">
        <f>AV558-AF558</f>
        <v/>
      </c>
      <c r="BA558" s="215">
        <f>AV558-SUM(Z558:AC558)</f>
        <v/>
      </c>
      <c r="BB558" s="215">
        <f>BA558-Y558</f>
        <v/>
      </c>
      <c r="BC558" s="35">
        <f>BB558/BA558</f>
        <v/>
      </c>
      <c r="BD558" s="35">
        <f>IFERROR(AZ558/AV558,)</f>
        <v/>
      </c>
      <c r="BE558" s="255">
        <f>AV558-SUM(Z558:AC558)</f>
        <v/>
      </c>
      <c r="BF558" s="255">
        <f>AV558-BE558-AC558-AB558</f>
        <v/>
      </c>
      <c r="BG558" s="255">
        <f>AV558-BE558-BF558-AB558</f>
        <v/>
      </c>
      <c r="BH558" s="255">
        <f>AB558</f>
        <v/>
      </c>
      <c r="BI558" s="263" t="inlineStr">
        <is>
          <t>Worst Case Approved</t>
        </is>
      </c>
    </row>
    <row r="559">
      <c r="C559" s="23" t="inlineStr">
        <is>
          <t>YEKINI</t>
        </is>
      </c>
      <c r="D559">
        <f>CONCATENATE(G559,"-",H559,"-",F559)</f>
        <v/>
      </c>
      <c r="E559" s="24" t="inlineStr">
        <is>
          <t>JMG-8T-Hiabs Logistics-Upcountry</t>
        </is>
      </c>
      <c r="F559" s="23" t="inlineStr">
        <is>
          <t>Upcountry</t>
        </is>
      </c>
      <c r="G559" s="25" t="inlineStr">
        <is>
          <t>Hiabs Logistics</t>
        </is>
      </c>
      <c r="H559" s="24" t="inlineStr">
        <is>
          <t>8T</t>
        </is>
      </c>
      <c r="I559" s="73" t="inlineStr">
        <is>
          <t>JMG</t>
        </is>
      </c>
      <c r="J559" s="74" t="inlineStr">
        <is>
          <t>Lagos</t>
        </is>
      </c>
      <c r="K559" s="202" t="inlineStr">
        <is>
          <t>Ile-Ife</t>
        </is>
      </c>
      <c r="L559" s="77" t="inlineStr">
        <is>
          <t>Osun</t>
        </is>
      </c>
      <c r="M559" s="66" t="n"/>
      <c r="N559" s="201">
        <f>O559/2</f>
        <v/>
      </c>
      <c r="O559" s="200" t="n">
        <v>405</v>
      </c>
      <c r="P559" s="227">
        <f>ROUNDUP(O559/300,)</f>
        <v/>
      </c>
      <c r="Q559" s="220" t="n">
        <v>0</v>
      </c>
      <c r="R559" s="227">
        <f>Q559+P559</f>
        <v/>
      </c>
      <c r="S559" s="198">
        <f>ROUNDDOWN(O559*0.51,)+60</f>
        <v/>
      </c>
      <c r="T559" s="207">
        <f>_xlfn.XLOOKUP(G559,[1]Fx!$A$4:$A$10,[1]Fx!$B$4:$B$10)</f>
        <v/>
      </c>
      <c r="U559" s="207">
        <f>_xlfn.XLOOKUP(G559,'[1]BP Setup'!$B$6:$B$72,'[1]BP Setup'!$Q$6:$Q$72)</f>
        <v/>
      </c>
      <c r="V559" s="207">
        <f>_xlfn.XLOOKUP(G559,'[1]BP Setup'!$B$6:$B$72,'[1]BP Setup'!$R$6:$R$72)</f>
        <v/>
      </c>
      <c r="W559" s="207">
        <f>$W$3</f>
        <v/>
      </c>
      <c r="X559" s="207" t="n">
        <v>80</v>
      </c>
      <c r="Y559" s="236">
        <f>T559*R559</f>
        <v/>
      </c>
      <c r="Z559" s="236">
        <f>U559*O559</f>
        <v/>
      </c>
      <c r="AA559" s="236">
        <f>V559*O559</f>
        <v/>
      </c>
      <c r="AB559" s="236">
        <f>W559*O559</f>
        <v/>
      </c>
      <c r="AC559" s="197">
        <f>X559*O559</f>
        <v/>
      </c>
      <c r="AD559" s="236" t="n">
        <v>0</v>
      </c>
      <c r="AE559" s="236" t="n">
        <v>0</v>
      </c>
      <c r="AF559" s="207">
        <f>SUM(Y559:AE559)</f>
        <v/>
      </c>
      <c r="AG559" s="254">
        <f>_xlfn.XLOOKUP(G559,[1]Fx!$A$16:$A$22,[1]Fx!$B$16:$B$22)</f>
        <v/>
      </c>
      <c r="AH559" s="207">
        <f>AG559*R559</f>
        <v/>
      </c>
      <c r="AI559" s="207">
        <f>$AI$3*Z559</f>
        <v/>
      </c>
      <c r="AJ559" s="207">
        <f>$AJ$3*AA559</f>
        <v/>
      </c>
      <c r="AK559" s="207">
        <f>$AK$3*AB559</f>
        <v/>
      </c>
      <c r="AL559" s="207">
        <f>$AL$3*AC559</f>
        <v/>
      </c>
      <c r="AM559" s="227">
        <f>SUM(AH559:AL559)</f>
        <v/>
      </c>
      <c r="AN559" s="227" t="n">
        <v>0</v>
      </c>
      <c r="AO559" s="220">
        <f>AN559*AH559</f>
        <v/>
      </c>
      <c r="AP559" s="220">
        <f>AD559</f>
        <v/>
      </c>
      <c r="AQ559" s="220">
        <f>AE559</f>
        <v/>
      </c>
      <c r="AR559" s="208">
        <f>AM559-AO559</f>
        <v/>
      </c>
      <c r="AS559" s="220">
        <f>AR559-AK559</f>
        <v/>
      </c>
      <c r="AT559" s="208">
        <f>AS559*1.075</f>
        <v/>
      </c>
      <c r="AU559" s="208">
        <f>AT559+AK559</f>
        <v/>
      </c>
      <c r="AV559" s="198" t="n">
        <v>263204.3991481314</v>
      </c>
      <c r="AW559" s="264" t="n">
        <v>0</v>
      </c>
      <c r="AX559" s="220">
        <f>AV559-AR559</f>
        <v/>
      </c>
      <c r="AY559" s="35">
        <f>AX559/AR559</f>
        <v/>
      </c>
      <c r="AZ559" s="220">
        <f>AV559-AF559</f>
        <v/>
      </c>
      <c r="BA559" s="215">
        <f>AV559-SUM(Z559:AC559)</f>
        <v/>
      </c>
      <c r="BB559" s="215">
        <f>BA559-Y559</f>
        <v/>
      </c>
      <c r="BC559" s="35">
        <f>BB559/BA559</f>
        <v/>
      </c>
      <c r="BD559" s="35">
        <f>IFERROR(AZ559/AV559,)</f>
        <v/>
      </c>
      <c r="BE559" s="255">
        <f>AV559-SUM(Z559:AC559)</f>
        <v/>
      </c>
      <c r="BF559" s="255">
        <f>AV559-BE559-AC559-AB559</f>
        <v/>
      </c>
      <c r="BG559" s="255">
        <f>AV559-BE559-BF559-AB559</f>
        <v/>
      </c>
      <c r="BH559" s="255">
        <f>AB559</f>
        <v/>
      </c>
      <c r="BI559" s="263" t="inlineStr">
        <is>
          <t>Approved</t>
        </is>
      </c>
    </row>
    <row r="560">
      <c r="C560" s="23" t="inlineStr">
        <is>
          <t>YEKINI</t>
        </is>
      </c>
      <c r="D560">
        <f>CONCATENATE(G560,"-",H560,"-",F560)</f>
        <v/>
      </c>
      <c r="E560" s="24" t="inlineStr">
        <is>
          <t>JMG-8T-Hiabs Logistics-Upcountry</t>
        </is>
      </c>
      <c r="F560" s="23" t="inlineStr">
        <is>
          <t>Upcountry</t>
        </is>
      </c>
      <c r="G560" s="25" t="inlineStr">
        <is>
          <t>Hiabs Logistics</t>
        </is>
      </c>
      <c r="H560" s="24" t="inlineStr">
        <is>
          <t>8T</t>
        </is>
      </c>
      <c r="I560" s="73" t="inlineStr">
        <is>
          <t>JMG</t>
        </is>
      </c>
      <c r="J560" s="74" t="inlineStr">
        <is>
          <t>Lagos</t>
        </is>
      </c>
      <c r="K560" s="202" t="inlineStr">
        <is>
          <t>Ibadan</t>
        </is>
      </c>
      <c r="L560" s="77" t="inlineStr">
        <is>
          <t>Oyo</t>
        </is>
      </c>
      <c r="M560" s="66" t="n"/>
      <c r="N560" s="201">
        <f>O560/2</f>
        <v/>
      </c>
      <c r="O560" s="201" t="n">
        <v>241</v>
      </c>
      <c r="P560" s="227">
        <f>ROUNDUP(O560/300,)</f>
        <v/>
      </c>
      <c r="Q560" s="220" t="n">
        <v>0</v>
      </c>
      <c r="R560" s="227">
        <f>Q560+P560</f>
        <v/>
      </c>
      <c r="S560" s="198">
        <f>ROUNDDOWN(O560*0.51,)+60</f>
        <v/>
      </c>
      <c r="T560" s="207">
        <f>_xlfn.XLOOKUP(G560,[1]Fx!$A$4:$A$10,[1]Fx!$B$4:$B$10)</f>
        <v/>
      </c>
      <c r="U560" s="207">
        <f>_xlfn.XLOOKUP(G560,'[1]BP Setup'!$B$6:$B$72,'[1]BP Setup'!$Q$6:$Q$72)</f>
        <v/>
      </c>
      <c r="V560" s="207">
        <f>_xlfn.XLOOKUP(G560,'[1]BP Setup'!$B$6:$B$72,'[1]BP Setup'!$R$6:$R$72)</f>
        <v/>
      </c>
      <c r="W560" s="207">
        <f>$W$3</f>
        <v/>
      </c>
      <c r="X560" s="207" t="n">
        <v>80</v>
      </c>
      <c r="Y560" s="236">
        <f>T560*R560</f>
        <v/>
      </c>
      <c r="Z560" s="236">
        <f>U560*O560</f>
        <v/>
      </c>
      <c r="AA560" s="236">
        <f>V560*O560</f>
        <v/>
      </c>
      <c r="AB560" s="236">
        <f>W560*O560</f>
        <v/>
      </c>
      <c r="AC560" s="197">
        <f>X560*O560</f>
        <v/>
      </c>
      <c r="AD560" s="236" t="n">
        <v>0</v>
      </c>
      <c r="AE560" s="236" t="n">
        <v>0</v>
      </c>
      <c r="AF560" s="207">
        <f>SUM(Y560:AE560)</f>
        <v/>
      </c>
      <c r="AG560" s="254">
        <f>_xlfn.XLOOKUP(G560,[1]Fx!$A$16:$A$22,[1]Fx!$B$16:$B$22)</f>
        <v/>
      </c>
      <c r="AH560" s="207">
        <f>AG560*R560</f>
        <v/>
      </c>
      <c r="AI560" s="207">
        <f>$AI$3*Z560</f>
        <v/>
      </c>
      <c r="AJ560" s="207">
        <f>$AJ$3*AA560</f>
        <v/>
      </c>
      <c r="AK560" s="207">
        <f>$AK$3*AB560</f>
        <v/>
      </c>
      <c r="AL560" s="207">
        <f>$AL$3*AC560</f>
        <v/>
      </c>
      <c r="AM560" s="227">
        <f>SUM(AH560:AL560)</f>
        <v/>
      </c>
      <c r="AN560" s="227" t="n">
        <v>0</v>
      </c>
      <c r="AO560" s="220">
        <f>AN560*AH560</f>
        <v/>
      </c>
      <c r="AP560" s="220">
        <f>AD560</f>
        <v/>
      </c>
      <c r="AQ560" s="220">
        <f>AE560</f>
        <v/>
      </c>
      <c r="AR560" s="208">
        <f>AM560-AO560</f>
        <v/>
      </c>
      <c r="AS560" s="220">
        <f>AR560-AK560</f>
        <v/>
      </c>
      <c r="AT560" s="208">
        <f>AS560*1.075</f>
        <v/>
      </c>
      <c r="AU560" s="208">
        <f>AT560+AK560</f>
        <v/>
      </c>
      <c r="AV560" s="198" t="n">
        <v>131602.1995740657</v>
      </c>
      <c r="AW560" s="264" t="n">
        <v>0</v>
      </c>
      <c r="AX560" s="220">
        <f>AV560-AR560</f>
        <v/>
      </c>
      <c r="AY560" s="35">
        <f>AX560/AR560</f>
        <v/>
      </c>
      <c r="AZ560" s="220">
        <f>AV560-AF560</f>
        <v/>
      </c>
      <c r="BA560" s="215">
        <f>AV560-SUM(Z560:AC560)</f>
        <v/>
      </c>
      <c r="BB560" s="215">
        <f>BA560-Y560</f>
        <v/>
      </c>
      <c r="BC560" s="35">
        <f>BB560/BA560</f>
        <v/>
      </c>
      <c r="BD560" s="35">
        <f>IFERROR(AZ560/AV560,)</f>
        <v/>
      </c>
      <c r="BE560" s="255">
        <f>AV560-SUM(Z560:AC560)</f>
        <v/>
      </c>
      <c r="BF560" s="255">
        <f>AV560-BE560-AC560-AB560</f>
        <v/>
      </c>
      <c r="BG560" s="255">
        <f>AV560-BE560-BF560-AB560</f>
        <v/>
      </c>
      <c r="BH560" s="255">
        <f>AB560</f>
        <v/>
      </c>
      <c r="BI560" s="263" t="inlineStr">
        <is>
          <t>Worst Case Approved</t>
        </is>
      </c>
    </row>
    <row r="561">
      <c r="C561" s="23" t="inlineStr">
        <is>
          <t>YEKINI</t>
        </is>
      </c>
      <c r="D561">
        <f>CONCATENATE(G561,"-",H561,"-",F561)</f>
        <v/>
      </c>
      <c r="E561" s="24" t="inlineStr">
        <is>
          <t>JMG-8T-Hiabs Logistics-Upcountry</t>
        </is>
      </c>
      <c r="F561" s="23" t="inlineStr">
        <is>
          <t>Upcountry</t>
        </is>
      </c>
      <c r="G561" s="25" t="inlineStr">
        <is>
          <t>Hiabs Logistics</t>
        </is>
      </c>
      <c r="H561" s="24" t="inlineStr">
        <is>
          <t>8T</t>
        </is>
      </c>
      <c r="I561" s="73" t="inlineStr">
        <is>
          <t>JMG</t>
        </is>
      </c>
      <c r="J561" s="74" t="inlineStr">
        <is>
          <t>Lagos</t>
        </is>
      </c>
      <c r="K561" s="202" t="inlineStr">
        <is>
          <t>Abeokuta</t>
        </is>
      </c>
      <c r="L561" s="77" t="inlineStr">
        <is>
          <t>Ogun</t>
        </is>
      </c>
      <c r="M561" s="66" t="n"/>
      <c r="N561" s="201">
        <f>O561/2</f>
        <v/>
      </c>
      <c r="O561" s="201" t="n">
        <v>199</v>
      </c>
      <c r="P561" s="227">
        <f>ROUNDUP(O561/300,)</f>
        <v/>
      </c>
      <c r="Q561" s="220" t="n">
        <v>0</v>
      </c>
      <c r="R561" s="227">
        <f>Q561+P561</f>
        <v/>
      </c>
      <c r="S561" s="198">
        <f>ROUNDDOWN(O561*0.51,)+60</f>
        <v/>
      </c>
      <c r="T561" s="207">
        <f>_xlfn.XLOOKUP(G561,[1]Fx!$A$4:$A$10,[1]Fx!$B$4:$B$10)</f>
        <v/>
      </c>
      <c r="U561" s="207">
        <f>_xlfn.XLOOKUP(G561,'[1]BP Setup'!$B$6:$B$72,'[1]BP Setup'!$Q$6:$Q$72)</f>
        <v/>
      </c>
      <c r="V561" s="207">
        <f>_xlfn.XLOOKUP(G561,'[1]BP Setup'!$B$6:$B$72,'[1]BP Setup'!$R$6:$R$72)</f>
        <v/>
      </c>
      <c r="W561" s="207">
        <f>$W$3</f>
        <v/>
      </c>
      <c r="X561" s="207" t="n">
        <v>80</v>
      </c>
      <c r="Y561" s="236">
        <f>T561*R561</f>
        <v/>
      </c>
      <c r="Z561" s="236">
        <f>U561*O561</f>
        <v/>
      </c>
      <c r="AA561" s="236">
        <f>V561*O561</f>
        <v/>
      </c>
      <c r="AB561" s="236">
        <f>W561*O561</f>
        <v/>
      </c>
      <c r="AC561" s="197">
        <f>X561*O561</f>
        <v/>
      </c>
      <c r="AD561" s="236" t="n">
        <v>0</v>
      </c>
      <c r="AE561" s="236" t="n">
        <v>0</v>
      </c>
      <c r="AF561" s="207">
        <f>SUM(Y561:AE561)</f>
        <v/>
      </c>
      <c r="AG561" s="254">
        <f>_xlfn.XLOOKUP(G561,[1]Fx!$A$16:$A$22,[1]Fx!$B$16:$B$22)</f>
        <v/>
      </c>
      <c r="AH561" s="207">
        <f>AG561*R561</f>
        <v/>
      </c>
      <c r="AI561" s="207">
        <f>$AI$3*Z561</f>
        <v/>
      </c>
      <c r="AJ561" s="207">
        <f>$AJ$3*AA561</f>
        <v/>
      </c>
      <c r="AK561" s="207">
        <f>$AK$3*AB561</f>
        <v/>
      </c>
      <c r="AL561" s="207">
        <f>$AL$3*AC561</f>
        <v/>
      </c>
      <c r="AM561" s="227">
        <f>SUM(AH561:AL561)</f>
        <v/>
      </c>
      <c r="AN561" s="227" t="n">
        <v>0</v>
      </c>
      <c r="AO561" s="220">
        <f>AN561*AH561</f>
        <v/>
      </c>
      <c r="AP561" s="220">
        <f>AD561</f>
        <v/>
      </c>
      <c r="AQ561" s="220">
        <f>AE561</f>
        <v/>
      </c>
      <c r="AR561" s="208">
        <f>AM561-AO561</f>
        <v/>
      </c>
      <c r="AS561" s="220">
        <f>AR561-AK561</f>
        <v/>
      </c>
      <c r="AT561" s="208">
        <f>AS561*1.075</f>
        <v/>
      </c>
      <c r="AU561" s="208">
        <f>AT561+AK561</f>
        <v/>
      </c>
      <c r="AV561" s="198" t="n">
        <v>131602.1995740657</v>
      </c>
      <c r="AW561" s="264" t="n">
        <v>0</v>
      </c>
      <c r="AX561" s="220">
        <f>AV561-AR561</f>
        <v/>
      </c>
      <c r="AY561" s="35">
        <f>AX561/AR561</f>
        <v/>
      </c>
      <c r="AZ561" s="220">
        <f>AV561-AF561</f>
        <v/>
      </c>
      <c r="BA561" s="215">
        <f>AV561-SUM(Z561:AC561)</f>
        <v/>
      </c>
      <c r="BB561" s="215">
        <f>BA561-Y561</f>
        <v/>
      </c>
      <c r="BC561" s="35">
        <f>BB561/BA561</f>
        <v/>
      </c>
      <c r="BD561" s="35">
        <f>IFERROR(AZ561/AV561,)</f>
        <v/>
      </c>
      <c r="BE561" s="255">
        <f>AV561-SUM(Z561:AC561)</f>
        <v/>
      </c>
      <c r="BF561" s="255">
        <f>AV561-BE561-AC561-AB561</f>
        <v/>
      </c>
      <c r="BG561" s="255">
        <f>AV561-BE561-BF561-AB561</f>
        <v/>
      </c>
      <c r="BH561" s="255">
        <f>AB561</f>
        <v/>
      </c>
      <c r="BI561" s="263" t="inlineStr">
        <is>
          <t>Worst Case Approved</t>
        </is>
      </c>
    </row>
    <row r="562">
      <c r="C562" s="23" t="inlineStr">
        <is>
          <t>YEKINI</t>
        </is>
      </c>
      <c r="D562">
        <f>CONCATENATE(G562,"-",H562,"-",F562)</f>
        <v/>
      </c>
      <c r="E562" s="24" t="inlineStr">
        <is>
          <t>JMG-8T-Hiabs Logistics-Upcountry</t>
        </is>
      </c>
      <c r="F562" s="23" t="inlineStr">
        <is>
          <t>Upcountry</t>
        </is>
      </c>
      <c r="G562" s="25" t="inlineStr">
        <is>
          <t>Hiabs Logistics</t>
        </is>
      </c>
      <c r="H562" s="24" t="inlineStr">
        <is>
          <t>8T</t>
        </is>
      </c>
      <c r="I562" s="73" t="inlineStr">
        <is>
          <t>JMG</t>
        </is>
      </c>
      <c r="J562" s="74" t="inlineStr">
        <is>
          <t>Lagos</t>
        </is>
      </c>
      <c r="K562" s="202" t="inlineStr">
        <is>
          <t>Sagamu</t>
        </is>
      </c>
      <c r="L562" s="89" t="inlineStr">
        <is>
          <t>Ogun</t>
        </is>
      </c>
      <c r="M562" s="90" t="n"/>
      <c r="N562" s="201">
        <f>O562/2</f>
        <v/>
      </c>
      <c r="O562" s="201" t="n">
        <v>140</v>
      </c>
      <c r="P562" s="270">
        <f>ROUNDUP(O562/300,)</f>
        <v/>
      </c>
      <c r="Q562" s="220" t="n">
        <v>0</v>
      </c>
      <c r="R562" s="270">
        <f>Q562+P562</f>
        <v/>
      </c>
      <c r="S562" s="198">
        <f>ROUNDDOWN(O562*0.51,)+60</f>
        <v/>
      </c>
      <c r="T562" s="207">
        <f>_xlfn.XLOOKUP(G562,[1]Fx!$A$4:$A$10,[1]Fx!$B$4:$B$10)</f>
        <v/>
      </c>
      <c r="U562" s="207">
        <f>_xlfn.XLOOKUP(G562,'[1]BP Setup'!$B$6:$B$72,'[1]BP Setup'!$Q$6:$Q$72)</f>
        <v/>
      </c>
      <c r="V562" s="207">
        <f>_xlfn.XLOOKUP(G562,'[1]BP Setup'!$B$6:$B$72,'[1]BP Setup'!$R$6:$R$72)</f>
        <v/>
      </c>
      <c r="W562" s="207">
        <f>$W$3</f>
        <v/>
      </c>
      <c r="X562" s="207" t="n">
        <v>80</v>
      </c>
      <c r="Y562" s="271">
        <f>T562*R562</f>
        <v/>
      </c>
      <c r="Z562" s="271">
        <f>U562*O562</f>
        <v/>
      </c>
      <c r="AA562" s="271">
        <f>V562*O562</f>
        <v/>
      </c>
      <c r="AB562" s="271">
        <f>W562*O562</f>
        <v/>
      </c>
      <c r="AC562" s="197">
        <f>X562*O562</f>
        <v/>
      </c>
      <c r="AD562" s="271" t="n">
        <v>0</v>
      </c>
      <c r="AE562" s="271" t="n">
        <v>0</v>
      </c>
      <c r="AF562" s="207">
        <f>SUM(Y562:AE562)</f>
        <v/>
      </c>
      <c r="AG562" s="254">
        <f>_xlfn.XLOOKUP(G562,[1]Fx!$A$16:$A$22,[1]Fx!$B$16:$B$22)</f>
        <v/>
      </c>
      <c r="AH562" s="207">
        <f>AG562*R562</f>
        <v/>
      </c>
      <c r="AI562" s="207">
        <f>$AI$3*Z562</f>
        <v/>
      </c>
      <c r="AJ562" s="207">
        <f>$AJ$3*AA562</f>
        <v/>
      </c>
      <c r="AK562" s="207">
        <f>$AK$3*AB562</f>
        <v/>
      </c>
      <c r="AL562" s="207">
        <f>$AL$3*AC562</f>
        <v/>
      </c>
      <c r="AM562" s="270">
        <f>SUM(AH562:AL562)</f>
        <v/>
      </c>
      <c r="AN562" s="270" t="n">
        <v>0</v>
      </c>
      <c r="AO562" s="220">
        <f>AN562*AH562</f>
        <v/>
      </c>
      <c r="AP562" s="220">
        <f>AD562</f>
        <v/>
      </c>
      <c r="AQ562" s="220">
        <f>AE562</f>
        <v/>
      </c>
      <c r="AR562" s="208">
        <f>AM562-AO562</f>
        <v/>
      </c>
      <c r="AS562" s="220">
        <f>AR562-AK562</f>
        <v/>
      </c>
      <c r="AT562" s="208">
        <f>AS562*1.075</f>
        <v/>
      </c>
      <c r="AU562" s="208">
        <f>AT562+AK562</f>
        <v/>
      </c>
      <c r="AV562" s="198" t="n">
        <v>131602.1995740657</v>
      </c>
      <c r="AW562" s="264" t="n">
        <v>0</v>
      </c>
      <c r="AX562" s="220">
        <f>AV562-AR562</f>
        <v/>
      </c>
      <c r="AY562" s="35">
        <f>AX562/AR562</f>
        <v/>
      </c>
      <c r="AZ562" s="220">
        <f>AV562-AF562</f>
        <v/>
      </c>
      <c r="BA562" s="215">
        <f>AV562-SUM(Z562:AC562)</f>
        <v/>
      </c>
      <c r="BB562" s="215">
        <f>BA562-Y562</f>
        <v/>
      </c>
      <c r="BC562" s="35">
        <f>BB562/BA562</f>
        <v/>
      </c>
      <c r="BD562" s="35">
        <f>IFERROR(AZ562/AV562,)</f>
        <v/>
      </c>
      <c r="BE562" s="255">
        <f>AV562-SUM(Z562:AC562)</f>
        <v/>
      </c>
      <c r="BF562" s="255">
        <f>AV562-BE562-AC562-AB562</f>
        <v/>
      </c>
      <c r="BG562" s="255">
        <f>AV562-BE562-BF562-AB562</f>
        <v/>
      </c>
      <c r="BH562" s="255">
        <f>AB562</f>
        <v/>
      </c>
      <c r="BI562" s="263" t="inlineStr">
        <is>
          <t>Worst Case Approved</t>
        </is>
      </c>
    </row>
    <row r="563">
      <c r="C563" s="23" t="inlineStr">
        <is>
          <t>YEKINI</t>
        </is>
      </c>
      <c r="D563">
        <f>CONCATENATE(G563,"-",H563,"-",F563)</f>
        <v/>
      </c>
      <c r="E563" s="24" t="inlineStr">
        <is>
          <t>JMG-8T-Hiabs Logistics-Upcountry</t>
        </is>
      </c>
      <c r="F563" s="23" t="inlineStr">
        <is>
          <t>Upcountry</t>
        </is>
      </c>
      <c r="G563" s="25" t="inlineStr">
        <is>
          <t>Hiabs Logistics</t>
        </is>
      </c>
      <c r="H563" s="24" t="inlineStr">
        <is>
          <t>8T</t>
        </is>
      </c>
      <c r="I563" s="73" t="inlineStr">
        <is>
          <t>JMG</t>
        </is>
      </c>
      <c r="J563" s="74" t="inlineStr">
        <is>
          <t>Lagos</t>
        </is>
      </c>
      <c r="K563" s="202" t="inlineStr">
        <is>
          <t>Ogun</t>
        </is>
      </c>
      <c r="L563" s="67" t="inlineStr">
        <is>
          <t>Ogun</t>
        </is>
      </c>
      <c r="M563" s="68" t="n"/>
      <c r="N563" s="201">
        <f>O563/2</f>
        <v/>
      </c>
      <c r="O563" s="201" t="n">
        <v>116</v>
      </c>
      <c r="P563" s="220">
        <f>ROUNDUP(O563/300,)</f>
        <v/>
      </c>
      <c r="Q563" s="220" t="n">
        <v>0</v>
      </c>
      <c r="R563" s="220">
        <f>Q563+P563</f>
        <v/>
      </c>
      <c r="S563" s="198">
        <f>ROUNDDOWN(O563*0.51,)+60</f>
        <v/>
      </c>
      <c r="T563" s="207">
        <f>_xlfn.XLOOKUP(G563,[1]Fx!$A$4:$A$10,[1]Fx!$B$4:$B$10)</f>
        <v/>
      </c>
      <c r="U563" s="207">
        <f>_xlfn.XLOOKUP(G563,'[1]BP Setup'!$B$6:$B$72,'[1]BP Setup'!$Q$6:$Q$72)</f>
        <v/>
      </c>
      <c r="V563" s="207">
        <f>_xlfn.XLOOKUP(G563,'[1]BP Setup'!$B$6:$B$72,'[1]BP Setup'!$R$6:$R$72)</f>
        <v/>
      </c>
      <c r="W563" s="207">
        <f>$W$3</f>
        <v/>
      </c>
      <c r="X563" s="207" t="n">
        <v>80</v>
      </c>
      <c r="Y563" s="215">
        <f>T563*R563</f>
        <v/>
      </c>
      <c r="Z563" s="215">
        <f>U563*O563</f>
        <v/>
      </c>
      <c r="AA563" s="215">
        <f>V563*O563</f>
        <v/>
      </c>
      <c r="AB563" s="215">
        <f>W563*O563</f>
        <v/>
      </c>
      <c r="AC563" s="197">
        <f>X563*O563</f>
        <v/>
      </c>
      <c r="AD563" s="215" t="n">
        <v>25000</v>
      </c>
      <c r="AE563" s="215" t="n">
        <v>0</v>
      </c>
      <c r="AF563" s="207">
        <f>SUM(Y563:AE563)</f>
        <v/>
      </c>
      <c r="AG563" s="254">
        <f>_xlfn.XLOOKUP(G563,[1]Fx!$A$16:$A$22,[1]Fx!$B$16:$B$22)</f>
        <v/>
      </c>
      <c r="AH563" s="207">
        <f>AG563*R563</f>
        <v/>
      </c>
      <c r="AI563" s="207">
        <f>$AI$3*Z563</f>
        <v/>
      </c>
      <c r="AJ563" s="207">
        <f>$AJ$3*AA563</f>
        <v/>
      </c>
      <c r="AK563" s="207">
        <f>$AK$3*AB563</f>
        <v/>
      </c>
      <c r="AL563" s="207">
        <f>$AL$3*AC563</f>
        <v/>
      </c>
      <c r="AM563" s="220">
        <f>SUM(AH563:AL563)</f>
        <v/>
      </c>
      <c r="AN563" s="220" t="n">
        <v>0</v>
      </c>
      <c r="AO563" s="220">
        <f>AN563*AH563</f>
        <v/>
      </c>
      <c r="AP563" s="220" t="n">
        <v>0</v>
      </c>
      <c r="AQ563" s="220">
        <f>AE563</f>
        <v/>
      </c>
      <c r="AR563" s="208">
        <f>AM563-AO563</f>
        <v/>
      </c>
      <c r="AS563" s="220">
        <f>AR563-AK563</f>
        <v/>
      </c>
      <c r="AT563" s="208">
        <f>AS563*1.075</f>
        <v/>
      </c>
      <c r="AU563" s="208">
        <f>AT563+AK563</f>
        <v/>
      </c>
      <c r="AV563" s="198" t="n">
        <v>131602.1995740657</v>
      </c>
      <c r="AW563" s="264" t="n">
        <v>0</v>
      </c>
      <c r="AX563" s="220">
        <f>AV563-AU563</f>
        <v/>
      </c>
      <c r="AY563" s="35">
        <f>AX563/AR563</f>
        <v/>
      </c>
      <c r="AZ563" s="220">
        <f>AV563-AF563</f>
        <v/>
      </c>
      <c r="BA563" s="215">
        <f>AV563-SUM(Z563:AC563)</f>
        <v/>
      </c>
      <c r="BB563" s="215">
        <f>BA563-Y563</f>
        <v/>
      </c>
      <c r="BC563" s="35">
        <f>BB563/BA563</f>
        <v/>
      </c>
      <c r="BD563" s="35">
        <f>IFERROR(AZ563/AV563,)</f>
        <v/>
      </c>
      <c r="BE563" s="255">
        <f>AV563-SUM(Z563:AC563)</f>
        <v/>
      </c>
      <c r="BF563" s="255">
        <f>AV563-BE563-AC563-AB563</f>
        <v/>
      </c>
      <c r="BG563" s="255">
        <f>AV563-BE563-BF563-AB563</f>
        <v/>
      </c>
      <c r="BH563" s="255">
        <f>AB563</f>
        <v/>
      </c>
      <c r="BI563" s="263" t="inlineStr">
        <is>
          <t>Approved</t>
        </is>
      </c>
    </row>
    <row r="564">
      <c r="C564" s="23" t="inlineStr">
        <is>
          <t>YEKINI</t>
        </is>
      </c>
      <c r="D564">
        <f>CONCATENATE(G564,"-",H564,"-",F564)</f>
        <v/>
      </c>
      <c r="E564" s="24" t="inlineStr">
        <is>
          <t>JMG-8T-Hiabs Logistics-Local</t>
        </is>
      </c>
      <c r="F564" s="23" t="inlineStr">
        <is>
          <t>Local</t>
        </is>
      </c>
      <c r="G564" s="25" t="inlineStr">
        <is>
          <t>Hiabs Logistics</t>
        </is>
      </c>
      <c r="H564" s="24" t="inlineStr">
        <is>
          <t>8T</t>
        </is>
      </c>
      <c r="I564" s="73" t="inlineStr">
        <is>
          <t>JMG</t>
        </is>
      </c>
      <c r="J564" s="74" t="inlineStr">
        <is>
          <t>Lagos</t>
        </is>
      </c>
      <c r="K564" s="202" t="inlineStr">
        <is>
          <t>Ajah</t>
        </is>
      </c>
      <c r="L564" s="67" t="inlineStr">
        <is>
          <t>Lagos</t>
        </is>
      </c>
      <c r="M564" s="68" t="n"/>
      <c r="N564" s="201">
        <f>O564/2</f>
        <v/>
      </c>
      <c r="O564" s="201" t="n">
        <v>79.3</v>
      </c>
      <c r="P564" s="220">
        <f>ROUNDUP(O564/300,)</f>
        <v/>
      </c>
      <c r="Q564" s="220" t="n">
        <v>0</v>
      </c>
      <c r="R564" s="220">
        <f>Q564+P564</f>
        <v/>
      </c>
      <c r="S564" s="198">
        <f>ROUNDDOWN(O564*0.51,)+60</f>
        <v/>
      </c>
      <c r="T564" s="207">
        <f>_xlfn.XLOOKUP(G564,[1]Fx!$A$4:$A$10,[1]Fx!$B$4:$B$10)</f>
        <v/>
      </c>
      <c r="U564" s="207">
        <f>_xlfn.XLOOKUP(G564,'[1]BP Setup'!$B$6:$B$72,'[1]BP Setup'!$Q$6:$Q$72)</f>
        <v/>
      </c>
      <c r="V564" s="207">
        <f>_xlfn.XLOOKUP(G564,'[1]BP Setup'!$B$6:$B$72,'[1]BP Setup'!$R$6:$R$72)</f>
        <v/>
      </c>
      <c r="W564" s="207">
        <f>$W$3</f>
        <v/>
      </c>
      <c r="X564" s="207" t="n">
        <v>80</v>
      </c>
      <c r="Y564" s="215">
        <f>T564*R564</f>
        <v/>
      </c>
      <c r="Z564" s="215">
        <f>U564*O564</f>
        <v/>
      </c>
      <c r="AA564" s="215">
        <f>V564*O564</f>
        <v/>
      </c>
      <c r="AB564" s="215">
        <f>W564*O564</f>
        <v/>
      </c>
      <c r="AC564" s="197">
        <f>X564*O564</f>
        <v/>
      </c>
      <c r="AD564" s="215" t="n">
        <v>25000</v>
      </c>
      <c r="AE564" s="215" t="n">
        <v>0</v>
      </c>
      <c r="AF564" s="207">
        <f>SUM(Y564:AE564)</f>
        <v/>
      </c>
      <c r="AG564" s="254">
        <f>_xlfn.XLOOKUP(G564,[1]Fx!$A$16:$A$22,[1]Fx!$B$16:$B$22)</f>
        <v/>
      </c>
      <c r="AH564" s="207">
        <f>AG564*R564</f>
        <v/>
      </c>
      <c r="AI564" s="207">
        <f>$AI$3*Z564</f>
        <v/>
      </c>
      <c r="AJ564" s="207">
        <f>$AJ$3*AA564</f>
        <v/>
      </c>
      <c r="AK564" s="207">
        <f>$AK$3*AB564</f>
        <v/>
      </c>
      <c r="AL564" s="207">
        <f>$AL$3*AC564</f>
        <v/>
      </c>
      <c r="AM564" s="220">
        <f>SUM(AH564:AL564)</f>
        <v/>
      </c>
      <c r="AN564" s="220" t="n">
        <v>0</v>
      </c>
      <c r="AO564" s="220">
        <f>AN564*AH564</f>
        <v/>
      </c>
      <c r="AP564" s="220" t="n">
        <v>0</v>
      </c>
      <c r="AQ564" s="220">
        <f>AE564</f>
        <v/>
      </c>
      <c r="AR564" s="208">
        <f>AM564-AO564</f>
        <v/>
      </c>
      <c r="AS564" s="220">
        <f>AR564-AK564</f>
        <v/>
      </c>
      <c r="AT564" s="208">
        <f>AS564*1.075</f>
        <v/>
      </c>
      <c r="AU564" s="208">
        <f>AT564+AK564</f>
        <v/>
      </c>
      <c r="AV564" s="198" t="n">
        <v>131602.1995740657</v>
      </c>
      <c r="AW564" s="264" t="n">
        <v>225000</v>
      </c>
      <c r="AX564" s="220">
        <f>AV564-AU564</f>
        <v/>
      </c>
      <c r="AY564" s="35">
        <f>AX564/AR564</f>
        <v/>
      </c>
      <c r="AZ564" s="220">
        <f>AV564-AF564</f>
        <v/>
      </c>
      <c r="BA564" s="215">
        <f>AV564-SUM(Z564:AC564)</f>
        <v/>
      </c>
      <c r="BB564" s="215">
        <f>BA564-Y564</f>
        <v/>
      </c>
      <c r="BC564" s="35">
        <f>BB564/BA564</f>
        <v/>
      </c>
      <c r="BD564" s="35">
        <f>IFERROR(AZ564/AV564,)</f>
        <v/>
      </c>
      <c r="BE564" s="255">
        <f>AV564-SUM(Z564:AC564)</f>
        <v/>
      </c>
      <c r="BF564" s="255">
        <f>AV564-BE564-AC564-AB564</f>
        <v/>
      </c>
      <c r="BG564" s="255">
        <f>AV564-BE564-BF564-AB564</f>
        <v/>
      </c>
      <c r="BH564" s="255">
        <f>AB564</f>
        <v/>
      </c>
      <c r="BI564" s="263" t="inlineStr">
        <is>
          <t>Approved</t>
        </is>
      </c>
    </row>
    <row r="565">
      <c r="C565" s="23" t="inlineStr">
        <is>
          <t>YEKINI</t>
        </is>
      </c>
      <c r="D565">
        <f>CONCATENATE(G565,"-",H565,"-",F565)</f>
        <v/>
      </c>
      <c r="E565" s="24" t="inlineStr">
        <is>
          <t>JMG-8T-Hiabs Logistics-Local</t>
        </is>
      </c>
      <c r="F565" s="23" t="inlineStr">
        <is>
          <t>Local</t>
        </is>
      </c>
      <c r="G565" s="25" t="inlineStr">
        <is>
          <t>Hiabs Logistics</t>
        </is>
      </c>
      <c r="H565" s="24" t="inlineStr">
        <is>
          <t>8T</t>
        </is>
      </c>
      <c r="I565" s="73" t="inlineStr">
        <is>
          <t>JMG</t>
        </is>
      </c>
      <c r="J565" s="74" t="inlineStr">
        <is>
          <t>Lagos</t>
        </is>
      </c>
      <c r="K565" s="202" t="inlineStr">
        <is>
          <t>Alaba</t>
        </is>
      </c>
      <c r="L565" s="67" t="inlineStr">
        <is>
          <t>Lagos</t>
        </is>
      </c>
      <c r="M565" s="68" t="n"/>
      <c r="N565" s="201">
        <f>O565/2</f>
        <v/>
      </c>
      <c r="O565" s="201" t="n">
        <v>78</v>
      </c>
      <c r="P565" s="220">
        <f>ROUNDUP(O565/300,)</f>
        <v/>
      </c>
      <c r="Q565" s="220" t="n">
        <v>0</v>
      </c>
      <c r="R565" s="220">
        <f>Q565+P565</f>
        <v/>
      </c>
      <c r="S565" s="198">
        <f>ROUNDDOWN(O565*0.51,)+60</f>
        <v/>
      </c>
      <c r="T565" s="207">
        <f>_xlfn.XLOOKUP(G565,[1]Fx!$A$4:$A$10,[1]Fx!$B$4:$B$10)</f>
        <v/>
      </c>
      <c r="U565" s="207">
        <f>_xlfn.XLOOKUP(G565,'[1]BP Setup'!$B$6:$B$72,'[1]BP Setup'!$Q$6:$Q$72)</f>
        <v/>
      </c>
      <c r="V565" s="207">
        <f>_xlfn.XLOOKUP(G565,'[1]BP Setup'!$B$6:$B$72,'[1]BP Setup'!$R$6:$R$72)</f>
        <v/>
      </c>
      <c r="W565" s="207">
        <f>$W$3</f>
        <v/>
      </c>
      <c r="X565" s="207" t="n">
        <v>80</v>
      </c>
      <c r="Y565" s="215">
        <f>T565*R565</f>
        <v/>
      </c>
      <c r="Z565" s="215">
        <f>U565*O565</f>
        <v/>
      </c>
      <c r="AA565" s="215">
        <f>V565*O565</f>
        <v/>
      </c>
      <c r="AB565" s="215">
        <f>W565*O565</f>
        <v/>
      </c>
      <c r="AC565" s="197">
        <f>X565*O565</f>
        <v/>
      </c>
      <c r="AD565" s="215" t="n">
        <v>25000</v>
      </c>
      <c r="AE565" s="215" t="n">
        <v>0</v>
      </c>
      <c r="AF565" s="207">
        <f>SUM(Y565:AE565)</f>
        <v/>
      </c>
      <c r="AG565" s="254">
        <f>_xlfn.XLOOKUP(G565,[1]Fx!$A$16:$A$22,[1]Fx!$B$16:$B$22)</f>
        <v/>
      </c>
      <c r="AH565" s="207">
        <f>AG565*R565</f>
        <v/>
      </c>
      <c r="AI565" s="207">
        <f>$AI$3*Z565</f>
        <v/>
      </c>
      <c r="AJ565" s="207">
        <f>$AJ$3*AA565</f>
        <v/>
      </c>
      <c r="AK565" s="207">
        <f>$AK$3*AB565</f>
        <v/>
      </c>
      <c r="AL565" s="207">
        <f>$AL$3*AC565</f>
        <v/>
      </c>
      <c r="AM565" s="220">
        <f>SUM(AH565:AL565)</f>
        <v/>
      </c>
      <c r="AN565" s="220" t="n">
        <v>0</v>
      </c>
      <c r="AO565" s="220">
        <f>AN565*AH565</f>
        <v/>
      </c>
      <c r="AP565" s="220" t="n">
        <v>0</v>
      </c>
      <c r="AQ565" s="220">
        <f>AE565</f>
        <v/>
      </c>
      <c r="AR565" s="208">
        <f>AM565-AO565</f>
        <v/>
      </c>
      <c r="AS565" s="220">
        <f>AR565-AK565</f>
        <v/>
      </c>
      <c r="AT565" s="208">
        <f>AS565*1.075</f>
        <v/>
      </c>
      <c r="AU565" s="208">
        <f>AT565+AK565</f>
        <v/>
      </c>
      <c r="AV565" s="198" t="n">
        <v>131602.1995740657</v>
      </c>
      <c r="AW565" s="264" t="n">
        <v>0</v>
      </c>
      <c r="AX565" s="220">
        <f>AV565-AU565</f>
        <v/>
      </c>
      <c r="AY565" s="35">
        <f>AX565/AR565</f>
        <v/>
      </c>
      <c r="AZ565" s="220">
        <f>AV565-AF565</f>
        <v/>
      </c>
      <c r="BA565" s="215">
        <f>AV565-SUM(Z565:AC565)</f>
        <v/>
      </c>
      <c r="BB565" s="215">
        <f>BA565-Y565</f>
        <v/>
      </c>
      <c r="BC565" s="35">
        <f>BB565/BA565</f>
        <v/>
      </c>
      <c r="BD565" s="35">
        <f>IFERROR(AZ565/AV565,)</f>
        <v/>
      </c>
      <c r="BE565" s="255">
        <f>AV565-SUM(Z565:AC565)</f>
        <v/>
      </c>
      <c r="BF565" s="255">
        <f>AV565-BE565-AC565-AB565</f>
        <v/>
      </c>
      <c r="BG565" s="255">
        <f>AV565-BE565-BF565-AB565</f>
        <v/>
      </c>
      <c r="BH565" s="255">
        <f>AB565</f>
        <v/>
      </c>
      <c r="BI565" s="263" t="inlineStr">
        <is>
          <t>Approved</t>
        </is>
      </c>
    </row>
    <row r="566">
      <c r="C566" s="23" t="inlineStr">
        <is>
          <t>YEKINI</t>
        </is>
      </c>
      <c r="D566">
        <f>CONCATENATE(G566,"-",H566,"-",F566)</f>
        <v/>
      </c>
      <c r="E566" s="24" t="inlineStr">
        <is>
          <t>JMG-8T-Hiabs Logistics-Local</t>
        </is>
      </c>
      <c r="F566" s="23" t="inlineStr">
        <is>
          <t>Local</t>
        </is>
      </c>
      <c r="G566" s="25" t="inlineStr">
        <is>
          <t>Hiabs Logistics</t>
        </is>
      </c>
      <c r="H566" s="24" t="inlineStr">
        <is>
          <t>8T</t>
        </is>
      </c>
      <c r="I566" s="73" t="inlineStr">
        <is>
          <t>JMG</t>
        </is>
      </c>
      <c r="J566" s="74" t="inlineStr">
        <is>
          <t>Lagos</t>
        </is>
      </c>
      <c r="K566" s="202" t="inlineStr">
        <is>
          <t>Okokomaiko</t>
        </is>
      </c>
      <c r="L566" t="inlineStr">
        <is>
          <t>Lagos</t>
        </is>
      </c>
      <c r="N566" s="201">
        <f>O566/2</f>
        <v/>
      </c>
      <c r="O566" s="200" t="n">
        <v>76.3</v>
      </c>
      <c r="P566" s="220">
        <f>ROUNDUP(O566/300,)</f>
        <v/>
      </c>
      <c r="Q566" s="220" t="n">
        <v>0</v>
      </c>
      <c r="R566" s="220">
        <f>Q566+P566</f>
        <v/>
      </c>
      <c r="S566" s="198">
        <f>ROUNDDOWN(O566*0.51,)+60</f>
        <v/>
      </c>
      <c r="T566" s="207">
        <f>_xlfn.XLOOKUP(G566,[1]Fx!$A$4:$A$10,[1]Fx!$B$4:$B$10)</f>
        <v/>
      </c>
      <c r="U566" s="207">
        <f>_xlfn.XLOOKUP(G566,'[1]BP Setup'!$B$6:$B$72,'[1]BP Setup'!$Q$6:$Q$72)</f>
        <v/>
      </c>
      <c r="V566" s="207">
        <f>_xlfn.XLOOKUP(G566,'[1]BP Setup'!$B$6:$B$72,'[1]BP Setup'!$R$6:$R$72)</f>
        <v/>
      </c>
      <c r="W566" s="207">
        <f>$W$3</f>
        <v/>
      </c>
      <c r="X566" s="207" t="n">
        <v>80</v>
      </c>
      <c r="Y566" s="215">
        <f>T566*R566</f>
        <v/>
      </c>
      <c r="Z566" s="215">
        <f>U566*O566</f>
        <v/>
      </c>
      <c r="AA566" s="215">
        <f>V566*O566</f>
        <v/>
      </c>
      <c r="AB566" s="215">
        <f>W566*O566</f>
        <v/>
      </c>
      <c r="AC566" s="197">
        <f>X566*O566</f>
        <v/>
      </c>
      <c r="AD566" s="215" t="n">
        <v>25000</v>
      </c>
      <c r="AE566" s="215" t="n">
        <v>0</v>
      </c>
      <c r="AF566" s="207">
        <f>SUM(Y566:AE566)</f>
        <v/>
      </c>
      <c r="AG566" s="254">
        <f>_xlfn.XLOOKUP(G566,[1]Fx!$A$16:$A$22,[1]Fx!$B$16:$B$22)</f>
        <v/>
      </c>
      <c r="AH566" s="207">
        <f>AG566*R566</f>
        <v/>
      </c>
      <c r="AI566" s="207">
        <f>$AI$3*Z566</f>
        <v/>
      </c>
      <c r="AJ566" s="207">
        <f>$AJ$3*AA566</f>
        <v/>
      </c>
      <c r="AK566" s="207">
        <f>$AK$3*AB566</f>
        <v/>
      </c>
      <c r="AL566" s="207">
        <f>$AL$3*AC566</f>
        <v/>
      </c>
      <c r="AM566" s="220">
        <f>SUM(AH566:AL566)</f>
        <v/>
      </c>
      <c r="AN566" s="220" t="n">
        <v>0</v>
      </c>
      <c r="AO566" s="220">
        <f>AN566*AH566</f>
        <v/>
      </c>
      <c r="AP566" s="220" t="n">
        <v>0</v>
      </c>
      <c r="AQ566" s="220">
        <f>AE566</f>
        <v/>
      </c>
      <c r="AR566" s="208">
        <f>AM566-AO566</f>
        <v/>
      </c>
      <c r="AS566" s="220">
        <f>AR566-AK566</f>
        <v/>
      </c>
      <c r="AT566" s="208">
        <f>AS566*1.075</f>
        <v/>
      </c>
      <c r="AU566" s="208">
        <f>AT566+AK566</f>
        <v/>
      </c>
      <c r="AV566" s="198" t="n">
        <v>131602.1995740657</v>
      </c>
      <c r="AW566" s="264" t="n">
        <v>0</v>
      </c>
      <c r="AX566" s="220">
        <f>AV566-AU566</f>
        <v/>
      </c>
      <c r="AY566" s="35">
        <f>AX566/AR566</f>
        <v/>
      </c>
      <c r="AZ566" s="220">
        <f>AV566-AF566</f>
        <v/>
      </c>
      <c r="BA566" s="215">
        <f>AV566-SUM(Z566:AC566)</f>
        <v/>
      </c>
      <c r="BB566" s="215">
        <f>BA566-Y566</f>
        <v/>
      </c>
      <c r="BC566" s="35">
        <f>BB566/BA566</f>
        <v/>
      </c>
      <c r="BD566" s="35">
        <f>IFERROR(AZ566/AV566,)</f>
        <v/>
      </c>
      <c r="BE566" s="255">
        <f>AV566-SUM(Z566:AC566)</f>
        <v/>
      </c>
      <c r="BF566" s="255">
        <f>AV566-BE566-AC566-AB566</f>
        <v/>
      </c>
      <c r="BG566" s="255">
        <f>AV566-BE566-BF566-AB566</f>
        <v/>
      </c>
      <c r="BH566" s="255">
        <f>AB566</f>
        <v/>
      </c>
      <c r="BI566" s="263" t="inlineStr">
        <is>
          <t>Approved</t>
        </is>
      </c>
    </row>
    <row r="567">
      <c r="C567" s="23" t="inlineStr">
        <is>
          <t>YEKINI</t>
        </is>
      </c>
      <c r="D567">
        <f>CONCATENATE(G567,"-",H567,"-",F567)</f>
        <v/>
      </c>
      <c r="E567" s="24" t="inlineStr">
        <is>
          <t>JMG-8T-Hiabs Logistics-Local</t>
        </is>
      </c>
      <c r="F567" s="23" t="inlineStr">
        <is>
          <t>Local</t>
        </is>
      </c>
      <c r="G567" s="25" t="inlineStr">
        <is>
          <t>Hiabs Logistics</t>
        </is>
      </c>
      <c r="H567" s="24" t="inlineStr">
        <is>
          <t>8T</t>
        </is>
      </c>
      <c r="I567" s="73" t="inlineStr">
        <is>
          <t>JMG</t>
        </is>
      </c>
      <c r="J567" s="74" t="inlineStr">
        <is>
          <t>Lagos</t>
        </is>
      </c>
      <c r="K567" s="202" t="inlineStr">
        <is>
          <t>Mowe</t>
        </is>
      </c>
      <c r="L567" t="inlineStr">
        <is>
          <t>Ogun</t>
        </is>
      </c>
      <c r="N567" s="201">
        <f>O567/2</f>
        <v/>
      </c>
      <c r="O567" s="200" t="n">
        <v>75.2</v>
      </c>
      <c r="P567" s="220">
        <f>ROUNDUP(O567/300,)</f>
        <v/>
      </c>
      <c r="Q567" s="220" t="n">
        <v>0</v>
      </c>
      <c r="R567" s="220">
        <f>Q567+P567</f>
        <v/>
      </c>
      <c r="S567" s="198">
        <f>ROUNDDOWN(O567*0.51,)+60</f>
        <v/>
      </c>
      <c r="T567" s="207">
        <f>_xlfn.XLOOKUP(G567,[1]Fx!$A$4:$A$10,[1]Fx!$B$4:$B$10)</f>
        <v/>
      </c>
      <c r="U567" s="207">
        <f>_xlfn.XLOOKUP(G567,'[1]BP Setup'!$B$6:$B$72,'[1]BP Setup'!$Q$6:$Q$72)</f>
        <v/>
      </c>
      <c r="V567" s="207">
        <f>_xlfn.XLOOKUP(G567,'[1]BP Setup'!$B$6:$B$72,'[1]BP Setup'!$R$6:$R$72)</f>
        <v/>
      </c>
      <c r="W567" s="207">
        <f>$W$3</f>
        <v/>
      </c>
      <c r="X567" s="207" t="n">
        <v>80</v>
      </c>
      <c r="Y567" s="215">
        <f>T567*R567</f>
        <v/>
      </c>
      <c r="Z567" s="215">
        <f>U567*O567</f>
        <v/>
      </c>
      <c r="AA567" s="215">
        <f>V567*O567</f>
        <v/>
      </c>
      <c r="AB567" s="215">
        <f>W567*O567</f>
        <v/>
      </c>
      <c r="AC567" s="197">
        <f>X567*O567</f>
        <v/>
      </c>
      <c r="AD567" s="215" t="n">
        <v>25000</v>
      </c>
      <c r="AE567" s="215" t="n">
        <v>0</v>
      </c>
      <c r="AF567" s="207">
        <f>SUM(Y567:AE567)</f>
        <v/>
      </c>
      <c r="AG567" s="254">
        <f>_xlfn.XLOOKUP(G567,[1]Fx!$A$16:$A$22,[1]Fx!$B$16:$B$22)</f>
        <v/>
      </c>
      <c r="AH567" s="207">
        <f>AG567*R567</f>
        <v/>
      </c>
      <c r="AI567" s="207">
        <f>$AI$3*Z567</f>
        <v/>
      </c>
      <c r="AJ567" s="207">
        <f>$AJ$3*AA567</f>
        <v/>
      </c>
      <c r="AK567" s="207">
        <f>$AK$3*AB567</f>
        <v/>
      </c>
      <c r="AL567" s="207">
        <f>$AL$3*AC567</f>
        <v/>
      </c>
      <c r="AM567" s="220">
        <f>SUM(AH567:AL567)</f>
        <v/>
      </c>
      <c r="AN567" s="220" t="n">
        <v>0</v>
      </c>
      <c r="AO567" s="220">
        <f>AN567*AH567</f>
        <v/>
      </c>
      <c r="AP567" s="220" t="n">
        <v>0</v>
      </c>
      <c r="AQ567" s="220">
        <f>AE567</f>
        <v/>
      </c>
      <c r="AR567" s="208">
        <f>AM567-AO567</f>
        <v/>
      </c>
      <c r="AS567" s="220">
        <f>AR567-AK567</f>
        <v/>
      </c>
      <c r="AT567" s="208">
        <f>AS567*1.075</f>
        <v/>
      </c>
      <c r="AU567" s="208">
        <f>AT567+AK567</f>
        <v/>
      </c>
      <c r="AV567" s="198" t="n">
        <v>131602.1995740657</v>
      </c>
      <c r="AW567" s="264" t="n">
        <v>0</v>
      </c>
      <c r="AX567" s="220">
        <f>AV567-AU567</f>
        <v/>
      </c>
      <c r="AY567" s="35">
        <f>AX567/AR567</f>
        <v/>
      </c>
      <c r="AZ567" s="220">
        <f>AV567-AF567</f>
        <v/>
      </c>
      <c r="BA567" s="215">
        <f>AV567-SUM(Z567:AC567)</f>
        <v/>
      </c>
      <c r="BB567" s="215">
        <f>BA567-Y567</f>
        <v/>
      </c>
      <c r="BC567" s="35">
        <f>BB567/BA567</f>
        <v/>
      </c>
      <c r="BD567" s="35">
        <f>IFERROR(AZ567/AV567,)</f>
        <v/>
      </c>
      <c r="BE567" s="255">
        <f>AV567-SUM(Z567:AC567)</f>
        <v/>
      </c>
      <c r="BF567" s="255">
        <f>AV567-BE567-AC567-AB567</f>
        <v/>
      </c>
      <c r="BG567" s="255">
        <f>AV567-BE567-BF567-AB567</f>
        <v/>
      </c>
      <c r="BH567" s="255">
        <f>AB567</f>
        <v/>
      </c>
      <c r="BI567" s="263" t="inlineStr">
        <is>
          <t>Approved</t>
        </is>
      </c>
    </row>
    <row r="568">
      <c r="C568" s="23" t="inlineStr">
        <is>
          <t>YEKINI</t>
        </is>
      </c>
      <c r="D568">
        <f>CONCATENATE(G568,"-",H568,"-",F568)</f>
        <v/>
      </c>
      <c r="E568" s="24" t="inlineStr">
        <is>
          <t>JMG-8T-Hiabs Logistics-Local</t>
        </is>
      </c>
      <c r="F568" s="23" t="inlineStr">
        <is>
          <t>Local</t>
        </is>
      </c>
      <c r="G568" s="25" t="inlineStr">
        <is>
          <t>Hiabs Logistics</t>
        </is>
      </c>
      <c r="H568" s="24" t="inlineStr">
        <is>
          <t>8T</t>
        </is>
      </c>
      <c r="I568" s="73" t="inlineStr">
        <is>
          <t>JMG</t>
        </is>
      </c>
      <c r="J568" s="74" t="inlineStr">
        <is>
          <t>Lagos</t>
        </is>
      </c>
      <c r="K568" s="202" t="inlineStr">
        <is>
          <t>Magboro</t>
        </is>
      </c>
      <c r="L568" t="inlineStr">
        <is>
          <t>Ogun</t>
        </is>
      </c>
      <c r="N568" s="201">
        <f>O568/2</f>
        <v/>
      </c>
      <c r="O568" s="200" t="n">
        <v>66</v>
      </c>
      <c r="P568" s="220">
        <f>ROUNDUP(O568/300,)</f>
        <v/>
      </c>
      <c r="Q568" s="220" t="n">
        <v>0</v>
      </c>
      <c r="R568" s="220">
        <f>Q568+P568</f>
        <v/>
      </c>
      <c r="S568" s="198">
        <f>ROUNDDOWN(O568*0.51,)+60</f>
        <v/>
      </c>
      <c r="T568" s="207">
        <f>_xlfn.XLOOKUP(G568,[1]Fx!$A$4:$A$10,[1]Fx!$B$4:$B$10)</f>
        <v/>
      </c>
      <c r="U568" s="207">
        <f>_xlfn.XLOOKUP(G568,'[1]BP Setup'!$B$6:$B$72,'[1]BP Setup'!$Q$6:$Q$72)</f>
        <v/>
      </c>
      <c r="V568" s="207">
        <f>_xlfn.XLOOKUP(G568,'[1]BP Setup'!$B$6:$B$72,'[1]BP Setup'!$R$6:$R$72)</f>
        <v/>
      </c>
      <c r="W568" s="207">
        <f>$W$3</f>
        <v/>
      </c>
      <c r="X568" s="207" t="n">
        <v>80</v>
      </c>
      <c r="Y568" s="215">
        <f>T568*R568</f>
        <v/>
      </c>
      <c r="Z568" s="215">
        <f>U568*O568</f>
        <v/>
      </c>
      <c r="AA568" s="215">
        <f>V568*O568</f>
        <v/>
      </c>
      <c r="AB568" s="215">
        <f>W568*O568</f>
        <v/>
      </c>
      <c r="AC568" s="197">
        <f>X568*O568</f>
        <v/>
      </c>
      <c r="AD568" s="215" t="n">
        <v>25000</v>
      </c>
      <c r="AE568" s="215" t="n">
        <v>0</v>
      </c>
      <c r="AF568" s="207">
        <f>SUM(Y568:AE568)</f>
        <v/>
      </c>
      <c r="AG568" s="254">
        <f>_xlfn.XLOOKUP(G568,[1]Fx!$A$16:$A$22,[1]Fx!$B$16:$B$22)</f>
        <v/>
      </c>
      <c r="AH568" s="207">
        <f>AG568*R568</f>
        <v/>
      </c>
      <c r="AI568" s="207">
        <f>$AI$3*Z568</f>
        <v/>
      </c>
      <c r="AJ568" s="207">
        <f>$AJ$3*AA568</f>
        <v/>
      </c>
      <c r="AK568" s="207">
        <f>$AK$3*AB568</f>
        <v/>
      </c>
      <c r="AL568" s="207">
        <f>$AL$3*AC568</f>
        <v/>
      </c>
      <c r="AM568" s="220">
        <f>SUM(AH568:AL568)</f>
        <v/>
      </c>
      <c r="AN568" s="220" t="n">
        <v>0</v>
      </c>
      <c r="AO568" s="220">
        <f>AN568*AH568</f>
        <v/>
      </c>
      <c r="AP568" s="220" t="n">
        <v>0</v>
      </c>
      <c r="AQ568" s="220">
        <f>AE568</f>
        <v/>
      </c>
      <c r="AR568" s="208">
        <f>AM568-AO568</f>
        <v/>
      </c>
      <c r="AS568" s="220">
        <f>AR568-AK568</f>
        <v/>
      </c>
      <c r="AT568" s="208">
        <f>AS568*1.075</f>
        <v/>
      </c>
      <c r="AU568" s="208">
        <f>AT568+AK568</f>
        <v/>
      </c>
      <c r="AV568" s="198" t="n">
        <v>131602.1995740657</v>
      </c>
      <c r="AW568" s="264" t="n">
        <v>0</v>
      </c>
      <c r="AX568" s="220">
        <f>AV568-AU568</f>
        <v/>
      </c>
      <c r="AY568" s="35">
        <f>AX568/AR568</f>
        <v/>
      </c>
      <c r="AZ568" s="220">
        <f>AV568-AF568</f>
        <v/>
      </c>
      <c r="BA568" s="215">
        <f>AV568-SUM(Z568:AC568)</f>
        <v/>
      </c>
      <c r="BB568" s="215">
        <f>BA568-Y568</f>
        <v/>
      </c>
      <c r="BC568" s="35">
        <f>BB568/BA568</f>
        <v/>
      </c>
      <c r="BD568" s="35">
        <f>IFERROR(AZ568/AV568,)</f>
        <v/>
      </c>
      <c r="BE568" s="255">
        <f>AV568-SUM(Z568:AC568)</f>
        <v/>
      </c>
      <c r="BF568" s="255">
        <f>AV568-BE568-AC568-AB568</f>
        <v/>
      </c>
      <c r="BG568" s="255">
        <f>AV568-BE568-BF568-AB568</f>
        <v/>
      </c>
      <c r="BH568" s="255">
        <f>AB568</f>
        <v/>
      </c>
      <c r="BI568" s="263" t="inlineStr">
        <is>
          <t>Approved</t>
        </is>
      </c>
    </row>
    <row r="569">
      <c r="C569" s="23" t="inlineStr">
        <is>
          <t>YEKINI</t>
        </is>
      </c>
      <c r="D569">
        <f>CONCATENATE(G569,"-",H569,"-",F569)</f>
        <v/>
      </c>
      <c r="E569" s="24" t="inlineStr">
        <is>
          <t>JMG-8T-Hiabs Logistics-Local</t>
        </is>
      </c>
      <c r="F569" s="23" t="inlineStr">
        <is>
          <t>Local</t>
        </is>
      </c>
      <c r="G569" s="25" t="inlineStr">
        <is>
          <t>Hiabs Logistics</t>
        </is>
      </c>
      <c r="H569" s="24" t="inlineStr">
        <is>
          <t>8T</t>
        </is>
      </c>
      <c r="I569" s="73" t="inlineStr">
        <is>
          <t>JMG</t>
        </is>
      </c>
      <c r="J569" s="74" t="inlineStr">
        <is>
          <t>Lagos</t>
        </is>
      </c>
      <c r="K569" s="202" t="inlineStr">
        <is>
          <t>Trade Fair</t>
        </is>
      </c>
      <c r="L569" t="inlineStr">
        <is>
          <t>Lagos</t>
        </is>
      </c>
      <c r="N569" s="201">
        <f>O569/2</f>
        <v/>
      </c>
      <c r="O569" s="200" t="n">
        <v>59</v>
      </c>
      <c r="P569" s="220">
        <f>ROUNDUP(O569/300,)</f>
        <v/>
      </c>
      <c r="Q569" s="220" t="n">
        <v>0</v>
      </c>
      <c r="R569" s="220">
        <f>Q569+P569</f>
        <v/>
      </c>
      <c r="S569" s="198">
        <f>ROUNDDOWN(O569*0.51,)+60</f>
        <v/>
      </c>
      <c r="T569" s="207">
        <f>_xlfn.XLOOKUP(G569,[1]Fx!$A$4:$A$10,[1]Fx!$B$4:$B$10)</f>
        <v/>
      </c>
      <c r="U569" s="207">
        <f>_xlfn.XLOOKUP(G569,'[1]BP Setup'!$B$6:$B$72,'[1]BP Setup'!$Q$6:$Q$72)</f>
        <v/>
      </c>
      <c r="V569" s="207">
        <f>_xlfn.XLOOKUP(G569,'[1]BP Setup'!$B$6:$B$72,'[1]BP Setup'!$R$6:$R$72)</f>
        <v/>
      </c>
      <c r="W569" s="207">
        <f>$W$3</f>
        <v/>
      </c>
      <c r="X569" s="207" t="n">
        <v>80</v>
      </c>
      <c r="Y569" s="215">
        <f>T569*R569</f>
        <v/>
      </c>
      <c r="Z569" s="215">
        <f>U569*O569</f>
        <v/>
      </c>
      <c r="AA569" s="215">
        <f>V569*O569</f>
        <v/>
      </c>
      <c r="AB569" s="215">
        <f>W569*O569</f>
        <v/>
      </c>
      <c r="AC569" s="197">
        <f>X569*O569</f>
        <v/>
      </c>
      <c r="AD569" s="215" t="n">
        <v>25000</v>
      </c>
      <c r="AE569" s="215" t="n">
        <v>0</v>
      </c>
      <c r="AF569" s="207">
        <f>SUM(Y569:AE569)</f>
        <v/>
      </c>
      <c r="AG569" s="254">
        <f>_xlfn.XLOOKUP(G569,[1]Fx!$A$16:$A$22,[1]Fx!$B$16:$B$22)</f>
        <v/>
      </c>
      <c r="AH569" s="207">
        <f>AG569*R569</f>
        <v/>
      </c>
      <c r="AI569" s="207">
        <f>$AI$3*Z569</f>
        <v/>
      </c>
      <c r="AJ569" s="207">
        <f>$AJ$3*AA569</f>
        <v/>
      </c>
      <c r="AK569" s="207">
        <f>$AK$3*AB569</f>
        <v/>
      </c>
      <c r="AL569" s="207">
        <f>$AL$3*AC569</f>
        <v/>
      </c>
      <c r="AM569" s="220">
        <f>SUM(AH569:AL569)</f>
        <v/>
      </c>
      <c r="AN569" s="220" t="n">
        <v>0</v>
      </c>
      <c r="AO569" s="220">
        <f>AN569*AH569</f>
        <v/>
      </c>
      <c r="AP569" s="220" t="n">
        <v>0</v>
      </c>
      <c r="AQ569" s="220">
        <f>AE569</f>
        <v/>
      </c>
      <c r="AR569" s="208">
        <f>AM569-AO569</f>
        <v/>
      </c>
      <c r="AS569" s="220">
        <f>AR569-AK569</f>
        <v/>
      </c>
      <c r="AT569" s="208">
        <f>AS569*1.075</f>
        <v/>
      </c>
      <c r="AU569" s="208">
        <f>AT569+AK569</f>
        <v/>
      </c>
      <c r="AV569" s="198" t="n">
        <v>131602.1995740657</v>
      </c>
      <c r="AW569" s="264" t="n">
        <v>300000</v>
      </c>
      <c r="AX569" s="220">
        <f>AV569-AU569</f>
        <v/>
      </c>
      <c r="AY569" s="35">
        <f>AX569/AR569</f>
        <v/>
      </c>
      <c r="AZ569" s="220">
        <f>AV569-AF569</f>
        <v/>
      </c>
      <c r="BA569" s="215">
        <f>AV569-SUM(Z569:AC569)</f>
        <v/>
      </c>
      <c r="BB569" s="215">
        <f>BA569-Y569</f>
        <v/>
      </c>
      <c r="BC569" s="35">
        <f>BB569/BA569</f>
        <v/>
      </c>
      <c r="BD569" s="35">
        <f>IFERROR(AZ569/AV569,)</f>
        <v/>
      </c>
      <c r="BE569" s="255">
        <f>AV569-SUM(Z569:AC569)</f>
        <v/>
      </c>
      <c r="BF569" s="255">
        <f>AV569-BE569-AC569-AB569</f>
        <v/>
      </c>
      <c r="BG569" s="255">
        <f>AV569-BE569-BF569-AB569</f>
        <v/>
      </c>
      <c r="BH569" s="255">
        <f>AB569</f>
        <v/>
      </c>
      <c r="BI569" s="263" t="inlineStr">
        <is>
          <t>Approved</t>
        </is>
      </c>
    </row>
    <row r="570">
      <c r="C570" s="23" t="inlineStr">
        <is>
          <t>YEKINI</t>
        </is>
      </c>
      <c r="D570">
        <f>CONCATENATE(G570,"-",H570,"-",F570)</f>
        <v/>
      </c>
      <c r="E570" s="24" t="inlineStr">
        <is>
          <t>JMG-8T-Hiabs Logistics-Local</t>
        </is>
      </c>
      <c r="F570" s="23" t="inlineStr">
        <is>
          <t>Local</t>
        </is>
      </c>
      <c r="G570" s="25" t="inlineStr">
        <is>
          <t>Hiabs Logistics</t>
        </is>
      </c>
      <c r="H570" s="24" t="inlineStr">
        <is>
          <t>8T</t>
        </is>
      </c>
      <c r="I570" s="73" t="inlineStr">
        <is>
          <t>JMG</t>
        </is>
      </c>
      <c r="J570" s="74" t="inlineStr">
        <is>
          <t>Lagos</t>
        </is>
      </c>
      <c r="K570" s="202" t="inlineStr">
        <is>
          <t>Sango-Ota</t>
        </is>
      </c>
      <c r="L570" t="inlineStr">
        <is>
          <t>Ogun</t>
        </is>
      </c>
      <c r="N570" s="201">
        <f>O570/2</f>
        <v/>
      </c>
      <c r="O570" s="200" t="n">
        <v>56.8</v>
      </c>
      <c r="P570" s="220">
        <f>ROUNDUP(O570/300,)</f>
        <v/>
      </c>
      <c r="Q570" s="220" t="n">
        <v>0</v>
      </c>
      <c r="R570" s="220">
        <f>Q570+P570</f>
        <v/>
      </c>
      <c r="S570" s="198">
        <f>ROUNDDOWN(O570*0.51,)+60</f>
        <v/>
      </c>
      <c r="T570" s="207">
        <f>_xlfn.XLOOKUP(G570,[1]Fx!$A$4:$A$10,[1]Fx!$B$4:$B$10)</f>
        <v/>
      </c>
      <c r="U570" s="207">
        <f>_xlfn.XLOOKUP(G570,'[1]BP Setup'!$B$6:$B$72,'[1]BP Setup'!$Q$6:$Q$72)</f>
        <v/>
      </c>
      <c r="V570" s="207">
        <f>_xlfn.XLOOKUP(G570,'[1]BP Setup'!$B$6:$B$72,'[1]BP Setup'!$R$6:$R$72)</f>
        <v/>
      </c>
      <c r="W570" s="207">
        <f>$W$3</f>
        <v/>
      </c>
      <c r="X570" s="207" t="n">
        <v>80</v>
      </c>
      <c r="Y570" s="215">
        <f>T570*R570</f>
        <v/>
      </c>
      <c r="Z570" s="215">
        <f>U570*O570</f>
        <v/>
      </c>
      <c r="AA570" s="215">
        <f>V570*O570</f>
        <v/>
      </c>
      <c r="AB570" s="215">
        <f>W570*O570</f>
        <v/>
      </c>
      <c r="AC570" s="197">
        <f>X570*O570</f>
        <v/>
      </c>
      <c r="AD570" s="215" t="n">
        <v>25000</v>
      </c>
      <c r="AE570" s="215" t="n">
        <v>0</v>
      </c>
      <c r="AF570" s="207">
        <f>SUM(Y570:AE570)</f>
        <v/>
      </c>
      <c r="AG570" s="254">
        <f>_xlfn.XLOOKUP(G570,[1]Fx!$A$16:$A$22,[1]Fx!$B$16:$B$22)</f>
        <v/>
      </c>
      <c r="AH570" s="207">
        <f>AG570*R570</f>
        <v/>
      </c>
      <c r="AI570" s="207">
        <f>$AI$3*Z570</f>
        <v/>
      </c>
      <c r="AJ570" s="207">
        <f>$AJ$3*AA570</f>
        <v/>
      </c>
      <c r="AK570" s="207">
        <f>$AK$3*AB570</f>
        <v/>
      </c>
      <c r="AL570" s="207">
        <f>$AL$3*AC570</f>
        <v/>
      </c>
      <c r="AM570" s="220">
        <f>SUM(AH570:AL570)</f>
        <v/>
      </c>
      <c r="AN570" s="220" t="n">
        <v>0</v>
      </c>
      <c r="AO570" s="220">
        <f>AN570*AH570</f>
        <v/>
      </c>
      <c r="AP570" s="220" t="n">
        <v>0</v>
      </c>
      <c r="AQ570" s="220">
        <f>AE570</f>
        <v/>
      </c>
      <c r="AR570" s="208">
        <f>AM570-AO570</f>
        <v/>
      </c>
      <c r="AS570" s="220">
        <f>AR570-AK570</f>
        <v/>
      </c>
      <c r="AT570" s="208">
        <f>AS570*1.075</f>
        <v/>
      </c>
      <c r="AU570" s="208">
        <f>AT570+AK570</f>
        <v/>
      </c>
      <c r="AV570" s="198" t="n">
        <v>131602.1995740657</v>
      </c>
      <c r="AW570" s="264" t="n">
        <v>0</v>
      </c>
      <c r="AX570" s="220">
        <f>AV570-AU570</f>
        <v/>
      </c>
      <c r="AY570" s="35">
        <f>AX570/AR570</f>
        <v/>
      </c>
      <c r="AZ570" s="220">
        <f>AV570-AF570</f>
        <v/>
      </c>
      <c r="BA570" s="215">
        <f>AV570-SUM(Z570:AC570)</f>
        <v/>
      </c>
      <c r="BB570" s="215">
        <f>BA570-Y570</f>
        <v/>
      </c>
      <c r="BC570" s="35">
        <f>BB570/BA570</f>
        <v/>
      </c>
      <c r="BD570" s="35">
        <f>IFERROR(AZ570/AV570,)</f>
        <v/>
      </c>
      <c r="BE570" s="255">
        <f>AV570-SUM(Z570:AC570)</f>
        <v/>
      </c>
      <c r="BF570" s="255">
        <f>AV570-BE570-AC570-AB570</f>
        <v/>
      </c>
      <c r="BG570" s="255">
        <f>AV570-BE570-BF570-AB570</f>
        <v/>
      </c>
      <c r="BH570" s="255">
        <f>AB570</f>
        <v/>
      </c>
      <c r="BI570" s="263" t="inlineStr">
        <is>
          <t>Approved</t>
        </is>
      </c>
    </row>
    <row r="571">
      <c r="C571" s="23" t="inlineStr">
        <is>
          <t>YEKINI</t>
        </is>
      </c>
      <c r="D571">
        <f>CONCATENATE(G571,"-",H571,"-",F571)</f>
        <v/>
      </c>
      <c r="E571" s="24" t="inlineStr">
        <is>
          <t>JMG-8T-Hiabs Logistics-Local</t>
        </is>
      </c>
      <c r="F571" s="23" t="inlineStr">
        <is>
          <t>Local</t>
        </is>
      </c>
      <c r="G571" s="25" t="inlineStr">
        <is>
          <t>Hiabs Logistics</t>
        </is>
      </c>
      <c r="H571" s="24" t="inlineStr">
        <is>
          <t>8T</t>
        </is>
      </c>
      <c r="I571" s="73" t="inlineStr">
        <is>
          <t>JMG</t>
        </is>
      </c>
      <c r="J571" s="74" t="inlineStr">
        <is>
          <t>Lagos</t>
        </is>
      </c>
      <c r="K571" s="202" t="inlineStr">
        <is>
          <t>Lekki</t>
        </is>
      </c>
      <c r="L571" t="inlineStr">
        <is>
          <t>Lagos</t>
        </is>
      </c>
      <c r="N571" s="201">
        <f>O571/2</f>
        <v/>
      </c>
      <c r="O571" s="201" t="n">
        <v>52.1</v>
      </c>
      <c r="P571" s="220">
        <f>ROUNDUP(O571/300,)</f>
        <v/>
      </c>
      <c r="Q571" s="220" t="n">
        <v>0</v>
      </c>
      <c r="R571" s="220">
        <f>Q571+P571</f>
        <v/>
      </c>
      <c r="S571" s="198">
        <f>ROUNDDOWN(O571*0.51,)+60</f>
        <v/>
      </c>
      <c r="T571" s="207">
        <f>_xlfn.XLOOKUP(G571,[1]Fx!$A$4:$A$10,[1]Fx!$B$4:$B$10)</f>
        <v/>
      </c>
      <c r="U571" s="207">
        <f>_xlfn.XLOOKUP(G571,'[1]BP Setup'!$B$6:$B$72,'[1]BP Setup'!$Q$6:$Q$72)</f>
        <v/>
      </c>
      <c r="V571" s="207">
        <f>_xlfn.XLOOKUP(G571,'[1]BP Setup'!$B$6:$B$72,'[1]BP Setup'!$R$6:$R$72)</f>
        <v/>
      </c>
      <c r="W571" s="207">
        <f>$W$3</f>
        <v/>
      </c>
      <c r="X571" s="207" t="n">
        <v>80</v>
      </c>
      <c r="Y571" s="215">
        <f>T571*R571</f>
        <v/>
      </c>
      <c r="Z571" s="215">
        <f>U571*O571</f>
        <v/>
      </c>
      <c r="AA571" s="215">
        <f>V571*O571</f>
        <v/>
      </c>
      <c r="AB571" s="215">
        <f>W571*O571</f>
        <v/>
      </c>
      <c r="AC571" s="197">
        <f>X571*O571</f>
        <v/>
      </c>
      <c r="AD571" s="215" t="n">
        <v>25000</v>
      </c>
      <c r="AE571" s="215" t="n">
        <v>0</v>
      </c>
      <c r="AF571" s="207">
        <f>SUM(Y571:AE571)</f>
        <v/>
      </c>
      <c r="AG571" s="254">
        <f>_xlfn.XLOOKUP(G571,[1]Fx!$A$16:$A$22,[1]Fx!$B$16:$B$22)</f>
        <v/>
      </c>
      <c r="AH571" s="207">
        <f>AG571*R571</f>
        <v/>
      </c>
      <c r="AI571" s="207">
        <f>$AI$3*Z571</f>
        <v/>
      </c>
      <c r="AJ571" s="207">
        <f>$AJ$3*AA571</f>
        <v/>
      </c>
      <c r="AK571" s="207">
        <f>$AK$3*AB571</f>
        <v/>
      </c>
      <c r="AL571" s="207">
        <f>$AL$3*AC571</f>
        <v/>
      </c>
      <c r="AM571" s="220">
        <f>SUM(AH571:AL571)</f>
        <v/>
      </c>
      <c r="AN571" s="220" t="n">
        <v>0</v>
      </c>
      <c r="AO571" s="220">
        <f>AN571*AH571</f>
        <v/>
      </c>
      <c r="AP571" s="220" t="n">
        <v>0</v>
      </c>
      <c r="AQ571" s="220">
        <f>AE571</f>
        <v/>
      </c>
      <c r="AR571" s="208">
        <f>AM571-AO571</f>
        <v/>
      </c>
      <c r="AS571" s="220">
        <f>AR571-AK571</f>
        <v/>
      </c>
      <c r="AT571" s="208">
        <f>AS571*1.075</f>
        <v/>
      </c>
      <c r="AU571" s="208">
        <f>AT571+AK571</f>
        <v/>
      </c>
      <c r="AV571" s="198" t="n">
        <v>131602.1995740657</v>
      </c>
      <c r="AW571" s="264" t="n">
        <v>130000</v>
      </c>
      <c r="AX571" s="220">
        <f>AV571-AU571</f>
        <v/>
      </c>
      <c r="AY571" s="35">
        <f>AX571/AR571</f>
        <v/>
      </c>
      <c r="AZ571" s="220">
        <f>AV571-AF571</f>
        <v/>
      </c>
      <c r="BA571" s="215">
        <f>AV571-SUM(Z571:AC571)</f>
        <v/>
      </c>
      <c r="BB571" s="215">
        <f>BA571-Y571</f>
        <v/>
      </c>
      <c r="BC571" s="35">
        <f>BB571/BA571</f>
        <v/>
      </c>
      <c r="BD571" s="35">
        <f>IFERROR(AZ571/AV571,)</f>
        <v/>
      </c>
      <c r="BE571" s="255">
        <f>AV571-SUM(Z571:AC571)</f>
        <v/>
      </c>
      <c r="BF571" s="255">
        <f>AV571-BE571-AC571-AB571</f>
        <v/>
      </c>
      <c r="BG571" s="255">
        <f>AV571-BE571-BF571-AB571</f>
        <v/>
      </c>
      <c r="BH571" s="255">
        <f>AB571</f>
        <v/>
      </c>
      <c r="BI571" s="263" t="inlineStr">
        <is>
          <t>Approved</t>
        </is>
      </c>
    </row>
    <row r="572">
      <c r="C572" s="23" t="inlineStr">
        <is>
          <t>YEKINI</t>
        </is>
      </c>
      <c r="D572">
        <f>CONCATENATE(G572,"-",H572,"-",F572)</f>
        <v/>
      </c>
      <c r="E572" s="24" t="inlineStr">
        <is>
          <t>JMG-8T-Hiabs Logistics-Local</t>
        </is>
      </c>
      <c r="F572" s="23" t="inlineStr">
        <is>
          <t>Local</t>
        </is>
      </c>
      <c r="G572" s="25" t="inlineStr">
        <is>
          <t>Hiabs Logistics</t>
        </is>
      </c>
      <c r="H572" s="24" t="inlineStr">
        <is>
          <t>8T</t>
        </is>
      </c>
      <c r="I572" s="73" t="inlineStr">
        <is>
          <t>JMG</t>
        </is>
      </c>
      <c r="J572" s="74" t="inlineStr">
        <is>
          <t>Lagos</t>
        </is>
      </c>
      <c r="K572" s="202" t="inlineStr">
        <is>
          <t>Festac</t>
        </is>
      </c>
      <c r="L572" t="inlineStr">
        <is>
          <t>Lagos</t>
        </is>
      </c>
      <c r="N572" s="201">
        <f>O572/2</f>
        <v/>
      </c>
      <c r="O572" s="200" t="n">
        <v>49.2</v>
      </c>
      <c r="P572" s="220">
        <f>ROUNDUP(O572/300,)</f>
        <v/>
      </c>
      <c r="Q572" s="220" t="n">
        <v>0</v>
      </c>
      <c r="R572" s="220">
        <f>Q572+P572</f>
        <v/>
      </c>
      <c r="S572" s="198">
        <f>ROUNDDOWN(O572*0.51,)+60</f>
        <v/>
      </c>
      <c r="T572" s="207">
        <f>_xlfn.XLOOKUP(G572,[1]Fx!$A$4:$A$10,[1]Fx!$B$4:$B$10)</f>
        <v/>
      </c>
      <c r="U572" s="207">
        <f>_xlfn.XLOOKUP(G572,'[1]BP Setup'!$B$6:$B$72,'[1]BP Setup'!$Q$6:$Q$72)</f>
        <v/>
      </c>
      <c r="V572" s="207">
        <f>_xlfn.XLOOKUP(G572,'[1]BP Setup'!$B$6:$B$72,'[1]BP Setup'!$R$6:$R$72)</f>
        <v/>
      </c>
      <c r="W572" s="207">
        <f>$W$3</f>
        <v/>
      </c>
      <c r="X572" s="207" t="n">
        <v>80</v>
      </c>
      <c r="Y572" s="215">
        <f>T572*R572</f>
        <v/>
      </c>
      <c r="Z572" s="215">
        <f>U572*O572</f>
        <v/>
      </c>
      <c r="AA572" s="215">
        <f>V572*O572</f>
        <v/>
      </c>
      <c r="AB572" s="215">
        <f>W572*O572</f>
        <v/>
      </c>
      <c r="AC572" s="197">
        <f>X572*O572</f>
        <v/>
      </c>
      <c r="AD572" s="215" t="n">
        <v>25000</v>
      </c>
      <c r="AE572" s="215" t="n">
        <v>0</v>
      </c>
      <c r="AF572" s="207">
        <f>SUM(Y572:AE572)</f>
        <v/>
      </c>
      <c r="AG572" s="254">
        <f>_xlfn.XLOOKUP(G572,[1]Fx!$A$16:$A$22,[1]Fx!$B$16:$B$22)</f>
        <v/>
      </c>
      <c r="AH572" s="207">
        <f>AG572*R572</f>
        <v/>
      </c>
      <c r="AI572" s="207">
        <f>$AI$3*Z572</f>
        <v/>
      </c>
      <c r="AJ572" s="207">
        <f>$AJ$3*AA572</f>
        <v/>
      </c>
      <c r="AK572" s="207">
        <f>$AK$3*AB572</f>
        <v/>
      </c>
      <c r="AL572" s="207">
        <f>$AL$3*AC572</f>
        <v/>
      </c>
      <c r="AM572" s="220">
        <f>SUM(AH572:AL572)</f>
        <v/>
      </c>
      <c r="AN572" s="220" t="n">
        <v>0</v>
      </c>
      <c r="AO572" s="220">
        <f>AN572*AH572</f>
        <v/>
      </c>
      <c r="AP572" s="220" t="n">
        <v>0</v>
      </c>
      <c r="AQ572" s="220">
        <f>AE572</f>
        <v/>
      </c>
      <c r="AR572" s="208">
        <f>AM572-AO572</f>
        <v/>
      </c>
      <c r="AS572" s="220">
        <f>AR572-AK572</f>
        <v/>
      </c>
      <c r="AT572" s="208">
        <f>AS572*1.075</f>
        <v/>
      </c>
      <c r="AU572" s="208">
        <f>AT572+AK572</f>
        <v/>
      </c>
      <c r="AV572" s="198" t="n">
        <v>131602.1995740657</v>
      </c>
      <c r="AW572" s="264" t="n">
        <v>0</v>
      </c>
      <c r="AX572" s="220">
        <f>AV572-AU572</f>
        <v/>
      </c>
      <c r="AY572" s="35">
        <f>AX572/AR572</f>
        <v/>
      </c>
      <c r="AZ572" s="220">
        <f>AV572-AF572</f>
        <v/>
      </c>
      <c r="BA572" s="215">
        <f>AV572-SUM(Z572:AC572)</f>
        <v/>
      </c>
      <c r="BB572" s="215">
        <f>BA572-Y572</f>
        <v/>
      </c>
      <c r="BC572" s="35">
        <f>BB572/BA572</f>
        <v/>
      </c>
      <c r="BD572" s="35">
        <f>IFERROR(AZ572/AV572,)</f>
        <v/>
      </c>
      <c r="BE572" s="255">
        <f>AV572-SUM(Z572:AC572)</f>
        <v/>
      </c>
      <c r="BF572" s="255">
        <f>AV572-BE572-AC572-AB572</f>
        <v/>
      </c>
      <c r="BG572" s="255">
        <f>AV572-BE572-BF572-AB572</f>
        <v/>
      </c>
      <c r="BH572" s="255">
        <f>AB572</f>
        <v/>
      </c>
      <c r="BI572" s="263" t="inlineStr">
        <is>
          <t>Approved</t>
        </is>
      </c>
    </row>
    <row r="573">
      <c r="C573" s="23" t="inlineStr">
        <is>
          <t>YEKINI</t>
        </is>
      </c>
      <c r="D573">
        <f>CONCATENATE(G573,"-",H573,"-",F573)</f>
        <v/>
      </c>
      <c r="E573" s="24" t="inlineStr">
        <is>
          <t>JMG-8T-Hiabs Logistics-Local</t>
        </is>
      </c>
      <c r="F573" s="23" t="inlineStr">
        <is>
          <t>Local</t>
        </is>
      </c>
      <c r="G573" s="25" t="inlineStr">
        <is>
          <t>Hiabs Logistics</t>
        </is>
      </c>
      <c r="H573" s="24" t="inlineStr">
        <is>
          <t>8T</t>
        </is>
      </c>
      <c r="I573" s="73" t="inlineStr">
        <is>
          <t>JMG</t>
        </is>
      </c>
      <c r="J573" s="74" t="inlineStr">
        <is>
          <t>Lagos</t>
        </is>
      </c>
      <c r="K573" s="121" t="inlineStr">
        <is>
          <t>Ikorodu</t>
        </is>
      </c>
      <c r="L573" t="inlineStr">
        <is>
          <t>Lagos</t>
        </is>
      </c>
      <c r="N573" s="201">
        <f>O573/2</f>
        <v/>
      </c>
      <c r="O573" s="200" t="n">
        <v>48.5</v>
      </c>
      <c r="P573" s="220">
        <f>ROUNDUP(O573/300,)</f>
        <v/>
      </c>
      <c r="Q573" s="220" t="n">
        <v>0</v>
      </c>
      <c r="R573" s="220">
        <f>Q573+P573</f>
        <v/>
      </c>
      <c r="S573" s="198">
        <f>ROUNDDOWN(O573*0.51,)+60</f>
        <v/>
      </c>
      <c r="T573" s="207">
        <f>_xlfn.XLOOKUP(G573,[1]Fx!$A$4:$A$10,[1]Fx!$B$4:$B$10)</f>
        <v/>
      </c>
      <c r="U573" s="207">
        <f>_xlfn.XLOOKUP(G573,'[1]BP Setup'!$B$6:$B$72,'[1]BP Setup'!$Q$6:$Q$72)</f>
        <v/>
      </c>
      <c r="V573" s="207">
        <f>_xlfn.XLOOKUP(G573,'[1]BP Setup'!$B$6:$B$72,'[1]BP Setup'!$R$6:$R$72)</f>
        <v/>
      </c>
      <c r="W573" s="207">
        <f>$W$3</f>
        <v/>
      </c>
      <c r="X573" s="207" t="n">
        <v>80</v>
      </c>
      <c r="Y573" s="215">
        <f>T573*R573</f>
        <v/>
      </c>
      <c r="Z573" s="215">
        <f>U573*O573</f>
        <v/>
      </c>
      <c r="AA573" s="215">
        <f>V573*O573</f>
        <v/>
      </c>
      <c r="AB573" s="215">
        <f>W573*O573</f>
        <v/>
      </c>
      <c r="AC573" s="197">
        <f>X573*O573</f>
        <v/>
      </c>
      <c r="AD573" s="215" t="n">
        <v>25000</v>
      </c>
      <c r="AE573" s="215" t="n">
        <v>0</v>
      </c>
      <c r="AF573" s="207">
        <f>SUM(Y573:AE573)</f>
        <v/>
      </c>
      <c r="AG573" s="254">
        <f>_xlfn.XLOOKUP(G573,[1]Fx!$A$16:$A$22,[1]Fx!$B$16:$B$22)</f>
        <v/>
      </c>
      <c r="AH573" s="207">
        <f>AG573*R573</f>
        <v/>
      </c>
      <c r="AI573" s="207">
        <f>$AI$3*Z573</f>
        <v/>
      </c>
      <c r="AJ573" s="207">
        <f>$AJ$3*AA573</f>
        <v/>
      </c>
      <c r="AK573" s="207">
        <f>$AK$3*AB573</f>
        <v/>
      </c>
      <c r="AL573" s="207">
        <f>$AL$3*AC573</f>
        <v/>
      </c>
      <c r="AM573" s="220">
        <f>SUM(AH573:AL573)</f>
        <v/>
      </c>
      <c r="AN573" s="220" t="n">
        <v>0</v>
      </c>
      <c r="AO573" s="220">
        <f>AN573*AH573</f>
        <v/>
      </c>
      <c r="AP573" s="220" t="n">
        <v>0</v>
      </c>
      <c r="AQ573" s="220">
        <f>AE573</f>
        <v/>
      </c>
      <c r="AR573" s="208">
        <f>AM573-AO573</f>
        <v/>
      </c>
      <c r="AS573" s="220">
        <f>AR573-AK573</f>
        <v/>
      </c>
      <c r="AT573" s="208">
        <f>AS573*1.075</f>
        <v/>
      </c>
      <c r="AU573" s="208">
        <f>AT573+AK573</f>
        <v/>
      </c>
      <c r="AV573" s="198" t="n">
        <v>131602.1995740657</v>
      </c>
      <c r="AW573" s="264" t="n">
        <v>180000</v>
      </c>
      <c r="AX573" s="220">
        <f>AV573-AU573</f>
        <v/>
      </c>
      <c r="AY573" s="35">
        <f>AX573/AR573</f>
        <v/>
      </c>
      <c r="AZ573" s="220">
        <f>AV573-AF573</f>
        <v/>
      </c>
      <c r="BA573" s="215">
        <f>AV573-SUM(Z573:AC573)</f>
        <v/>
      </c>
      <c r="BB573" s="215">
        <f>BA573-Y573</f>
        <v/>
      </c>
      <c r="BC573" s="35">
        <f>BB573/BA573</f>
        <v/>
      </c>
      <c r="BD573" s="35">
        <f>IFERROR(AZ573/AV573,)</f>
        <v/>
      </c>
      <c r="BE573" s="255">
        <f>AV573-SUM(Z573:AC573)</f>
        <v/>
      </c>
      <c r="BF573" s="255">
        <f>AV573-BE573-AC573-AB573</f>
        <v/>
      </c>
      <c r="BG573" s="255">
        <f>AV573-BE573-BF573-AB573</f>
        <v/>
      </c>
      <c r="BH573" s="255">
        <f>AB573</f>
        <v/>
      </c>
      <c r="BI573" s="263" t="inlineStr">
        <is>
          <t>Approved</t>
        </is>
      </c>
    </row>
    <row r="574">
      <c r="C574" s="23" t="inlineStr">
        <is>
          <t>YEKINI</t>
        </is>
      </c>
      <c r="D574">
        <f>CONCATENATE(G574,"-",H574,"-",F574)</f>
        <v/>
      </c>
      <c r="E574" s="24" t="inlineStr">
        <is>
          <t>JMG-8T-Hiabs Logistics-Local</t>
        </is>
      </c>
      <c r="F574" s="23" t="inlineStr">
        <is>
          <t>Local</t>
        </is>
      </c>
      <c r="G574" s="25" t="inlineStr">
        <is>
          <t>Hiabs Logistics</t>
        </is>
      </c>
      <c r="H574" s="24" t="inlineStr">
        <is>
          <t>8T</t>
        </is>
      </c>
      <c r="I574" s="73" t="inlineStr">
        <is>
          <t>JMG</t>
        </is>
      </c>
      <c r="J574" s="74" t="inlineStr">
        <is>
          <t>Lagos</t>
        </is>
      </c>
      <c r="K574" s="202" t="inlineStr">
        <is>
          <t>Victoria Island</t>
        </is>
      </c>
      <c r="L574" t="inlineStr">
        <is>
          <t>Lagos</t>
        </is>
      </c>
      <c r="N574" s="201">
        <f>O574/2</f>
        <v/>
      </c>
      <c r="O574" s="201" t="n">
        <v>48</v>
      </c>
      <c r="P574" s="220">
        <f>ROUNDUP(O574/300,)</f>
        <v/>
      </c>
      <c r="Q574" s="220" t="n">
        <v>0</v>
      </c>
      <c r="R574" s="220">
        <f>Q574+P574</f>
        <v/>
      </c>
      <c r="S574" s="198">
        <f>ROUNDDOWN(O574*0.51,)+60</f>
        <v/>
      </c>
      <c r="T574" s="207">
        <f>_xlfn.XLOOKUP(G574,[1]Fx!$A$4:$A$10,[1]Fx!$B$4:$B$10)</f>
        <v/>
      </c>
      <c r="U574" s="207">
        <f>_xlfn.XLOOKUP(G574,'[1]BP Setup'!$B$6:$B$72,'[1]BP Setup'!$Q$6:$Q$72)</f>
        <v/>
      </c>
      <c r="V574" s="207">
        <f>_xlfn.XLOOKUP(G574,'[1]BP Setup'!$B$6:$B$72,'[1]BP Setup'!$R$6:$R$72)</f>
        <v/>
      </c>
      <c r="W574" s="207">
        <f>$W$3</f>
        <v/>
      </c>
      <c r="X574" s="207" t="n">
        <v>80</v>
      </c>
      <c r="Y574" s="215">
        <f>T574*R574</f>
        <v/>
      </c>
      <c r="Z574" s="215">
        <f>U574*O574</f>
        <v/>
      </c>
      <c r="AA574" s="215">
        <f>V574*O574</f>
        <v/>
      </c>
      <c r="AB574" s="215">
        <f>W574*O574</f>
        <v/>
      </c>
      <c r="AC574" s="197">
        <f>X574*O574</f>
        <v/>
      </c>
      <c r="AD574" s="215" t="n">
        <v>25000</v>
      </c>
      <c r="AE574" s="215" t="n">
        <v>0</v>
      </c>
      <c r="AF574" s="207">
        <f>SUM(Y574:AE574)</f>
        <v/>
      </c>
      <c r="AG574" s="254">
        <f>_xlfn.XLOOKUP(G574,[1]Fx!$A$16:$A$22,[1]Fx!$B$16:$B$22)</f>
        <v/>
      </c>
      <c r="AH574" s="207">
        <f>AG574*R574</f>
        <v/>
      </c>
      <c r="AI574" s="207">
        <f>$AI$3*Z574</f>
        <v/>
      </c>
      <c r="AJ574" s="207">
        <f>$AJ$3*AA574</f>
        <v/>
      </c>
      <c r="AK574" s="207">
        <f>$AK$3*AB574</f>
        <v/>
      </c>
      <c r="AL574" s="207">
        <f>$AL$3*AC574</f>
        <v/>
      </c>
      <c r="AM574" s="220">
        <f>SUM(AH574:AL574)</f>
        <v/>
      </c>
      <c r="AN574" s="220" t="n">
        <v>0</v>
      </c>
      <c r="AO574" s="220">
        <f>AN574*AH574</f>
        <v/>
      </c>
      <c r="AP574" s="220" t="n">
        <v>0</v>
      </c>
      <c r="AQ574" s="220">
        <f>AE574</f>
        <v/>
      </c>
      <c r="AR574" s="208">
        <f>AM574-AO574</f>
        <v/>
      </c>
      <c r="AS574" s="220">
        <f>AR574-AK574</f>
        <v/>
      </c>
      <c r="AT574" s="208">
        <f>AS574*1.075</f>
        <v/>
      </c>
      <c r="AU574" s="208">
        <f>AT574+AK574</f>
        <v/>
      </c>
      <c r="AV574" s="198" t="n">
        <v>131602.1995740657</v>
      </c>
      <c r="AW574" s="264" t="n">
        <v>150000</v>
      </c>
      <c r="AX574" s="220">
        <f>AV574-AU574</f>
        <v/>
      </c>
      <c r="AY574" s="35">
        <f>AX574/AR574</f>
        <v/>
      </c>
      <c r="AZ574" s="220">
        <f>AV574-AF574</f>
        <v/>
      </c>
      <c r="BA574" s="215">
        <f>AV574-SUM(Z574:AC574)</f>
        <v/>
      </c>
      <c r="BB574" s="215">
        <f>BA574-Y574</f>
        <v/>
      </c>
      <c r="BC574" s="35">
        <f>BB574/BA574</f>
        <v/>
      </c>
      <c r="BD574" s="35">
        <f>IFERROR(AZ574/AV574,)</f>
        <v/>
      </c>
      <c r="BE574" s="255">
        <f>AV574-SUM(Z574:AC574)</f>
        <v/>
      </c>
      <c r="BF574" s="255">
        <f>AV574-BE574-AC574-AB574</f>
        <v/>
      </c>
      <c r="BG574" s="255">
        <f>AV574-BE574-BF574-AB574</f>
        <v/>
      </c>
      <c r="BH574" s="255">
        <f>AB574</f>
        <v/>
      </c>
      <c r="BI574" s="263" t="inlineStr">
        <is>
          <t>Approved</t>
        </is>
      </c>
    </row>
    <row r="575">
      <c r="C575" s="23" t="inlineStr">
        <is>
          <t>YEKINI</t>
        </is>
      </c>
      <c r="D575">
        <f>CONCATENATE(G575,"-",H575,"-",F575)</f>
        <v/>
      </c>
      <c r="E575" s="24" t="inlineStr">
        <is>
          <t>JMG-8T-Hiabs Logistics-Local</t>
        </is>
      </c>
      <c r="F575" s="23" t="inlineStr">
        <is>
          <t>Local</t>
        </is>
      </c>
      <c r="G575" s="25" t="inlineStr">
        <is>
          <t>Hiabs Logistics</t>
        </is>
      </c>
      <c r="H575" s="24" t="inlineStr">
        <is>
          <t>8T</t>
        </is>
      </c>
      <c r="I575" s="73" t="inlineStr">
        <is>
          <t>JMG</t>
        </is>
      </c>
      <c r="J575" s="74" t="inlineStr">
        <is>
          <t>Lagos</t>
        </is>
      </c>
      <c r="K575" s="202" t="inlineStr">
        <is>
          <t>Oniru</t>
        </is>
      </c>
      <c r="L575" t="inlineStr">
        <is>
          <t>Lagos</t>
        </is>
      </c>
      <c r="N575" s="201">
        <f>O575/2</f>
        <v/>
      </c>
      <c r="O575" s="201" t="n">
        <v>46.2</v>
      </c>
      <c r="P575" s="220">
        <f>ROUNDUP(O575/300,)</f>
        <v/>
      </c>
      <c r="Q575" s="220" t="n">
        <v>0</v>
      </c>
      <c r="R575" s="220">
        <f>Q575+P575</f>
        <v/>
      </c>
      <c r="S575" s="198">
        <f>ROUNDDOWN(O575*0.51,)+60</f>
        <v/>
      </c>
      <c r="T575" s="207">
        <f>_xlfn.XLOOKUP(G575,[1]Fx!$A$4:$A$10,[1]Fx!$B$4:$B$10)</f>
        <v/>
      </c>
      <c r="U575" s="207">
        <f>_xlfn.XLOOKUP(G575,'[1]BP Setup'!$B$6:$B$72,'[1]BP Setup'!$Q$6:$Q$72)</f>
        <v/>
      </c>
      <c r="V575" s="207">
        <f>_xlfn.XLOOKUP(G575,'[1]BP Setup'!$B$6:$B$72,'[1]BP Setup'!$R$6:$R$72)</f>
        <v/>
      </c>
      <c r="W575" s="207">
        <f>$W$3</f>
        <v/>
      </c>
      <c r="X575" s="207" t="n">
        <v>80</v>
      </c>
      <c r="Y575" s="215">
        <f>T575*R575</f>
        <v/>
      </c>
      <c r="Z575" s="215">
        <f>U575*O575</f>
        <v/>
      </c>
      <c r="AA575" s="215">
        <f>V575*O575</f>
        <v/>
      </c>
      <c r="AB575" s="215">
        <f>W575*O575</f>
        <v/>
      </c>
      <c r="AC575" s="197">
        <f>X575*O575</f>
        <v/>
      </c>
      <c r="AD575" s="215" t="n">
        <v>25000</v>
      </c>
      <c r="AE575" s="215" t="n">
        <v>0</v>
      </c>
      <c r="AF575" s="207">
        <f>SUM(Y575:AE575)</f>
        <v/>
      </c>
      <c r="AG575" s="254">
        <f>_xlfn.XLOOKUP(G575,[1]Fx!$A$16:$A$22,[1]Fx!$B$16:$B$22)</f>
        <v/>
      </c>
      <c r="AH575" s="207">
        <f>AG575*R575</f>
        <v/>
      </c>
      <c r="AI575" s="207">
        <f>$AI$3*Z575</f>
        <v/>
      </c>
      <c r="AJ575" s="207">
        <f>$AJ$3*AA575</f>
        <v/>
      </c>
      <c r="AK575" s="207">
        <f>$AK$3*AB575</f>
        <v/>
      </c>
      <c r="AL575" s="207">
        <f>$AL$3*AC575</f>
        <v/>
      </c>
      <c r="AM575" s="220">
        <f>SUM(AH575:AL575)</f>
        <v/>
      </c>
      <c r="AN575" s="220" t="n">
        <v>0</v>
      </c>
      <c r="AO575" s="220">
        <f>AN575*AH575</f>
        <v/>
      </c>
      <c r="AP575" s="220" t="n">
        <v>0</v>
      </c>
      <c r="AQ575" s="220">
        <f>AE575</f>
        <v/>
      </c>
      <c r="AR575" s="208">
        <f>AM575-AO575</f>
        <v/>
      </c>
      <c r="AS575" s="220">
        <f>AR575-AK575</f>
        <v/>
      </c>
      <c r="AT575" s="208">
        <f>AS575*1.075</f>
        <v/>
      </c>
      <c r="AU575" s="208">
        <f>AT575+AK575</f>
        <v/>
      </c>
      <c r="AV575" s="198" t="n">
        <v>131602.1995740657</v>
      </c>
      <c r="AW575" s="264" t="n">
        <v>150000</v>
      </c>
      <c r="AX575" s="220">
        <f>AV575-AU575</f>
        <v/>
      </c>
      <c r="AY575" s="35">
        <f>AX575/AR575</f>
        <v/>
      </c>
      <c r="AZ575" s="220">
        <f>AV575-AF575</f>
        <v/>
      </c>
      <c r="BA575" s="215">
        <f>AV575-SUM(Z575:AC575)</f>
        <v/>
      </c>
      <c r="BB575" s="215">
        <f>BA575-Y575</f>
        <v/>
      </c>
      <c r="BC575" s="35">
        <f>BB575/BA575</f>
        <v/>
      </c>
      <c r="BD575" s="35">
        <f>IFERROR(AZ575/AV575,)</f>
        <v/>
      </c>
      <c r="BE575" s="255">
        <f>AV575-SUM(Z575:AC575)</f>
        <v/>
      </c>
      <c r="BF575" s="255">
        <f>AV575-BE575-AC575-AB575</f>
        <v/>
      </c>
      <c r="BG575" s="255">
        <f>AV575-BE575-BF575-AB575</f>
        <v/>
      </c>
      <c r="BH575" s="255">
        <f>AB575</f>
        <v/>
      </c>
      <c r="BI575" s="263" t="inlineStr">
        <is>
          <t>Approved</t>
        </is>
      </c>
    </row>
    <row r="576">
      <c r="C576" s="23" t="inlineStr">
        <is>
          <t>YEKINI</t>
        </is>
      </c>
      <c r="D576">
        <f>CONCATENATE(G576,"-",H576,"-",F576)</f>
        <v/>
      </c>
      <c r="E576" s="24" t="inlineStr">
        <is>
          <t>JMG-8T-Hiabs Logistics-Local</t>
        </is>
      </c>
      <c r="F576" s="23" t="inlineStr">
        <is>
          <t>Local</t>
        </is>
      </c>
      <c r="G576" s="25" t="inlineStr">
        <is>
          <t>Hiabs Logistics</t>
        </is>
      </c>
      <c r="H576" s="24" t="inlineStr">
        <is>
          <t>8T</t>
        </is>
      </c>
      <c r="I576" s="73" t="inlineStr">
        <is>
          <t>JMG</t>
        </is>
      </c>
      <c r="J576" s="74" t="inlineStr">
        <is>
          <t>Lagos</t>
        </is>
      </c>
      <c r="K576" s="202" t="inlineStr">
        <is>
          <t>Lagos Island</t>
        </is>
      </c>
      <c r="L576" t="inlineStr">
        <is>
          <t>Lagos</t>
        </is>
      </c>
      <c r="N576" s="201">
        <f>O576/2</f>
        <v/>
      </c>
      <c r="O576" s="201" t="n">
        <v>46</v>
      </c>
      <c r="P576" s="220">
        <f>ROUNDUP(O576/300,)</f>
        <v/>
      </c>
      <c r="Q576" s="220" t="n">
        <v>0</v>
      </c>
      <c r="R576" s="220">
        <f>Q576+P576</f>
        <v/>
      </c>
      <c r="S576" s="198">
        <f>ROUNDDOWN(O576*0.51,)+60</f>
        <v/>
      </c>
      <c r="T576" s="207">
        <f>_xlfn.XLOOKUP(G576,[1]Fx!$A$4:$A$10,[1]Fx!$B$4:$B$10)</f>
        <v/>
      </c>
      <c r="U576" s="207">
        <f>_xlfn.XLOOKUP(G576,'[1]BP Setup'!$B$6:$B$72,'[1]BP Setup'!$Q$6:$Q$72)</f>
        <v/>
      </c>
      <c r="V576" s="207">
        <f>_xlfn.XLOOKUP(G576,'[1]BP Setup'!$B$6:$B$72,'[1]BP Setup'!$R$6:$R$72)</f>
        <v/>
      </c>
      <c r="W576" s="207">
        <f>$W$3</f>
        <v/>
      </c>
      <c r="X576" s="207" t="n">
        <v>80</v>
      </c>
      <c r="Y576" s="215">
        <f>T576*R576</f>
        <v/>
      </c>
      <c r="Z576" s="215">
        <f>U576*O576</f>
        <v/>
      </c>
      <c r="AA576" s="215">
        <f>V576*O576</f>
        <v/>
      </c>
      <c r="AB576" s="215">
        <f>W576*O576</f>
        <v/>
      </c>
      <c r="AC576" s="197">
        <f>X576*O576</f>
        <v/>
      </c>
      <c r="AD576" s="215" t="n">
        <v>25000</v>
      </c>
      <c r="AE576" s="215" t="n">
        <v>0</v>
      </c>
      <c r="AF576" s="207">
        <f>SUM(Y576:AE576)</f>
        <v/>
      </c>
      <c r="AG576" s="254">
        <f>_xlfn.XLOOKUP(G576,[1]Fx!$A$16:$A$22,[1]Fx!$B$16:$B$22)</f>
        <v/>
      </c>
      <c r="AH576" s="207">
        <f>AG576*R576</f>
        <v/>
      </c>
      <c r="AI576" s="207">
        <f>$AI$3*Z576</f>
        <v/>
      </c>
      <c r="AJ576" s="207">
        <f>$AJ$3*AA576</f>
        <v/>
      </c>
      <c r="AK576" s="207">
        <f>$AK$3*AB576</f>
        <v/>
      </c>
      <c r="AL576" s="207">
        <f>$AL$3*AC576</f>
        <v/>
      </c>
      <c r="AM576" s="220">
        <f>SUM(AH576:AL576)</f>
        <v/>
      </c>
      <c r="AN576" s="220" t="n">
        <v>0</v>
      </c>
      <c r="AO576" s="220">
        <f>AN576*AH576</f>
        <v/>
      </c>
      <c r="AP576" s="220" t="n">
        <v>0</v>
      </c>
      <c r="AQ576" s="220">
        <f>AE576</f>
        <v/>
      </c>
      <c r="AR576" s="208">
        <f>AM576-AO576</f>
        <v/>
      </c>
      <c r="AS576" s="220">
        <f>AR576-AK576</f>
        <v/>
      </c>
      <c r="AT576" s="208">
        <f>AS576*1.075</f>
        <v/>
      </c>
      <c r="AU576" s="208">
        <f>AT576+AK576</f>
        <v/>
      </c>
      <c r="AV576" s="198" t="n">
        <v>131602.1995740657</v>
      </c>
      <c r="AW576" s="264" t="n">
        <v>150000</v>
      </c>
      <c r="AX576" s="220">
        <f>AV576-AU576</f>
        <v/>
      </c>
      <c r="AY576" s="35">
        <f>AX576/AR576</f>
        <v/>
      </c>
      <c r="AZ576" s="220">
        <f>AV576-AF576</f>
        <v/>
      </c>
      <c r="BA576" s="215">
        <f>AV576-SUM(Z576:AC576)</f>
        <v/>
      </c>
      <c r="BB576" s="215">
        <f>BA576-Y576</f>
        <v/>
      </c>
      <c r="BC576" s="35">
        <f>BB576/BA576</f>
        <v/>
      </c>
      <c r="BD576" s="35">
        <f>IFERROR(AZ576/AV576,)</f>
        <v/>
      </c>
      <c r="BE576" s="255">
        <f>AV576-SUM(Z576:AC576)</f>
        <v/>
      </c>
      <c r="BF576" s="255">
        <f>AV576-BE576-AC576-AB576</f>
        <v/>
      </c>
      <c r="BG576" s="255">
        <f>AV576-BE576-BF576-AB576</f>
        <v/>
      </c>
      <c r="BH576" s="255">
        <f>AB576</f>
        <v/>
      </c>
      <c r="BI576" s="263" t="inlineStr">
        <is>
          <t>Approved</t>
        </is>
      </c>
    </row>
    <row r="577">
      <c r="C577" s="23" t="inlineStr">
        <is>
          <t>YEKINI</t>
        </is>
      </c>
      <c r="D577">
        <f>CONCATENATE(G577,"-",H577,"-",F577)</f>
        <v/>
      </c>
      <c r="E577" s="24" t="inlineStr">
        <is>
          <t>JMG-8T-Hiabs Logistics-Local</t>
        </is>
      </c>
      <c r="F577" s="23" t="inlineStr">
        <is>
          <t>Local</t>
        </is>
      </c>
      <c r="G577" s="25" t="inlineStr">
        <is>
          <t>Hiabs Logistics</t>
        </is>
      </c>
      <c r="H577" s="24" t="inlineStr">
        <is>
          <t>8T</t>
        </is>
      </c>
      <c r="I577" s="73" t="inlineStr">
        <is>
          <t>JMG</t>
        </is>
      </c>
      <c r="J577" s="74" t="inlineStr">
        <is>
          <t>Lagos</t>
        </is>
      </c>
      <c r="K577" s="202" t="inlineStr">
        <is>
          <t>Abule Egba</t>
        </is>
      </c>
      <c r="L577" t="inlineStr">
        <is>
          <t>Lagos</t>
        </is>
      </c>
      <c r="N577" s="201">
        <f>O577/2</f>
        <v/>
      </c>
      <c r="O577" s="200" t="n">
        <v>44.5</v>
      </c>
      <c r="P577" s="220">
        <f>ROUNDUP(O577/300,)</f>
        <v/>
      </c>
      <c r="Q577" s="220" t="n">
        <v>0</v>
      </c>
      <c r="R577" s="220">
        <f>Q577+P577</f>
        <v/>
      </c>
      <c r="S577" s="198">
        <f>ROUNDDOWN(O577*0.51,)+60</f>
        <v/>
      </c>
      <c r="T577" s="207">
        <f>_xlfn.XLOOKUP(G577,[1]Fx!$A$4:$A$10,[1]Fx!$B$4:$B$10)</f>
        <v/>
      </c>
      <c r="U577" s="207">
        <f>_xlfn.XLOOKUP(G577,'[1]BP Setup'!$B$6:$B$72,'[1]BP Setup'!$Q$6:$Q$72)</f>
        <v/>
      </c>
      <c r="V577" s="207">
        <f>_xlfn.XLOOKUP(G577,'[1]BP Setup'!$B$6:$B$72,'[1]BP Setup'!$R$6:$R$72)</f>
        <v/>
      </c>
      <c r="W577" s="207">
        <f>$W$3</f>
        <v/>
      </c>
      <c r="X577" s="207" t="n">
        <v>80</v>
      </c>
      <c r="Y577" s="215">
        <f>T577*R577</f>
        <v/>
      </c>
      <c r="Z577" s="215">
        <f>U577*O577</f>
        <v/>
      </c>
      <c r="AA577" s="215">
        <f>V577*O577</f>
        <v/>
      </c>
      <c r="AB577" s="215">
        <f>W577*O577</f>
        <v/>
      </c>
      <c r="AC577" s="197">
        <f>X577*O577</f>
        <v/>
      </c>
      <c r="AD577" s="215" t="n">
        <v>25000</v>
      </c>
      <c r="AE577" s="215" t="n">
        <v>0</v>
      </c>
      <c r="AF577" s="207">
        <f>SUM(Y577:AE577)</f>
        <v/>
      </c>
      <c r="AG577" s="254">
        <f>_xlfn.XLOOKUP(G577,[1]Fx!$A$16:$A$22,[1]Fx!$B$16:$B$22)</f>
        <v/>
      </c>
      <c r="AH577" s="207">
        <f>AG577*R577</f>
        <v/>
      </c>
      <c r="AI577" s="207">
        <f>$AI$3*Z577</f>
        <v/>
      </c>
      <c r="AJ577" s="207">
        <f>$AJ$3*AA577</f>
        <v/>
      </c>
      <c r="AK577" s="207">
        <f>$AK$3*AB577</f>
        <v/>
      </c>
      <c r="AL577" s="207">
        <f>$AL$3*AC577</f>
        <v/>
      </c>
      <c r="AM577" s="220">
        <f>SUM(AH577:AL577)</f>
        <v/>
      </c>
      <c r="AN577" s="220" t="n">
        <v>0</v>
      </c>
      <c r="AO577" s="220">
        <f>AN577*AH577</f>
        <v/>
      </c>
      <c r="AP577" s="220" t="n">
        <v>0</v>
      </c>
      <c r="AQ577" s="220">
        <f>AE577</f>
        <v/>
      </c>
      <c r="AR577" s="208">
        <f>AM577-AO577</f>
        <v/>
      </c>
      <c r="AS577" s="220">
        <f>AR577-AK577</f>
        <v/>
      </c>
      <c r="AT577" s="208">
        <f>AS577*1.075</f>
        <v/>
      </c>
      <c r="AU577" s="208">
        <f>AT577+AK577</f>
        <v/>
      </c>
      <c r="AV577" s="198" t="n">
        <v>131602.1995740657</v>
      </c>
      <c r="AW577" s="264" t="n">
        <v>150000</v>
      </c>
      <c r="AX577" s="220">
        <f>AV577-AU577</f>
        <v/>
      </c>
      <c r="AY577" s="35">
        <f>AX577/AR577</f>
        <v/>
      </c>
      <c r="AZ577" s="220">
        <f>AV577-AF577</f>
        <v/>
      </c>
      <c r="BA577" s="215">
        <f>AV577-SUM(Z577:AC577)</f>
        <v/>
      </c>
      <c r="BB577" s="215">
        <f>BA577-Y577</f>
        <v/>
      </c>
      <c r="BC577" s="35">
        <f>BB577/BA577</f>
        <v/>
      </c>
      <c r="BD577" s="35">
        <f>IFERROR(AZ577/AV577,)</f>
        <v/>
      </c>
      <c r="BE577" s="255">
        <f>AV577-SUM(Z577:AC577)</f>
        <v/>
      </c>
      <c r="BF577" s="255">
        <f>AV577-BE577-AC577-AB577</f>
        <v/>
      </c>
      <c r="BG577" s="255">
        <f>AV577-BE577-BF577-AB577</f>
        <v/>
      </c>
      <c r="BH577" s="255">
        <f>AB577</f>
        <v/>
      </c>
      <c r="BI577" s="263" t="inlineStr">
        <is>
          <t>Approved</t>
        </is>
      </c>
    </row>
    <row r="578">
      <c r="C578" s="23" t="inlineStr">
        <is>
          <t>YEKINI</t>
        </is>
      </c>
      <c r="D578">
        <f>CONCATENATE(G578,"-",H578,"-",F578)</f>
        <v/>
      </c>
      <c r="E578" s="24" t="inlineStr">
        <is>
          <t>JMG-8T-Hiabs Logistics-Local</t>
        </is>
      </c>
      <c r="F578" s="23" t="inlineStr">
        <is>
          <t>Local</t>
        </is>
      </c>
      <c r="G578" s="25" t="inlineStr">
        <is>
          <t>Hiabs Logistics</t>
        </is>
      </c>
      <c r="H578" s="24" t="inlineStr">
        <is>
          <t>8T</t>
        </is>
      </c>
      <c r="I578" s="73" t="inlineStr">
        <is>
          <t>JMG</t>
        </is>
      </c>
      <c r="J578" s="74" t="inlineStr">
        <is>
          <t>Lagos</t>
        </is>
      </c>
      <c r="K578" s="202" t="inlineStr">
        <is>
          <t>Bar Beach</t>
        </is>
      </c>
      <c r="L578" t="inlineStr">
        <is>
          <t>Lagos</t>
        </is>
      </c>
      <c r="N578" s="201">
        <f>O578/2</f>
        <v/>
      </c>
      <c r="O578" s="200" t="n">
        <v>43.8</v>
      </c>
      <c r="P578" s="220">
        <f>ROUNDUP(O578/300,)</f>
        <v/>
      </c>
      <c r="Q578" s="220" t="n">
        <v>0</v>
      </c>
      <c r="R578" s="220">
        <f>Q578+P578</f>
        <v/>
      </c>
      <c r="S578" s="198">
        <f>ROUNDDOWN(O578*0.51,)+60</f>
        <v/>
      </c>
      <c r="T578" s="207">
        <f>_xlfn.XLOOKUP(G578,[1]Fx!$A$4:$A$10,[1]Fx!$B$4:$B$10)</f>
        <v/>
      </c>
      <c r="U578" s="207">
        <f>_xlfn.XLOOKUP(G578,'[1]BP Setup'!$B$6:$B$72,'[1]BP Setup'!$Q$6:$Q$72)</f>
        <v/>
      </c>
      <c r="V578" s="207">
        <f>_xlfn.XLOOKUP(G578,'[1]BP Setup'!$B$6:$B$72,'[1]BP Setup'!$R$6:$R$72)</f>
        <v/>
      </c>
      <c r="W578" s="207">
        <f>$W$3</f>
        <v/>
      </c>
      <c r="X578" s="207" t="n">
        <v>80</v>
      </c>
      <c r="Y578" s="215">
        <f>T578*R578</f>
        <v/>
      </c>
      <c r="Z578" s="215">
        <f>U578*O578</f>
        <v/>
      </c>
      <c r="AA578" s="215">
        <f>V578*O578</f>
        <v/>
      </c>
      <c r="AB578" s="215">
        <f>W578*O578</f>
        <v/>
      </c>
      <c r="AC578" s="197">
        <f>X578*O578</f>
        <v/>
      </c>
      <c r="AD578" s="215" t="n">
        <v>25000</v>
      </c>
      <c r="AE578" s="215" t="n">
        <v>0</v>
      </c>
      <c r="AF578" s="207">
        <f>SUM(Y578:AE578)</f>
        <v/>
      </c>
      <c r="AG578" s="254">
        <f>_xlfn.XLOOKUP(G578,[1]Fx!$A$16:$A$22,[1]Fx!$B$16:$B$22)</f>
        <v/>
      </c>
      <c r="AH578" s="207">
        <f>AG578*R578</f>
        <v/>
      </c>
      <c r="AI578" s="207">
        <f>$AI$3*Z578</f>
        <v/>
      </c>
      <c r="AJ578" s="207">
        <f>$AJ$3*AA578</f>
        <v/>
      </c>
      <c r="AK578" s="207">
        <f>$AK$3*AB578</f>
        <v/>
      </c>
      <c r="AL578" s="207">
        <f>$AL$3*AC578</f>
        <v/>
      </c>
      <c r="AM578" s="220">
        <f>SUM(AH578:AL578)</f>
        <v/>
      </c>
      <c r="AN578" s="220" t="n">
        <v>0</v>
      </c>
      <c r="AO578" s="220">
        <f>AN578*AH578</f>
        <v/>
      </c>
      <c r="AP578" s="220" t="n">
        <v>0</v>
      </c>
      <c r="AQ578" s="220">
        <f>AE578</f>
        <v/>
      </c>
      <c r="AR578" s="208">
        <f>AM578-AO578</f>
        <v/>
      </c>
      <c r="AS578" s="220">
        <f>AR578-AK578</f>
        <v/>
      </c>
      <c r="AT578" s="208">
        <f>AS578*1.075</f>
        <v/>
      </c>
      <c r="AU578" s="208">
        <f>AT578+AK578</f>
        <v/>
      </c>
      <c r="AV578" s="198" t="n">
        <v>131602.1995740657</v>
      </c>
      <c r="AW578" s="264" t="n">
        <v>150000</v>
      </c>
      <c r="AX578" s="220">
        <f>AV578-AU578</f>
        <v/>
      </c>
      <c r="AY578" s="35">
        <f>AX578/AR578</f>
        <v/>
      </c>
      <c r="AZ578" s="220">
        <f>AV578-AF578</f>
        <v/>
      </c>
      <c r="BA578" s="215">
        <f>AV578-SUM(Z578:AC578)</f>
        <v/>
      </c>
      <c r="BB578" s="215">
        <f>BA578-Y578</f>
        <v/>
      </c>
      <c r="BC578" s="35">
        <f>BB578/BA578</f>
        <v/>
      </c>
      <c r="BD578" s="35">
        <f>IFERROR(AZ578/AV578,)</f>
        <v/>
      </c>
      <c r="BE578" s="255">
        <f>AV578-SUM(Z578:AC578)</f>
        <v/>
      </c>
      <c r="BF578" s="255">
        <f>AV578-BE578-AC578-AB578</f>
        <v/>
      </c>
      <c r="BG578" s="255">
        <f>AV578-BE578-BF578-AB578</f>
        <v/>
      </c>
      <c r="BH578" s="255">
        <f>AB578</f>
        <v/>
      </c>
      <c r="BI578" s="263" t="inlineStr">
        <is>
          <t>Approved</t>
        </is>
      </c>
    </row>
    <row r="579">
      <c r="C579" s="23" t="inlineStr">
        <is>
          <t>YEKINI</t>
        </is>
      </c>
      <c r="D579">
        <f>CONCATENATE(G579,"-",H579,"-",F579)</f>
        <v/>
      </c>
      <c r="E579" s="24" t="inlineStr">
        <is>
          <t>JMG-8T-Hiabs Logistics-Local</t>
        </is>
      </c>
      <c r="F579" s="23" t="inlineStr">
        <is>
          <t>Local</t>
        </is>
      </c>
      <c r="G579" s="25" t="inlineStr">
        <is>
          <t>Hiabs Logistics</t>
        </is>
      </c>
      <c r="H579" s="24" t="inlineStr">
        <is>
          <t>8T</t>
        </is>
      </c>
      <c r="I579" s="73" t="inlineStr">
        <is>
          <t>JMG</t>
        </is>
      </c>
      <c r="J579" s="74" t="inlineStr">
        <is>
          <t>Lagos</t>
        </is>
      </c>
      <c r="K579" s="202" t="inlineStr">
        <is>
          <t>Adeola Odeku</t>
        </is>
      </c>
      <c r="L579" t="inlineStr">
        <is>
          <t>Lagos</t>
        </is>
      </c>
      <c r="N579" s="201">
        <f>O579/2</f>
        <v/>
      </c>
      <c r="O579" s="200" t="n">
        <v>43.2</v>
      </c>
      <c r="P579" s="220">
        <f>ROUNDUP(O579/300,)</f>
        <v/>
      </c>
      <c r="Q579" s="220" t="n">
        <v>0</v>
      </c>
      <c r="R579" s="220">
        <f>Q579+P579</f>
        <v/>
      </c>
      <c r="S579" s="198">
        <f>ROUNDDOWN(O579*0.51,)+60</f>
        <v/>
      </c>
      <c r="T579" s="207">
        <f>_xlfn.XLOOKUP(G579,[1]Fx!$A$4:$A$10,[1]Fx!$B$4:$B$10)</f>
        <v/>
      </c>
      <c r="U579" s="207">
        <f>_xlfn.XLOOKUP(G579,'[1]BP Setup'!$B$6:$B$72,'[1]BP Setup'!$Q$6:$Q$72)</f>
        <v/>
      </c>
      <c r="V579" s="207">
        <f>_xlfn.XLOOKUP(G579,'[1]BP Setup'!$B$6:$B$72,'[1]BP Setup'!$R$6:$R$72)</f>
        <v/>
      </c>
      <c r="W579" s="207">
        <f>$W$3</f>
        <v/>
      </c>
      <c r="X579" s="207" t="n">
        <v>80</v>
      </c>
      <c r="Y579" s="215">
        <f>T579*R579</f>
        <v/>
      </c>
      <c r="Z579" s="215">
        <f>U579*O579</f>
        <v/>
      </c>
      <c r="AA579" s="215">
        <f>V579*O579</f>
        <v/>
      </c>
      <c r="AB579" s="215">
        <f>W579*O579</f>
        <v/>
      </c>
      <c r="AC579" s="197">
        <f>X579*O579</f>
        <v/>
      </c>
      <c r="AD579" s="215" t="n">
        <v>25000</v>
      </c>
      <c r="AE579" s="215" t="n">
        <v>0</v>
      </c>
      <c r="AF579" s="207">
        <f>SUM(Y579:AE579)</f>
        <v/>
      </c>
      <c r="AG579" s="254">
        <f>_xlfn.XLOOKUP(G579,[1]Fx!$A$16:$A$22,[1]Fx!$B$16:$B$22)</f>
        <v/>
      </c>
      <c r="AH579" s="207">
        <f>AG579*R579</f>
        <v/>
      </c>
      <c r="AI579" s="207">
        <f>$AI$3*Z579</f>
        <v/>
      </c>
      <c r="AJ579" s="207">
        <f>$AJ$3*AA579</f>
        <v/>
      </c>
      <c r="AK579" s="207">
        <f>$AK$3*AB579</f>
        <v/>
      </c>
      <c r="AL579" s="207">
        <f>$AL$3*AC579</f>
        <v/>
      </c>
      <c r="AM579" s="220">
        <f>SUM(AH579:AL579)</f>
        <v/>
      </c>
      <c r="AN579" s="220" t="n">
        <v>0</v>
      </c>
      <c r="AO579" s="220">
        <f>AN579*AH579</f>
        <v/>
      </c>
      <c r="AP579" s="220" t="n">
        <v>0</v>
      </c>
      <c r="AQ579" s="220">
        <f>AE579</f>
        <v/>
      </c>
      <c r="AR579" s="208">
        <f>AM579-AO579</f>
        <v/>
      </c>
      <c r="AS579" s="220">
        <f>AR579-AK579</f>
        <v/>
      </c>
      <c r="AT579" s="208">
        <f>AS579*1.075</f>
        <v/>
      </c>
      <c r="AU579" s="208">
        <f>AT579+AK579</f>
        <v/>
      </c>
      <c r="AV579" s="198" t="n">
        <v>131602.1995740657</v>
      </c>
      <c r="AW579" s="264" t="n">
        <v>150000</v>
      </c>
      <c r="AX579" s="220">
        <f>AV579-AU579</f>
        <v/>
      </c>
      <c r="AY579" s="35">
        <f>AX579/AR579</f>
        <v/>
      </c>
      <c r="AZ579" s="220">
        <f>AV579-AF579</f>
        <v/>
      </c>
      <c r="BA579" s="215">
        <f>AV579-SUM(Z579:AC579)</f>
        <v/>
      </c>
      <c r="BB579" s="215">
        <f>BA579-Y579</f>
        <v/>
      </c>
      <c r="BC579" s="35">
        <f>BB579/BA579</f>
        <v/>
      </c>
      <c r="BD579" s="35">
        <f>IFERROR(AZ579/AV579,)</f>
        <v/>
      </c>
      <c r="BE579" s="255">
        <f>AV579-SUM(Z579:AC579)</f>
        <v/>
      </c>
      <c r="BF579" s="255">
        <f>AV579-BE579-AC579-AB579</f>
        <v/>
      </c>
      <c r="BG579" s="255">
        <f>AV579-BE579-BF579-AB579</f>
        <v/>
      </c>
      <c r="BH579" s="255">
        <f>AB579</f>
        <v/>
      </c>
      <c r="BI579" s="263" t="inlineStr">
        <is>
          <t>Approved</t>
        </is>
      </c>
    </row>
    <row r="580">
      <c r="C580" s="23" t="inlineStr">
        <is>
          <t>YEKINI</t>
        </is>
      </c>
      <c r="D580">
        <f>CONCATENATE(G580,"-",H580,"-",F580)</f>
        <v/>
      </c>
      <c r="E580" s="24" t="inlineStr">
        <is>
          <t>JMG-8T-Hiabs Logistics-Local</t>
        </is>
      </c>
      <c r="F580" s="23" t="inlineStr">
        <is>
          <t>Local</t>
        </is>
      </c>
      <c r="G580" s="25" t="inlineStr">
        <is>
          <t>Hiabs Logistics</t>
        </is>
      </c>
      <c r="H580" s="24" t="inlineStr">
        <is>
          <t>8T</t>
        </is>
      </c>
      <c r="I580" s="73" t="inlineStr">
        <is>
          <t>JMG</t>
        </is>
      </c>
      <c r="J580" s="74" t="inlineStr">
        <is>
          <t>Lagos</t>
        </is>
      </c>
      <c r="K580" s="121" t="inlineStr">
        <is>
          <t>Mushin</t>
        </is>
      </c>
      <c r="L580" t="inlineStr">
        <is>
          <t>Lagos</t>
        </is>
      </c>
      <c r="N580" s="201">
        <f>O580/2</f>
        <v/>
      </c>
      <c r="O580" s="200" t="n">
        <v>43</v>
      </c>
      <c r="P580" s="220">
        <f>ROUNDUP(O580/300,)</f>
        <v/>
      </c>
      <c r="Q580" s="220" t="n">
        <v>0</v>
      </c>
      <c r="R580" s="220">
        <f>Q580+P580</f>
        <v/>
      </c>
      <c r="S580" s="198">
        <f>ROUNDDOWN(O580*0.51,)+60</f>
        <v/>
      </c>
      <c r="T580" s="207">
        <f>_xlfn.XLOOKUP(G580,[1]Fx!$A$4:$A$10,[1]Fx!$B$4:$B$10)</f>
        <v/>
      </c>
      <c r="U580" s="207">
        <f>_xlfn.XLOOKUP(G580,'[1]BP Setup'!$B$6:$B$72,'[1]BP Setup'!$Q$6:$Q$72)</f>
        <v/>
      </c>
      <c r="V580" s="207">
        <f>_xlfn.XLOOKUP(G580,'[1]BP Setup'!$B$6:$B$72,'[1]BP Setup'!$R$6:$R$72)</f>
        <v/>
      </c>
      <c r="W580" s="207">
        <f>$W$3</f>
        <v/>
      </c>
      <c r="X580" s="207" t="n">
        <v>80</v>
      </c>
      <c r="Y580" s="215">
        <f>T580*R580</f>
        <v/>
      </c>
      <c r="Z580" s="215">
        <f>U580*O580</f>
        <v/>
      </c>
      <c r="AA580" s="215">
        <f>V580*O580</f>
        <v/>
      </c>
      <c r="AB580" s="215">
        <f>W580*O580</f>
        <v/>
      </c>
      <c r="AC580" s="197">
        <f>X580*O580</f>
        <v/>
      </c>
      <c r="AD580" s="215" t="n">
        <v>25000</v>
      </c>
      <c r="AE580" s="215" t="n">
        <v>0</v>
      </c>
      <c r="AF580" s="207">
        <f>SUM(Y580:AE580)</f>
        <v/>
      </c>
      <c r="AG580" s="254">
        <f>_xlfn.XLOOKUP(G580,[1]Fx!$A$16:$A$22,[1]Fx!$B$16:$B$22)</f>
        <v/>
      </c>
      <c r="AH580" s="207">
        <f>AG580*R580</f>
        <v/>
      </c>
      <c r="AI580" s="207">
        <f>$AI$3*Z580</f>
        <v/>
      </c>
      <c r="AJ580" s="207">
        <f>$AJ$3*AA580</f>
        <v/>
      </c>
      <c r="AK580" s="207">
        <f>$AK$3*AB580</f>
        <v/>
      </c>
      <c r="AL580" s="207">
        <f>$AL$3*AC580</f>
        <v/>
      </c>
      <c r="AM580" s="220">
        <f>SUM(AH580:AL580)</f>
        <v/>
      </c>
      <c r="AN580" s="220" t="n">
        <v>0</v>
      </c>
      <c r="AO580" s="220">
        <f>AN580*AH580</f>
        <v/>
      </c>
      <c r="AP580" s="220" t="n">
        <v>0</v>
      </c>
      <c r="AQ580" s="220">
        <f>AE580</f>
        <v/>
      </c>
      <c r="AR580" s="208">
        <f>AM580-AO580</f>
        <v/>
      </c>
      <c r="AS580" s="220">
        <f>AR580-AK580</f>
        <v/>
      </c>
      <c r="AT580" s="208">
        <f>AS580*1.075</f>
        <v/>
      </c>
      <c r="AU580" s="208">
        <f>AT580+AK580</f>
        <v/>
      </c>
      <c r="AV580" s="198" t="n">
        <v>131602.1995740657</v>
      </c>
      <c r="AW580" s="264" t="n">
        <v>150000</v>
      </c>
      <c r="AX580" s="220">
        <f>AV580-AU580</f>
        <v/>
      </c>
      <c r="AY580" s="35">
        <f>AX580/AR580</f>
        <v/>
      </c>
      <c r="AZ580" s="220">
        <f>AV580-AF580</f>
        <v/>
      </c>
      <c r="BA580" s="215">
        <f>AV580-SUM(Z580:AC580)</f>
        <v/>
      </c>
      <c r="BB580" s="215">
        <f>BA580-Y580</f>
        <v/>
      </c>
      <c r="BC580" s="35">
        <f>BB580/BA580</f>
        <v/>
      </c>
      <c r="BD580" s="35">
        <f>IFERROR(AZ580/AV580,)</f>
        <v/>
      </c>
      <c r="BE580" s="255">
        <f>AV580-SUM(Z580:AC580)</f>
        <v/>
      </c>
      <c r="BF580" s="255">
        <f>AV580-BE580-AC580-AB580</f>
        <v/>
      </c>
      <c r="BG580" s="255">
        <f>AV580-BE580-BF580-AB580</f>
        <v/>
      </c>
      <c r="BH580" s="255">
        <f>AB580</f>
        <v/>
      </c>
      <c r="BI580" s="263" t="inlineStr">
        <is>
          <t>Approved</t>
        </is>
      </c>
    </row>
    <row r="581">
      <c r="C581" s="23" t="inlineStr">
        <is>
          <t>YEKINI</t>
        </is>
      </c>
      <c r="D581">
        <f>CONCATENATE(G581,"-",H581,"-",F581)</f>
        <v/>
      </c>
      <c r="E581" s="24" t="inlineStr">
        <is>
          <t>JMG-8T-Hiabs Logistics-Local</t>
        </is>
      </c>
      <c r="F581" s="23" t="inlineStr">
        <is>
          <t>Local</t>
        </is>
      </c>
      <c r="G581" s="25" t="inlineStr">
        <is>
          <t>Hiabs Logistics</t>
        </is>
      </c>
      <c r="H581" s="24" t="inlineStr">
        <is>
          <t>8T</t>
        </is>
      </c>
      <c r="I581" s="73" t="inlineStr">
        <is>
          <t>JMG</t>
        </is>
      </c>
      <c r="J581" s="74" t="inlineStr">
        <is>
          <t>Lagos</t>
        </is>
      </c>
      <c r="K581" s="202" t="inlineStr">
        <is>
          <t>Agbado</t>
        </is>
      </c>
      <c r="L581" t="inlineStr">
        <is>
          <t>Lagos</t>
        </is>
      </c>
      <c r="N581" s="201">
        <f>O581/2</f>
        <v/>
      </c>
      <c r="O581" s="200" t="n">
        <v>42.4</v>
      </c>
      <c r="P581" s="220">
        <f>ROUNDUP(O581/300,)</f>
        <v/>
      </c>
      <c r="Q581" s="220" t="n">
        <v>0</v>
      </c>
      <c r="R581" s="220">
        <f>Q581+P581</f>
        <v/>
      </c>
      <c r="S581" s="198">
        <f>ROUNDDOWN(O581*0.51,)+60</f>
        <v/>
      </c>
      <c r="T581" s="207">
        <f>_xlfn.XLOOKUP(G581,[1]Fx!$A$4:$A$10,[1]Fx!$B$4:$B$10)</f>
        <v/>
      </c>
      <c r="U581" s="207">
        <f>_xlfn.XLOOKUP(G581,'[1]BP Setup'!$B$6:$B$72,'[1]BP Setup'!$Q$6:$Q$72)</f>
        <v/>
      </c>
      <c r="V581" s="207">
        <f>_xlfn.XLOOKUP(G581,'[1]BP Setup'!$B$6:$B$72,'[1]BP Setup'!$R$6:$R$72)</f>
        <v/>
      </c>
      <c r="W581" s="207">
        <f>$W$3</f>
        <v/>
      </c>
      <c r="X581" s="207" t="n">
        <v>80</v>
      </c>
      <c r="Y581" s="215">
        <f>T581*R581</f>
        <v/>
      </c>
      <c r="Z581" s="215">
        <f>U581*O581</f>
        <v/>
      </c>
      <c r="AA581" s="215">
        <f>V581*O581</f>
        <v/>
      </c>
      <c r="AB581" s="215">
        <f>W581*O581</f>
        <v/>
      </c>
      <c r="AC581" s="197">
        <f>X581*O581</f>
        <v/>
      </c>
      <c r="AD581" s="215" t="n">
        <v>25000</v>
      </c>
      <c r="AE581" s="215" t="n">
        <v>0</v>
      </c>
      <c r="AF581" s="207">
        <f>SUM(Y581:AE581)</f>
        <v/>
      </c>
      <c r="AG581" s="254">
        <f>_xlfn.XLOOKUP(G581,[1]Fx!$A$16:$A$22,[1]Fx!$B$16:$B$22)</f>
        <v/>
      </c>
      <c r="AH581" s="207">
        <f>AG581*R581</f>
        <v/>
      </c>
      <c r="AI581" s="207">
        <f>$AI$3*Z581</f>
        <v/>
      </c>
      <c r="AJ581" s="207">
        <f>$AJ$3*AA581</f>
        <v/>
      </c>
      <c r="AK581" s="207">
        <f>$AK$3*AB581</f>
        <v/>
      </c>
      <c r="AL581" s="207">
        <f>$AL$3*AC581</f>
        <v/>
      </c>
      <c r="AM581" s="220">
        <f>SUM(AH581:AL581)</f>
        <v/>
      </c>
      <c r="AN581" s="220" t="n">
        <v>0</v>
      </c>
      <c r="AO581" s="220">
        <f>AN581*AH581</f>
        <v/>
      </c>
      <c r="AP581" s="220" t="n">
        <v>0</v>
      </c>
      <c r="AQ581" s="220">
        <f>AE581</f>
        <v/>
      </c>
      <c r="AR581" s="208">
        <f>AM581-AO581</f>
        <v/>
      </c>
      <c r="AS581" s="220">
        <f>AR581-AK581</f>
        <v/>
      </c>
      <c r="AT581" s="208">
        <f>AS581*1.075</f>
        <v/>
      </c>
      <c r="AU581" s="208">
        <f>AT581+AK581</f>
        <v/>
      </c>
      <c r="AV581" s="198" t="n">
        <v>131602.1995740657</v>
      </c>
      <c r="AW581" s="264" t="n">
        <v>150000</v>
      </c>
      <c r="AX581" s="220">
        <f>AV581-AU581</f>
        <v/>
      </c>
      <c r="AY581" s="35">
        <f>AX581/AR581</f>
        <v/>
      </c>
      <c r="AZ581" s="220">
        <f>AV581-AF581</f>
        <v/>
      </c>
      <c r="BA581" s="215">
        <f>AV581-SUM(Z581:AC581)</f>
        <v/>
      </c>
      <c r="BB581" s="215">
        <f>BA581-Y581</f>
        <v/>
      </c>
      <c r="BC581" s="35">
        <f>BB581/BA581</f>
        <v/>
      </c>
      <c r="BD581" s="35">
        <f>IFERROR(AZ581/AV581,)</f>
        <v/>
      </c>
      <c r="BE581" s="255">
        <f>AV581-SUM(Z581:AC581)</f>
        <v/>
      </c>
      <c r="BF581" s="255">
        <f>AV581-BE581-AC581-AB581</f>
        <v/>
      </c>
      <c r="BG581" s="255">
        <f>AV581-BE581-BF581-AB581</f>
        <v/>
      </c>
      <c r="BH581" s="255">
        <f>AB581</f>
        <v/>
      </c>
      <c r="BI581" s="263" t="inlineStr">
        <is>
          <t>Approved</t>
        </is>
      </c>
    </row>
    <row r="582">
      <c r="C582" s="23" t="inlineStr">
        <is>
          <t>YEKINI</t>
        </is>
      </c>
      <c r="D582">
        <f>CONCATENATE(G582,"-",H582,"-",F582)</f>
        <v/>
      </c>
      <c r="E582" s="24" t="inlineStr">
        <is>
          <t>JMG-8T-Hiabs Logistics-Local</t>
        </is>
      </c>
      <c r="F582" s="23" t="inlineStr">
        <is>
          <t>Local</t>
        </is>
      </c>
      <c r="G582" s="25" t="inlineStr">
        <is>
          <t>Hiabs Logistics</t>
        </is>
      </c>
      <c r="H582" s="24" t="inlineStr">
        <is>
          <t>8T</t>
        </is>
      </c>
      <c r="I582" s="73" t="inlineStr">
        <is>
          <t>JMG</t>
        </is>
      </c>
      <c r="J582" s="74" t="inlineStr">
        <is>
          <t>Lagos</t>
        </is>
      </c>
      <c r="K582" s="202" t="inlineStr">
        <is>
          <t>Akute</t>
        </is>
      </c>
      <c r="L582" t="inlineStr">
        <is>
          <t>Ogun</t>
        </is>
      </c>
      <c r="N582" s="201">
        <f>O582/2</f>
        <v/>
      </c>
      <c r="O582" s="200" t="n">
        <v>41</v>
      </c>
      <c r="P582" s="220">
        <f>ROUNDUP(O582/300,)</f>
        <v/>
      </c>
      <c r="Q582" s="220" t="n">
        <v>0</v>
      </c>
      <c r="R582" s="220">
        <f>Q582+P582</f>
        <v/>
      </c>
      <c r="S582" s="198">
        <f>ROUNDDOWN(O582*0.51,)+60</f>
        <v/>
      </c>
      <c r="T582" s="207">
        <f>_xlfn.XLOOKUP(G582,[1]Fx!$A$4:$A$10,[1]Fx!$B$4:$B$10)</f>
        <v/>
      </c>
      <c r="U582" s="207">
        <f>_xlfn.XLOOKUP(G582,'[1]BP Setup'!$B$6:$B$72,'[1]BP Setup'!$Q$6:$Q$72)</f>
        <v/>
      </c>
      <c r="V582" s="207">
        <f>_xlfn.XLOOKUP(G582,'[1]BP Setup'!$B$6:$B$72,'[1]BP Setup'!$R$6:$R$72)</f>
        <v/>
      </c>
      <c r="W582" s="207">
        <f>$W$3</f>
        <v/>
      </c>
      <c r="X582" s="207" t="n">
        <v>80</v>
      </c>
      <c r="Y582" s="215">
        <f>T582*R582</f>
        <v/>
      </c>
      <c r="Z582" s="215">
        <f>U582*O582</f>
        <v/>
      </c>
      <c r="AA582" s="215">
        <f>V582*O582</f>
        <v/>
      </c>
      <c r="AB582" s="215">
        <f>W582*O582</f>
        <v/>
      </c>
      <c r="AC582" s="197">
        <f>X582*O582</f>
        <v/>
      </c>
      <c r="AD582" s="215" t="n">
        <v>25000</v>
      </c>
      <c r="AE582" s="215" t="n">
        <v>0</v>
      </c>
      <c r="AF582" s="207">
        <f>SUM(Y582:AE582)</f>
        <v/>
      </c>
      <c r="AG582" s="254">
        <f>_xlfn.XLOOKUP(G582,[1]Fx!$A$16:$A$22,[1]Fx!$B$16:$B$22)</f>
        <v/>
      </c>
      <c r="AH582" s="207">
        <f>AG582*R582</f>
        <v/>
      </c>
      <c r="AI582" s="207">
        <f>$AI$3*Z582</f>
        <v/>
      </c>
      <c r="AJ582" s="207">
        <f>$AJ$3*AA582</f>
        <v/>
      </c>
      <c r="AK582" s="207">
        <f>$AK$3*AB582</f>
        <v/>
      </c>
      <c r="AL582" s="207">
        <f>$AL$3*AC582</f>
        <v/>
      </c>
      <c r="AM582" s="220">
        <f>SUM(AH582:AL582)</f>
        <v/>
      </c>
      <c r="AN582" s="220" t="n">
        <v>0</v>
      </c>
      <c r="AO582" s="220">
        <f>AN582*AH582</f>
        <v/>
      </c>
      <c r="AP582" s="220" t="n">
        <v>0</v>
      </c>
      <c r="AQ582" s="220">
        <f>AE582</f>
        <v/>
      </c>
      <c r="AR582" s="208">
        <f>AM582-AO582</f>
        <v/>
      </c>
      <c r="AS582" s="220">
        <f>AR582-AK582</f>
        <v/>
      </c>
      <c r="AT582" s="208">
        <f>AS582*1.075</f>
        <v/>
      </c>
      <c r="AU582" s="208">
        <f>AT582+AK582</f>
        <v/>
      </c>
      <c r="AV582" s="198" t="n">
        <v>131602.1995740657</v>
      </c>
      <c r="AW582" s="264" t="n">
        <v>150000</v>
      </c>
      <c r="AX582" s="220">
        <f>AV582-AU582</f>
        <v/>
      </c>
      <c r="AY582" s="35">
        <f>AX582/AR582</f>
        <v/>
      </c>
      <c r="AZ582" s="220">
        <f>AV582-AF582</f>
        <v/>
      </c>
      <c r="BA582" s="215">
        <f>AV582-SUM(Z582:AC582)</f>
        <v/>
      </c>
      <c r="BB582" s="215">
        <f>BA582-Y582</f>
        <v/>
      </c>
      <c r="BC582" s="35">
        <f>BB582/BA582</f>
        <v/>
      </c>
      <c r="BD582" s="35">
        <f>IFERROR(AZ582/AV582,)</f>
        <v/>
      </c>
      <c r="BE582" s="255">
        <f>AV582-SUM(Z582:AC582)</f>
        <v/>
      </c>
      <c r="BF582" s="255">
        <f>AV582-BE582-AC582-AB582</f>
        <v/>
      </c>
      <c r="BG582" s="255">
        <f>AV582-BE582-BF582-AB582</f>
        <v/>
      </c>
      <c r="BH582" s="255">
        <f>AB582</f>
        <v/>
      </c>
      <c r="BI582" s="263" t="inlineStr">
        <is>
          <t>Approved</t>
        </is>
      </c>
    </row>
    <row r="583">
      <c r="C583" s="23" t="inlineStr">
        <is>
          <t>YEKINI</t>
        </is>
      </c>
      <c r="D583">
        <f>CONCATENATE(G583,"-",H583,"-",F583)</f>
        <v/>
      </c>
      <c r="E583" s="24" t="inlineStr">
        <is>
          <t>JMG-8T-Hiabs Logistics-Local</t>
        </is>
      </c>
      <c r="F583" s="23" t="inlineStr">
        <is>
          <t>Local</t>
        </is>
      </c>
      <c r="G583" s="25" t="inlineStr">
        <is>
          <t>Hiabs Logistics</t>
        </is>
      </c>
      <c r="H583" s="24" t="inlineStr">
        <is>
          <t>8T</t>
        </is>
      </c>
      <c r="I583" s="73" t="inlineStr">
        <is>
          <t>JMG</t>
        </is>
      </c>
      <c r="J583" s="74" t="inlineStr">
        <is>
          <t>Lagos</t>
        </is>
      </c>
      <c r="K583" s="202" t="inlineStr">
        <is>
          <t>IKM</t>
        </is>
      </c>
      <c r="L583" t="inlineStr">
        <is>
          <t>Lagos</t>
        </is>
      </c>
      <c r="N583" s="201">
        <f>O583/2</f>
        <v/>
      </c>
      <c r="O583" s="201" t="n">
        <v>39</v>
      </c>
      <c r="P583" s="220">
        <f>ROUNDUP(O583/300,)</f>
        <v/>
      </c>
      <c r="Q583" s="220" t="n">
        <v>0</v>
      </c>
      <c r="R583" s="220">
        <f>Q583+P583</f>
        <v/>
      </c>
      <c r="S583" s="198">
        <f>ROUNDDOWN(O583*0.51,)+60</f>
        <v/>
      </c>
      <c r="T583" s="207">
        <f>_xlfn.XLOOKUP(G583,[1]Fx!$A$4:$A$10,[1]Fx!$B$4:$B$10)</f>
        <v/>
      </c>
      <c r="U583" s="207">
        <f>_xlfn.XLOOKUP(G583,'[1]BP Setup'!$B$6:$B$72,'[1]BP Setup'!$Q$6:$Q$72)</f>
        <v/>
      </c>
      <c r="V583" s="207">
        <f>_xlfn.XLOOKUP(G583,'[1]BP Setup'!$B$6:$B$72,'[1]BP Setup'!$R$6:$R$72)</f>
        <v/>
      </c>
      <c r="W583" s="207">
        <f>$W$3</f>
        <v/>
      </c>
      <c r="X583" s="207" t="n">
        <v>80</v>
      </c>
      <c r="Y583" s="215">
        <f>T583*R583</f>
        <v/>
      </c>
      <c r="Z583" s="215">
        <f>U583*O583</f>
        <v/>
      </c>
      <c r="AA583" s="215">
        <f>V583*O583</f>
        <v/>
      </c>
      <c r="AB583" s="215">
        <f>W583*O583</f>
        <v/>
      </c>
      <c r="AC583" s="197">
        <f>X583*O583</f>
        <v/>
      </c>
      <c r="AD583" s="215" t="n">
        <v>25000</v>
      </c>
      <c r="AE583" s="215" t="n">
        <v>0</v>
      </c>
      <c r="AF583" s="207">
        <f>SUM(Y583:AE583)</f>
        <v/>
      </c>
      <c r="AG583" s="254">
        <f>_xlfn.XLOOKUP(G583,[1]Fx!$A$16:$A$22,[1]Fx!$B$16:$B$22)</f>
        <v/>
      </c>
      <c r="AH583" s="207">
        <f>AG583*R583</f>
        <v/>
      </c>
      <c r="AI583" s="207">
        <f>$AI$3*Z583</f>
        <v/>
      </c>
      <c r="AJ583" s="207">
        <f>$AJ$3*AA583</f>
        <v/>
      </c>
      <c r="AK583" s="207">
        <f>$AK$3*AB583</f>
        <v/>
      </c>
      <c r="AL583" s="207">
        <f>$AL$3*AC583</f>
        <v/>
      </c>
      <c r="AM583" s="220">
        <f>SUM(AH583:AL583)</f>
        <v/>
      </c>
      <c r="AN583" s="220" t="n">
        <v>0</v>
      </c>
      <c r="AO583" s="220">
        <f>AN583*AH583</f>
        <v/>
      </c>
      <c r="AP583" s="220" t="n">
        <v>0</v>
      </c>
      <c r="AQ583" s="220">
        <f>AE583</f>
        <v/>
      </c>
      <c r="AR583" s="208">
        <f>AM583-AO583</f>
        <v/>
      </c>
      <c r="AS583" s="220">
        <f>AR583-AK583</f>
        <v/>
      </c>
      <c r="AT583" s="208">
        <f>AS583*1.075</f>
        <v/>
      </c>
      <c r="AU583" s="208">
        <f>AT583+AK583</f>
        <v/>
      </c>
      <c r="AV583" s="198" t="n">
        <v>131602.1995740657</v>
      </c>
      <c r="AW583" s="264" t="n">
        <v>150000</v>
      </c>
      <c r="AX583" s="220">
        <f>AV583-AU583</f>
        <v/>
      </c>
      <c r="AY583" s="35">
        <f>AX583/AR583</f>
        <v/>
      </c>
      <c r="AZ583" s="220">
        <f>AV583-AF583</f>
        <v/>
      </c>
      <c r="BA583" s="215">
        <f>AV583-SUM(Z583:AC583)</f>
        <v/>
      </c>
      <c r="BB583" s="215">
        <f>BA583-Y583</f>
        <v/>
      </c>
      <c r="BC583" s="35">
        <f>BB583/BA583</f>
        <v/>
      </c>
      <c r="BD583" s="35">
        <f>IFERROR(AZ583/AV583,)</f>
        <v/>
      </c>
      <c r="BE583" s="255">
        <f>AV583-SUM(Z583:AC583)</f>
        <v/>
      </c>
      <c r="BF583" s="255">
        <f>AV583-BE583-AC583-AB583</f>
        <v/>
      </c>
      <c r="BG583" s="255">
        <f>AV583-BE583-BF583-AB583</f>
        <v/>
      </c>
      <c r="BH583" s="255">
        <f>AB583</f>
        <v/>
      </c>
      <c r="BI583" s="263" t="inlineStr">
        <is>
          <t>Approved</t>
        </is>
      </c>
    </row>
    <row r="584">
      <c r="C584" s="23" t="inlineStr">
        <is>
          <t>YEKINI</t>
        </is>
      </c>
      <c r="D584">
        <f>CONCATENATE(G584,"-",H584,"-",F584)</f>
        <v/>
      </c>
      <c r="E584" s="24" t="inlineStr">
        <is>
          <t>JMG-8T-Hiabs Logistics-Local</t>
        </is>
      </c>
      <c r="F584" s="23" t="inlineStr">
        <is>
          <t>Local</t>
        </is>
      </c>
      <c r="G584" s="25" t="inlineStr">
        <is>
          <t>Hiabs Logistics</t>
        </is>
      </c>
      <c r="H584" s="24" t="inlineStr">
        <is>
          <t>8T</t>
        </is>
      </c>
      <c r="I584" s="73" t="inlineStr">
        <is>
          <t>JMG</t>
        </is>
      </c>
      <c r="J584" s="74" t="inlineStr">
        <is>
          <t>Lagos</t>
        </is>
      </c>
      <c r="K584" s="202" t="inlineStr">
        <is>
          <t>Tejuosho</t>
        </is>
      </c>
      <c r="L584" t="inlineStr">
        <is>
          <t>Lagos</t>
        </is>
      </c>
      <c r="N584" s="201">
        <f>O584/2</f>
        <v/>
      </c>
      <c r="O584" s="201" t="n">
        <v>38</v>
      </c>
      <c r="P584" s="220">
        <f>ROUNDUP(O584/300,)</f>
        <v/>
      </c>
      <c r="Q584" s="220" t="n">
        <v>0</v>
      </c>
      <c r="R584" s="220">
        <f>Q584+P584</f>
        <v/>
      </c>
      <c r="S584" s="198">
        <f>ROUNDDOWN(O584*0.51,)+60</f>
        <v/>
      </c>
      <c r="T584" s="207">
        <f>_xlfn.XLOOKUP(G584,[1]Fx!$A$4:$A$10,[1]Fx!$B$4:$B$10)</f>
        <v/>
      </c>
      <c r="U584" s="207">
        <f>_xlfn.XLOOKUP(G584,'[1]BP Setup'!$B$6:$B$72,'[1]BP Setup'!$Q$6:$Q$72)</f>
        <v/>
      </c>
      <c r="V584" s="207">
        <f>_xlfn.XLOOKUP(G584,'[1]BP Setup'!$B$6:$B$72,'[1]BP Setup'!$R$6:$R$72)</f>
        <v/>
      </c>
      <c r="W584" s="207">
        <f>$W$3</f>
        <v/>
      </c>
      <c r="X584" s="207" t="n">
        <v>80</v>
      </c>
      <c r="Y584" s="215">
        <f>T584*R584</f>
        <v/>
      </c>
      <c r="Z584" s="215">
        <f>U584*O584</f>
        <v/>
      </c>
      <c r="AA584" s="215">
        <f>V584*O584</f>
        <v/>
      </c>
      <c r="AB584" s="215">
        <f>W584*O584</f>
        <v/>
      </c>
      <c r="AC584" s="197">
        <f>X584*O584</f>
        <v/>
      </c>
      <c r="AD584" s="215" t="n">
        <v>25000</v>
      </c>
      <c r="AE584" s="215" t="n">
        <v>0</v>
      </c>
      <c r="AF584" s="207">
        <f>SUM(Y584:AE584)</f>
        <v/>
      </c>
      <c r="AG584" s="254">
        <f>_xlfn.XLOOKUP(G584,[1]Fx!$A$16:$A$22,[1]Fx!$B$16:$B$22)</f>
        <v/>
      </c>
      <c r="AH584" s="207">
        <f>AG584*R584</f>
        <v/>
      </c>
      <c r="AI584" s="207">
        <f>$AI$3*Z584</f>
        <v/>
      </c>
      <c r="AJ584" s="207">
        <f>$AJ$3*AA584</f>
        <v/>
      </c>
      <c r="AK584" s="207">
        <f>$AK$3*AB584</f>
        <v/>
      </c>
      <c r="AL584" s="207">
        <f>$AL$3*AC584</f>
        <v/>
      </c>
      <c r="AM584" s="220">
        <f>SUM(AH584:AL584)</f>
        <v/>
      </c>
      <c r="AN584" s="220" t="n">
        <v>0</v>
      </c>
      <c r="AO584" s="220">
        <f>AN584*AH584</f>
        <v/>
      </c>
      <c r="AP584" s="220" t="n">
        <v>0</v>
      </c>
      <c r="AQ584" s="220">
        <f>AE584</f>
        <v/>
      </c>
      <c r="AR584" s="208">
        <f>AM584-AO584</f>
        <v/>
      </c>
      <c r="AS584" s="220">
        <f>AR584-AK584</f>
        <v/>
      </c>
      <c r="AT584" s="208">
        <f>AS584*1.075</f>
        <v/>
      </c>
      <c r="AU584" s="208">
        <f>AT584+AK584</f>
        <v/>
      </c>
      <c r="AV584" s="198" t="n">
        <v>131602.1995740657</v>
      </c>
      <c r="AW584" s="264" t="n">
        <v>150000</v>
      </c>
      <c r="AX584" s="220">
        <f>AV584-AU584</f>
        <v/>
      </c>
      <c r="AY584" s="35">
        <f>AX584/AR584</f>
        <v/>
      </c>
      <c r="AZ584" s="220">
        <f>AV584-AF584</f>
        <v/>
      </c>
      <c r="BA584" s="215">
        <f>AV584-SUM(Z584:AC584)</f>
        <v/>
      </c>
      <c r="BB584" s="215">
        <f>BA584-Y584</f>
        <v/>
      </c>
      <c r="BC584" s="35">
        <f>BB584/BA584</f>
        <v/>
      </c>
      <c r="BD584" s="35">
        <f>IFERROR(AZ584/AV584,)</f>
        <v/>
      </c>
      <c r="BE584" s="255">
        <f>AV584-SUM(Z584:AC584)</f>
        <v/>
      </c>
      <c r="BF584" s="255">
        <f>AV584-BE584-AC584-AB584</f>
        <v/>
      </c>
      <c r="BG584" s="255">
        <f>AV584-BE584-BF584-AB584</f>
        <v/>
      </c>
      <c r="BH584" s="255">
        <f>AB584</f>
        <v/>
      </c>
      <c r="BI584" s="263" t="inlineStr">
        <is>
          <t>Approved</t>
        </is>
      </c>
    </row>
    <row r="585">
      <c r="C585" s="23" t="inlineStr">
        <is>
          <t>YEKINI</t>
        </is>
      </c>
      <c r="D585">
        <f>CONCATENATE(G585,"-",H585,"-",F585)</f>
        <v/>
      </c>
      <c r="E585" s="24" t="inlineStr">
        <is>
          <t>JMG-8T-Hiabs Logistics-Local</t>
        </is>
      </c>
      <c r="F585" s="23" t="inlineStr">
        <is>
          <t>Local</t>
        </is>
      </c>
      <c r="G585" s="25" t="inlineStr">
        <is>
          <t>Hiabs Logistics</t>
        </is>
      </c>
      <c r="H585" s="24" t="inlineStr">
        <is>
          <t>8T</t>
        </is>
      </c>
      <c r="I585" s="73" t="inlineStr">
        <is>
          <t>JMG</t>
        </is>
      </c>
      <c r="J585" s="74" t="inlineStr">
        <is>
          <t>Lagos</t>
        </is>
      </c>
      <c r="K585" s="202" t="inlineStr">
        <is>
          <t>Dembal</t>
        </is>
      </c>
      <c r="L585" t="inlineStr">
        <is>
          <t>Lagos</t>
        </is>
      </c>
      <c r="N585" s="201">
        <f>O585/2</f>
        <v/>
      </c>
      <c r="O585" s="201" t="n">
        <v>38</v>
      </c>
      <c r="P585" s="220">
        <f>ROUNDUP(O585/300,)</f>
        <v/>
      </c>
      <c r="Q585" s="220" t="n">
        <v>0</v>
      </c>
      <c r="R585" s="220">
        <f>Q585+P585</f>
        <v/>
      </c>
      <c r="S585" s="198">
        <f>ROUNDDOWN(O585*0.51,)+60</f>
        <v/>
      </c>
      <c r="T585" s="207">
        <f>_xlfn.XLOOKUP(G585,[1]Fx!$A$4:$A$10,[1]Fx!$B$4:$B$10)</f>
        <v/>
      </c>
      <c r="U585" s="207">
        <f>_xlfn.XLOOKUP(G585,'[1]BP Setup'!$B$6:$B$72,'[1]BP Setup'!$Q$6:$Q$72)</f>
        <v/>
      </c>
      <c r="V585" s="207">
        <f>_xlfn.XLOOKUP(G585,'[1]BP Setup'!$B$6:$B$72,'[1]BP Setup'!$R$6:$R$72)</f>
        <v/>
      </c>
      <c r="W585" s="207">
        <f>$W$3</f>
        <v/>
      </c>
      <c r="X585" s="207" t="n">
        <v>80</v>
      </c>
      <c r="Y585" s="215">
        <f>T585*R585</f>
        <v/>
      </c>
      <c r="Z585" s="215">
        <f>U585*O585</f>
        <v/>
      </c>
      <c r="AA585" s="215">
        <f>V585*O585</f>
        <v/>
      </c>
      <c r="AB585" s="215">
        <f>W585*O585</f>
        <v/>
      </c>
      <c r="AC585" s="197">
        <f>X585*O585</f>
        <v/>
      </c>
      <c r="AD585" s="215" t="n">
        <v>25000</v>
      </c>
      <c r="AE585" s="215" t="n">
        <v>0</v>
      </c>
      <c r="AF585" s="207">
        <f>SUM(Y585:AE585)</f>
        <v/>
      </c>
      <c r="AG585" s="254">
        <f>_xlfn.XLOOKUP(G585,[1]Fx!$A$16:$A$22,[1]Fx!$B$16:$B$22)</f>
        <v/>
      </c>
      <c r="AH585" s="207">
        <f>AG585*R585</f>
        <v/>
      </c>
      <c r="AI585" s="207">
        <f>$AI$3*Z585</f>
        <v/>
      </c>
      <c r="AJ585" s="207">
        <f>$AJ$3*AA585</f>
        <v/>
      </c>
      <c r="AK585" s="207">
        <f>$AK$3*AB585</f>
        <v/>
      </c>
      <c r="AL585" s="207">
        <f>$AL$3*AC585</f>
        <v/>
      </c>
      <c r="AM585" s="220">
        <f>SUM(AH585:AL585)</f>
        <v/>
      </c>
      <c r="AN585" s="220" t="n">
        <v>0</v>
      </c>
      <c r="AO585" s="220">
        <f>AN585*AH585</f>
        <v/>
      </c>
      <c r="AP585" s="220" t="n">
        <v>0</v>
      </c>
      <c r="AQ585" s="220">
        <f>AE585</f>
        <v/>
      </c>
      <c r="AR585" s="208">
        <f>AM585-AO585</f>
        <v/>
      </c>
      <c r="AS585" s="220">
        <f>AR585-AK585</f>
        <v/>
      </c>
      <c r="AT585" s="208">
        <f>AS585*1.075</f>
        <v/>
      </c>
      <c r="AU585" s="208">
        <f>AT585+AK585</f>
        <v/>
      </c>
      <c r="AV585" s="198" t="n">
        <v>131602.1995740657</v>
      </c>
      <c r="AW585" s="264" t="n">
        <v>150000</v>
      </c>
      <c r="AX585" s="220">
        <f>AV585-AU585</f>
        <v/>
      </c>
      <c r="AY585" s="35">
        <f>AX585/AR585</f>
        <v/>
      </c>
      <c r="AZ585" s="220">
        <f>AV585-AF585</f>
        <v/>
      </c>
      <c r="BA585" s="215">
        <f>AV585-SUM(Z585:AC585)</f>
        <v/>
      </c>
      <c r="BB585" s="215">
        <f>BA585-Y585</f>
        <v/>
      </c>
      <c r="BC585" s="35">
        <f>BB585/BA585</f>
        <v/>
      </c>
      <c r="BD585" s="35">
        <f>IFERROR(AZ585/AV585,)</f>
        <v/>
      </c>
      <c r="BE585" s="255">
        <f>AV585-SUM(Z585:AC585)</f>
        <v/>
      </c>
      <c r="BF585" s="255">
        <f>AV585-BE585-AC585-AB585</f>
        <v/>
      </c>
      <c r="BG585" s="255">
        <f>AV585-BE585-BF585-AB585</f>
        <v/>
      </c>
      <c r="BH585" s="255">
        <f>AB585</f>
        <v/>
      </c>
      <c r="BI585" s="263" t="inlineStr">
        <is>
          <t>Approved</t>
        </is>
      </c>
    </row>
    <row r="586">
      <c r="C586" s="23" t="inlineStr">
        <is>
          <t>YEKINI</t>
        </is>
      </c>
      <c r="D586">
        <f>CONCATENATE(G586,"-",H586,"-",F586)</f>
        <v/>
      </c>
      <c r="E586" s="24" t="inlineStr">
        <is>
          <t>JMG-8T-Hiabs Logistics-Local</t>
        </is>
      </c>
      <c r="F586" s="23" t="inlineStr">
        <is>
          <t>Local</t>
        </is>
      </c>
      <c r="G586" s="25" t="inlineStr">
        <is>
          <t>Hiabs Logistics</t>
        </is>
      </c>
      <c r="H586" s="24" t="inlineStr">
        <is>
          <t>8T</t>
        </is>
      </c>
      <c r="I586" s="73" t="inlineStr">
        <is>
          <t>JMG</t>
        </is>
      </c>
      <c r="J586" s="74" t="inlineStr">
        <is>
          <t>Lagos</t>
        </is>
      </c>
      <c r="K586" s="202" t="inlineStr">
        <is>
          <t>Mile 2</t>
        </is>
      </c>
      <c r="L586" t="inlineStr">
        <is>
          <t>Lagos</t>
        </is>
      </c>
      <c r="N586" s="201">
        <f>O586/2</f>
        <v/>
      </c>
      <c r="O586" s="200" t="n">
        <v>36.8</v>
      </c>
      <c r="P586" s="220">
        <f>ROUNDUP(O586/300,)</f>
        <v/>
      </c>
      <c r="Q586" s="220" t="n">
        <v>0</v>
      </c>
      <c r="R586" s="220">
        <f>Q586+P586</f>
        <v/>
      </c>
      <c r="S586" s="198">
        <f>ROUNDDOWN(O586*0.51,)+60</f>
        <v/>
      </c>
      <c r="T586" s="207">
        <f>_xlfn.XLOOKUP(G586,[1]Fx!$A$4:$A$10,[1]Fx!$B$4:$B$10)</f>
        <v/>
      </c>
      <c r="U586" s="207">
        <f>_xlfn.XLOOKUP(G586,'[1]BP Setup'!$B$6:$B$72,'[1]BP Setup'!$Q$6:$Q$72)</f>
        <v/>
      </c>
      <c r="V586" s="207">
        <f>_xlfn.XLOOKUP(G586,'[1]BP Setup'!$B$6:$B$72,'[1]BP Setup'!$R$6:$R$72)</f>
        <v/>
      </c>
      <c r="W586" s="207">
        <f>$W$3</f>
        <v/>
      </c>
      <c r="X586" s="207" t="n">
        <v>80</v>
      </c>
      <c r="Y586" s="215">
        <f>T586*R586</f>
        <v/>
      </c>
      <c r="Z586" s="215">
        <f>U586*O586</f>
        <v/>
      </c>
      <c r="AA586" s="215">
        <f>V586*O586</f>
        <v/>
      </c>
      <c r="AB586" s="215">
        <f>W586*O586</f>
        <v/>
      </c>
      <c r="AC586" s="197">
        <f>X586*O586</f>
        <v/>
      </c>
      <c r="AD586" s="215" t="n">
        <v>25000</v>
      </c>
      <c r="AE586" s="215" t="n">
        <v>0</v>
      </c>
      <c r="AF586" s="207">
        <f>SUM(Y586:AE586)</f>
        <v/>
      </c>
      <c r="AG586" s="254">
        <f>_xlfn.XLOOKUP(G586,[1]Fx!$A$16:$A$22,[1]Fx!$B$16:$B$22)</f>
        <v/>
      </c>
      <c r="AH586" s="207">
        <f>AG586*R586</f>
        <v/>
      </c>
      <c r="AI586" s="207">
        <f>$AI$3*Z586</f>
        <v/>
      </c>
      <c r="AJ586" s="207">
        <f>$AJ$3*AA586</f>
        <v/>
      </c>
      <c r="AK586" s="207">
        <f>$AK$3*AB586</f>
        <v/>
      </c>
      <c r="AL586" s="207">
        <f>$AL$3*AC586</f>
        <v/>
      </c>
      <c r="AM586" s="220">
        <f>SUM(AH586:AL586)</f>
        <v/>
      </c>
      <c r="AN586" s="220" t="n">
        <v>0</v>
      </c>
      <c r="AO586" s="220">
        <f>AN586*AH586</f>
        <v/>
      </c>
      <c r="AP586" s="220" t="n">
        <v>0</v>
      </c>
      <c r="AQ586" s="220">
        <f>AE586</f>
        <v/>
      </c>
      <c r="AR586" s="208">
        <f>AM586-AO586</f>
        <v/>
      </c>
      <c r="AS586" s="220">
        <f>AR586-AK586</f>
        <v/>
      </c>
      <c r="AT586" s="208">
        <f>AS586*1.075</f>
        <v/>
      </c>
      <c r="AU586" s="208">
        <f>AT586+AK586</f>
        <v/>
      </c>
      <c r="AV586" s="198" t="n">
        <v>131602.1995740657</v>
      </c>
      <c r="AW586" s="264" t="n">
        <v>150000</v>
      </c>
      <c r="AX586" s="220">
        <f>AV586-AU586</f>
        <v/>
      </c>
      <c r="AY586" s="35">
        <f>AX586/AR586</f>
        <v/>
      </c>
      <c r="AZ586" s="220">
        <f>AV586-AF586</f>
        <v/>
      </c>
      <c r="BA586" s="215">
        <f>AV586-SUM(Z586:AC586)</f>
        <v/>
      </c>
      <c r="BB586" s="215">
        <f>BA586-Y586</f>
        <v/>
      </c>
      <c r="BC586" s="35">
        <f>BB586/BA586</f>
        <v/>
      </c>
      <c r="BD586" s="35">
        <f>IFERROR(AZ586/AV586,)</f>
        <v/>
      </c>
      <c r="BE586" s="255">
        <f>AV586-SUM(Z586:AC586)</f>
        <v/>
      </c>
      <c r="BF586" s="255">
        <f>AV586-BE586-AC586-AB586</f>
        <v/>
      </c>
      <c r="BG586" s="255">
        <f>AV586-BE586-BF586-AB586</f>
        <v/>
      </c>
      <c r="BH586" s="255">
        <f>AB586</f>
        <v/>
      </c>
      <c r="BI586" s="263" t="inlineStr">
        <is>
          <t>Approved</t>
        </is>
      </c>
    </row>
    <row r="587">
      <c r="C587" s="23" t="inlineStr">
        <is>
          <t>YEKINI</t>
        </is>
      </c>
      <c r="D587">
        <f>CONCATENATE(G587,"-",H587,"-",F587)</f>
        <v/>
      </c>
      <c r="E587" s="24" t="inlineStr">
        <is>
          <t>JMG-8T-Hiabs Logistics-Local</t>
        </is>
      </c>
      <c r="F587" s="23" t="inlineStr">
        <is>
          <t>Local</t>
        </is>
      </c>
      <c r="G587" s="25" t="inlineStr">
        <is>
          <t>Hiabs Logistics</t>
        </is>
      </c>
      <c r="H587" s="24" t="inlineStr">
        <is>
          <t>8T</t>
        </is>
      </c>
      <c r="I587" s="73" t="inlineStr">
        <is>
          <t>JMG</t>
        </is>
      </c>
      <c r="J587" s="74" t="inlineStr">
        <is>
          <t>Lagos</t>
        </is>
      </c>
      <c r="K587" s="202" t="inlineStr">
        <is>
          <t>Marina</t>
        </is>
      </c>
      <c r="L587" t="inlineStr">
        <is>
          <t>Lagos</t>
        </is>
      </c>
      <c r="N587" s="201">
        <f>O587/2</f>
        <v/>
      </c>
      <c r="O587" s="200" t="n">
        <v>36.1</v>
      </c>
      <c r="P587" s="220">
        <f>ROUNDUP(O587/300,)</f>
        <v/>
      </c>
      <c r="Q587" s="220" t="n">
        <v>0</v>
      </c>
      <c r="R587" s="220">
        <f>Q587+P587</f>
        <v/>
      </c>
      <c r="S587" s="198">
        <f>ROUNDDOWN(O587*0.51,)+60</f>
        <v/>
      </c>
      <c r="T587" s="207">
        <f>_xlfn.XLOOKUP(G587,[1]Fx!$A$4:$A$10,[1]Fx!$B$4:$B$10)</f>
        <v/>
      </c>
      <c r="U587" s="207">
        <f>_xlfn.XLOOKUP(G587,'[1]BP Setup'!$B$6:$B$72,'[1]BP Setup'!$Q$6:$Q$72)</f>
        <v/>
      </c>
      <c r="V587" s="207">
        <f>_xlfn.XLOOKUP(G587,'[1]BP Setup'!$B$6:$B$72,'[1]BP Setup'!$R$6:$R$72)</f>
        <v/>
      </c>
      <c r="W587" s="207">
        <f>$W$3</f>
        <v/>
      </c>
      <c r="X587" s="207" t="n">
        <v>80</v>
      </c>
      <c r="Y587" s="215">
        <f>T587*R587</f>
        <v/>
      </c>
      <c r="Z587" s="215">
        <f>U587*O587</f>
        <v/>
      </c>
      <c r="AA587" s="215">
        <f>V587*O587</f>
        <v/>
      </c>
      <c r="AB587" s="215">
        <f>W587*O587</f>
        <v/>
      </c>
      <c r="AC587" s="197">
        <f>X587*O587</f>
        <v/>
      </c>
      <c r="AD587" s="215" t="n">
        <v>25000</v>
      </c>
      <c r="AE587" s="215" t="n">
        <v>0</v>
      </c>
      <c r="AF587" s="207">
        <f>SUM(Y587:AE587)</f>
        <v/>
      </c>
      <c r="AG587" s="254">
        <f>_xlfn.XLOOKUP(G587,[1]Fx!$A$16:$A$22,[1]Fx!$B$16:$B$22)</f>
        <v/>
      </c>
      <c r="AH587" s="207">
        <f>AG587*R587</f>
        <v/>
      </c>
      <c r="AI587" s="207">
        <f>$AI$3*Z587</f>
        <v/>
      </c>
      <c r="AJ587" s="207">
        <f>$AJ$3*AA587</f>
        <v/>
      </c>
      <c r="AK587" s="207">
        <f>$AK$3*AB587</f>
        <v/>
      </c>
      <c r="AL587" s="207">
        <f>$AL$3*AC587</f>
        <v/>
      </c>
      <c r="AM587" s="220">
        <f>SUM(AH587:AL587)</f>
        <v/>
      </c>
      <c r="AN587" s="220" t="n">
        <v>0</v>
      </c>
      <c r="AO587" s="220">
        <f>AN587*AH587</f>
        <v/>
      </c>
      <c r="AP587" s="220" t="n">
        <v>0</v>
      </c>
      <c r="AQ587" s="220">
        <f>AE587</f>
        <v/>
      </c>
      <c r="AR587" s="208">
        <f>AM587-AO587</f>
        <v/>
      </c>
      <c r="AS587" s="220">
        <f>AR587-AK587</f>
        <v/>
      </c>
      <c r="AT587" s="208">
        <f>AS587*1.075</f>
        <v/>
      </c>
      <c r="AU587" s="208">
        <f>AT587+AK587</f>
        <v/>
      </c>
      <c r="AV587" s="198" t="n">
        <v>131602.1995740657</v>
      </c>
      <c r="AW587" s="264" t="n">
        <v>150000</v>
      </c>
      <c r="AX587" s="220">
        <f>AV587-AU587</f>
        <v/>
      </c>
      <c r="AY587" s="35">
        <f>AX587/AR587</f>
        <v/>
      </c>
      <c r="AZ587" s="220">
        <f>AV587-AF587</f>
        <v/>
      </c>
      <c r="BA587" s="215">
        <f>AV587-SUM(Z587:AC587)</f>
        <v/>
      </c>
      <c r="BB587" s="215">
        <f>BA587-Y587</f>
        <v/>
      </c>
      <c r="BC587" s="35">
        <f>BB587/BA587</f>
        <v/>
      </c>
      <c r="BD587" s="35">
        <f>IFERROR(AZ587/AV587,)</f>
        <v/>
      </c>
      <c r="BE587" s="255">
        <f>AV587-SUM(Z587:AC587)</f>
        <v/>
      </c>
      <c r="BF587" s="255">
        <f>AV587-BE587-AC587-AB587</f>
        <v/>
      </c>
      <c r="BG587" s="255">
        <f>AV587-BE587-BF587-AB587</f>
        <v/>
      </c>
      <c r="BH587" s="255">
        <f>AB587</f>
        <v/>
      </c>
      <c r="BI587" s="263" t="inlineStr">
        <is>
          <t>Approved</t>
        </is>
      </c>
    </row>
    <row r="588">
      <c r="C588" s="23" t="inlineStr">
        <is>
          <t>YEKINI</t>
        </is>
      </c>
      <c r="D588">
        <f>CONCATENATE(G588,"-",H588,"-",F588)</f>
        <v/>
      </c>
      <c r="E588" s="24" t="inlineStr">
        <is>
          <t>JMG-8T-Hiabs Logistics-Local</t>
        </is>
      </c>
      <c r="F588" s="23" t="inlineStr">
        <is>
          <t>Local</t>
        </is>
      </c>
      <c r="G588" s="25" t="inlineStr">
        <is>
          <t>Hiabs Logistics</t>
        </is>
      </c>
      <c r="H588" s="24" t="inlineStr">
        <is>
          <t>8T</t>
        </is>
      </c>
      <c r="I588" s="73" t="inlineStr">
        <is>
          <t>JMG</t>
        </is>
      </c>
      <c r="J588" s="74" t="inlineStr">
        <is>
          <t>Lagos</t>
        </is>
      </c>
      <c r="K588" s="202" t="inlineStr">
        <is>
          <t>Okota</t>
        </is>
      </c>
      <c r="L588" t="inlineStr">
        <is>
          <t>Lagos</t>
        </is>
      </c>
      <c r="N588" s="201">
        <f>O588/2</f>
        <v/>
      </c>
      <c r="O588" s="200" t="n">
        <v>35.7</v>
      </c>
      <c r="P588" s="220">
        <f>ROUNDUP(O588/300,)</f>
        <v/>
      </c>
      <c r="Q588" s="220" t="n">
        <v>0</v>
      </c>
      <c r="R588" s="220">
        <f>Q588+P588</f>
        <v/>
      </c>
      <c r="S588" s="198">
        <f>ROUNDDOWN(O588*0.51,)+60</f>
        <v/>
      </c>
      <c r="T588" s="207">
        <f>_xlfn.XLOOKUP(G588,[1]Fx!$A$4:$A$10,[1]Fx!$B$4:$B$10)</f>
        <v/>
      </c>
      <c r="U588" s="207">
        <f>_xlfn.XLOOKUP(G588,'[1]BP Setup'!$B$6:$B$72,'[1]BP Setup'!$Q$6:$Q$72)</f>
        <v/>
      </c>
      <c r="V588" s="207">
        <f>_xlfn.XLOOKUP(G588,'[1]BP Setup'!$B$6:$B$72,'[1]BP Setup'!$R$6:$R$72)</f>
        <v/>
      </c>
      <c r="W588" s="207">
        <f>$W$3</f>
        <v/>
      </c>
      <c r="X588" s="207" t="n">
        <v>80</v>
      </c>
      <c r="Y588" s="215">
        <f>T588*R588</f>
        <v/>
      </c>
      <c r="Z588" s="215">
        <f>U588*O588</f>
        <v/>
      </c>
      <c r="AA588" s="215">
        <f>V588*O588</f>
        <v/>
      </c>
      <c r="AB588" s="215">
        <f>W588*O588</f>
        <v/>
      </c>
      <c r="AC588" s="197">
        <f>X588*O588</f>
        <v/>
      </c>
      <c r="AD588" s="215" t="n">
        <v>25000</v>
      </c>
      <c r="AE588" s="215" t="n">
        <v>0</v>
      </c>
      <c r="AF588" s="207">
        <f>SUM(Y588:AE588)</f>
        <v/>
      </c>
      <c r="AG588" s="254">
        <f>_xlfn.XLOOKUP(G588,[1]Fx!$A$16:$A$22,[1]Fx!$B$16:$B$22)</f>
        <v/>
      </c>
      <c r="AH588" s="207">
        <f>AG588*R588</f>
        <v/>
      </c>
      <c r="AI588" s="207">
        <f>$AI$3*Z588</f>
        <v/>
      </c>
      <c r="AJ588" s="207">
        <f>$AJ$3*AA588</f>
        <v/>
      </c>
      <c r="AK588" s="207">
        <f>$AK$3*AB588</f>
        <v/>
      </c>
      <c r="AL588" s="207">
        <f>$AL$3*AC588</f>
        <v/>
      </c>
      <c r="AM588" s="220">
        <f>SUM(AH588:AL588)</f>
        <v/>
      </c>
      <c r="AN588" s="220" t="n">
        <v>0</v>
      </c>
      <c r="AO588" s="220">
        <f>AN588*AH588</f>
        <v/>
      </c>
      <c r="AP588" s="220" t="n">
        <v>0</v>
      </c>
      <c r="AQ588" s="220">
        <f>AE588</f>
        <v/>
      </c>
      <c r="AR588" s="208">
        <f>AM588-AO588</f>
        <v/>
      </c>
      <c r="AS588" s="220">
        <f>AR588-AK588</f>
        <v/>
      </c>
      <c r="AT588" s="208">
        <f>AS588*1.075</f>
        <v/>
      </c>
      <c r="AU588" s="208">
        <f>AT588+AK588</f>
        <v/>
      </c>
      <c r="AV588" s="198" t="n">
        <v>131602.1995740657</v>
      </c>
      <c r="AW588" s="264" t="n">
        <v>150000</v>
      </c>
      <c r="AX588" s="220">
        <f>AV588-AU588</f>
        <v/>
      </c>
      <c r="AY588" s="35">
        <f>AX588/AR588</f>
        <v/>
      </c>
      <c r="AZ588" s="220">
        <f>AV588-AF588</f>
        <v/>
      </c>
      <c r="BA588" s="215">
        <f>AV588-SUM(Z588:AC588)</f>
        <v/>
      </c>
      <c r="BB588" s="215">
        <f>BA588-Y588</f>
        <v/>
      </c>
      <c r="BC588" s="35">
        <f>BB588/BA588</f>
        <v/>
      </c>
      <c r="BD588" s="35">
        <f>IFERROR(AZ588/AV588,)</f>
        <v/>
      </c>
      <c r="BE588" s="255">
        <f>AV588-SUM(Z588:AC588)</f>
        <v/>
      </c>
      <c r="BF588" s="255">
        <f>AV588-BE588-AC588-AB588</f>
        <v/>
      </c>
      <c r="BG588" s="255">
        <f>AV588-BE588-BF588-AB588</f>
        <v/>
      </c>
      <c r="BH588" s="255">
        <f>AB588</f>
        <v/>
      </c>
      <c r="BI588" s="263" t="inlineStr">
        <is>
          <t>Approved</t>
        </is>
      </c>
    </row>
    <row r="589">
      <c r="C589" s="23" t="inlineStr">
        <is>
          <t>YEKINI</t>
        </is>
      </c>
      <c r="D589">
        <f>CONCATENATE(G589,"-",H589,"-",F589)</f>
        <v/>
      </c>
      <c r="E589" s="24" t="inlineStr">
        <is>
          <t>JMG-8T-Hiabs Logistics-Local</t>
        </is>
      </c>
      <c r="F589" s="23" t="inlineStr">
        <is>
          <t>Local</t>
        </is>
      </c>
      <c r="G589" s="25" t="inlineStr">
        <is>
          <t>Hiabs Logistics</t>
        </is>
      </c>
      <c r="H589" s="24" t="inlineStr">
        <is>
          <t>8T</t>
        </is>
      </c>
      <c r="I589" s="73" t="inlineStr">
        <is>
          <t>JMG</t>
        </is>
      </c>
      <c r="J589" s="74" t="inlineStr">
        <is>
          <t>Lagos</t>
        </is>
      </c>
      <c r="K589" s="202" t="inlineStr">
        <is>
          <t>Iyana Ipaja</t>
        </is>
      </c>
      <c r="L589" t="inlineStr">
        <is>
          <t>Lagos</t>
        </is>
      </c>
      <c r="N589" s="201">
        <f>O589/2</f>
        <v/>
      </c>
      <c r="O589" s="200" t="n">
        <v>33.6</v>
      </c>
      <c r="P589" s="220">
        <f>ROUNDUP(O589/300,)</f>
        <v/>
      </c>
      <c r="Q589" s="220" t="n">
        <v>0</v>
      </c>
      <c r="R589" s="220">
        <f>Q589+P589</f>
        <v/>
      </c>
      <c r="S589" s="198">
        <f>ROUNDDOWN(O589*0.51,)+60</f>
        <v/>
      </c>
      <c r="T589" s="207">
        <f>_xlfn.XLOOKUP(G589,[1]Fx!$A$4:$A$10,[1]Fx!$B$4:$B$10)</f>
        <v/>
      </c>
      <c r="U589" s="207">
        <f>_xlfn.XLOOKUP(G589,'[1]BP Setup'!$B$6:$B$72,'[1]BP Setup'!$Q$6:$Q$72)</f>
        <v/>
      </c>
      <c r="V589" s="207">
        <f>_xlfn.XLOOKUP(G589,'[1]BP Setup'!$B$6:$B$72,'[1]BP Setup'!$R$6:$R$72)</f>
        <v/>
      </c>
      <c r="W589" s="207">
        <f>$W$3</f>
        <v/>
      </c>
      <c r="X589" s="207" t="n">
        <v>80</v>
      </c>
      <c r="Y589" s="215">
        <f>T589*R589</f>
        <v/>
      </c>
      <c r="Z589" s="215">
        <f>U589*O589</f>
        <v/>
      </c>
      <c r="AA589" s="215">
        <f>V589*O589</f>
        <v/>
      </c>
      <c r="AB589" s="215">
        <f>W589*O589</f>
        <v/>
      </c>
      <c r="AC589" s="197">
        <f>X589*O589</f>
        <v/>
      </c>
      <c r="AD589" s="215" t="n">
        <v>25000</v>
      </c>
      <c r="AE589" s="215" t="n">
        <v>0</v>
      </c>
      <c r="AF589" s="207">
        <f>SUM(Y589:AE589)</f>
        <v/>
      </c>
      <c r="AG589" s="254">
        <f>_xlfn.XLOOKUP(G589,[1]Fx!$A$16:$A$22,[1]Fx!$B$16:$B$22)</f>
        <v/>
      </c>
      <c r="AH589" s="207">
        <f>AG589*R589</f>
        <v/>
      </c>
      <c r="AI589" s="207">
        <f>$AI$3*Z589</f>
        <v/>
      </c>
      <c r="AJ589" s="207">
        <f>$AJ$3*AA589</f>
        <v/>
      </c>
      <c r="AK589" s="207">
        <f>$AK$3*AB589</f>
        <v/>
      </c>
      <c r="AL589" s="207">
        <f>$AL$3*AC589</f>
        <v/>
      </c>
      <c r="AM589" s="220">
        <f>SUM(AH589:AL589)</f>
        <v/>
      </c>
      <c r="AN589" s="220" t="n">
        <v>0</v>
      </c>
      <c r="AO589" s="220">
        <f>AN589*AH589</f>
        <v/>
      </c>
      <c r="AP589" s="220" t="n">
        <v>0</v>
      </c>
      <c r="AQ589" s="220">
        <f>AE589</f>
        <v/>
      </c>
      <c r="AR589" s="208">
        <f>AM589-AO589</f>
        <v/>
      </c>
      <c r="AS589" s="220">
        <f>AR589-AK589</f>
        <v/>
      </c>
      <c r="AT589" s="208">
        <f>AS589*1.075</f>
        <v/>
      </c>
      <c r="AU589" s="208">
        <f>AT589+AK589</f>
        <v/>
      </c>
      <c r="AV589" s="198" t="n">
        <v>131602.1995740657</v>
      </c>
      <c r="AW589" s="264" t="n">
        <v>150000</v>
      </c>
      <c r="AX589" s="220">
        <f>AV589-AU589</f>
        <v/>
      </c>
      <c r="AY589" s="35">
        <f>AX589/AR589</f>
        <v/>
      </c>
      <c r="AZ589" s="220">
        <f>AV589-AF589</f>
        <v/>
      </c>
      <c r="BA589" s="215">
        <f>AV589-SUM(Z589:AC589)</f>
        <v/>
      </c>
      <c r="BB589" s="215">
        <f>BA589-Y589</f>
        <v/>
      </c>
      <c r="BC589" s="35">
        <f>BB589/BA589</f>
        <v/>
      </c>
      <c r="BD589" s="35">
        <f>IFERROR(AZ589/AV589,)</f>
        <v/>
      </c>
      <c r="BE589" s="255">
        <f>AV589-SUM(Z589:AC589)</f>
        <v/>
      </c>
      <c r="BF589" s="255">
        <f>AV589-BE589-AC589-AB589</f>
        <v/>
      </c>
      <c r="BG589" s="255">
        <f>AV589-BE589-BF589-AB589</f>
        <v/>
      </c>
      <c r="BH589" s="255">
        <f>AB589</f>
        <v/>
      </c>
      <c r="BI589" s="263" t="inlineStr">
        <is>
          <t>Approved</t>
        </is>
      </c>
    </row>
    <row r="590">
      <c r="C590" s="23" t="inlineStr">
        <is>
          <t>YEKINI</t>
        </is>
      </c>
      <c r="D590">
        <f>CONCATENATE(G590,"-",H590,"-",F590)</f>
        <v/>
      </c>
      <c r="E590" s="24" t="inlineStr">
        <is>
          <t>JMG-8T-Hiabs Logistics-Local</t>
        </is>
      </c>
      <c r="F590" s="23" t="inlineStr">
        <is>
          <t>Local</t>
        </is>
      </c>
      <c r="G590" s="25" t="inlineStr">
        <is>
          <t>Hiabs Logistics</t>
        </is>
      </c>
      <c r="H590" s="24" t="inlineStr">
        <is>
          <t>8T</t>
        </is>
      </c>
      <c r="I590" s="73" t="inlineStr">
        <is>
          <t>JMG</t>
        </is>
      </c>
      <c r="J590" s="74" t="inlineStr">
        <is>
          <t>Lagos</t>
        </is>
      </c>
      <c r="K590" s="202" t="inlineStr">
        <is>
          <t>Jankara</t>
        </is>
      </c>
      <c r="L590" t="inlineStr">
        <is>
          <t>Lagos</t>
        </is>
      </c>
      <c r="N590" s="201">
        <f>O590/2</f>
        <v/>
      </c>
      <c r="O590" s="200" t="n">
        <v>32.4</v>
      </c>
      <c r="P590" s="220">
        <f>ROUNDUP(O590/300,)</f>
        <v/>
      </c>
      <c r="Q590" s="220" t="n">
        <v>0</v>
      </c>
      <c r="R590" s="220">
        <f>Q590+P590</f>
        <v/>
      </c>
      <c r="S590" s="198">
        <f>ROUNDDOWN(O590*0.51,)+60</f>
        <v/>
      </c>
      <c r="T590" s="207">
        <f>_xlfn.XLOOKUP(G590,[1]Fx!$A$4:$A$10,[1]Fx!$B$4:$B$10)</f>
        <v/>
      </c>
      <c r="U590" s="207">
        <f>_xlfn.XLOOKUP(G590,'[1]BP Setup'!$B$6:$B$72,'[1]BP Setup'!$Q$6:$Q$72)</f>
        <v/>
      </c>
      <c r="V590" s="207">
        <f>_xlfn.XLOOKUP(G590,'[1]BP Setup'!$B$6:$B$72,'[1]BP Setup'!$R$6:$R$72)</f>
        <v/>
      </c>
      <c r="W590" s="207">
        <f>$W$3</f>
        <v/>
      </c>
      <c r="X590" s="207" t="n">
        <v>80</v>
      </c>
      <c r="Y590" s="215">
        <f>T590*R590</f>
        <v/>
      </c>
      <c r="Z590" s="215">
        <f>U590*O590</f>
        <v/>
      </c>
      <c r="AA590" s="215">
        <f>V590*O590</f>
        <v/>
      </c>
      <c r="AB590" s="215">
        <f>W590*O590</f>
        <v/>
      </c>
      <c r="AC590" s="197">
        <f>X590*O590</f>
        <v/>
      </c>
      <c r="AD590" s="215" t="n">
        <v>25000</v>
      </c>
      <c r="AE590" s="215" t="n">
        <v>0</v>
      </c>
      <c r="AF590" s="207">
        <f>SUM(Y590:AE590)</f>
        <v/>
      </c>
      <c r="AG590" s="254">
        <f>_xlfn.XLOOKUP(G590,[1]Fx!$A$16:$A$22,[1]Fx!$B$16:$B$22)</f>
        <v/>
      </c>
      <c r="AH590" s="207">
        <f>AG590*R590</f>
        <v/>
      </c>
      <c r="AI590" s="207">
        <f>$AI$3*Z590</f>
        <v/>
      </c>
      <c r="AJ590" s="207">
        <f>$AJ$3*AA590</f>
        <v/>
      </c>
      <c r="AK590" s="207">
        <f>$AK$3*AB590</f>
        <v/>
      </c>
      <c r="AL590" s="207">
        <f>$AL$3*AC590</f>
        <v/>
      </c>
      <c r="AM590" s="220">
        <f>SUM(AH590:AL590)</f>
        <v/>
      </c>
      <c r="AN590" s="220" t="n">
        <v>0</v>
      </c>
      <c r="AO590" s="220">
        <f>AN590*AH590</f>
        <v/>
      </c>
      <c r="AP590" s="220" t="n">
        <v>0</v>
      </c>
      <c r="AQ590" s="220">
        <f>AE590</f>
        <v/>
      </c>
      <c r="AR590" s="208">
        <f>AM590-AO590</f>
        <v/>
      </c>
      <c r="AS590" s="220">
        <f>AR590-AK590</f>
        <v/>
      </c>
      <c r="AT590" s="208">
        <f>AS590*1.075</f>
        <v/>
      </c>
      <c r="AU590" s="208">
        <f>AT590+AK590</f>
        <v/>
      </c>
      <c r="AV590" s="198" t="n">
        <v>131602.1995740657</v>
      </c>
      <c r="AW590" s="264" t="n">
        <v>150000</v>
      </c>
      <c r="AX590" s="220">
        <f>AV590-AU590</f>
        <v/>
      </c>
      <c r="AY590" s="35">
        <f>AX590/AR590</f>
        <v/>
      </c>
      <c r="AZ590" s="220">
        <f>AV590-AF590</f>
        <v/>
      </c>
      <c r="BA590" s="215">
        <f>AV590-SUM(Z590:AC590)</f>
        <v/>
      </c>
      <c r="BB590" s="215">
        <f>BA590-Y590</f>
        <v/>
      </c>
      <c r="BC590" s="35">
        <f>BB590/BA590</f>
        <v/>
      </c>
      <c r="BD590" s="35">
        <f>IFERROR(AZ590/AV590,)</f>
        <v/>
      </c>
      <c r="BE590" s="255">
        <f>AV590-SUM(Z590:AC590)</f>
        <v/>
      </c>
      <c r="BF590" s="255">
        <f>AV590-BE590-AC590-AB590</f>
        <v/>
      </c>
      <c r="BG590" s="255">
        <f>AV590-BE590-BF590-AB590</f>
        <v/>
      </c>
      <c r="BH590" s="255">
        <f>AB590</f>
        <v/>
      </c>
      <c r="BI590" s="263" t="inlineStr">
        <is>
          <t>Approved</t>
        </is>
      </c>
    </row>
    <row r="591">
      <c r="C591" s="23" t="inlineStr">
        <is>
          <t>YEKINI</t>
        </is>
      </c>
      <c r="D591">
        <f>CONCATENATE(G591,"-",H591,"-",F591)</f>
        <v/>
      </c>
      <c r="E591" s="24" t="inlineStr">
        <is>
          <t>JMG-8T-Hiabs Logistics-Local</t>
        </is>
      </c>
      <c r="F591" s="23" t="inlineStr">
        <is>
          <t>Local</t>
        </is>
      </c>
      <c r="G591" s="25" t="inlineStr">
        <is>
          <t>Hiabs Logistics</t>
        </is>
      </c>
      <c r="H591" s="24" t="inlineStr">
        <is>
          <t>8T</t>
        </is>
      </c>
      <c r="I591" s="73" t="inlineStr">
        <is>
          <t>JMG</t>
        </is>
      </c>
      <c r="J591" s="74" t="inlineStr">
        <is>
          <t>Lagos</t>
        </is>
      </c>
      <c r="K591" s="202" t="inlineStr">
        <is>
          <t>Orile</t>
        </is>
      </c>
      <c r="L591" t="inlineStr">
        <is>
          <t>Lagos</t>
        </is>
      </c>
      <c r="N591" s="201">
        <f>O591/2</f>
        <v/>
      </c>
      <c r="O591" s="200" t="n">
        <v>32.1</v>
      </c>
      <c r="P591" s="220">
        <f>ROUNDUP(O591/300,)</f>
        <v/>
      </c>
      <c r="Q591" s="220" t="n">
        <v>0</v>
      </c>
      <c r="R591" s="220">
        <f>Q591+P591</f>
        <v/>
      </c>
      <c r="S591" s="198">
        <f>ROUNDDOWN(O591*0.51,)+60</f>
        <v/>
      </c>
      <c r="T591" s="207">
        <f>_xlfn.XLOOKUP(G591,[1]Fx!$A$4:$A$10,[1]Fx!$B$4:$B$10)</f>
        <v/>
      </c>
      <c r="U591" s="207">
        <f>_xlfn.XLOOKUP(G591,'[1]BP Setup'!$B$6:$B$72,'[1]BP Setup'!$Q$6:$Q$72)</f>
        <v/>
      </c>
      <c r="V591" s="207">
        <f>_xlfn.XLOOKUP(G591,'[1]BP Setup'!$B$6:$B$72,'[1]BP Setup'!$R$6:$R$72)</f>
        <v/>
      </c>
      <c r="W591" s="207">
        <f>$W$3</f>
        <v/>
      </c>
      <c r="X591" s="207" t="n">
        <v>80</v>
      </c>
      <c r="Y591" s="215">
        <f>T591*R591</f>
        <v/>
      </c>
      <c r="Z591" s="215">
        <f>U591*O591</f>
        <v/>
      </c>
      <c r="AA591" s="215">
        <f>V591*O591</f>
        <v/>
      </c>
      <c r="AB591" s="215">
        <f>W591*O591</f>
        <v/>
      </c>
      <c r="AC591" s="197">
        <f>X591*O591</f>
        <v/>
      </c>
      <c r="AD591" s="215" t="n">
        <v>25000</v>
      </c>
      <c r="AE591" s="215" t="n">
        <v>0</v>
      </c>
      <c r="AF591" s="207">
        <f>SUM(Y591:AE591)</f>
        <v/>
      </c>
      <c r="AG591" s="254">
        <f>_xlfn.XLOOKUP(G591,[1]Fx!$A$16:$A$22,[1]Fx!$B$16:$B$22)</f>
        <v/>
      </c>
      <c r="AH591" s="207">
        <f>AG591*R591</f>
        <v/>
      </c>
      <c r="AI591" s="207">
        <f>$AI$3*Z591</f>
        <v/>
      </c>
      <c r="AJ591" s="207">
        <f>$AJ$3*AA591</f>
        <v/>
      </c>
      <c r="AK591" s="207">
        <f>$AK$3*AB591</f>
        <v/>
      </c>
      <c r="AL591" s="207">
        <f>$AL$3*AC591</f>
        <v/>
      </c>
      <c r="AM591" s="220">
        <f>SUM(AH591:AL591)</f>
        <v/>
      </c>
      <c r="AN591" s="220" t="n">
        <v>0</v>
      </c>
      <c r="AO591" s="220">
        <f>AN591*AH591</f>
        <v/>
      </c>
      <c r="AP591" s="220" t="n">
        <v>0</v>
      </c>
      <c r="AQ591" s="220">
        <f>AE591</f>
        <v/>
      </c>
      <c r="AR591" s="208">
        <f>AM591-AO591</f>
        <v/>
      </c>
      <c r="AS591" s="220">
        <f>AR591-AK591</f>
        <v/>
      </c>
      <c r="AT591" s="208">
        <f>AS591*1.075</f>
        <v/>
      </c>
      <c r="AU591" s="208">
        <f>AT591+AK591</f>
        <v/>
      </c>
      <c r="AV591" s="198" t="n">
        <v>131602.1995740657</v>
      </c>
      <c r="AW591" s="264" t="n">
        <v>150000</v>
      </c>
      <c r="AX591" s="220">
        <f>AV591-AU591</f>
        <v/>
      </c>
      <c r="AY591" s="35">
        <f>AX591/AR591</f>
        <v/>
      </c>
      <c r="AZ591" s="220">
        <f>AV591-AF591</f>
        <v/>
      </c>
      <c r="BA591" s="215">
        <f>AV591-SUM(Z591:AC591)</f>
        <v/>
      </c>
      <c r="BB591" s="215">
        <f>BA591-Y591</f>
        <v/>
      </c>
      <c r="BC591" s="35">
        <f>BB591/BA591</f>
        <v/>
      </c>
      <c r="BD591" s="35">
        <f>IFERROR(AZ591/AV591,)</f>
        <v/>
      </c>
      <c r="BE591" s="255">
        <f>AV591-SUM(Z591:AC591)</f>
        <v/>
      </c>
      <c r="BF591" s="255">
        <f>AV591-BE591-AC591-AB591</f>
        <v/>
      </c>
      <c r="BG591" s="255">
        <f>AV591-BE591-BF591-AB591</f>
        <v/>
      </c>
      <c r="BH591" s="255">
        <f>AB591</f>
        <v/>
      </c>
      <c r="BI591" s="263" t="inlineStr">
        <is>
          <t>Approved</t>
        </is>
      </c>
    </row>
    <row r="592">
      <c r="C592" s="23" t="inlineStr">
        <is>
          <t>YEKINI</t>
        </is>
      </c>
      <c r="D592">
        <f>CONCATENATE(G592,"-",H592,"-",F592)</f>
        <v/>
      </c>
      <c r="E592" s="24" t="inlineStr">
        <is>
          <t>JMG-8T-Hiabs Logistics-Local</t>
        </is>
      </c>
      <c r="F592" s="23" t="inlineStr">
        <is>
          <t>Local</t>
        </is>
      </c>
      <c r="G592" s="25" t="inlineStr">
        <is>
          <t>Hiabs Logistics</t>
        </is>
      </c>
      <c r="H592" s="24" t="inlineStr">
        <is>
          <t>8T</t>
        </is>
      </c>
      <c r="I592" s="73" t="inlineStr">
        <is>
          <t>JMG</t>
        </is>
      </c>
      <c r="J592" s="74" t="inlineStr">
        <is>
          <t>Lagos</t>
        </is>
      </c>
      <c r="K592" s="202" t="inlineStr">
        <is>
          <t>Apapa</t>
        </is>
      </c>
      <c r="L592" t="inlineStr">
        <is>
          <t>Lagos</t>
        </is>
      </c>
      <c r="N592" s="201">
        <f>O592/2</f>
        <v/>
      </c>
      <c r="O592" s="201" t="n">
        <v>32</v>
      </c>
      <c r="P592" s="220">
        <f>ROUNDUP(O592/300,)</f>
        <v/>
      </c>
      <c r="Q592" s="220" t="n">
        <v>0</v>
      </c>
      <c r="R592" s="220">
        <f>Q592+P592</f>
        <v/>
      </c>
      <c r="S592" s="198">
        <f>ROUNDDOWN(O592*0.51,)+60</f>
        <v/>
      </c>
      <c r="T592" s="207">
        <f>_xlfn.XLOOKUP(G592,[1]Fx!$A$4:$A$10,[1]Fx!$B$4:$B$10)</f>
        <v/>
      </c>
      <c r="U592" s="207">
        <f>_xlfn.XLOOKUP(G592,'[1]BP Setup'!$B$6:$B$72,'[1]BP Setup'!$Q$6:$Q$72)</f>
        <v/>
      </c>
      <c r="V592" s="207">
        <f>_xlfn.XLOOKUP(G592,'[1]BP Setup'!$B$6:$B$72,'[1]BP Setup'!$R$6:$R$72)</f>
        <v/>
      </c>
      <c r="W592" s="207">
        <f>$W$3</f>
        <v/>
      </c>
      <c r="X592" s="207" t="n">
        <v>80</v>
      </c>
      <c r="Y592" s="215">
        <f>T592*R592</f>
        <v/>
      </c>
      <c r="Z592" s="215">
        <f>U592*O592</f>
        <v/>
      </c>
      <c r="AA592" s="215">
        <f>V592*O592</f>
        <v/>
      </c>
      <c r="AB592" s="215">
        <f>W592*O592</f>
        <v/>
      </c>
      <c r="AC592" s="197">
        <f>X592*O592</f>
        <v/>
      </c>
      <c r="AD592" s="215" t="n">
        <v>25000</v>
      </c>
      <c r="AE592" s="215" t="n">
        <v>0</v>
      </c>
      <c r="AF592" s="207">
        <f>SUM(Y592:AE592)</f>
        <v/>
      </c>
      <c r="AG592" s="254">
        <f>_xlfn.XLOOKUP(G592,[1]Fx!$A$16:$A$22,[1]Fx!$B$16:$B$22)</f>
        <v/>
      </c>
      <c r="AH592" s="207">
        <f>AG592*R592</f>
        <v/>
      </c>
      <c r="AI592" s="207">
        <f>$AI$3*Z592</f>
        <v/>
      </c>
      <c r="AJ592" s="207">
        <f>$AJ$3*AA592</f>
        <v/>
      </c>
      <c r="AK592" s="207">
        <f>$AK$3*AB592</f>
        <v/>
      </c>
      <c r="AL592" s="207">
        <f>$AL$3*AC592</f>
        <v/>
      </c>
      <c r="AM592" s="220">
        <f>SUM(AH592:AL592)</f>
        <v/>
      </c>
      <c r="AN592" s="220" t="n">
        <v>0</v>
      </c>
      <c r="AO592" s="220">
        <f>AN592*AH592</f>
        <v/>
      </c>
      <c r="AP592" s="220" t="n">
        <v>0</v>
      </c>
      <c r="AQ592" s="220">
        <f>AE592</f>
        <v/>
      </c>
      <c r="AR592" s="208">
        <f>AM592-AO592</f>
        <v/>
      </c>
      <c r="AS592" s="220">
        <f>AR592-AK592</f>
        <v/>
      </c>
      <c r="AT592" s="208">
        <f>AS592*1.075</f>
        <v/>
      </c>
      <c r="AU592" s="208">
        <f>AT592+AK592</f>
        <v/>
      </c>
      <c r="AV592" s="198" t="n">
        <v>131602.1995740657</v>
      </c>
      <c r="AW592" s="264" t="n">
        <v>150000</v>
      </c>
      <c r="AX592" s="220">
        <f>AV592-AU592</f>
        <v/>
      </c>
      <c r="AY592" s="35">
        <f>AX592/AR592</f>
        <v/>
      </c>
      <c r="AZ592" s="220">
        <f>AV592-AF592</f>
        <v/>
      </c>
      <c r="BA592" s="215">
        <f>AV592-SUM(Z592:AC592)</f>
        <v/>
      </c>
      <c r="BB592" s="215">
        <f>BA592-Y592</f>
        <v/>
      </c>
      <c r="BC592" s="35">
        <f>BB592/BA592</f>
        <v/>
      </c>
      <c r="BD592" s="35">
        <f>IFERROR(AZ592/AV592,)</f>
        <v/>
      </c>
      <c r="BE592" s="255">
        <f>AV592-SUM(Z592:AC592)</f>
        <v/>
      </c>
      <c r="BF592" s="255">
        <f>AV592-BE592-AC592-AB592</f>
        <v/>
      </c>
      <c r="BG592" s="255">
        <f>AV592-BE592-BF592-AB592</f>
        <v/>
      </c>
      <c r="BH592" s="255">
        <f>AB592</f>
        <v/>
      </c>
      <c r="BI592" s="263" t="inlineStr">
        <is>
          <t>Approved</t>
        </is>
      </c>
    </row>
    <row r="593">
      <c r="C593" s="23" t="inlineStr">
        <is>
          <t>YEKINI</t>
        </is>
      </c>
      <c r="D593">
        <f>CONCATENATE(G593,"-",H593,"-",F593)</f>
        <v/>
      </c>
      <c r="E593" s="24" t="inlineStr">
        <is>
          <t>JMG-8T-Hiabs Logistics-Local</t>
        </is>
      </c>
      <c r="F593" s="23" t="inlineStr">
        <is>
          <t>Local</t>
        </is>
      </c>
      <c r="G593" s="25" t="inlineStr">
        <is>
          <t>Hiabs Logistics</t>
        </is>
      </c>
      <c r="H593" s="24" t="inlineStr">
        <is>
          <t>8T</t>
        </is>
      </c>
      <c r="I593" s="73" t="inlineStr">
        <is>
          <t>JMG</t>
        </is>
      </c>
      <c r="J593" s="74" t="inlineStr">
        <is>
          <t>Lagos</t>
        </is>
      </c>
      <c r="K593" s="202" t="inlineStr">
        <is>
          <t>Ejigbo</t>
        </is>
      </c>
      <c r="L593" t="inlineStr">
        <is>
          <t>Lagos</t>
        </is>
      </c>
      <c r="N593" s="201">
        <f>O593/2</f>
        <v/>
      </c>
      <c r="O593" s="200" t="n">
        <v>31.5</v>
      </c>
      <c r="P593" s="220">
        <f>ROUNDUP(O593/300,)</f>
        <v/>
      </c>
      <c r="Q593" s="220" t="n">
        <v>0</v>
      </c>
      <c r="R593" s="220">
        <f>Q593+P593</f>
        <v/>
      </c>
      <c r="S593" s="198">
        <f>ROUNDDOWN(O593*0.51,)+60</f>
        <v/>
      </c>
      <c r="T593" s="207">
        <f>_xlfn.XLOOKUP(G593,[1]Fx!$A$4:$A$10,[1]Fx!$B$4:$B$10)</f>
        <v/>
      </c>
      <c r="U593" s="207">
        <f>_xlfn.XLOOKUP(G593,'[1]BP Setup'!$B$6:$B$72,'[1]BP Setup'!$Q$6:$Q$72)</f>
        <v/>
      </c>
      <c r="V593" s="207">
        <f>_xlfn.XLOOKUP(G593,'[1]BP Setup'!$B$6:$B$72,'[1]BP Setup'!$R$6:$R$72)</f>
        <v/>
      </c>
      <c r="W593" s="207">
        <f>$W$3</f>
        <v/>
      </c>
      <c r="X593" s="207" t="n">
        <v>80</v>
      </c>
      <c r="Y593" s="215">
        <f>T593*R593</f>
        <v/>
      </c>
      <c r="Z593" s="215">
        <f>U593*O593</f>
        <v/>
      </c>
      <c r="AA593" s="215">
        <f>V593*O593</f>
        <v/>
      </c>
      <c r="AB593" s="215">
        <f>W593*O593</f>
        <v/>
      </c>
      <c r="AC593" s="197">
        <f>X593*O593</f>
        <v/>
      </c>
      <c r="AD593" s="215" t="n">
        <v>25000</v>
      </c>
      <c r="AE593" s="215" t="n">
        <v>0</v>
      </c>
      <c r="AF593" s="207">
        <f>SUM(Y593:AE593)</f>
        <v/>
      </c>
      <c r="AG593" s="254">
        <f>_xlfn.XLOOKUP(G593,[1]Fx!$A$16:$A$22,[1]Fx!$B$16:$B$22)</f>
        <v/>
      </c>
      <c r="AH593" s="207">
        <f>AG593*R593</f>
        <v/>
      </c>
      <c r="AI593" s="207">
        <f>$AI$3*Z593</f>
        <v/>
      </c>
      <c r="AJ593" s="207">
        <f>$AJ$3*AA593</f>
        <v/>
      </c>
      <c r="AK593" s="207">
        <f>$AK$3*AB593</f>
        <v/>
      </c>
      <c r="AL593" s="207">
        <f>$AL$3*AC593</f>
        <v/>
      </c>
      <c r="AM593" s="220">
        <f>SUM(AH593:AL593)</f>
        <v/>
      </c>
      <c r="AN593" s="220" t="n">
        <v>0</v>
      </c>
      <c r="AO593" s="220">
        <f>AN593*AH593</f>
        <v/>
      </c>
      <c r="AP593" s="220" t="n">
        <v>0</v>
      </c>
      <c r="AQ593" s="220">
        <f>AE593</f>
        <v/>
      </c>
      <c r="AR593" s="208">
        <f>AM593-AO593</f>
        <v/>
      </c>
      <c r="AS593" s="220">
        <f>AR593-AK593</f>
        <v/>
      </c>
      <c r="AT593" s="208">
        <f>AS593*1.075</f>
        <v/>
      </c>
      <c r="AU593" s="208">
        <f>AT593+AK593</f>
        <v/>
      </c>
      <c r="AV593" s="198" t="n">
        <v>131602.1995740657</v>
      </c>
      <c r="AW593" s="264" t="n">
        <v>150000</v>
      </c>
      <c r="AX593" s="220">
        <f>AV593-AU593</f>
        <v/>
      </c>
      <c r="AY593" s="35">
        <f>AX593/AR593</f>
        <v/>
      </c>
      <c r="AZ593" s="220">
        <f>AV593-AF593</f>
        <v/>
      </c>
      <c r="BA593" s="215">
        <f>AV593-SUM(Z593:AC593)</f>
        <v/>
      </c>
      <c r="BB593" s="215">
        <f>BA593-Y593</f>
        <v/>
      </c>
      <c r="BC593" s="35">
        <f>BB593/BA593</f>
        <v/>
      </c>
      <c r="BD593" s="35">
        <f>IFERROR(AZ593/AV593,)</f>
        <v/>
      </c>
      <c r="BE593" s="255">
        <f>AV593-SUM(Z593:AC593)</f>
        <v/>
      </c>
      <c r="BF593" s="255">
        <f>AV593-BE593-AC593-AB593</f>
        <v/>
      </c>
      <c r="BG593" s="255">
        <f>AV593-BE593-BF593-AB593</f>
        <v/>
      </c>
      <c r="BH593" s="255">
        <f>AB593</f>
        <v/>
      </c>
      <c r="BI593" s="263" t="inlineStr">
        <is>
          <t>Approved</t>
        </is>
      </c>
    </row>
    <row r="594">
      <c r="C594" s="23" t="inlineStr">
        <is>
          <t>YEKINI</t>
        </is>
      </c>
      <c r="D594">
        <f>CONCATENATE(G594,"-",H594,"-",F594)</f>
        <v/>
      </c>
      <c r="E594" s="24" t="inlineStr">
        <is>
          <t>JMG-8T-Hiabs Logistics-Local</t>
        </is>
      </c>
      <c r="F594" s="23" t="inlineStr">
        <is>
          <t>Local</t>
        </is>
      </c>
      <c r="G594" s="25" t="inlineStr">
        <is>
          <t>Hiabs Logistics</t>
        </is>
      </c>
      <c r="H594" s="24" t="inlineStr">
        <is>
          <t>8T</t>
        </is>
      </c>
      <c r="I594" s="73" t="inlineStr">
        <is>
          <t>JMG</t>
        </is>
      </c>
      <c r="J594" s="74" t="inlineStr">
        <is>
          <t>Lagos</t>
        </is>
      </c>
      <c r="K594" s="202" t="inlineStr">
        <is>
          <t>Ojodu</t>
        </is>
      </c>
      <c r="L594" t="inlineStr">
        <is>
          <t>Lagos</t>
        </is>
      </c>
      <c r="N594" s="201">
        <f>O594/2</f>
        <v/>
      </c>
      <c r="O594" s="200" t="n">
        <v>29.9</v>
      </c>
      <c r="P594" s="220">
        <f>ROUNDUP(O594/300,)</f>
        <v/>
      </c>
      <c r="Q594" s="220" t="n">
        <v>0</v>
      </c>
      <c r="R594" s="220">
        <f>Q594+P594</f>
        <v/>
      </c>
      <c r="S594" s="198">
        <f>ROUNDDOWN(O594*0.51,)+60</f>
        <v/>
      </c>
      <c r="T594" s="207">
        <f>_xlfn.XLOOKUP(G594,[1]Fx!$A$4:$A$10,[1]Fx!$B$4:$B$10)</f>
        <v/>
      </c>
      <c r="U594" s="207">
        <f>_xlfn.XLOOKUP(G594,'[1]BP Setup'!$B$6:$B$72,'[1]BP Setup'!$Q$6:$Q$72)</f>
        <v/>
      </c>
      <c r="V594" s="207">
        <f>_xlfn.XLOOKUP(G594,'[1]BP Setup'!$B$6:$B$72,'[1]BP Setup'!$R$6:$R$72)</f>
        <v/>
      </c>
      <c r="W594" s="207">
        <f>$W$3</f>
        <v/>
      </c>
      <c r="X594" s="207" t="n">
        <v>80</v>
      </c>
      <c r="Y594" s="215">
        <f>T594*R594</f>
        <v/>
      </c>
      <c r="Z594" s="215">
        <f>U594*O594</f>
        <v/>
      </c>
      <c r="AA594" s="215">
        <f>V594*O594</f>
        <v/>
      </c>
      <c r="AB594" s="215">
        <f>W594*O594</f>
        <v/>
      </c>
      <c r="AC594" s="197">
        <f>X594*O594</f>
        <v/>
      </c>
      <c r="AD594" s="215" t="n">
        <v>25000</v>
      </c>
      <c r="AE594" s="215" t="n">
        <v>0</v>
      </c>
      <c r="AF594" s="207">
        <f>SUM(Y594:AE594)</f>
        <v/>
      </c>
      <c r="AG594" s="254">
        <f>_xlfn.XLOOKUP(G594,[1]Fx!$A$16:$A$22,[1]Fx!$B$16:$B$22)</f>
        <v/>
      </c>
      <c r="AH594" s="207">
        <f>AG594*R594</f>
        <v/>
      </c>
      <c r="AI594" s="207">
        <f>$AI$3*Z594</f>
        <v/>
      </c>
      <c r="AJ594" s="207">
        <f>$AJ$3*AA594</f>
        <v/>
      </c>
      <c r="AK594" s="207">
        <f>$AK$3*AB594</f>
        <v/>
      </c>
      <c r="AL594" s="207">
        <f>$AL$3*AC594</f>
        <v/>
      </c>
      <c r="AM594" s="220">
        <f>SUM(AH594:AL594)</f>
        <v/>
      </c>
      <c r="AN594" s="220" t="n">
        <v>0</v>
      </c>
      <c r="AO594" s="220">
        <f>AN594*AH594</f>
        <v/>
      </c>
      <c r="AP594" s="220" t="n">
        <v>0</v>
      </c>
      <c r="AQ594" s="220">
        <f>AE594</f>
        <v/>
      </c>
      <c r="AR594" s="208">
        <f>AM594-AO594</f>
        <v/>
      </c>
      <c r="AS594" s="220">
        <f>AR594-AK594</f>
        <v/>
      </c>
      <c r="AT594" s="208">
        <f>AS594*1.075</f>
        <v/>
      </c>
      <c r="AU594" s="208">
        <f>AT594+AK594</f>
        <v/>
      </c>
      <c r="AV594" s="198" t="n">
        <v>131602.1995740657</v>
      </c>
      <c r="AW594" s="264" t="n">
        <v>150000</v>
      </c>
      <c r="AX594" s="220">
        <f>AV594-AU594</f>
        <v/>
      </c>
      <c r="AY594" s="35">
        <f>AX594/AR594</f>
        <v/>
      </c>
      <c r="AZ594" s="220">
        <f>AV594-AF594</f>
        <v/>
      </c>
      <c r="BA594" s="215">
        <f>AV594-SUM(Z594:AC594)</f>
        <v/>
      </c>
      <c r="BB594" s="215">
        <f>BA594-Y594</f>
        <v/>
      </c>
      <c r="BC594" s="35">
        <f>BB594/BA594</f>
        <v/>
      </c>
      <c r="BD594" s="35">
        <f>IFERROR(AZ594/AV594,)</f>
        <v/>
      </c>
      <c r="BE594" s="255">
        <f>AV594-SUM(Z594:AC594)</f>
        <v/>
      </c>
      <c r="BF594" s="255">
        <f>AV594-BE594-AC594-AB594</f>
        <v/>
      </c>
      <c r="BG594" s="255">
        <f>AV594-BE594-BF594-AB594</f>
        <v/>
      </c>
      <c r="BH594" s="255">
        <f>AB594</f>
        <v/>
      </c>
      <c r="BI594" s="263" t="inlineStr">
        <is>
          <t>Approved</t>
        </is>
      </c>
    </row>
    <row r="595">
      <c r="C595" s="23" t="inlineStr">
        <is>
          <t>YEKINI</t>
        </is>
      </c>
      <c r="D595">
        <f>CONCATENATE(G595,"-",H595,"-",F595)</f>
        <v/>
      </c>
      <c r="E595" s="24" t="inlineStr">
        <is>
          <t>JMG-8T-Hiabs Logistics-Local</t>
        </is>
      </c>
      <c r="F595" s="23" t="inlineStr">
        <is>
          <t>Local</t>
        </is>
      </c>
      <c r="G595" s="25" t="inlineStr">
        <is>
          <t>Hiabs Logistics</t>
        </is>
      </c>
      <c r="H595" s="24" t="inlineStr">
        <is>
          <t>8T</t>
        </is>
      </c>
      <c r="I595" s="73" t="inlineStr">
        <is>
          <t>JMG</t>
        </is>
      </c>
      <c r="J595" s="74" t="inlineStr">
        <is>
          <t>Lagos</t>
        </is>
      </c>
      <c r="K595" s="202" t="inlineStr">
        <is>
          <t>Agege</t>
        </is>
      </c>
      <c r="L595" t="inlineStr">
        <is>
          <t>Lagos</t>
        </is>
      </c>
      <c r="N595" s="201">
        <f>O595/2</f>
        <v/>
      </c>
      <c r="O595" s="200" t="n">
        <v>27.7</v>
      </c>
      <c r="P595" s="220">
        <f>ROUNDUP(O595/300,)</f>
        <v/>
      </c>
      <c r="Q595" s="220" t="n">
        <v>0</v>
      </c>
      <c r="R595" s="220">
        <f>Q595+P595</f>
        <v/>
      </c>
      <c r="S595" s="198">
        <f>ROUNDDOWN(O595*0.51,)+60</f>
        <v/>
      </c>
      <c r="T595" s="207">
        <f>_xlfn.XLOOKUP(G595,[1]Fx!$A$4:$A$10,[1]Fx!$B$4:$B$10)</f>
        <v/>
      </c>
      <c r="U595" s="207">
        <f>_xlfn.XLOOKUP(G595,'[1]BP Setup'!$B$6:$B$72,'[1]BP Setup'!$Q$6:$Q$72)</f>
        <v/>
      </c>
      <c r="V595" s="207">
        <f>_xlfn.XLOOKUP(G595,'[1]BP Setup'!$B$6:$B$72,'[1]BP Setup'!$R$6:$R$72)</f>
        <v/>
      </c>
      <c r="W595" s="207">
        <f>$W$3</f>
        <v/>
      </c>
      <c r="X595" s="207" t="n">
        <v>80</v>
      </c>
      <c r="Y595" s="215">
        <f>T595*R595</f>
        <v/>
      </c>
      <c r="Z595" s="215">
        <f>U595*O595</f>
        <v/>
      </c>
      <c r="AA595" s="215">
        <f>V595*O595</f>
        <v/>
      </c>
      <c r="AB595" s="215">
        <f>W595*O595</f>
        <v/>
      </c>
      <c r="AC595" s="197">
        <f>X595*O595</f>
        <v/>
      </c>
      <c r="AD595" s="215" t="n">
        <v>25000</v>
      </c>
      <c r="AE595" s="215" t="n">
        <v>0</v>
      </c>
      <c r="AF595" s="207">
        <f>SUM(Y595:AE595)</f>
        <v/>
      </c>
      <c r="AG595" s="254">
        <f>_xlfn.XLOOKUP(G595,[1]Fx!$A$16:$A$22,[1]Fx!$B$16:$B$22)</f>
        <v/>
      </c>
      <c r="AH595" s="207">
        <f>AG595*R595</f>
        <v/>
      </c>
      <c r="AI595" s="207">
        <f>$AI$3*Z595</f>
        <v/>
      </c>
      <c r="AJ595" s="207">
        <f>$AJ$3*AA595</f>
        <v/>
      </c>
      <c r="AK595" s="207">
        <f>$AK$3*AB595</f>
        <v/>
      </c>
      <c r="AL595" s="207">
        <f>$AL$3*AC595</f>
        <v/>
      </c>
      <c r="AM595" s="220">
        <f>SUM(AH595:AL595)</f>
        <v/>
      </c>
      <c r="AN595" s="220" t="n">
        <v>0</v>
      </c>
      <c r="AO595" s="220">
        <f>AN595*AH595</f>
        <v/>
      </c>
      <c r="AP595" s="220" t="n">
        <v>0</v>
      </c>
      <c r="AQ595" s="220">
        <f>AE595</f>
        <v/>
      </c>
      <c r="AR595" s="208">
        <f>AM595-AO595</f>
        <v/>
      </c>
      <c r="AS595" s="220">
        <f>AR595-AK595</f>
        <v/>
      </c>
      <c r="AT595" s="208">
        <f>AS595*1.075</f>
        <v/>
      </c>
      <c r="AU595" s="208">
        <f>AT595+AK595</f>
        <v/>
      </c>
      <c r="AV595" s="198" t="n">
        <v>131602.1995740657</v>
      </c>
      <c r="AW595" s="264" t="n">
        <v>150000</v>
      </c>
      <c r="AX595" s="220">
        <f>AV595-AU595</f>
        <v/>
      </c>
      <c r="AY595" s="35">
        <f>AX595/AR595</f>
        <v/>
      </c>
      <c r="AZ595" s="220">
        <f>AV595-AF595</f>
        <v/>
      </c>
      <c r="BA595" s="215">
        <f>AV595-SUM(Z595:AC595)</f>
        <v/>
      </c>
      <c r="BB595" s="215">
        <f>BA595-Y595</f>
        <v/>
      </c>
      <c r="BC595" s="35">
        <f>BB595/BA595</f>
        <v/>
      </c>
      <c r="BD595" s="35">
        <f>IFERROR(AZ595/AV595,)</f>
        <v/>
      </c>
      <c r="BE595" s="255">
        <f>AV595-SUM(Z595:AC595)</f>
        <v/>
      </c>
      <c r="BF595" s="255">
        <f>AV595-BE595-AC595-AB595</f>
        <v/>
      </c>
      <c r="BG595" s="255">
        <f>AV595-BE595-BF595-AB595</f>
        <v/>
      </c>
      <c r="BH595" s="255">
        <f>AB595</f>
        <v/>
      </c>
      <c r="BI595" s="263" t="inlineStr">
        <is>
          <t>Approved</t>
        </is>
      </c>
    </row>
    <row r="596">
      <c r="C596" s="23" t="inlineStr">
        <is>
          <t>YEKINI</t>
        </is>
      </c>
      <c r="D596">
        <f>CONCATENATE(G596,"-",H596,"-",F596)</f>
        <v/>
      </c>
      <c r="E596" s="24" t="inlineStr">
        <is>
          <t>JMG-8T-Hiabs Logistics-Local</t>
        </is>
      </c>
      <c r="F596" s="23" t="inlineStr">
        <is>
          <t>Local</t>
        </is>
      </c>
      <c r="G596" s="25" t="inlineStr">
        <is>
          <t>Hiabs Logistics</t>
        </is>
      </c>
      <c r="H596" s="24" t="inlineStr">
        <is>
          <t>8T</t>
        </is>
      </c>
      <c r="I596" s="73" t="inlineStr">
        <is>
          <t>JMG</t>
        </is>
      </c>
      <c r="J596" s="74" t="inlineStr">
        <is>
          <t>Lagos</t>
        </is>
      </c>
      <c r="K596" s="202" t="inlineStr">
        <is>
          <t>Ijaiye</t>
        </is>
      </c>
      <c r="L596" t="inlineStr">
        <is>
          <t>Lagos</t>
        </is>
      </c>
      <c r="N596" s="201">
        <f>O596/2</f>
        <v/>
      </c>
      <c r="O596" s="200" t="n">
        <v>28.7</v>
      </c>
      <c r="P596" s="220">
        <f>ROUNDUP(O596/300,)</f>
        <v/>
      </c>
      <c r="Q596" s="220" t="n">
        <v>0</v>
      </c>
      <c r="R596" s="220">
        <f>Q596+P596</f>
        <v/>
      </c>
      <c r="S596" s="198">
        <f>ROUNDDOWN(O596*0.51,)+60</f>
        <v/>
      </c>
      <c r="T596" s="207">
        <f>_xlfn.XLOOKUP(G596,[1]Fx!$A$4:$A$10,[1]Fx!$B$4:$B$10)</f>
        <v/>
      </c>
      <c r="U596" s="207">
        <f>_xlfn.XLOOKUP(G596,'[1]BP Setup'!$B$6:$B$72,'[1]BP Setup'!$Q$6:$Q$72)</f>
        <v/>
      </c>
      <c r="V596" s="207">
        <f>_xlfn.XLOOKUP(G596,'[1]BP Setup'!$B$6:$B$72,'[1]BP Setup'!$R$6:$R$72)</f>
        <v/>
      </c>
      <c r="W596" s="207">
        <f>$W$3</f>
        <v/>
      </c>
      <c r="X596" s="207" t="n">
        <v>80</v>
      </c>
      <c r="Y596" s="215">
        <f>T596*R596</f>
        <v/>
      </c>
      <c r="Z596" s="215">
        <f>U596*O596</f>
        <v/>
      </c>
      <c r="AA596" s="215">
        <f>V596*O596</f>
        <v/>
      </c>
      <c r="AB596" s="215">
        <f>W596*O596</f>
        <v/>
      </c>
      <c r="AC596" s="197">
        <f>X596*O596</f>
        <v/>
      </c>
      <c r="AD596" s="215" t="n">
        <v>25000</v>
      </c>
      <c r="AE596" s="215" t="n">
        <v>0</v>
      </c>
      <c r="AF596" s="207">
        <f>SUM(Y596:AE596)</f>
        <v/>
      </c>
      <c r="AG596" s="254">
        <f>_xlfn.XLOOKUP(G596,[1]Fx!$A$16:$A$22,[1]Fx!$B$16:$B$22)</f>
        <v/>
      </c>
      <c r="AH596" s="207">
        <f>AG596*R596</f>
        <v/>
      </c>
      <c r="AI596" s="207">
        <f>$AI$3*Z596</f>
        <v/>
      </c>
      <c r="AJ596" s="207">
        <f>$AJ$3*AA596</f>
        <v/>
      </c>
      <c r="AK596" s="207">
        <f>$AK$3*AB596</f>
        <v/>
      </c>
      <c r="AL596" s="207">
        <f>$AL$3*AC596</f>
        <v/>
      </c>
      <c r="AM596" s="220">
        <f>SUM(AH596:AL596)</f>
        <v/>
      </c>
      <c r="AN596" s="220" t="n">
        <v>0</v>
      </c>
      <c r="AO596" s="220">
        <f>AN596*AH596</f>
        <v/>
      </c>
      <c r="AP596" s="220" t="n">
        <v>0</v>
      </c>
      <c r="AQ596" s="220">
        <f>AE596</f>
        <v/>
      </c>
      <c r="AR596" s="208">
        <f>AM596-AO596</f>
        <v/>
      </c>
      <c r="AS596" s="220">
        <f>AR596-AK596</f>
        <v/>
      </c>
      <c r="AT596" s="208">
        <f>AS596*1.075</f>
        <v/>
      </c>
      <c r="AU596" s="208">
        <f>AT596+AK596</f>
        <v/>
      </c>
      <c r="AV596" s="198" t="n">
        <v>131602.1995740657</v>
      </c>
      <c r="AW596" s="264" t="n">
        <v>150000</v>
      </c>
      <c r="AX596" s="220">
        <f>AV596-AU596</f>
        <v/>
      </c>
      <c r="AY596" s="35">
        <f>AX596/AR596</f>
        <v/>
      </c>
      <c r="AZ596" s="220">
        <f>AV596-AF596</f>
        <v/>
      </c>
      <c r="BA596" s="215">
        <f>AV596-SUM(Z596:AC596)</f>
        <v/>
      </c>
      <c r="BB596" s="215">
        <f>BA596-Y596</f>
        <v/>
      </c>
      <c r="BC596" s="35">
        <f>BB596/BA596</f>
        <v/>
      </c>
      <c r="BD596" s="35">
        <f>IFERROR(AZ596/AV596,)</f>
        <v/>
      </c>
      <c r="BE596" s="255">
        <f>AV596-SUM(Z596:AC596)</f>
        <v/>
      </c>
      <c r="BF596" s="255">
        <f>AV596-BE596-AC596-AB596</f>
        <v/>
      </c>
      <c r="BG596" s="255">
        <f>AV596-BE596-BF596-AB596</f>
        <v/>
      </c>
      <c r="BH596" s="255">
        <f>AB596</f>
        <v/>
      </c>
      <c r="BI596" s="263" t="inlineStr">
        <is>
          <t>Approved</t>
        </is>
      </c>
    </row>
    <row r="597">
      <c r="C597" s="23" t="inlineStr">
        <is>
          <t>YEKINI</t>
        </is>
      </c>
      <c r="D597">
        <f>CONCATENATE(G597,"-",H597,"-",F597)</f>
        <v/>
      </c>
      <c r="E597" s="24" t="inlineStr">
        <is>
          <t>JMG-8T-Hiabs Logistics-Local</t>
        </is>
      </c>
      <c r="F597" s="23" t="inlineStr">
        <is>
          <t>Local</t>
        </is>
      </c>
      <c r="G597" s="25" t="inlineStr">
        <is>
          <t>Hiabs Logistics</t>
        </is>
      </c>
      <c r="H597" s="24" t="inlineStr">
        <is>
          <t>8T</t>
        </is>
      </c>
      <c r="I597" s="73" t="inlineStr">
        <is>
          <t>JMG</t>
        </is>
      </c>
      <c r="J597" s="74" t="inlineStr">
        <is>
          <t>Lagos</t>
        </is>
      </c>
      <c r="K597" s="202" t="inlineStr">
        <is>
          <t>Ogba</t>
        </is>
      </c>
      <c r="L597" t="inlineStr">
        <is>
          <t>Lagos</t>
        </is>
      </c>
      <c r="N597" s="201">
        <f>O597/2</f>
        <v/>
      </c>
      <c r="O597" s="200" t="n">
        <v>26.1</v>
      </c>
      <c r="P597" s="220">
        <f>ROUNDUP(O597/300,)</f>
        <v/>
      </c>
      <c r="Q597" s="220" t="n">
        <v>0</v>
      </c>
      <c r="R597" s="220">
        <f>Q597+P597</f>
        <v/>
      </c>
      <c r="S597" s="198">
        <f>ROUNDDOWN(O597*0.51,)+60</f>
        <v/>
      </c>
      <c r="T597" s="207">
        <f>_xlfn.XLOOKUP(G597,[1]Fx!$A$4:$A$10,[1]Fx!$B$4:$B$10)</f>
        <v/>
      </c>
      <c r="U597" s="207">
        <f>_xlfn.XLOOKUP(G597,'[1]BP Setup'!$B$6:$B$72,'[1]BP Setup'!$Q$6:$Q$72)</f>
        <v/>
      </c>
      <c r="V597" s="207">
        <f>_xlfn.XLOOKUP(G597,'[1]BP Setup'!$B$6:$B$72,'[1]BP Setup'!$R$6:$R$72)</f>
        <v/>
      </c>
      <c r="W597" s="207">
        <f>$W$3</f>
        <v/>
      </c>
      <c r="X597" s="207" t="n">
        <v>80</v>
      </c>
      <c r="Y597" s="215">
        <f>T597*R597</f>
        <v/>
      </c>
      <c r="Z597" s="215">
        <f>U597*O597</f>
        <v/>
      </c>
      <c r="AA597" s="215">
        <f>V597*O597</f>
        <v/>
      </c>
      <c r="AB597" s="215">
        <f>W597*O597</f>
        <v/>
      </c>
      <c r="AC597" s="197">
        <f>X597*O597</f>
        <v/>
      </c>
      <c r="AD597" s="215" t="n">
        <v>25000</v>
      </c>
      <c r="AE597" s="215" t="n">
        <v>0</v>
      </c>
      <c r="AF597" s="207">
        <f>SUM(Y597:AE597)</f>
        <v/>
      </c>
      <c r="AG597" s="254">
        <f>_xlfn.XLOOKUP(G597,[1]Fx!$A$16:$A$22,[1]Fx!$B$16:$B$22)</f>
        <v/>
      </c>
      <c r="AH597" s="207">
        <f>AG597*R597</f>
        <v/>
      </c>
      <c r="AI597" s="207">
        <f>$AI$3*Z597</f>
        <v/>
      </c>
      <c r="AJ597" s="207">
        <f>$AJ$3*AA597</f>
        <v/>
      </c>
      <c r="AK597" s="207">
        <f>$AK$3*AB597</f>
        <v/>
      </c>
      <c r="AL597" s="207">
        <f>$AL$3*AC597</f>
        <v/>
      </c>
      <c r="AM597" s="220">
        <f>SUM(AH597:AL597)</f>
        <v/>
      </c>
      <c r="AN597" s="220" t="n">
        <v>0</v>
      </c>
      <c r="AO597" s="220">
        <f>AN597*AH597</f>
        <v/>
      </c>
      <c r="AP597" s="220" t="n">
        <v>0</v>
      </c>
      <c r="AQ597" s="220">
        <f>AE597</f>
        <v/>
      </c>
      <c r="AR597" s="208">
        <f>AM597-AO597</f>
        <v/>
      </c>
      <c r="AS597" s="220">
        <f>AR597-AK597</f>
        <v/>
      </c>
      <c r="AT597" s="208">
        <f>AS597*1.075</f>
        <v/>
      </c>
      <c r="AU597" s="208">
        <f>AT597+AK597</f>
        <v/>
      </c>
      <c r="AV597" s="198" t="n">
        <v>131602.1995740657</v>
      </c>
      <c r="AW597" s="264" t="n">
        <v>150000</v>
      </c>
      <c r="AX597" s="220">
        <f>AV597-AU597</f>
        <v/>
      </c>
      <c r="AY597" s="35">
        <f>AX597/AR597</f>
        <v/>
      </c>
      <c r="AZ597" s="220">
        <f>AV597-AF597</f>
        <v/>
      </c>
      <c r="BA597" s="215">
        <f>AV597-SUM(Z597:AC597)</f>
        <v/>
      </c>
      <c r="BB597" s="215">
        <f>BA597-Y597</f>
        <v/>
      </c>
      <c r="BC597" s="35">
        <f>BB597/BA597</f>
        <v/>
      </c>
      <c r="BD597" s="35">
        <f>IFERROR(AZ597/AV597,)</f>
        <v/>
      </c>
      <c r="BE597" s="255">
        <f>AV597-SUM(Z597:AC597)</f>
        <v/>
      </c>
      <c r="BF597" s="255">
        <f>AV597-BE597-AC597-AB597</f>
        <v/>
      </c>
      <c r="BG597" s="255">
        <f>AV597-BE597-BF597-AB597</f>
        <v/>
      </c>
      <c r="BH597" s="255">
        <f>AB597</f>
        <v/>
      </c>
      <c r="BI597" s="263" t="inlineStr">
        <is>
          <t>Approved</t>
        </is>
      </c>
    </row>
    <row r="598">
      <c r="C598" s="23" t="inlineStr">
        <is>
          <t>YEKINI</t>
        </is>
      </c>
      <c r="D598">
        <f>CONCATENATE(G598,"-",H598,"-",F598)</f>
        <v/>
      </c>
      <c r="E598" s="24" t="inlineStr">
        <is>
          <t>JMG-8T-Hiabs Logistics-Local</t>
        </is>
      </c>
      <c r="F598" s="23" t="inlineStr">
        <is>
          <t>Local</t>
        </is>
      </c>
      <c r="G598" s="25" t="inlineStr">
        <is>
          <t>Hiabs Logistics</t>
        </is>
      </c>
      <c r="H598" s="24" t="inlineStr">
        <is>
          <t>8T</t>
        </is>
      </c>
      <c r="I598" s="73" t="inlineStr">
        <is>
          <t>JMG</t>
        </is>
      </c>
      <c r="J598" s="74" t="inlineStr">
        <is>
          <t>Lagos</t>
        </is>
      </c>
      <c r="K598" s="202" t="inlineStr">
        <is>
          <t>Ikeja</t>
        </is>
      </c>
      <c r="L598" t="inlineStr">
        <is>
          <t>Lagos</t>
        </is>
      </c>
      <c r="N598" s="201">
        <f>O598/2</f>
        <v/>
      </c>
      <c r="O598" s="201" t="n">
        <v>26</v>
      </c>
      <c r="P598" s="220">
        <f>ROUNDUP(O598/300,)</f>
        <v/>
      </c>
      <c r="Q598" s="220" t="n">
        <v>0</v>
      </c>
      <c r="R598" s="220">
        <f>Q598+P598</f>
        <v/>
      </c>
      <c r="S598" s="198">
        <f>ROUNDDOWN(O598*0.51,)+60</f>
        <v/>
      </c>
      <c r="T598" s="207">
        <f>_xlfn.XLOOKUP(G598,[1]Fx!$A$4:$A$10,[1]Fx!$B$4:$B$10)</f>
        <v/>
      </c>
      <c r="U598" s="207">
        <f>_xlfn.XLOOKUP(G598,'[1]BP Setup'!$B$6:$B$72,'[1]BP Setup'!$Q$6:$Q$72)</f>
        <v/>
      </c>
      <c r="V598" s="207">
        <f>_xlfn.XLOOKUP(G598,'[1]BP Setup'!$B$6:$B$72,'[1]BP Setup'!$R$6:$R$72)</f>
        <v/>
      </c>
      <c r="W598" s="207">
        <f>$W$3</f>
        <v/>
      </c>
      <c r="X598" s="207" t="n">
        <v>80</v>
      </c>
      <c r="Y598" s="215">
        <f>T598*R598</f>
        <v/>
      </c>
      <c r="Z598" s="215">
        <f>U598*O598</f>
        <v/>
      </c>
      <c r="AA598" s="215">
        <f>V598*O598</f>
        <v/>
      </c>
      <c r="AB598" s="215">
        <f>W598*O598</f>
        <v/>
      </c>
      <c r="AC598" s="197">
        <f>X598*O598</f>
        <v/>
      </c>
      <c r="AD598" s="215" t="n">
        <v>25000</v>
      </c>
      <c r="AE598" s="215" t="n">
        <v>0</v>
      </c>
      <c r="AF598" s="207">
        <f>SUM(Y598:AE598)</f>
        <v/>
      </c>
      <c r="AG598" s="254">
        <f>_xlfn.XLOOKUP(G598,[1]Fx!$A$16:$A$22,[1]Fx!$B$16:$B$22)</f>
        <v/>
      </c>
      <c r="AH598" s="207">
        <f>AG598*R598</f>
        <v/>
      </c>
      <c r="AI598" s="207">
        <f>$AI$3*Z598</f>
        <v/>
      </c>
      <c r="AJ598" s="207">
        <f>$AJ$3*AA598</f>
        <v/>
      </c>
      <c r="AK598" s="207">
        <f>$AK$3*AB598</f>
        <v/>
      </c>
      <c r="AL598" s="207">
        <f>$AL$3*AC598</f>
        <v/>
      </c>
      <c r="AM598" s="220">
        <f>SUM(AH598:AL598)</f>
        <v/>
      </c>
      <c r="AN598" s="220" t="n">
        <v>0</v>
      </c>
      <c r="AO598" s="220">
        <f>AN598*AH598</f>
        <v/>
      </c>
      <c r="AP598" s="220" t="n">
        <v>0</v>
      </c>
      <c r="AQ598" s="220">
        <f>AE598</f>
        <v/>
      </c>
      <c r="AR598" s="208">
        <f>AM598-AO598</f>
        <v/>
      </c>
      <c r="AS598" s="220">
        <f>AR598-AK598</f>
        <v/>
      </c>
      <c r="AT598" s="208">
        <f>AS598*1.075</f>
        <v/>
      </c>
      <c r="AU598" s="208">
        <f>AT598+AK598</f>
        <v/>
      </c>
      <c r="AV598" s="198" t="n">
        <v>131602.1995740657</v>
      </c>
      <c r="AW598" s="264" t="n">
        <v>150000</v>
      </c>
      <c r="AX598" s="220">
        <f>AV598-AU598</f>
        <v/>
      </c>
      <c r="AY598" s="35">
        <f>AX598/AR598</f>
        <v/>
      </c>
      <c r="AZ598" s="220">
        <f>AV598-AF598</f>
        <v/>
      </c>
      <c r="BA598" s="215">
        <f>AV598-SUM(Z598:AC598)</f>
        <v/>
      </c>
      <c r="BB598" s="215">
        <f>BA598-Y598</f>
        <v/>
      </c>
      <c r="BC598" s="35">
        <f>BB598/BA598</f>
        <v/>
      </c>
      <c r="BD598" s="35">
        <f>IFERROR(AZ598/AV598,)</f>
        <v/>
      </c>
      <c r="BE598" s="255">
        <f>AV598-SUM(Z598:AC598)</f>
        <v/>
      </c>
      <c r="BF598" s="255">
        <f>AV598-BE598-AC598-AB598</f>
        <v/>
      </c>
      <c r="BG598" s="255">
        <f>AV598-BE598-BF598-AB598</f>
        <v/>
      </c>
      <c r="BH598" s="255">
        <f>AB598</f>
        <v/>
      </c>
      <c r="BI598" s="263" t="inlineStr">
        <is>
          <t>Approved</t>
        </is>
      </c>
    </row>
    <row r="599">
      <c r="C599" s="23" t="inlineStr">
        <is>
          <t>YEKINI</t>
        </is>
      </c>
      <c r="D599">
        <f>CONCATENATE(G599,"-",H599,"-",F599)</f>
        <v/>
      </c>
      <c r="E599" s="24" t="inlineStr">
        <is>
          <t>JMG-8T-Hiabs Logistics-Local</t>
        </is>
      </c>
      <c r="F599" s="23" t="inlineStr">
        <is>
          <t>Local</t>
        </is>
      </c>
      <c r="G599" s="25" t="inlineStr">
        <is>
          <t>Hiabs Logistics</t>
        </is>
      </c>
      <c r="H599" s="24" t="inlineStr">
        <is>
          <t>8T</t>
        </is>
      </c>
      <c r="I599" s="73" t="inlineStr">
        <is>
          <t>JMG</t>
        </is>
      </c>
      <c r="J599" s="74" t="inlineStr">
        <is>
          <t>Lagos</t>
        </is>
      </c>
      <c r="K599" s="122" t="inlineStr">
        <is>
          <t>Ebute Metta</t>
        </is>
      </c>
      <c r="L599" t="inlineStr">
        <is>
          <t>Lagos</t>
        </is>
      </c>
      <c r="N599" s="201">
        <f>O599/2</f>
        <v/>
      </c>
      <c r="O599" s="201" t="n">
        <v>25.4</v>
      </c>
      <c r="P599" s="220">
        <f>ROUNDUP(O599/300,)</f>
        <v/>
      </c>
      <c r="Q599" s="220" t="n">
        <v>0</v>
      </c>
      <c r="R599" s="220">
        <f>Q599+P599</f>
        <v/>
      </c>
      <c r="S599" s="198">
        <f>ROUNDDOWN(O599*0.51,)+60</f>
        <v/>
      </c>
      <c r="T599" s="207">
        <f>_xlfn.XLOOKUP(G599,[1]Fx!$A$4:$A$10,[1]Fx!$B$4:$B$10)</f>
        <v/>
      </c>
      <c r="U599" s="207">
        <f>_xlfn.XLOOKUP(G599,'[1]BP Setup'!$B$6:$B$72,'[1]BP Setup'!$Q$6:$Q$72)</f>
        <v/>
      </c>
      <c r="V599" s="207">
        <f>_xlfn.XLOOKUP(G599,'[1]BP Setup'!$B$6:$B$72,'[1]BP Setup'!$R$6:$R$72)</f>
        <v/>
      </c>
      <c r="W599" s="207">
        <f>$W$3</f>
        <v/>
      </c>
      <c r="X599" s="207" t="n">
        <v>80</v>
      </c>
      <c r="Y599" s="215">
        <f>T599*R599</f>
        <v/>
      </c>
      <c r="Z599" s="215">
        <f>U599*O599</f>
        <v/>
      </c>
      <c r="AA599" s="215">
        <f>V599*O599</f>
        <v/>
      </c>
      <c r="AB599" s="215">
        <f>W599*O599</f>
        <v/>
      </c>
      <c r="AC599" s="197">
        <f>X599*O599</f>
        <v/>
      </c>
      <c r="AD599" s="215" t="n">
        <v>25000</v>
      </c>
      <c r="AE599" s="215" t="n">
        <v>0</v>
      </c>
      <c r="AF599" s="207">
        <f>SUM(Y599:AE599)</f>
        <v/>
      </c>
      <c r="AG599" s="254">
        <f>_xlfn.XLOOKUP(G599,[1]Fx!$A$16:$A$22,[1]Fx!$B$16:$B$22)</f>
        <v/>
      </c>
      <c r="AH599" s="207">
        <f>AG599*R599</f>
        <v/>
      </c>
      <c r="AI599" s="207">
        <f>$AI$3*Z599</f>
        <v/>
      </c>
      <c r="AJ599" s="207">
        <f>$AJ$3*AA599</f>
        <v/>
      </c>
      <c r="AK599" s="207">
        <f>$AK$3*AB599</f>
        <v/>
      </c>
      <c r="AL599" s="207">
        <f>$AL$3*AC599</f>
        <v/>
      </c>
      <c r="AM599" s="220">
        <f>SUM(AH599:AL599)</f>
        <v/>
      </c>
      <c r="AN599" s="220" t="n">
        <v>0</v>
      </c>
      <c r="AO599" s="220">
        <f>AN599*AH599</f>
        <v/>
      </c>
      <c r="AP599" s="220" t="n">
        <v>0</v>
      </c>
      <c r="AQ599" s="220">
        <f>AE599</f>
        <v/>
      </c>
      <c r="AR599" s="208">
        <f>AM599-AO599</f>
        <v/>
      </c>
      <c r="AS599" s="220">
        <f>AR599-AK599</f>
        <v/>
      </c>
      <c r="AT599" s="208">
        <f>AS599*1.075</f>
        <v/>
      </c>
      <c r="AU599" s="208">
        <f>AT599+AK599</f>
        <v/>
      </c>
      <c r="AV599" s="198" t="n">
        <v>131602.1995740657</v>
      </c>
      <c r="AW599" s="264" t="n">
        <v>150000</v>
      </c>
      <c r="AX599" s="220">
        <f>AV599-AU599</f>
        <v/>
      </c>
      <c r="AY599" s="35">
        <f>AX599/AR599</f>
        <v/>
      </c>
      <c r="AZ599" s="220">
        <f>AV599-AF599</f>
        <v/>
      </c>
      <c r="BA599" s="215">
        <f>AV599-SUM(Z599:AC599)</f>
        <v/>
      </c>
      <c r="BB599" s="215">
        <f>BA599-Y599</f>
        <v/>
      </c>
      <c r="BC599" s="35">
        <f>BB599/BA599</f>
        <v/>
      </c>
      <c r="BD599" s="35">
        <f>IFERROR(AZ599/AV599,)</f>
        <v/>
      </c>
      <c r="BE599" s="255">
        <f>AV599-SUM(Z599:AC599)</f>
        <v/>
      </c>
      <c r="BF599" s="255">
        <f>AV599-BE599-AC599-AB599</f>
        <v/>
      </c>
      <c r="BG599" s="255">
        <f>AV599-BE599-BF599-AB599</f>
        <v/>
      </c>
      <c r="BH599" s="255">
        <f>AB599</f>
        <v/>
      </c>
      <c r="BI599" s="263" t="inlineStr">
        <is>
          <t>Approved</t>
        </is>
      </c>
    </row>
    <row r="600">
      <c r="C600" s="23" t="inlineStr">
        <is>
          <t>YEKINI</t>
        </is>
      </c>
      <c r="D600">
        <f>CONCATENATE(G600,"-",H600,"-",F600)</f>
        <v/>
      </c>
      <c r="E600" s="24" t="inlineStr">
        <is>
          <t>JMG-8T-Hiabs Logistics-Local</t>
        </is>
      </c>
      <c r="F600" s="23" t="inlineStr">
        <is>
          <t>Local</t>
        </is>
      </c>
      <c r="G600" s="25" t="inlineStr">
        <is>
          <t>Hiabs Logistics</t>
        </is>
      </c>
      <c r="H600" s="24" t="inlineStr">
        <is>
          <t>8T</t>
        </is>
      </c>
      <c r="I600" s="73" t="inlineStr">
        <is>
          <t>JMG</t>
        </is>
      </c>
      <c r="J600" s="74" t="inlineStr">
        <is>
          <t>Lagos</t>
        </is>
      </c>
      <c r="K600" s="202" t="inlineStr">
        <is>
          <t>Surulere</t>
        </is>
      </c>
      <c r="L600" t="inlineStr">
        <is>
          <t>Lagos</t>
        </is>
      </c>
      <c r="N600" s="201">
        <f>O600/2</f>
        <v/>
      </c>
      <c r="O600" s="200" t="n">
        <v>24.6</v>
      </c>
      <c r="P600" s="220">
        <f>ROUNDUP(O600/300,)</f>
        <v/>
      </c>
      <c r="Q600" s="220" t="n">
        <v>0</v>
      </c>
      <c r="R600" s="220">
        <f>Q600+P600</f>
        <v/>
      </c>
      <c r="S600" s="198">
        <f>ROUNDDOWN(O600*0.51,)+60</f>
        <v/>
      </c>
      <c r="T600" s="207">
        <f>_xlfn.XLOOKUP(G600,[1]Fx!$A$4:$A$10,[1]Fx!$B$4:$B$10)</f>
        <v/>
      </c>
      <c r="U600" s="207">
        <f>_xlfn.XLOOKUP(G600,'[1]BP Setup'!$B$6:$B$72,'[1]BP Setup'!$Q$6:$Q$72)</f>
        <v/>
      </c>
      <c r="V600" s="207">
        <f>_xlfn.XLOOKUP(G600,'[1]BP Setup'!$B$6:$B$72,'[1]BP Setup'!$R$6:$R$72)</f>
        <v/>
      </c>
      <c r="W600" s="207">
        <f>$W$3</f>
        <v/>
      </c>
      <c r="X600" s="207" t="n">
        <v>80</v>
      </c>
      <c r="Y600" s="215">
        <f>T600*R600</f>
        <v/>
      </c>
      <c r="Z600" s="215">
        <f>U600*O600</f>
        <v/>
      </c>
      <c r="AA600" s="215">
        <f>V600*O600</f>
        <v/>
      </c>
      <c r="AB600" s="215">
        <f>W600*O600</f>
        <v/>
      </c>
      <c r="AC600" s="197">
        <f>X600*O600</f>
        <v/>
      </c>
      <c r="AD600" s="215" t="n">
        <v>25000</v>
      </c>
      <c r="AE600" s="215" t="n">
        <v>0</v>
      </c>
      <c r="AF600" s="207">
        <f>SUM(Y600:AE600)</f>
        <v/>
      </c>
      <c r="AG600" s="254">
        <f>_xlfn.XLOOKUP(G600,[1]Fx!$A$16:$A$22,[1]Fx!$B$16:$B$22)</f>
        <v/>
      </c>
      <c r="AH600" s="207">
        <f>AG600*R600</f>
        <v/>
      </c>
      <c r="AI600" s="207">
        <f>$AI$3*Z600</f>
        <v/>
      </c>
      <c r="AJ600" s="207">
        <f>$AJ$3*AA600</f>
        <v/>
      </c>
      <c r="AK600" s="207">
        <f>$AK$3*AB600</f>
        <v/>
      </c>
      <c r="AL600" s="207">
        <f>$AL$3*AC600</f>
        <v/>
      </c>
      <c r="AM600" s="220">
        <f>SUM(AH600:AL600)</f>
        <v/>
      </c>
      <c r="AN600" s="220" t="n">
        <v>0</v>
      </c>
      <c r="AO600" s="220">
        <f>AN600*AH600</f>
        <v/>
      </c>
      <c r="AP600" s="220" t="n">
        <v>0</v>
      </c>
      <c r="AQ600" s="220">
        <f>AE600</f>
        <v/>
      </c>
      <c r="AR600" s="208">
        <f>AM600-AO600</f>
        <v/>
      </c>
      <c r="AS600" s="220">
        <f>AR600-AK600</f>
        <v/>
      </c>
      <c r="AT600" s="208">
        <f>AS600*1.075</f>
        <v/>
      </c>
      <c r="AU600" s="208">
        <f>AT600+AK600</f>
        <v/>
      </c>
      <c r="AV600" s="198" t="n">
        <v>131602.1995740657</v>
      </c>
      <c r="AW600" s="264" t="n">
        <v>150000</v>
      </c>
      <c r="AX600" s="220">
        <f>AV600-AU600</f>
        <v/>
      </c>
      <c r="AY600" s="35">
        <f>AX600/AR600</f>
        <v/>
      </c>
      <c r="AZ600" s="220">
        <f>AV600-AF600</f>
        <v/>
      </c>
      <c r="BA600" s="215">
        <f>AV600-SUM(Z600:AC600)</f>
        <v/>
      </c>
      <c r="BB600" s="215">
        <f>BA600-Y600</f>
        <v/>
      </c>
      <c r="BC600" s="35">
        <f>BB600/BA600</f>
        <v/>
      </c>
      <c r="BD600" s="35">
        <f>IFERROR(AZ600/AV600,)</f>
        <v/>
      </c>
      <c r="BE600" s="255">
        <f>AV600-SUM(Z600:AC600)</f>
        <v/>
      </c>
      <c r="BF600" s="255">
        <f>AV600-BE600-AC600-AB600</f>
        <v/>
      </c>
      <c r="BG600" s="255">
        <f>AV600-BE600-BF600-AB600</f>
        <v/>
      </c>
      <c r="BH600" s="255">
        <f>AB600</f>
        <v/>
      </c>
      <c r="BI600" s="263" t="inlineStr">
        <is>
          <t>Approved</t>
        </is>
      </c>
    </row>
    <row r="601">
      <c r="C601" s="23" t="inlineStr">
        <is>
          <t>YEKINI</t>
        </is>
      </c>
      <c r="D601">
        <f>CONCATENATE(G601,"-",H601,"-",F601)</f>
        <v/>
      </c>
      <c r="E601" s="24" t="inlineStr">
        <is>
          <t>JMG-8T-Hiabs Logistics-Local</t>
        </is>
      </c>
      <c r="F601" s="23" t="inlineStr">
        <is>
          <t>Local</t>
        </is>
      </c>
      <c r="G601" s="25" t="inlineStr">
        <is>
          <t>Hiabs Logistics</t>
        </is>
      </c>
      <c r="H601" s="24" t="inlineStr">
        <is>
          <t>8T</t>
        </is>
      </c>
      <c r="I601" s="73" t="inlineStr">
        <is>
          <t>JMG</t>
        </is>
      </c>
      <c r="J601" s="74" t="inlineStr">
        <is>
          <t>Lagos</t>
        </is>
      </c>
      <c r="K601" s="202" t="inlineStr">
        <is>
          <t>Isolo</t>
        </is>
      </c>
      <c r="L601" t="inlineStr">
        <is>
          <t>Lagos</t>
        </is>
      </c>
      <c r="N601" s="201">
        <f>O601/2</f>
        <v/>
      </c>
      <c r="O601" s="200" t="n">
        <v>24.2</v>
      </c>
      <c r="P601" s="220">
        <f>ROUNDUP(O601/300,)</f>
        <v/>
      </c>
      <c r="Q601" s="220" t="n">
        <v>0</v>
      </c>
      <c r="R601" s="220">
        <f>Q601+P601</f>
        <v/>
      </c>
      <c r="S601" s="198">
        <f>ROUNDDOWN(O601*0.51,)+60</f>
        <v/>
      </c>
      <c r="T601" s="207">
        <f>_xlfn.XLOOKUP(G601,[1]Fx!$A$4:$A$10,[1]Fx!$B$4:$B$10)</f>
        <v/>
      </c>
      <c r="U601" s="207">
        <f>_xlfn.XLOOKUP(G601,'[1]BP Setup'!$B$6:$B$72,'[1]BP Setup'!$Q$6:$Q$72)</f>
        <v/>
      </c>
      <c r="V601" s="207">
        <f>_xlfn.XLOOKUP(G601,'[1]BP Setup'!$B$6:$B$72,'[1]BP Setup'!$R$6:$R$72)</f>
        <v/>
      </c>
      <c r="W601" s="207">
        <f>$W$3</f>
        <v/>
      </c>
      <c r="X601" s="207" t="n">
        <v>80</v>
      </c>
      <c r="Y601" s="215">
        <f>T601*R601</f>
        <v/>
      </c>
      <c r="Z601" s="215">
        <f>U601*O601</f>
        <v/>
      </c>
      <c r="AA601" s="215">
        <f>V601*O601</f>
        <v/>
      </c>
      <c r="AB601" s="215">
        <f>W601*O601</f>
        <v/>
      </c>
      <c r="AC601" s="197">
        <f>X601*O601</f>
        <v/>
      </c>
      <c r="AD601" s="215" t="n">
        <v>25000</v>
      </c>
      <c r="AE601" s="215" t="n">
        <v>0</v>
      </c>
      <c r="AF601" s="207">
        <f>SUM(Y601:AE601)</f>
        <v/>
      </c>
      <c r="AG601" s="254">
        <f>_xlfn.XLOOKUP(G601,[1]Fx!$A$16:$A$22,[1]Fx!$B$16:$B$22)</f>
        <v/>
      </c>
      <c r="AH601" s="207">
        <f>AG601*R601</f>
        <v/>
      </c>
      <c r="AI601" s="207">
        <f>$AI$3*Z601</f>
        <v/>
      </c>
      <c r="AJ601" s="207">
        <f>$AJ$3*AA601</f>
        <v/>
      </c>
      <c r="AK601" s="207">
        <f>$AK$3*AB601</f>
        <v/>
      </c>
      <c r="AL601" s="207">
        <f>$AL$3*AC601</f>
        <v/>
      </c>
      <c r="AM601" s="220">
        <f>SUM(AH601:AL601)</f>
        <v/>
      </c>
      <c r="AN601" s="220" t="n">
        <v>0</v>
      </c>
      <c r="AO601" s="220">
        <f>AN601*AH601</f>
        <v/>
      </c>
      <c r="AP601" s="220" t="n">
        <v>0</v>
      </c>
      <c r="AQ601" s="220">
        <f>AE601</f>
        <v/>
      </c>
      <c r="AR601" s="208">
        <f>AM601-AO601</f>
        <v/>
      </c>
      <c r="AS601" s="220">
        <f>AR601-AK601</f>
        <v/>
      </c>
      <c r="AT601" s="208">
        <f>AS601*1.075</f>
        <v/>
      </c>
      <c r="AU601" s="208">
        <f>AT601+AK601</f>
        <v/>
      </c>
      <c r="AV601" s="198" t="n">
        <v>131602.1995740657</v>
      </c>
      <c r="AW601" s="264" t="n">
        <v>150000</v>
      </c>
      <c r="AX601" s="220">
        <f>AV601-AU601</f>
        <v/>
      </c>
      <c r="AY601" s="35">
        <f>AX601/AR601</f>
        <v/>
      </c>
      <c r="AZ601" s="220">
        <f>AV601-AF601</f>
        <v/>
      </c>
      <c r="BA601" s="215">
        <f>AV601-SUM(Z601:AC601)</f>
        <v/>
      </c>
      <c r="BB601" s="215">
        <f>BA601-Y601</f>
        <v/>
      </c>
      <c r="BC601" s="35">
        <f>BB601/BA601</f>
        <v/>
      </c>
      <c r="BD601" s="35">
        <f>IFERROR(AZ601/AV601,)</f>
        <v/>
      </c>
      <c r="BE601" s="255">
        <f>AV601-SUM(Z601:AC601)</f>
        <v/>
      </c>
      <c r="BF601" s="255">
        <f>AV601-BE601-AC601-AB601</f>
        <v/>
      </c>
      <c r="BG601" s="255">
        <f>AV601-BE601-BF601-AB601</f>
        <v/>
      </c>
      <c r="BH601" s="255">
        <f>AB601</f>
        <v/>
      </c>
      <c r="BI601" s="263" t="inlineStr">
        <is>
          <t>Approved</t>
        </is>
      </c>
    </row>
    <row r="602">
      <c r="C602" s="23" t="inlineStr">
        <is>
          <t>YEKINI</t>
        </is>
      </c>
      <c r="D602">
        <f>CONCATENATE(G602,"-",H602,"-",F602)</f>
        <v/>
      </c>
      <c r="E602" s="24" t="inlineStr">
        <is>
          <t>JMG-8T-Hiabs Logistics-Local</t>
        </is>
      </c>
      <c r="F602" s="23" t="inlineStr">
        <is>
          <t>Local</t>
        </is>
      </c>
      <c r="G602" s="25" t="inlineStr">
        <is>
          <t>Hiabs Logistics</t>
        </is>
      </c>
      <c r="H602" s="24" t="inlineStr">
        <is>
          <t>8T</t>
        </is>
      </c>
      <c r="I602" s="73" t="inlineStr">
        <is>
          <t>JMG</t>
        </is>
      </c>
      <c r="J602" s="74" t="inlineStr">
        <is>
          <t>Lagos</t>
        </is>
      </c>
      <c r="K602" s="202" t="inlineStr">
        <is>
          <t>Nigerian Gas</t>
        </is>
      </c>
      <c r="L602" t="inlineStr">
        <is>
          <t>Lagos</t>
        </is>
      </c>
      <c r="N602" s="201">
        <f>O602/2</f>
        <v/>
      </c>
      <c r="O602" s="201" t="n">
        <v>21.7</v>
      </c>
      <c r="P602" s="220">
        <f>ROUNDUP(O602/300,)</f>
        <v/>
      </c>
      <c r="Q602" s="220" t="n">
        <v>0</v>
      </c>
      <c r="R602" s="220">
        <f>Q602+P602</f>
        <v/>
      </c>
      <c r="S602" s="198">
        <f>ROUNDDOWN(O602*0.51,)+60</f>
        <v/>
      </c>
      <c r="T602" s="207">
        <f>_xlfn.XLOOKUP(G602,[1]Fx!$A$4:$A$10,[1]Fx!$B$4:$B$10)</f>
        <v/>
      </c>
      <c r="U602" s="207">
        <f>_xlfn.XLOOKUP(G602,'[1]BP Setup'!$B$6:$B$72,'[1]BP Setup'!$Q$6:$Q$72)</f>
        <v/>
      </c>
      <c r="V602" s="207">
        <f>_xlfn.XLOOKUP(G602,'[1]BP Setup'!$B$6:$B$72,'[1]BP Setup'!$R$6:$R$72)</f>
        <v/>
      </c>
      <c r="W602" s="207">
        <f>$W$3</f>
        <v/>
      </c>
      <c r="X602" s="207" t="n">
        <v>80</v>
      </c>
      <c r="Y602" s="215">
        <f>T602*R602</f>
        <v/>
      </c>
      <c r="Z602" s="215">
        <f>U602*O602</f>
        <v/>
      </c>
      <c r="AA602" s="215">
        <f>V602*O602</f>
        <v/>
      </c>
      <c r="AB602" s="215">
        <f>W602*O602</f>
        <v/>
      </c>
      <c r="AC602" s="197">
        <f>X602*O602</f>
        <v/>
      </c>
      <c r="AD602" s="215" t="n">
        <v>25000</v>
      </c>
      <c r="AE602" s="215" t="n">
        <v>0</v>
      </c>
      <c r="AF602" s="207">
        <f>SUM(Y602:AE602)</f>
        <v/>
      </c>
      <c r="AG602" s="254">
        <f>_xlfn.XLOOKUP(G602,[1]Fx!$A$16:$A$22,[1]Fx!$B$16:$B$22)</f>
        <v/>
      </c>
      <c r="AH602" s="207">
        <f>AG602*R602</f>
        <v/>
      </c>
      <c r="AI602" s="207">
        <f>$AI$3*Z602</f>
        <v/>
      </c>
      <c r="AJ602" s="207">
        <f>$AJ$3*AA602</f>
        <v/>
      </c>
      <c r="AK602" s="207">
        <f>$AK$3*AB602</f>
        <v/>
      </c>
      <c r="AL602" s="207">
        <f>$AL$3*AC602</f>
        <v/>
      </c>
      <c r="AM602" s="220">
        <f>SUM(AH602:AL602)</f>
        <v/>
      </c>
      <c r="AN602" s="220" t="n">
        <v>0</v>
      </c>
      <c r="AO602" s="220">
        <f>AN602*AH602</f>
        <v/>
      </c>
      <c r="AP602" s="220" t="n">
        <v>0</v>
      </c>
      <c r="AQ602" s="220">
        <f>AE602</f>
        <v/>
      </c>
      <c r="AR602" s="208">
        <f>AM602-AO602</f>
        <v/>
      </c>
      <c r="AS602" s="220">
        <f>AR602-AK602</f>
        <v/>
      </c>
      <c r="AT602" s="208">
        <f>AS602*1.075</f>
        <v/>
      </c>
      <c r="AU602" s="208">
        <f>AT602+AK602</f>
        <v/>
      </c>
      <c r="AV602" s="198" t="n">
        <v>131602.1995740657</v>
      </c>
      <c r="AW602" s="264" t="n">
        <v>150000</v>
      </c>
      <c r="AX602" s="220">
        <f>AV602-AU602</f>
        <v/>
      </c>
      <c r="AY602" s="35">
        <f>AX602/AR602</f>
        <v/>
      </c>
      <c r="AZ602" s="220">
        <f>AV602-AF602</f>
        <v/>
      </c>
      <c r="BA602" s="215">
        <f>AV602-SUM(Z602:AC602)</f>
        <v/>
      </c>
      <c r="BB602" s="215">
        <f>BA602-Y602</f>
        <v/>
      </c>
      <c r="BC602" s="35">
        <f>BB602/BA602</f>
        <v/>
      </c>
      <c r="BD602" s="35">
        <f>IFERROR(AZ602/AV602,)</f>
        <v/>
      </c>
      <c r="BE602" s="255">
        <f>AV602-SUM(Z602:AC602)</f>
        <v/>
      </c>
      <c r="BF602" s="255">
        <f>AV602-BE602-AC602-AB602</f>
        <v/>
      </c>
      <c r="BG602" s="255">
        <f>AV602-BE602-BF602-AB602</f>
        <v/>
      </c>
      <c r="BH602" s="255">
        <f>AB602</f>
        <v/>
      </c>
      <c r="BI602" s="263" t="inlineStr">
        <is>
          <t>Approved</t>
        </is>
      </c>
    </row>
    <row r="603">
      <c r="C603" s="23" t="inlineStr">
        <is>
          <t>YEKINI</t>
        </is>
      </c>
      <c r="D603">
        <f>CONCATENATE(G603,"-",H603,"-",F603)</f>
        <v/>
      </c>
      <c r="E603" s="24" t="inlineStr">
        <is>
          <t>JMG-8T-Hiabs Logistics-Local</t>
        </is>
      </c>
      <c r="F603" s="23" t="inlineStr">
        <is>
          <t>Local</t>
        </is>
      </c>
      <c r="G603" s="25" t="inlineStr">
        <is>
          <t>Hiabs Logistics</t>
        </is>
      </c>
      <c r="H603" s="24" t="inlineStr">
        <is>
          <t>8T</t>
        </is>
      </c>
      <c r="I603" s="73" t="inlineStr">
        <is>
          <t>JMG</t>
        </is>
      </c>
      <c r="J603" s="74" t="inlineStr">
        <is>
          <t>Lagos</t>
        </is>
      </c>
      <c r="K603" s="202" t="inlineStr">
        <is>
          <t>Ikeja Branch</t>
        </is>
      </c>
      <c r="L603" t="inlineStr">
        <is>
          <t>Lagos</t>
        </is>
      </c>
      <c r="N603" s="201">
        <f>O603/2</f>
        <v/>
      </c>
      <c r="O603" s="201" t="n">
        <v>21.7</v>
      </c>
      <c r="P603" s="220">
        <f>ROUNDUP(O603/300,)</f>
        <v/>
      </c>
      <c r="Q603" s="220" t="n">
        <v>0</v>
      </c>
      <c r="R603" s="220">
        <f>Q603+P603</f>
        <v/>
      </c>
      <c r="S603" s="198">
        <f>ROUNDDOWN(O603*0.51,)+60</f>
        <v/>
      </c>
      <c r="T603" s="207">
        <f>_xlfn.XLOOKUP(G603,[1]Fx!$A$4:$A$10,[1]Fx!$B$4:$B$10)</f>
        <v/>
      </c>
      <c r="U603" s="207">
        <f>_xlfn.XLOOKUP(G603,'[1]BP Setup'!$B$6:$B$72,'[1]BP Setup'!$Q$6:$Q$72)</f>
        <v/>
      </c>
      <c r="V603" s="207">
        <f>_xlfn.XLOOKUP(G603,'[1]BP Setup'!$B$6:$B$72,'[1]BP Setup'!$R$6:$R$72)</f>
        <v/>
      </c>
      <c r="W603" s="207">
        <f>$W$3</f>
        <v/>
      </c>
      <c r="X603" s="207" t="n">
        <v>80</v>
      </c>
      <c r="Y603" s="215">
        <f>T603*R603</f>
        <v/>
      </c>
      <c r="Z603" s="215">
        <f>U603*O603</f>
        <v/>
      </c>
      <c r="AA603" s="215">
        <f>V603*O603</f>
        <v/>
      </c>
      <c r="AB603" s="215">
        <f>W603*O603</f>
        <v/>
      </c>
      <c r="AC603" s="197">
        <f>X603*O603</f>
        <v/>
      </c>
      <c r="AD603" s="215" t="n">
        <v>25000</v>
      </c>
      <c r="AE603" s="215" t="n">
        <v>0</v>
      </c>
      <c r="AF603" s="207">
        <f>SUM(Y603:AE603)</f>
        <v/>
      </c>
      <c r="AG603" s="254">
        <f>_xlfn.XLOOKUP(G603,[1]Fx!$A$16:$A$22,[1]Fx!$B$16:$B$22)</f>
        <v/>
      </c>
      <c r="AH603" s="207">
        <f>AG603*R603</f>
        <v/>
      </c>
      <c r="AI603" s="207">
        <f>$AI$3*Z603</f>
        <v/>
      </c>
      <c r="AJ603" s="207">
        <f>$AJ$3*AA603</f>
        <v/>
      </c>
      <c r="AK603" s="207">
        <f>$AK$3*AB603</f>
        <v/>
      </c>
      <c r="AL603" s="207">
        <f>$AL$3*AC603</f>
        <v/>
      </c>
      <c r="AM603" s="220">
        <f>SUM(AH603:AL603)</f>
        <v/>
      </c>
      <c r="AN603" s="220" t="n">
        <v>0</v>
      </c>
      <c r="AO603" s="220">
        <f>AN603*AH603</f>
        <v/>
      </c>
      <c r="AP603" s="220" t="n">
        <v>0</v>
      </c>
      <c r="AQ603" s="220">
        <f>AE603</f>
        <v/>
      </c>
      <c r="AR603" s="208">
        <f>AM603-AO603</f>
        <v/>
      </c>
      <c r="AS603" s="220">
        <f>AR603-AK603</f>
        <v/>
      </c>
      <c r="AT603" s="208">
        <f>AS603*1.075</f>
        <v/>
      </c>
      <c r="AU603" s="208">
        <f>AT603+AK603</f>
        <v/>
      </c>
      <c r="AV603" s="198" t="n">
        <v>131602.1995740657</v>
      </c>
      <c r="AW603" s="264" t="n">
        <v>150000</v>
      </c>
      <c r="AX603" s="220">
        <f>AV603-AU603</f>
        <v/>
      </c>
      <c r="AY603" s="35">
        <f>AX603/AR603</f>
        <v/>
      </c>
      <c r="AZ603" s="220">
        <f>AV603-AF603</f>
        <v/>
      </c>
      <c r="BA603" s="215">
        <f>AV603-SUM(Z603:AC603)</f>
        <v/>
      </c>
      <c r="BB603" s="215">
        <f>BA603-Y603</f>
        <v/>
      </c>
      <c r="BC603" s="35">
        <f>BB603/BA603</f>
        <v/>
      </c>
      <c r="BD603" s="35">
        <f>IFERROR(AZ603/AV603,)</f>
        <v/>
      </c>
      <c r="BE603" s="255">
        <f>AV603-SUM(Z603:AC603)</f>
        <v/>
      </c>
      <c r="BF603" s="255">
        <f>AV603-BE603-AC603-AB603</f>
        <v/>
      </c>
      <c r="BG603" s="255">
        <f>AV603-BE603-BF603-AB603</f>
        <v/>
      </c>
      <c r="BH603" s="255">
        <f>AB603</f>
        <v/>
      </c>
      <c r="BI603" s="263" t="inlineStr">
        <is>
          <t>Approved</t>
        </is>
      </c>
    </row>
    <row r="604">
      <c r="C604" s="23" t="inlineStr">
        <is>
          <t>YEKINI</t>
        </is>
      </c>
      <c r="D604">
        <f>CONCATENATE(G604,"-",H604,"-",F604)</f>
        <v/>
      </c>
      <c r="E604" s="24" t="inlineStr">
        <is>
          <t>JMG-8T-Hiabs Logistics-Local</t>
        </is>
      </c>
      <c r="F604" s="23" t="inlineStr">
        <is>
          <t>Local</t>
        </is>
      </c>
      <c r="G604" s="25" t="inlineStr">
        <is>
          <t>Hiabs Logistics</t>
        </is>
      </c>
      <c r="H604" s="24" t="inlineStr">
        <is>
          <t>8T</t>
        </is>
      </c>
      <c r="I604" s="73" t="inlineStr">
        <is>
          <t>JMG</t>
        </is>
      </c>
      <c r="J604" s="74" t="inlineStr">
        <is>
          <t>Lagos</t>
        </is>
      </c>
      <c r="K604" s="202" t="inlineStr">
        <is>
          <t>Alapere</t>
        </is>
      </c>
      <c r="L604" t="inlineStr">
        <is>
          <t>Lagos</t>
        </is>
      </c>
      <c r="N604" s="201">
        <f>O604/2</f>
        <v/>
      </c>
      <c r="O604" s="200" t="n">
        <v>20.6</v>
      </c>
      <c r="P604" s="220">
        <f>ROUNDUP(O604/300,)</f>
        <v/>
      </c>
      <c r="Q604" s="220" t="n">
        <v>0</v>
      </c>
      <c r="R604" s="220">
        <f>Q604+P604</f>
        <v/>
      </c>
      <c r="S604" s="198">
        <f>ROUNDDOWN(O604*0.51,)+60</f>
        <v/>
      </c>
      <c r="T604" s="207">
        <f>_xlfn.XLOOKUP(G604,[1]Fx!$A$4:$A$10,[1]Fx!$B$4:$B$10)</f>
        <v/>
      </c>
      <c r="U604" s="207">
        <f>_xlfn.XLOOKUP(G604,'[1]BP Setup'!$B$6:$B$72,'[1]BP Setup'!$Q$6:$Q$72)</f>
        <v/>
      </c>
      <c r="V604" s="207">
        <f>_xlfn.XLOOKUP(G604,'[1]BP Setup'!$B$6:$B$72,'[1]BP Setup'!$R$6:$R$72)</f>
        <v/>
      </c>
      <c r="W604" s="207">
        <f>$W$3</f>
        <v/>
      </c>
      <c r="X604" s="207" t="n">
        <v>80</v>
      </c>
      <c r="Y604" s="215">
        <f>T604*R604</f>
        <v/>
      </c>
      <c r="Z604" s="215">
        <f>U604*O604</f>
        <v/>
      </c>
      <c r="AA604" s="215">
        <f>V604*O604</f>
        <v/>
      </c>
      <c r="AB604" s="215">
        <f>W604*O604</f>
        <v/>
      </c>
      <c r="AC604" s="197">
        <f>X604*O604</f>
        <v/>
      </c>
      <c r="AD604" s="215" t="n">
        <v>25000</v>
      </c>
      <c r="AE604" s="215" t="n">
        <v>0</v>
      </c>
      <c r="AF604" s="207">
        <f>SUM(Y604:AE604)</f>
        <v/>
      </c>
      <c r="AG604" s="254">
        <f>_xlfn.XLOOKUP(G604,[1]Fx!$A$16:$A$22,[1]Fx!$B$16:$B$22)</f>
        <v/>
      </c>
      <c r="AH604" s="207">
        <f>AG604*R604</f>
        <v/>
      </c>
      <c r="AI604" s="207">
        <f>$AI$3*Z604</f>
        <v/>
      </c>
      <c r="AJ604" s="207">
        <f>$AJ$3*AA604</f>
        <v/>
      </c>
      <c r="AK604" s="207">
        <f>$AK$3*AB604</f>
        <v/>
      </c>
      <c r="AL604" s="207">
        <f>$AL$3*AC604</f>
        <v/>
      </c>
      <c r="AM604" s="220">
        <f>SUM(AH604:AL604)</f>
        <v/>
      </c>
      <c r="AN604" s="220" t="n">
        <v>0</v>
      </c>
      <c r="AO604" s="220">
        <f>AN604*AH604</f>
        <v/>
      </c>
      <c r="AP604" s="220" t="n">
        <v>0</v>
      </c>
      <c r="AQ604" s="220">
        <f>AE604</f>
        <v/>
      </c>
      <c r="AR604" s="208">
        <f>AM604-AO604</f>
        <v/>
      </c>
      <c r="AS604" s="220">
        <f>AR604-AK604</f>
        <v/>
      </c>
      <c r="AT604" s="208">
        <f>AS604*1.075</f>
        <v/>
      </c>
      <c r="AU604" s="208">
        <f>AT604+AK604</f>
        <v/>
      </c>
      <c r="AV604" s="198" t="n">
        <v>131602.1995740657</v>
      </c>
      <c r="AW604" s="264" t="n">
        <v>150000</v>
      </c>
      <c r="AX604" s="220">
        <f>AV604-AU604</f>
        <v/>
      </c>
      <c r="AY604" s="35">
        <f>AX604/AR604</f>
        <v/>
      </c>
      <c r="AZ604" s="220">
        <f>AV604-AF604</f>
        <v/>
      </c>
      <c r="BA604" s="215">
        <f>AV604-SUM(Z604:AC604)</f>
        <v/>
      </c>
      <c r="BB604" s="215">
        <f>BA604-Y604</f>
        <v/>
      </c>
      <c r="BC604" s="35">
        <f>BB604/BA604</f>
        <v/>
      </c>
      <c r="BD604" s="35">
        <f>IFERROR(AZ604/AV604,)</f>
        <v/>
      </c>
      <c r="BE604" s="255">
        <f>AV604-SUM(Z604:AC604)</f>
        <v/>
      </c>
      <c r="BF604" s="255">
        <f>AV604-BE604-AC604-AB604</f>
        <v/>
      </c>
      <c r="BG604" s="255">
        <f>AV604-BE604-BF604-AB604</f>
        <v/>
      </c>
      <c r="BH604" s="255">
        <f>AB604</f>
        <v/>
      </c>
      <c r="BI604" s="263" t="inlineStr">
        <is>
          <t>Approved</t>
        </is>
      </c>
    </row>
    <row r="605">
      <c r="C605" s="23" t="inlineStr">
        <is>
          <t>YEKINI</t>
        </is>
      </c>
      <c r="D605">
        <f>CONCATENATE(G605,"-",H605,"-",F605)</f>
        <v/>
      </c>
      <c r="E605" s="24" t="inlineStr">
        <is>
          <t>JMG-8T-Hiabs Logistics-Local</t>
        </is>
      </c>
      <c r="F605" s="23" t="inlineStr">
        <is>
          <t>Local</t>
        </is>
      </c>
      <c r="G605" s="25" t="inlineStr">
        <is>
          <t>Hiabs Logistics</t>
        </is>
      </c>
      <c r="H605" s="24" t="inlineStr">
        <is>
          <t>8T</t>
        </is>
      </c>
      <c r="I605" s="73" t="inlineStr">
        <is>
          <t>JMG</t>
        </is>
      </c>
      <c r="J605" s="74" t="inlineStr">
        <is>
          <t>Lagos</t>
        </is>
      </c>
      <c r="K605" s="202" t="inlineStr">
        <is>
          <t>Kodesoh</t>
        </is>
      </c>
      <c r="L605" t="inlineStr">
        <is>
          <t>Lagos</t>
        </is>
      </c>
      <c r="N605" s="201">
        <f>O605/2</f>
        <v/>
      </c>
      <c r="O605" s="200" t="n">
        <v>19.6</v>
      </c>
      <c r="P605" s="220">
        <f>ROUNDUP(O605/300,)</f>
        <v/>
      </c>
      <c r="Q605" s="220" t="n">
        <v>0</v>
      </c>
      <c r="R605" s="220">
        <f>Q605+P605</f>
        <v/>
      </c>
      <c r="S605" s="198">
        <f>ROUNDDOWN(O605*0.51,)+60</f>
        <v/>
      </c>
      <c r="T605" s="207">
        <f>_xlfn.XLOOKUP(G605,[1]Fx!$A$4:$A$10,[1]Fx!$B$4:$B$10)</f>
        <v/>
      </c>
      <c r="U605" s="207">
        <f>_xlfn.XLOOKUP(G605,'[1]BP Setup'!$B$6:$B$72,'[1]BP Setup'!$Q$6:$Q$72)</f>
        <v/>
      </c>
      <c r="V605" s="207">
        <f>_xlfn.XLOOKUP(G605,'[1]BP Setup'!$B$6:$B$72,'[1]BP Setup'!$R$6:$R$72)</f>
        <v/>
      </c>
      <c r="W605" s="207">
        <f>$W$3</f>
        <v/>
      </c>
      <c r="X605" s="207" t="n">
        <v>80</v>
      </c>
      <c r="Y605" s="215">
        <f>T605*R605</f>
        <v/>
      </c>
      <c r="Z605" s="215">
        <f>U605*O605</f>
        <v/>
      </c>
      <c r="AA605" s="215">
        <f>V605*O605</f>
        <v/>
      </c>
      <c r="AB605" s="215">
        <f>W605*O605</f>
        <v/>
      </c>
      <c r="AC605" s="197">
        <f>X605*O605</f>
        <v/>
      </c>
      <c r="AD605" s="215" t="n">
        <v>25000</v>
      </c>
      <c r="AE605" s="215" t="n">
        <v>0</v>
      </c>
      <c r="AF605" s="207">
        <f>SUM(Y605:AE605)</f>
        <v/>
      </c>
      <c r="AG605" s="254">
        <f>_xlfn.XLOOKUP(G605,[1]Fx!$A$16:$A$22,[1]Fx!$B$16:$B$22)</f>
        <v/>
      </c>
      <c r="AH605" s="207">
        <f>AG605*R605</f>
        <v/>
      </c>
      <c r="AI605" s="207">
        <f>$AI$3*Z605</f>
        <v/>
      </c>
      <c r="AJ605" s="207">
        <f>$AJ$3*AA605</f>
        <v/>
      </c>
      <c r="AK605" s="207">
        <f>$AK$3*AB605</f>
        <v/>
      </c>
      <c r="AL605" s="207">
        <f>$AL$3*AC605</f>
        <v/>
      </c>
      <c r="AM605" s="220">
        <f>SUM(AH605:AL605)</f>
        <v/>
      </c>
      <c r="AN605" s="220" t="n">
        <v>0</v>
      </c>
      <c r="AO605" s="220">
        <f>AN605*AH605</f>
        <v/>
      </c>
      <c r="AP605" s="220" t="n">
        <v>0</v>
      </c>
      <c r="AQ605" s="220">
        <f>AE605</f>
        <v/>
      </c>
      <c r="AR605" s="208">
        <f>AM605-AO605</f>
        <v/>
      </c>
      <c r="AS605" s="220">
        <f>AR605-AK605</f>
        <v/>
      </c>
      <c r="AT605" s="208">
        <f>AS605*1.075</f>
        <v/>
      </c>
      <c r="AU605" s="208">
        <f>AT605+AK605</f>
        <v/>
      </c>
      <c r="AV605" s="198" t="n">
        <v>131602.1995740657</v>
      </c>
      <c r="AW605" s="264" t="n">
        <v>150000</v>
      </c>
      <c r="AX605" s="220">
        <f>AV605-AU605</f>
        <v/>
      </c>
      <c r="AY605" s="35">
        <f>AX605/AR605</f>
        <v/>
      </c>
      <c r="AZ605" s="220">
        <f>AV605-AF605</f>
        <v/>
      </c>
      <c r="BA605" s="215">
        <f>AV605-SUM(Z605:AC605)</f>
        <v/>
      </c>
      <c r="BB605" s="215">
        <f>BA605-Y605</f>
        <v/>
      </c>
      <c r="BC605" s="35">
        <f>BB605/BA605</f>
        <v/>
      </c>
      <c r="BD605" s="35">
        <f>IFERROR(AZ605/AV605,)</f>
        <v/>
      </c>
      <c r="BE605" s="255">
        <f>AV605-SUM(Z605:AC605)</f>
        <v/>
      </c>
      <c r="BF605" s="255">
        <f>AV605-BE605-AC605-AB605</f>
        <v/>
      </c>
      <c r="BG605" s="255">
        <f>AV605-BE605-BF605-AB605</f>
        <v/>
      </c>
      <c r="BH605" s="255">
        <f>AB605</f>
        <v/>
      </c>
      <c r="BI605" s="263" t="inlineStr">
        <is>
          <t>Approved</t>
        </is>
      </c>
    </row>
    <row r="606">
      <c r="C606" s="23" t="inlineStr">
        <is>
          <t>YEKINI</t>
        </is>
      </c>
      <c r="D606">
        <f>CONCATENATE(G606,"-",H606,"-",F606)</f>
        <v/>
      </c>
      <c r="E606" s="24" t="inlineStr">
        <is>
          <t>JMG-8T-Hiabs Logistics-Local</t>
        </is>
      </c>
      <c r="F606" s="23" t="inlineStr">
        <is>
          <t>Local</t>
        </is>
      </c>
      <c r="G606" s="25" t="inlineStr">
        <is>
          <t>Hiabs Logistics</t>
        </is>
      </c>
      <c r="H606" s="24" t="inlineStr">
        <is>
          <t>8T</t>
        </is>
      </c>
      <c r="I606" s="73" t="inlineStr">
        <is>
          <t>JMG</t>
        </is>
      </c>
      <c r="J606" s="74" t="inlineStr">
        <is>
          <t>Lagos</t>
        </is>
      </c>
      <c r="K606" s="202" t="inlineStr">
        <is>
          <t>Yaba</t>
        </is>
      </c>
      <c r="L606" t="inlineStr">
        <is>
          <t>Lagos</t>
        </is>
      </c>
      <c r="N606" s="201">
        <f>O606/2</f>
        <v/>
      </c>
      <c r="O606" s="200" t="n">
        <v>19.2</v>
      </c>
      <c r="P606" s="220">
        <f>ROUNDUP(O606/300,)</f>
        <v/>
      </c>
      <c r="Q606" s="220" t="n">
        <v>0</v>
      </c>
      <c r="R606" s="220">
        <f>Q606+P606</f>
        <v/>
      </c>
      <c r="S606" s="198">
        <f>ROUNDDOWN(O606*0.51,)+60</f>
        <v/>
      </c>
      <c r="T606" s="207">
        <f>_xlfn.XLOOKUP(G606,[1]Fx!$A$4:$A$10,[1]Fx!$B$4:$B$10)</f>
        <v/>
      </c>
      <c r="U606" s="207">
        <f>_xlfn.XLOOKUP(G606,'[1]BP Setup'!$B$6:$B$72,'[1]BP Setup'!$Q$6:$Q$72)</f>
        <v/>
      </c>
      <c r="V606" s="207">
        <f>_xlfn.XLOOKUP(G606,'[1]BP Setup'!$B$6:$B$72,'[1]BP Setup'!$R$6:$R$72)</f>
        <v/>
      </c>
      <c r="W606" s="207">
        <f>$W$3</f>
        <v/>
      </c>
      <c r="X606" s="207" t="n">
        <v>80</v>
      </c>
      <c r="Y606" s="215">
        <f>T606*R606</f>
        <v/>
      </c>
      <c r="Z606" s="215">
        <f>U606*O606</f>
        <v/>
      </c>
      <c r="AA606" s="215">
        <f>V606*O606</f>
        <v/>
      </c>
      <c r="AB606" s="215">
        <f>W606*O606</f>
        <v/>
      </c>
      <c r="AC606" s="197">
        <f>X606*O606</f>
        <v/>
      </c>
      <c r="AD606" s="215" t="n">
        <v>25000</v>
      </c>
      <c r="AE606" s="215" t="n">
        <v>0</v>
      </c>
      <c r="AF606" s="207">
        <f>SUM(Y606:AE606)</f>
        <v/>
      </c>
      <c r="AG606" s="254">
        <f>_xlfn.XLOOKUP(G606,[1]Fx!$A$16:$A$22,[1]Fx!$B$16:$B$22)</f>
        <v/>
      </c>
      <c r="AH606" s="207">
        <f>AG606*R606</f>
        <v/>
      </c>
      <c r="AI606" s="207">
        <f>$AI$3*Z606</f>
        <v/>
      </c>
      <c r="AJ606" s="207">
        <f>$AJ$3*AA606</f>
        <v/>
      </c>
      <c r="AK606" s="207">
        <f>$AK$3*AB606</f>
        <v/>
      </c>
      <c r="AL606" s="207">
        <f>$AL$3*AC606</f>
        <v/>
      </c>
      <c r="AM606" s="220">
        <f>SUM(AH606:AL606)</f>
        <v/>
      </c>
      <c r="AN606" s="220" t="n">
        <v>0</v>
      </c>
      <c r="AO606" s="220">
        <f>AN606*AH606</f>
        <v/>
      </c>
      <c r="AP606" s="220" t="n">
        <v>0</v>
      </c>
      <c r="AQ606" s="220">
        <f>AE606</f>
        <v/>
      </c>
      <c r="AR606" s="208">
        <f>AM606-AO606</f>
        <v/>
      </c>
      <c r="AS606" s="220">
        <f>AR606-AK606</f>
        <v/>
      </c>
      <c r="AT606" s="208">
        <f>AS606*1.075</f>
        <v/>
      </c>
      <c r="AU606" s="208">
        <f>AT606+AK606</f>
        <v/>
      </c>
      <c r="AV606" s="198" t="n">
        <v>131602.1995740657</v>
      </c>
      <c r="AW606" s="264" t="n">
        <v>150000</v>
      </c>
      <c r="AX606" s="220">
        <f>AV606-AU606</f>
        <v/>
      </c>
      <c r="AY606" s="35">
        <f>AX606/AR606</f>
        <v/>
      </c>
      <c r="AZ606" s="220">
        <f>AV606-AF606</f>
        <v/>
      </c>
      <c r="BA606" s="215">
        <f>AV606-SUM(Z606:AC606)</f>
        <v/>
      </c>
      <c r="BB606" s="215">
        <f>BA606-Y606</f>
        <v/>
      </c>
      <c r="BC606" s="35">
        <f>BB606/BA606</f>
        <v/>
      </c>
      <c r="BD606" s="35">
        <f>IFERROR(AZ606/AV606,)</f>
        <v/>
      </c>
      <c r="BE606" s="255">
        <f>AV606-SUM(Z606:AC606)</f>
        <v/>
      </c>
      <c r="BF606" s="255">
        <f>AV606-BE606-AC606-AB606</f>
        <v/>
      </c>
      <c r="BG606" s="255">
        <f>AV606-BE606-BF606-AB606</f>
        <v/>
      </c>
      <c r="BH606" s="255">
        <f>AB606</f>
        <v/>
      </c>
      <c r="BI606" s="263" t="inlineStr">
        <is>
          <t>Approved</t>
        </is>
      </c>
    </row>
    <row r="607">
      <c r="C607" s="23" t="inlineStr">
        <is>
          <t>YEKINI</t>
        </is>
      </c>
      <c r="D607">
        <f>CONCATENATE(G607,"-",H607,"-",F607)</f>
        <v/>
      </c>
      <c r="E607" s="24" t="inlineStr">
        <is>
          <t>JMG-8T-Hiabs Logistics-Local</t>
        </is>
      </c>
      <c r="F607" s="23" t="inlineStr">
        <is>
          <t>Local</t>
        </is>
      </c>
      <c r="G607" s="25" t="inlineStr">
        <is>
          <t>Hiabs Logistics</t>
        </is>
      </c>
      <c r="H607" s="24" t="inlineStr">
        <is>
          <t>8T</t>
        </is>
      </c>
      <c r="I607" s="73" t="inlineStr">
        <is>
          <t>JMG</t>
        </is>
      </c>
      <c r="J607" s="74" t="inlineStr">
        <is>
          <t>Lagos</t>
        </is>
      </c>
      <c r="K607" s="202" t="inlineStr">
        <is>
          <t>Oshodi</t>
        </is>
      </c>
      <c r="L607" t="inlineStr">
        <is>
          <t>Lagos</t>
        </is>
      </c>
      <c r="N607" s="201">
        <f>O607/2</f>
        <v/>
      </c>
      <c r="O607" s="200" t="n">
        <v>18.6</v>
      </c>
      <c r="P607" s="220">
        <f>ROUNDUP(O607/300,)</f>
        <v/>
      </c>
      <c r="Q607" s="220" t="n">
        <v>0</v>
      </c>
      <c r="R607" s="220">
        <f>Q607+P607</f>
        <v/>
      </c>
      <c r="S607" s="198">
        <f>ROUNDDOWN(O607*0.51,)+60</f>
        <v/>
      </c>
      <c r="T607" s="207">
        <f>_xlfn.XLOOKUP(G607,[1]Fx!$A$4:$A$10,[1]Fx!$B$4:$B$10)</f>
        <v/>
      </c>
      <c r="U607" s="207">
        <f>_xlfn.XLOOKUP(G607,'[1]BP Setup'!$B$6:$B$72,'[1]BP Setup'!$Q$6:$Q$72)</f>
        <v/>
      </c>
      <c r="V607" s="207">
        <f>_xlfn.XLOOKUP(G607,'[1]BP Setup'!$B$6:$B$72,'[1]BP Setup'!$R$6:$R$72)</f>
        <v/>
      </c>
      <c r="W607" s="207">
        <f>$W$3</f>
        <v/>
      </c>
      <c r="X607" s="207" t="n">
        <v>80</v>
      </c>
      <c r="Y607" s="215">
        <f>T607*R607</f>
        <v/>
      </c>
      <c r="Z607" s="215">
        <f>U607*O607</f>
        <v/>
      </c>
      <c r="AA607" s="215">
        <f>V607*O607</f>
        <v/>
      </c>
      <c r="AB607" s="215">
        <f>W607*O607</f>
        <v/>
      </c>
      <c r="AC607" s="197">
        <f>X607*O607</f>
        <v/>
      </c>
      <c r="AD607" s="215" t="n">
        <v>25000</v>
      </c>
      <c r="AE607" s="215" t="n">
        <v>0</v>
      </c>
      <c r="AF607" s="207">
        <f>SUM(Y607:AE607)</f>
        <v/>
      </c>
      <c r="AG607" s="254">
        <f>_xlfn.XLOOKUP(G607,[1]Fx!$A$16:$A$22,[1]Fx!$B$16:$B$22)</f>
        <v/>
      </c>
      <c r="AH607" s="207">
        <f>AG607*R607</f>
        <v/>
      </c>
      <c r="AI607" s="207">
        <f>$AI$3*Z607</f>
        <v/>
      </c>
      <c r="AJ607" s="207">
        <f>$AJ$3*AA607</f>
        <v/>
      </c>
      <c r="AK607" s="207">
        <f>$AK$3*AB607</f>
        <v/>
      </c>
      <c r="AL607" s="207">
        <f>$AL$3*AC607</f>
        <v/>
      </c>
      <c r="AM607" s="220">
        <f>SUM(AH607:AL607)</f>
        <v/>
      </c>
      <c r="AN607" s="220" t="n">
        <v>0</v>
      </c>
      <c r="AO607" s="220">
        <f>AN607*AH607</f>
        <v/>
      </c>
      <c r="AP607" s="220" t="n">
        <v>0</v>
      </c>
      <c r="AQ607" s="220">
        <f>AE607</f>
        <v/>
      </c>
      <c r="AR607" s="208">
        <f>AM607-AO607</f>
        <v/>
      </c>
      <c r="AS607" s="220">
        <f>AR607-AK607</f>
        <v/>
      </c>
      <c r="AT607" s="208">
        <f>AS607*1.075</f>
        <v/>
      </c>
      <c r="AU607" s="208">
        <f>AT607+AK607</f>
        <v/>
      </c>
      <c r="AV607" s="198" t="n">
        <v>131602.1995740657</v>
      </c>
      <c r="AW607" s="264" t="n">
        <v>150000</v>
      </c>
      <c r="AX607" s="220">
        <f>AV607-AU607</f>
        <v/>
      </c>
      <c r="AY607" s="35">
        <f>AX607/AR607</f>
        <v/>
      </c>
      <c r="AZ607" s="220">
        <f>AV607-AF607</f>
        <v/>
      </c>
      <c r="BA607" s="215">
        <f>AV607-SUM(Z607:AC607)</f>
        <v/>
      </c>
      <c r="BB607" s="215">
        <f>BA607-Y607</f>
        <v/>
      </c>
      <c r="BC607" s="35">
        <f>BB607/BA607</f>
        <v/>
      </c>
      <c r="BD607" s="35">
        <f>IFERROR(AZ607/AV607,)</f>
        <v/>
      </c>
      <c r="BE607" s="255">
        <f>AV607-SUM(Z607:AC607)</f>
        <v/>
      </c>
      <c r="BF607" s="255">
        <f>AV607-BE607-AC607-AB607</f>
        <v/>
      </c>
      <c r="BG607" s="255">
        <f>AV607-BE607-BF607-AB607</f>
        <v/>
      </c>
      <c r="BH607" s="255">
        <f>AB607</f>
        <v/>
      </c>
      <c r="BI607" s="263" t="inlineStr">
        <is>
          <t>Approved</t>
        </is>
      </c>
    </row>
    <row r="608">
      <c r="C608" s="23" t="inlineStr">
        <is>
          <t>YEKINI</t>
        </is>
      </c>
      <c r="D608">
        <f>CONCATENATE(G608,"-",H608,"-",F608)</f>
        <v/>
      </c>
      <c r="E608" s="24" t="inlineStr">
        <is>
          <t>JMG-8T-Hiabs Logistics-Local</t>
        </is>
      </c>
      <c r="F608" s="23" t="inlineStr">
        <is>
          <t>Local</t>
        </is>
      </c>
      <c r="G608" s="25" t="inlineStr">
        <is>
          <t>Hiabs Logistics</t>
        </is>
      </c>
      <c r="H608" s="24" t="inlineStr">
        <is>
          <t>8T</t>
        </is>
      </c>
      <c r="I608" s="73" t="inlineStr">
        <is>
          <t>JMG</t>
        </is>
      </c>
      <c r="J608" s="74" t="inlineStr">
        <is>
          <t>Lagos</t>
        </is>
      </c>
      <c r="K608" s="202" t="inlineStr">
        <is>
          <t>Matori</t>
        </is>
      </c>
      <c r="L608" t="inlineStr">
        <is>
          <t>Lagos</t>
        </is>
      </c>
      <c r="N608" s="201">
        <f>O608/2</f>
        <v/>
      </c>
      <c r="O608" s="200" t="n">
        <v>16.3</v>
      </c>
      <c r="P608" s="220">
        <f>ROUNDUP(O608/300,)</f>
        <v/>
      </c>
      <c r="Q608" s="220" t="n">
        <v>0</v>
      </c>
      <c r="R608" s="220">
        <f>Q608+P608</f>
        <v/>
      </c>
      <c r="S608" s="198">
        <f>ROUNDDOWN(O608*0.51,)+60</f>
        <v/>
      </c>
      <c r="T608" s="207">
        <f>_xlfn.XLOOKUP(G608,[1]Fx!$A$4:$A$10,[1]Fx!$B$4:$B$10)</f>
        <v/>
      </c>
      <c r="U608" s="207">
        <f>_xlfn.XLOOKUP(G608,'[1]BP Setup'!$B$6:$B$72,'[1]BP Setup'!$Q$6:$Q$72)</f>
        <v/>
      </c>
      <c r="V608" s="207">
        <f>_xlfn.XLOOKUP(G608,'[1]BP Setup'!$B$6:$B$72,'[1]BP Setup'!$R$6:$R$72)</f>
        <v/>
      </c>
      <c r="W608" s="207">
        <f>$W$3</f>
        <v/>
      </c>
      <c r="X608" s="207" t="n">
        <v>80</v>
      </c>
      <c r="Y608" s="215">
        <f>T608*R608</f>
        <v/>
      </c>
      <c r="Z608" s="215">
        <f>U608*O608</f>
        <v/>
      </c>
      <c r="AA608" s="215">
        <f>V608*O608</f>
        <v/>
      </c>
      <c r="AB608" s="215">
        <f>W608*O608</f>
        <v/>
      </c>
      <c r="AC608" s="197">
        <f>X608*O608</f>
        <v/>
      </c>
      <c r="AD608" s="215" t="n">
        <v>25000</v>
      </c>
      <c r="AE608" s="215" t="n">
        <v>0</v>
      </c>
      <c r="AF608" s="207">
        <f>SUM(Y608:AE608)</f>
        <v/>
      </c>
      <c r="AG608" s="254">
        <f>_xlfn.XLOOKUP(G608,[1]Fx!$A$16:$A$22,[1]Fx!$B$16:$B$22)</f>
        <v/>
      </c>
      <c r="AH608" s="207">
        <f>AG608*R608</f>
        <v/>
      </c>
      <c r="AI608" s="207">
        <f>$AI$3*Z608</f>
        <v/>
      </c>
      <c r="AJ608" s="207">
        <f>$AJ$3*AA608</f>
        <v/>
      </c>
      <c r="AK608" s="207">
        <f>$AK$3*AB608</f>
        <v/>
      </c>
      <c r="AL608" s="207">
        <f>$AL$3*AC608</f>
        <v/>
      </c>
      <c r="AM608" s="220">
        <f>SUM(AH608:AL608)</f>
        <v/>
      </c>
      <c r="AN608" s="220" t="n">
        <v>0</v>
      </c>
      <c r="AO608" s="220">
        <f>AN608*AH608</f>
        <v/>
      </c>
      <c r="AP608" s="220" t="n">
        <v>0</v>
      </c>
      <c r="AQ608" s="220">
        <f>AE608</f>
        <v/>
      </c>
      <c r="AR608" s="208">
        <f>AM608-AO608</f>
        <v/>
      </c>
      <c r="AS608" s="220">
        <f>AR608-AK608</f>
        <v/>
      </c>
      <c r="AT608" s="208">
        <f>AS608*1.075</f>
        <v/>
      </c>
      <c r="AU608" s="208">
        <f>AT608+AK608</f>
        <v/>
      </c>
      <c r="AV608" s="198" t="n">
        <v>131602.1995740657</v>
      </c>
      <c r="AW608" s="264" t="n">
        <v>150000</v>
      </c>
      <c r="AX608" s="220">
        <f>AV608-AU608</f>
        <v/>
      </c>
      <c r="AY608" s="35">
        <f>AX608/AR608</f>
        <v/>
      </c>
      <c r="AZ608" s="220">
        <f>AV608-AF608</f>
        <v/>
      </c>
      <c r="BA608" s="215">
        <f>AV608-SUM(Z608:AC608)</f>
        <v/>
      </c>
      <c r="BB608" s="215">
        <f>BA608-Y608</f>
        <v/>
      </c>
      <c r="BC608" s="35">
        <f>BB608/BA608</f>
        <v/>
      </c>
      <c r="BD608" s="35">
        <f>IFERROR(AZ608/AV608,)</f>
        <v/>
      </c>
      <c r="BE608" s="255">
        <f>AV608-SUM(Z608:AC608)</f>
        <v/>
      </c>
      <c r="BF608" s="255">
        <f>AV608-BE608-AC608-AB608</f>
        <v/>
      </c>
      <c r="BG608" s="255">
        <f>AV608-BE608-BF608-AB608</f>
        <v/>
      </c>
      <c r="BH608" s="255">
        <f>AB608</f>
        <v/>
      </c>
      <c r="BI608" s="263" t="inlineStr">
        <is>
          <t>Approved</t>
        </is>
      </c>
    </row>
    <row r="609">
      <c r="C609" s="23" t="inlineStr">
        <is>
          <t>YEKINI</t>
        </is>
      </c>
      <c r="D609">
        <f>CONCATENATE(G609,"-",H609,"-",F609)</f>
        <v/>
      </c>
      <c r="E609" s="24" t="inlineStr">
        <is>
          <t>JMG-8T-Hiabs Logistics-Local</t>
        </is>
      </c>
      <c r="F609" s="23" t="inlineStr">
        <is>
          <t>Local</t>
        </is>
      </c>
      <c r="G609" s="25" t="inlineStr">
        <is>
          <t>Hiabs Logistics</t>
        </is>
      </c>
      <c r="H609" s="24" t="inlineStr">
        <is>
          <t>8T</t>
        </is>
      </c>
      <c r="I609" s="73" t="inlineStr">
        <is>
          <t>JMG</t>
        </is>
      </c>
      <c r="J609" s="74" t="inlineStr">
        <is>
          <t>Lagos</t>
        </is>
      </c>
      <c r="K609" s="202" t="inlineStr">
        <is>
          <t>Bariga</t>
        </is>
      </c>
      <c r="L609" t="inlineStr">
        <is>
          <t>Lagos</t>
        </is>
      </c>
      <c r="N609" s="201">
        <f>O609/2</f>
        <v/>
      </c>
      <c r="O609" s="200" t="n">
        <v>11.5</v>
      </c>
      <c r="P609" s="220">
        <f>ROUNDUP(O609/300,)</f>
        <v/>
      </c>
      <c r="Q609" s="220" t="n">
        <v>0</v>
      </c>
      <c r="R609" s="220">
        <f>Q609+P609</f>
        <v/>
      </c>
      <c r="S609" s="198">
        <f>ROUNDDOWN(O609*0.51,)+60</f>
        <v/>
      </c>
      <c r="T609" s="207">
        <f>_xlfn.XLOOKUP(G609,[1]Fx!$A$4:$A$10,[1]Fx!$B$4:$B$10)</f>
        <v/>
      </c>
      <c r="U609" s="207">
        <f>_xlfn.XLOOKUP(G609,'[1]BP Setup'!$B$6:$B$72,'[1]BP Setup'!$Q$6:$Q$72)</f>
        <v/>
      </c>
      <c r="V609" s="207">
        <f>_xlfn.XLOOKUP(G609,'[1]BP Setup'!$B$6:$B$72,'[1]BP Setup'!$R$6:$R$72)</f>
        <v/>
      </c>
      <c r="W609" s="207">
        <f>$W$3</f>
        <v/>
      </c>
      <c r="X609" s="207" t="n">
        <v>80</v>
      </c>
      <c r="Y609" s="215">
        <f>T609*R609</f>
        <v/>
      </c>
      <c r="Z609" s="215">
        <f>U609*O609</f>
        <v/>
      </c>
      <c r="AA609" s="215">
        <f>V609*O609</f>
        <v/>
      </c>
      <c r="AB609" s="215">
        <f>W609*O609</f>
        <v/>
      </c>
      <c r="AC609" s="197">
        <f>X609*O609</f>
        <v/>
      </c>
      <c r="AD609" s="215" t="n">
        <v>25000</v>
      </c>
      <c r="AE609" s="215" t="n">
        <v>0</v>
      </c>
      <c r="AF609" s="207">
        <f>SUM(Y609:AE609)</f>
        <v/>
      </c>
      <c r="AG609" s="254">
        <f>_xlfn.XLOOKUP(G609,[1]Fx!$A$16:$A$22,[1]Fx!$B$16:$B$22)</f>
        <v/>
      </c>
      <c r="AH609" s="207">
        <f>AG609*R609</f>
        <v/>
      </c>
      <c r="AI609" s="207">
        <f>$AI$3*Z609</f>
        <v/>
      </c>
      <c r="AJ609" s="207">
        <f>$AJ$3*AA609</f>
        <v/>
      </c>
      <c r="AK609" s="207">
        <f>$AK$3*AB609</f>
        <v/>
      </c>
      <c r="AL609" s="207">
        <f>$AL$3*AC609</f>
        <v/>
      </c>
      <c r="AM609" s="220">
        <f>SUM(AH609:AL609)</f>
        <v/>
      </c>
      <c r="AN609" s="220" t="n">
        <v>0</v>
      </c>
      <c r="AO609" s="220">
        <f>AN609*AH609</f>
        <v/>
      </c>
      <c r="AP609" s="220" t="n">
        <v>0</v>
      </c>
      <c r="AQ609" s="220">
        <f>AE609</f>
        <v/>
      </c>
      <c r="AR609" s="208">
        <f>AM609-AO609</f>
        <v/>
      </c>
      <c r="AS609" s="220">
        <f>AR609-AK609</f>
        <v/>
      </c>
      <c r="AT609" s="208">
        <f>AS609*1.075</f>
        <v/>
      </c>
      <c r="AU609" s="208">
        <f>AT609+AK609</f>
        <v/>
      </c>
      <c r="AV609" s="198" t="n">
        <v>131602.1995740657</v>
      </c>
      <c r="AW609" s="264" t="n">
        <v>150000</v>
      </c>
      <c r="AX609" s="220">
        <f>AV609-AU609</f>
        <v/>
      </c>
      <c r="AY609" s="35">
        <f>AX609/AR609</f>
        <v/>
      </c>
      <c r="AZ609" s="220">
        <f>AV609-AF609</f>
        <v/>
      </c>
      <c r="BA609" s="215">
        <f>AV609-SUM(Z609:AC609)</f>
        <v/>
      </c>
      <c r="BB609" s="215">
        <f>BA609-Y609</f>
        <v/>
      </c>
      <c r="BC609" s="35">
        <f>BB609/BA609</f>
        <v/>
      </c>
      <c r="BD609" s="35">
        <f>IFERROR(AZ609/AV609,)</f>
        <v/>
      </c>
      <c r="BE609" s="255">
        <f>AV609-SUM(Z609:AC609)</f>
        <v/>
      </c>
      <c r="BF609" s="255">
        <f>AV609-BE609-AC609-AB609</f>
        <v/>
      </c>
      <c r="BG609" s="255">
        <f>AV609-BE609-BF609-AB609</f>
        <v/>
      </c>
      <c r="BH609" s="255">
        <f>AB609</f>
        <v/>
      </c>
      <c r="BI609" s="263" t="inlineStr">
        <is>
          <t>Approved</t>
        </is>
      </c>
    </row>
  </sheetData>
  <autoFilter ref="A7:BO212"/>
  <conditionalFormatting sqref="K257:K259">
    <cfRule type="duplicateValues" priority="14" dxfId="0"/>
  </conditionalFormatting>
  <conditionalFormatting sqref="K260:K265">
    <cfRule type="duplicateValues" priority="17" dxfId="0"/>
  </conditionalFormatting>
  <conditionalFormatting sqref="K310:K312">
    <cfRule type="duplicateValues" priority="10" dxfId="0"/>
  </conditionalFormatting>
  <conditionalFormatting sqref="K313:K318">
    <cfRule type="duplicateValues" priority="13" dxfId="0"/>
  </conditionalFormatting>
  <conditionalFormatting sqref="K319:K376 K378:K394">
    <cfRule type="duplicateValues" priority="7" dxfId="0"/>
  </conditionalFormatting>
  <conditionalFormatting sqref="K395">
    <cfRule type="duplicateValues" priority="5" dxfId="0"/>
  </conditionalFormatting>
  <conditionalFormatting sqref="K396">
    <cfRule type="duplicateValues" priority="4" dxfId="0"/>
  </conditionalFormatting>
  <conditionalFormatting sqref="K397:K434">
    <cfRule type="duplicateValues" priority="6" dxfId="0"/>
  </conditionalFormatting>
  <conditionalFormatting sqref="K435:K477">
    <cfRule type="duplicateValues" priority="3" dxfId="0"/>
  </conditionalFormatting>
  <conditionalFormatting sqref="K463:K476">
    <cfRule type="duplicateValues" priority="2" dxfId="0"/>
  </conditionalFormatting>
  <conditionalFormatting sqref="BC8:BC609">
    <cfRule type="cellIs" priority="1" operator="lessThan" dxfId="0">
      <formula>0</formula>
    </cfRule>
  </conditionalFormatting>
  <conditionalFormatting sqref="BG235:BG245">
    <cfRule type="cellIs" priority="16" operator="lessThan" dxfId="0">
      <formula>0</formula>
    </cfRule>
  </conditionalFormatting>
  <conditionalFormatting sqref="BG288:BG298">
    <cfRule type="cellIs" priority="12" operator="lessThan" dxfId="0">
      <formula>0</formula>
    </cfRule>
  </conditionalFormatting>
  <conditionalFormatting sqref="BG363:BG373">
    <cfRule type="cellIs" priority="9" operator="lessThan" dxfId="0">
      <formula>0</formula>
    </cfRule>
  </conditionalFormatting>
  <conditionalFormatting sqref="BG434">
    <cfRule type="cellIs" priority="8" operator="lessThan" dxfId="0">
      <formula>0</formula>
    </cfRule>
  </conditionalFormatting>
  <dataValidations count="1">
    <dataValidation sqref="G319:G609" showDropDown="0" showInputMessage="1" showErrorMessage="1" allowBlank="1" type="list">
      <formula1>Division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8" customWidth="1" min="3" max="3"/>
    <col width="12" customWidth="1" min="4" max="4"/>
    <col width="10" customWidth="1" min="5" max="5"/>
    <col width="7" customWidth="1" min="6" max="6"/>
    <col width="34" customWidth="1" min="7" max="7"/>
    <col width="80" customWidth="1" min="8" max="8"/>
  </cols>
  <sheetData>
    <row r="1">
      <c r="A1" s="272" t="inlineStr">
        <is>
          <t>Field</t>
        </is>
      </c>
      <c r="B1" s="272" t="inlineStr">
        <is>
          <t>Original Name</t>
        </is>
      </c>
      <c r="C1" s="272" t="inlineStr">
        <is>
          <t>Standardised Name</t>
        </is>
      </c>
      <c r="D1" s="272" t="inlineStr">
        <is>
          <t>State</t>
        </is>
      </c>
      <c r="E1" s="272" t="inlineStr">
        <is>
          <t>Changed?</t>
        </is>
      </c>
      <c r="F1" s="272" t="inlineStr">
        <is>
          <t>Rows</t>
        </is>
      </c>
      <c r="G1" s="272" t="inlineStr">
        <is>
          <t>Sheet(s)</t>
        </is>
      </c>
      <c r="H1" s="272" t="inlineStr">
        <is>
          <t>Note</t>
        </is>
      </c>
    </row>
    <row r="2">
      <c r="A2" t="inlineStr">
        <is>
          <t>Destination</t>
        </is>
      </c>
      <c r="B2" t="inlineStr">
        <is>
          <t>ABA</t>
        </is>
      </c>
      <c r="C2" t="inlineStr">
        <is>
          <t>Aba</t>
        </is>
      </c>
      <c r="D2" t="inlineStr">
        <is>
          <t>Abia</t>
        </is>
      </c>
      <c r="E2" t="inlineStr">
        <is>
          <t>Yes</t>
        </is>
      </c>
      <c r="F2" t="n">
        <v>5</v>
      </c>
      <c r="G2" t="inlineStr">
        <is>
          <t>Client Route And Contracts, NEW-DSL JMR</t>
        </is>
      </c>
      <c r="H2" t="inlineStr"/>
    </row>
    <row r="3">
      <c r="A3" t="inlineStr">
        <is>
          <t>Destination</t>
        </is>
      </c>
      <c r="B3" t="inlineStr">
        <is>
          <t xml:space="preserve">ABA </t>
        </is>
      </c>
      <c r="C3" t="inlineStr">
        <is>
          <t>Aba</t>
        </is>
      </c>
      <c r="D3" t="inlineStr">
        <is>
          <t>Abia</t>
        </is>
      </c>
      <c r="E3" t="inlineStr">
        <is>
          <t>Yes</t>
        </is>
      </c>
      <c r="F3" t="n">
        <v>1</v>
      </c>
      <c r="G3" t="inlineStr">
        <is>
          <t>Client Route And Contracts</t>
        </is>
      </c>
      <c r="H3" t="inlineStr"/>
    </row>
    <row r="4">
      <c r="A4" t="inlineStr">
        <is>
          <t>Destination</t>
        </is>
      </c>
      <c r="B4" t="inlineStr">
        <is>
          <t>Aba</t>
        </is>
      </c>
      <c r="C4" t="inlineStr">
        <is>
          <t>Aba</t>
        </is>
      </c>
      <c r="D4" t="inlineStr">
        <is>
          <t>Abia</t>
        </is>
      </c>
      <c r="E4" t="inlineStr">
        <is>
          <t>No</t>
        </is>
      </c>
      <c r="F4" t="n">
        <v>10</v>
      </c>
      <c r="G4" t="inlineStr">
        <is>
          <t>Client Route And Contracts, NEW-DSL JMR</t>
        </is>
      </c>
      <c r="H4" t="inlineStr"/>
    </row>
    <row r="5">
      <c r="A5" t="inlineStr">
        <is>
          <t>Destination</t>
        </is>
      </c>
      <c r="B5" t="inlineStr">
        <is>
          <t>ABAJI</t>
        </is>
      </c>
      <c r="C5" t="inlineStr">
        <is>
          <t>Abaji</t>
        </is>
      </c>
      <c r="D5" t="inlineStr">
        <is>
          <t>FCT</t>
        </is>
      </c>
      <c r="E5" t="inlineStr">
        <is>
          <t>Yes</t>
        </is>
      </c>
      <c r="F5" t="n">
        <v>2</v>
      </c>
      <c r="G5" t="inlineStr">
        <is>
          <t>Client Route And Contracts</t>
        </is>
      </c>
      <c r="H5" t="inlineStr"/>
    </row>
    <row r="6">
      <c r="A6" t="inlineStr">
        <is>
          <t>Destination</t>
        </is>
      </c>
      <c r="B6" t="inlineStr">
        <is>
          <t>Abak</t>
        </is>
      </c>
      <c r="C6" t="inlineStr">
        <is>
          <t>Abak</t>
        </is>
      </c>
      <c r="D6" t="inlineStr">
        <is>
          <t>Akwa Ibom</t>
        </is>
      </c>
      <c r="E6" t="inlineStr">
        <is>
          <t>No</t>
        </is>
      </c>
      <c r="F6" t="n">
        <v>4</v>
      </c>
      <c r="G6" t="inlineStr">
        <is>
          <t>Client Route And Contracts, NEW-DSL JMR</t>
        </is>
      </c>
      <c r="H6" t="inlineStr"/>
    </row>
    <row r="7">
      <c r="A7" t="inlineStr">
        <is>
          <t>Destination</t>
        </is>
      </c>
      <c r="B7" t="inlineStr">
        <is>
          <t>ABAKALIKI</t>
        </is>
      </c>
      <c r="C7" t="inlineStr">
        <is>
          <t>Abakaliki</t>
        </is>
      </c>
      <c r="D7" t="inlineStr">
        <is>
          <t>Ebonyi</t>
        </is>
      </c>
      <c r="E7" t="inlineStr">
        <is>
          <t>Yes</t>
        </is>
      </c>
      <c r="F7" t="n">
        <v>2</v>
      </c>
      <c r="G7" t="inlineStr">
        <is>
          <t>Client Route And Contracts, NEW-DSL JMR</t>
        </is>
      </c>
      <c r="H7" t="inlineStr"/>
    </row>
    <row r="8">
      <c r="A8" t="inlineStr">
        <is>
          <t>Destination</t>
        </is>
      </c>
      <c r="B8" t="inlineStr">
        <is>
          <t>Abakalike</t>
        </is>
      </c>
      <c r="C8" t="inlineStr">
        <is>
          <t>Abakaliki</t>
        </is>
      </c>
      <c r="D8" t="inlineStr">
        <is>
          <t>Ebonyi</t>
        </is>
      </c>
      <c r="E8" t="inlineStr">
        <is>
          <t>Yes</t>
        </is>
      </c>
      <c r="F8" t="n">
        <v>6</v>
      </c>
      <c r="G8" t="inlineStr">
        <is>
          <t>Client Route And Contracts, NEW-DSL JMR</t>
        </is>
      </c>
      <c r="H8" t="inlineStr"/>
    </row>
    <row r="9">
      <c r="A9" t="inlineStr">
        <is>
          <t>Destination</t>
        </is>
      </c>
      <c r="B9" t="inlineStr">
        <is>
          <t>Abakaliki</t>
        </is>
      </c>
      <c r="C9" t="inlineStr">
        <is>
          <t>Abakaliki</t>
        </is>
      </c>
      <c r="D9" t="inlineStr">
        <is>
          <t>Ebonyi</t>
        </is>
      </c>
      <c r="E9" t="inlineStr">
        <is>
          <t>No</t>
        </is>
      </c>
      <c r="F9" t="n">
        <v>2</v>
      </c>
      <c r="G9" t="inlineStr">
        <is>
          <t>Client Route And Contracts</t>
        </is>
      </c>
      <c r="H9" t="inlineStr"/>
    </row>
    <row r="10">
      <c r="A10" t="inlineStr">
        <is>
          <t>Destination</t>
        </is>
      </c>
      <c r="B10" t="inlineStr">
        <is>
          <t>ABEOKUTA</t>
        </is>
      </c>
      <c r="C10" t="inlineStr">
        <is>
          <t>Abeokuta</t>
        </is>
      </c>
      <c r="D10" t="inlineStr">
        <is>
          <t>Ogun</t>
        </is>
      </c>
      <c r="E10" t="inlineStr">
        <is>
          <t>Yes</t>
        </is>
      </c>
      <c r="F10" t="n">
        <v>6</v>
      </c>
      <c r="G10" t="inlineStr">
        <is>
          <t>Client Route And Contracts, NEW-DSL JMR</t>
        </is>
      </c>
      <c r="H10" t="inlineStr"/>
    </row>
    <row r="11">
      <c r="A11" t="inlineStr">
        <is>
          <t>Destination</t>
        </is>
      </c>
      <c r="B11" t="inlineStr">
        <is>
          <t xml:space="preserve">Abekeuta </t>
        </is>
      </c>
      <c r="C11" t="inlineStr">
        <is>
          <t>Abeokuta</t>
        </is>
      </c>
      <c r="D11" t="inlineStr">
        <is>
          <t>Ogun</t>
        </is>
      </c>
      <c r="E11" t="inlineStr">
        <is>
          <t>Yes</t>
        </is>
      </c>
      <c r="F11" t="n">
        <v>6</v>
      </c>
      <c r="G11" t="inlineStr">
        <is>
          <t>Client Route And Contracts, NEW-DSL JMR</t>
        </is>
      </c>
      <c r="H11" t="inlineStr"/>
    </row>
    <row r="12">
      <c r="A12" t="inlineStr">
        <is>
          <t>Destination</t>
        </is>
      </c>
      <c r="B12" t="inlineStr">
        <is>
          <t>Abeokuta</t>
        </is>
      </c>
      <c r="C12" t="inlineStr">
        <is>
          <t>Abeokuta</t>
        </is>
      </c>
      <c r="D12" t="inlineStr">
        <is>
          <t>Ogun</t>
        </is>
      </c>
      <c r="E12" t="inlineStr">
        <is>
          <t>No</t>
        </is>
      </c>
      <c r="F12" t="n">
        <v>1</v>
      </c>
      <c r="G12" t="inlineStr">
        <is>
          <t>Client Route And Contracts</t>
        </is>
      </c>
      <c r="H12" t="inlineStr"/>
    </row>
    <row r="13">
      <c r="A13" t="inlineStr">
        <is>
          <t>Destination</t>
        </is>
      </c>
      <c r="B13" t="inlineStr">
        <is>
          <t>OGUN-ABEOKUTA</t>
        </is>
      </c>
      <c r="C13" t="inlineStr">
        <is>
          <t>Abeokuta</t>
        </is>
      </c>
      <c r="D13" t="inlineStr">
        <is>
          <t>Ogun</t>
        </is>
      </c>
      <c r="E13" t="inlineStr">
        <is>
          <t>Yes</t>
        </is>
      </c>
      <c r="F13" t="n">
        <v>3</v>
      </c>
      <c r="G13" t="inlineStr">
        <is>
          <t>Client Route And Contracts</t>
        </is>
      </c>
      <c r="H13" t="inlineStr"/>
    </row>
    <row r="14">
      <c r="A14" t="inlineStr">
        <is>
          <t>Destination</t>
        </is>
      </c>
      <c r="B14" t="inlineStr">
        <is>
          <t>Ogun-Abekouta</t>
        </is>
      </c>
      <c r="C14" t="inlineStr">
        <is>
          <t>Abeokuta</t>
        </is>
      </c>
      <c r="D14" t="inlineStr">
        <is>
          <t>Ogun</t>
        </is>
      </c>
      <c r="E14" t="inlineStr">
        <is>
          <t>Yes</t>
        </is>
      </c>
      <c r="F14" t="n">
        <v>4</v>
      </c>
      <c r="G14" t="inlineStr">
        <is>
          <t>NEW-DSL JMR</t>
        </is>
      </c>
      <c r="H14" t="inlineStr"/>
    </row>
    <row r="15">
      <c r="A15" t="inlineStr">
        <is>
          <t>Destination</t>
        </is>
      </c>
      <c r="B15" t="inlineStr">
        <is>
          <t>ABRAKA</t>
        </is>
      </c>
      <c r="C15" t="inlineStr">
        <is>
          <t>Abraka</t>
        </is>
      </c>
      <c r="D15" t="inlineStr">
        <is>
          <t>Delta</t>
        </is>
      </c>
      <c r="E15" t="inlineStr">
        <is>
          <t>Yes</t>
        </is>
      </c>
      <c r="F15" t="n">
        <v>2</v>
      </c>
      <c r="G15" t="inlineStr">
        <is>
          <t>Client Route And Contracts, NEW-DSL JMR</t>
        </is>
      </c>
      <c r="H15" t="inlineStr"/>
    </row>
    <row r="16">
      <c r="A16" t="inlineStr">
        <is>
          <t>Destination</t>
        </is>
      </c>
      <c r="B16" t="inlineStr">
        <is>
          <t>ABUA</t>
        </is>
      </c>
      <c r="C16" t="inlineStr">
        <is>
          <t>Abua</t>
        </is>
      </c>
      <c r="D16" t="inlineStr">
        <is>
          <t>Rivers</t>
        </is>
      </c>
      <c r="E16" t="inlineStr">
        <is>
          <t>Yes</t>
        </is>
      </c>
      <c r="F16" t="n">
        <v>2</v>
      </c>
      <c r="G16" t="inlineStr">
        <is>
          <t>Client Route And Contracts, NEW-DSL JMR</t>
        </is>
      </c>
      <c r="H16" t="inlineStr"/>
    </row>
    <row r="17">
      <c r="A17" t="inlineStr">
        <is>
          <t>Destination</t>
        </is>
      </c>
      <c r="B17" t="inlineStr">
        <is>
          <t>ABUJA</t>
        </is>
      </c>
      <c r="C17" t="inlineStr">
        <is>
          <t>Abuja</t>
        </is>
      </c>
      <c r="D17" t="inlineStr">
        <is>
          <t>FCT</t>
        </is>
      </c>
      <c r="E17" t="inlineStr">
        <is>
          <t>Yes</t>
        </is>
      </c>
      <c r="F17" t="n">
        <v>3</v>
      </c>
      <c r="G17" t="inlineStr">
        <is>
          <t>Client Route And Contracts</t>
        </is>
      </c>
      <c r="H17" t="inlineStr"/>
    </row>
    <row r="18">
      <c r="A18" t="inlineStr">
        <is>
          <t>Destination</t>
        </is>
      </c>
      <c r="B18" t="inlineStr">
        <is>
          <t>Abuja</t>
        </is>
      </c>
      <c r="C18" t="inlineStr">
        <is>
          <t>Abuja</t>
        </is>
      </c>
      <c r="D18" t="inlineStr">
        <is>
          <t>FCT</t>
        </is>
      </c>
      <c r="E18" t="inlineStr">
        <is>
          <t>No</t>
        </is>
      </c>
      <c r="F18" t="n">
        <v>18</v>
      </c>
      <c r="G18" t="inlineStr">
        <is>
          <t>Client Route And Contracts, NEW-DSL JMR</t>
        </is>
      </c>
      <c r="H18" t="inlineStr"/>
    </row>
    <row r="19">
      <c r="A19" t="inlineStr">
        <is>
          <t>Destination</t>
        </is>
      </c>
      <c r="B19" t="inlineStr">
        <is>
          <t xml:space="preserve">Abuja </t>
        </is>
      </c>
      <c r="C19" t="inlineStr">
        <is>
          <t>Abuja</t>
        </is>
      </c>
      <c r="D19" t="inlineStr">
        <is>
          <t>FCT</t>
        </is>
      </c>
      <c r="E19" t="inlineStr">
        <is>
          <t>Yes</t>
        </is>
      </c>
      <c r="F19" t="n">
        <v>7</v>
      </c>
      <c r="G19" t="inlineStr">
        <is>
          <t>Client Route And Contracts, NEW-DSL JMR</t>
        </is>
      </c>
      <c r="H19" t="inlineStr"/>
    </row>
    <row r="20">
      <c r="A20" t="inlineStr">
        <is>
          <t>Destination</t>
        </is>
      </c>
      <c r="B20" t="inlineStr">
        <is>
          <t>Abuja-Direct</t>
        </is>
      </c>
      <c r="C20" t="inlineStr">
        <is>
          <t>Abuja (Direct)</t>
        </is>
      </c>
      <c r="D20" t="inlineStr">
        <is>
          <t>FCT</t>
        </is>
      </c>
      <c r="E20" t="inlineStr">
        <is>
          <t>Yes</t>
        </is>
      </c>
      <c r="F20" t="n">
        <v>2</v>
      </c>
      <c r="G20" t="inlineStr">
        <is>
          <t>Client Route And Contracts</t>
        </is>
      </c>
      <c r="H20" t="inlineStr"/>
    </row>
    <row r="21">
      <c r="A21" t="inlineStr">
        <is>
          <t>Destination</t>
        </is>
      </c>
      <c r="B21" t="inlineStr">
        <is>
          <t>ABULE EGBA</t>
        </is>
      </c>
      <c r="C21" t="inlineStr">
        <is>
          <t>Abule Egba</t>
        </is>
      </c>
      <c r="D21" t="inlineStr">
        <is>
          <t>Lagos</t>
        </is>
      </c>
      <c r="E21" t="inlineStr">
        <is>
          <t>Yes</t>
        </is>
      </c>
      <c r="F21" t="n">
        <v>6</v>
      </c>
      <c r="G21" t="inlineStr">
        <is>
          <t>Client Route And Contracts, NEW-DSL JMR</t>
        </is>
      </c>
      <c r="H21" t="inlineStr"/>
    </row>
    <row r="22">
      <c r="A22" t="inlineStr">
        <is>
          <t>Destination</t>
        </is>
      </c>
      <c r="B22" t="inlineStr">
        <is>
          <t>Abule-EGBA-Ijayi-Moshalasi-Kola-Sango</t>
        </is>
      </c>
      <c r="C22" t="inlineStr">
        <is>
          <t>Abule Egba-Ijaiye-Moshalasi-Kola-Sango</t>
        </is>
      </c>
      <c r="D22" t="inlineStr">
        <is>
          <t>Lagos/Ogun</t>
        </is>
      </c>
      <c r="E22" t="inlineStr">
        <is>
          <t>Yes</t>
        </is>
      </c>
      <c r="F22" t="n">
        <v>15</v>
      </c>
      <c r="G22" t="inlineStr">
        <is>
          <t>Client Route And Contracts, NEW-DSL JMR</t>
        </is>
      </c>
      <c r="H22" t="inlineStr"/>
    </row>
    <row r="23">
      <c r="A23" t="inlineStr">
        <is>
          <t>Destination</t>
        </is>
      </c>
      <c r="B23" t="inlineStr">
        <is>
          <t>ADEOLA ODEKU</t>
        </is>
      </c>
      <c r="C23" t="inlineStr">
        <is>
          <t>Adeola Odeku</t>
        </is>
      </c>
      <c r="D23" t="inlineStr">
        <is>
          <t>Lagos</t>
        </is>
      </c>
      <c r="E23" t="inlineStr">
        <is>
          <t>Yes</t>
        </is>
      </c>
      <c r="F23" t="n">
        <v>4</v>
      </c>
      <c r="G23" t="inlineStr">
        <is>
          <t>Client Route And Contracts, NEW-DSL JMR</t>
        </is>
      </c>
      <c r="H23" t="inlineStr"/>
    </row>
    <row r="24">
      <c r="A24" t="inlineStr">
        <is>
          <t>Destination</t>
        </is>
      </c>
      <c r="B24" t="inlineStr">
        <is>
          <t>Adikpo</t>
        </is>
      </c>
      <c r="C24" t="inlineStr">
        <is>
          <t>Adikpo</t>
        </is>
      </c>
      <c r="D24" t="inlineStr">
        <is>
          <t>Benue</t>
        </is>
      </c>
      <c r="E24" t="inlineStr">
        <is>
          <t>No</t>
        </is>
      </c>
      <c r="F24" t="n">
        <v>4</v>
      </c>
      <c r="G24" t="inlineStr">
        <is>
          <t>Client Route And Contracts, NEW-DSL JMR</t>
        </is>
      </c>
      <c r="H24" t="inlineStr"/>
    </row>
    <row r="25">
      <c r="A25" t="inlineStr">
        <is>
          <t>Destination</t>
        </is>
      </c>
      <c r="B25" t="inlineStr">
        <is>
          <t>ADO EKITI</t>
        </is>
      </c>
      <c r="C25" t="inlineStr">
        <is>
          <t>Ado-Ekiti</t>
        </is>
      </c>
      <c r="D25" t="inlineStr">
        <is>
          <t>Ekiti</t>
        </is>
      </c>
      <c r="E25" t="inlineStr">
        <is>
          <t>Yes</t>
        </is>
      </c>
      <c r="F25" t="n">
        <v>4</v>
      </c>
      <c r="G25" t="inlineStr">
        <is>
          <t>Client Route And Contracts, NEW-DSL JMR</t>
        </is>
      </c>
      <c r="H25" t="inlineStr"/>
    </row>
    <row r="26">
      <c r="A26" t="inlineStr">
        <is>
          <t>Destination</t>
        </is>
      </c>
      <c r="B26" t="inlineStr">
        <is>
          <t>Ado Ekiti</t>
        </is>
      </c>
      <c r="C26" t="inlineStr">
        <is>
          <t>Ado-Ekiti</t>
        </is>
      </c>
      <c r="D26" t="inlineStr">
        <is>
          <t>Ekiti</t>
        </is>
      </c>
      <c r="E26" t="inlineStr">
        <is>
          <t>Yes</t>
        </is>
      </c>
      <c r="F26" t="n">
        <v>2</v>
      </c>
      <c r="G26" t="inlineStr">
        <is>
          <t>Client Route And Contracts</t>
        </is>
      </c>
      <c r="H26" t="inlineStr"/>
    </row>
    <row r="27">
      <c r="A27" t="inlineStr">
        <is>
          <t>Destination</t>
        </is>
      </c>
      <c r="B27" t="inlineStr">
        <is>
          <t>Ado ekiti</t>
        </is>
      </c>
      <c r="C27" t="inlineStr">
        <is>
          <t>Ado-Ekiti</t>
        </is>
      </c>
      <c r="D27" t="inlineStr">
        <is>
          <t>Ekiti</t>
        </is>
      </c>
      <c r="E27" t="inlineStr">
        <is>
          <t>Yes</t>
        </is>
      </c>
      <c r="F27" t="n">
        <v>4</v>
      </c>
      <c r="G27" t="inlineStr">
        <is>
          <t>Client Route And Contracts, NEW-DSL JMR</t>
        </is>
      </c>
      <c r="H27" t="inlineStr"/>
    </row>
    <row r="28">
      <c r="A28" t="inlineStr">
        <is>
          <t>Destination</t>
        </is>
      </c>
      <c r="B28" t="inlineStr">
        <is>
          <t>Ado-Ekiti</t>
        </is>
      </c>
      <c r="C28" t="inlineStr">
        <is>
          <t>Ado-Ekiti</t>
        </is>
      </c>
      <c r="D28" t="inlineStr">
        <is>
          <t>Ekiti</t>
        </is>
      </c>
      <c r="E28" t="inlineStr">
        <is>
          <t>No</t>
        </is>
      </c>
      <c r="F28" t="n">
        <v>1</v>
      </c>
      <c r="G28" t="inlineStr">
        <is>
          <t>Client Route And Contracts</t>
        </is>
      </c>
      <c r="H28" t="inlineStr"/>
    </row>
    <row r="29">
      <c r="A29" t="inlineStr">
        <is>
          <t>Destination</t>
        </is>
      </c>
      <c r="B29" t="inlineStr">
        <is>
          <t>AGBADO</t>
        </is>
      </c>
      <c r="C29" t="inlineStr">
        <is>
          <t>Agbado</t>
        </is>
      </c>
      <c r="D29" t="inlineStr">
        <is>
          <t>Lagos</t>
        </is>
      </c>
      <c r="E29" t="inlineStr">
        <is>
          <t>Yes</t>
        </is>
      </c>
      <c r="F29" t="n">
        <v>6</v>
      </c>
      <c r="G29" t="inlineStr">
        <is>
          <t>Client Route And Contracts, NEW-DSL JMR</t>
        </is>
      </c>
      <c r="H29" t="inlineStr"/>
    </row>
    <row r="30">
      <c r="A30" s="273" t="inlineStr">
        <is>
          <t>Destination</t>
        </is>
      </c>
      <c r="B30" s="273" t="inlineStr">
        <is>
          <t>AGBARA</t>
        </is>
      </c>
      <c r="C30" s="273" t="inlineStr">
        <is>
          <t>Agbara</t>
        </is>
      </c>
      <c r="D30" s="273" t="inlineStr">
        <is>
          <t>Ogun</t>
        </is>
      </c>
      <c r="E30" s="273" t="inlineStr">
        <is>
          <t>Yes</t>
        </is>
      </c>
      <c r="F30" s="273" t="n">
        <v>2</v>
      </c>
      <c r="G30" s="273" t="inlineStr">
        <is>
          <t>Client Route And Contracts</t>
        </is>
      </c>
      <c r="H30" s="273" t="inlineStr">
        <is>
          <t>Agbara industrial estate is in Ogun State (was labelled Lagos in NEW-DSL).</t>
        </is>
      </c>
    </row>
    <row r="31">
      <c r="A31" s="273" t="inlineStr">
        <is>
          <t>Destination</t>
        </is>
      </c>
      <c r="B31" s="273" t="inlineStr">
        <is>
          <t>Agbara</t>
        </is>
      </c>
      <c r="C31" s="273" t="inlineStr">
        <is>
          <t>Agbara</t>
        </is>
      </c>
      <c r="D31" s="273" t="inlineStr">
        <is>
          <t>Ogun</t>
        </is>
      </c>
      <c r="E31" s="273" t="inlineStr">
        <is>
          <t>No</t>
        </is>
      </c>
      <c r="F31" s="273" t="n">
        <v>2</v>
      </c>
      <c r="G31" s="273" t="inlineStr">
        <is>
          <t>Client Route And Contracts</t>
        </is>
      </c>
      <c r="H31" s="273" t="inlineStr">
        <is>
          <t>Agbara industrial estate is in Ogun State (was labelled Lagos in NEW-DSL).</t>
        </is>
      </c>
    </row>
    <row r="32">
      <c r="A32" t="inlineStr">
        <is>
          <t>Destination</t>
        </is>
      </c>
      <c r="B32" t="inlineStr">
        <is>
          <t>AGBARA-BADAGRI</t>
        </is>
      </c>
      <c r="C32" t="inlineStr">
        <is>
          <t>Agbara-Badagry</t>
        </is>
      </c>
      <c r="D32" t="inlineStr">
        <is>
          <t>Lagos/Ogun</t>
        </is>
      </c>
      <c r="E32" t="inlineStr">
        <is>
          <t>Yes</t>
        </is>
      </c>
      <c r="F32" t="n">
        <v>2</v>
      </c>
      <c r="G32" t="inlineStr">
        <is>
          <t>Client Route And Contracts, NEW-DSL JMR</t>
        </is>
      </c>
      <c r="H32" t="inlineStr"/>
    </row>
    <row r="33">
      <c r="A33" t="inlineStr">
        <is>
          <t>Destination</t>
        </is>
      </c>
      <c r="B33" t="inlineStr">
        <is>
          <t>AGBARA-BADAGRI-FESTAC-MILE2 --AMOWO</t>
        </is>
      </c>
      <c r="C33" t="inlineStr">
        <is>
          <t>Agbara-Badagry-Festac-Mile 2-Amuwo</t>
        </is>
      </c>
      <c r="D33" t="inlineStr">
        <is>
          <t>Ogun</t>
        </is>
      </c>
      <c r="E33" t="inlineStr">
        <is>
          <t>Yes</t>
        </is>
      </c>
      <c r="F33" t="n">
        <v>6</v>
      </c>
      <c r="G33" t="inlineStr">
        <is>
          <t>NEW-DSL JMR</t>
        </is>
      </c>
      <c r="H33" t="inlineStr"/>
    </row>
    <row r="34">
      <c r="A34" t="inlineStr">
        <is>
          <t>Destination</t>
        </is>
      </c>
      <c r="B34" t="inlineStr">
        <is>
          <t>AGBOR</t>
        </is>
      </c>
      <c r="C34" t="inlineStr">
        <is>
          <t>Agbor</t>
        </is>
      </c>
      <c r="D34" t="inlineStr">
        <is>
          <t>Delta</t>
        </is>
      </c>
      <c r="E34" t="inlineStr">
        <is>
          <t>Yes</t>
        </is>
      </c>
      <c r="F34" t="n">
        <v>5</v>
      </c>
      <c r="G34" t="inlineStr">
        <is>
          <t>Client Route And Contracts, NEW-DSL JMR</t>
        </is>
      </c>
      <c r="H34" t="inlineStr"/>
    </row>
    <row r="35">
      <c r="A35" t="inlineStr">
        <is>
          <t>Destination</t>
        </is>
      </c>
      <c r="B35" t="inlineStr">
        <is>
          <t>Agbor</t>
        </is>
      </c>
      <c r="C35" t="inlineStr">
        <is>
          <t>Agbor</t>
        </is>
      </c>
      <c r="D35" t="inlineStr">
        <is>
          <t>Delta</t>
        </is>
      </c>
      <c r="E35" t="inlineStr">
        <is>
          <t>No</t>
        </is>
      </c>
      <c r="F35" t="n">
        <v>2</v>
      </c>
      <c r="G35" t="inlineStr">
        <is>
          <t>Client Route And Contracts</t>
        </is>
      </c>
      <c r="H35" t="inlineStr"/>
    </row>
    <row r="36">
      <c r="A36" t="inlineStr">
        <is>
          <t>Destination</t>
        </is>
      </c>
      <c r="B36" t="inlineStr">
        <is>
          <t>Agege</t>
        </is>
      </c>
      <c r="C36" t="inlineStr">
        <is>
          <t>Agege</t>
        </is>
      </c>
      <c r="D36" t="inlineStr">
        <is>
          <t>Lagos</t>
        </is>
      </c>
      <c r="E36" t="inlineStr">
        <is>
          <t>No</t>
        </is>
      </c>
      <c r="F36" t="n">
        <v>6</v>
      </c>
      <c r="G36" t="inlineStr">
        <is>
          <t>Client Route And Contracts, NEW-DSL JMR</t>
        </is>
      </c>
      <c r="H36" t="inlineStr"/>
    </row>
    <row r="37">
      <c r="A37" t="inlineStr">
        <is>
          <t>Destination</t>
        </is>
      </c>
      <c r="B37" t="inlineStr">
        <is>
          <t>Ahaoda</t>
        </is>
      </c>
      <c r="C37" t="inlineStr">
        <is>
          <t>Ahoada</t>
        </is>
      </c>
      <c r="D37" t="inlineStr">
        <is>
          <t>Rivers</t>
        </is>
      </c>
      <c r="E37" t="inlineStr">
        <is>
          <t>Yes</t>
        </is>
      </c>
      <c r="F37" t="n">
        <v>2</v>
      </c>
      <c r="G37" t="inlineStr">
        <is>
          <t>Client Route And Contracts, NEW-DSL JMR</t>
        </is>
      </c>
      <c r="H37" t="inlineStr"/>
    </row>
    <row r="38">
      <c r="A38" t="inlineStr">
        <is>
          <t>Destination</t>
        </is>
      </c>
      <c r="B38" t="inlineStr">
        <is>
          <t>Airport Road</t>
        </is>
      </c>
      <c r="C38" t="inlineStr">
        <is>
          <t>Airport Road (Abuja)</t>
        </is>
      </c>
      <c r="D38" t="inlineStr">
        <is>
          <t>FCT</t>
        </is>
      </c>
      <c r="E38" t="inlineStr">
        <is>
          <t>Yes</t>
        </is>
      </c>
      <c r="F38" t="n">
        <v>2</v>
      </c>
      <c r="G38" t="inlineStr">
        <is>
          <t>Client Route And Contracts, NEW-DSL JMR</t>
        </is>
      </c>
      <c r="H38" t="inlineStr"/>
    </row>
    <row r="39">
      <c r="A39" t="inlineStr">
        <is>
          <t>Destination</t>
        </is>
      </c>
      <c r="B39" t="inlineStr">
        <is>
          <t>Airport Road</t>
        </is>
      </c>
      <c r="C39" t="inlineStr">
        <is>
          <t>Airport Road (Port Harcourt)</t>
        </is>
      </c>
      <c r="D39" t="inlineStr">
        <is>
          <t>Rivers</t>
        </is>
      </c>
      <c r="E39" t="inlineStr">
        <is>
          <t>Yes</t>
        </is>
      </c>
      <c r="F39" t="n">
        <v>2</v>
      </c>
      <c r="G39" t="inlineStr">
        <is>
          <t>Client Route And Contracts, NEW-DSL JMR</t>
        </is>
      </c>
      <c r="H39" t="inlineStr"/>
    </row>
    <row r="40">
      <c r="A40" t="inlineStr">
        <is>
          <t>Destination</t>
        </is>
      </c>
      <c r="B40" t="inlineStr">
        <is>
          <t>AJAH</t>
        </is>
      </c>
      <c r="C40" t="inlineStr">
        <is>
          <t>Ajah</t>
        </is>
      </c>
      <c r="D40" t="inlineStr">
        <is>
          <t>Lagos</t>
        </is>
      </c>
      <c r="E40" t="inlineStr">
        <is>
          <t>Yes</t>
        </is>
      </c>
      <c r="F40" t="n">
        <v>2</v>
      </c>
      <c r="G40" t="inlineStr">
        <is>
          <t>Client Route And Contracts</t>
        </is>
      </c>
      <c r="H40" t="inlineStr"/>
    </row>
    <row r="41">
      <c r="A41" t="inlineStr">
        <is>
          <t>Destination</t>
        </is>
      </c>
      <c r="B41" t="inlineStr">
        <is>
          <t>Ajah</t>
        </is>
      </c>
      <c r="C41" t="inlineStr">
        <is>
          <t>Ajah</t>
        </is>
      </c>
      <c r="D41" t="inlineStr">
        <is>
          <t>Lagos</t>
        </is>
      </c>
      <c r="E41" t="inlineStr">
        <is>
          <t>No</t>
        </is>
      </c>
      <c r="F41" t="n">
        <v>4</v>
      </c>
      <c r="G41" t="inlineStr">
        <is>
          <t>Client Route And Contracts, NEW-DSL JMR</t>
        </is>
      </c>
      <c r="H41" t="inlineStr"/>
    </row>
    <row r="42">
      <c r="A42" t="inlineStr">
        <is>
          <t>Destination</t>
        </is>
      </c>
      <c r="B42" t="inlineStr">
        <is>
          <t>AJAO ESTATE</t>
        </is>
      </c>
      <c r="C42" t="inlineStr">
        <is>
          <t>Ajao Estate</t>
        </is>
      </c>
      <c r="D42" t="inlineStr">
        <is>
          <t>Lagos</t>
        </is>
      </c>
      <c r="E42" t="inlineStr">
        <is>
          <t>Yes</t>
        </is>
      </c>
      <c r="F42" t="n">
        <v>2</v>
      </c>
      <c r="G42" t="inlineStr">
        <is>
          <t>Client Route And Contracts</t>
        </is>
      </c>
      <c r="H42" t="inlineStr"/>
    </row>
    <row r="43">
      <c r="A43" t="inlineStr">
        <is>
          <t>Destination</t>
        </is>
      </c>
      <c r="B43" t="inlineStr">
        <is>
          <t>Ajaokuta</t>
        </is>
      </c>
      <c r="C43" t="inlineStr">
        <is>
          <t>Ajaokuta</t>
        </is>
      </c>
      <c r="D43" t="inlineStr">
        <is>
          <t>Kogi</t>
        </is>
      </c>
      <c r="E43" t="inlineStr">
        <is>
          <t>No</t>
        </is>
      </c>
      <c r="F43" t="n">
        <v>4</v>
      </c>
      <c r="G43" t="inlineStr">
        <is>
          <t>Client Route And Contracts, NEW-DSL JMR</t>
        </is>
      </c>
      <c r="H43" t="inlineStr"/>
    </row>
    <row r="44">
      <c r="A44" t="inlineStr">
        <is>
          <t>Destination</t>
        </is>
      </c>
      <c r="B44" t="inlineStr">
        <is>
          <t>AKAMPA</t>
        </is>
      </c>
      <c r="C44" t="inlineStr">
        <is>
          <t>Akamkpa</t>
        </is>
      </c>
      <c r="D44" t="inlineStr">
        <is>
          <t>Cross River</t>
        </is>
      </c>
      <c r="E44" t="inlineStr">
        <is>
          <t>Yes</t>
        </is>
      </c>
      <c r="F44" t="n">
        <v>2</v>
      </c>
      <c r="G44" t="inlineStr">
        <is>
          <t>Client Route And Contracts, NEW-DSL JMR</t>
        </is>
      </c>
      <c r="H44" t="inlineStr"/>
    </row>
    <row r="45">
      <c r="A45" t="inlineStr">
        <is>
          <t>Destination</t>
        </is>
      </c>
      <c r="B45" t="inlineStr">
        <is>
          <t>AKPABUYO</t>
        </is>
      </c>
      <c r="C45" t="inlineStr">
        <is>
          <t>Akpabuyo</t>
        </is>
      </c>
      <c r="D45" t="inlineStr">
        <is>
          <t>Cross River</t>
        </is>
      </c>
      <c r="E45" t="inlineStr">
        <is>
          <t>Yes</t>
        </is>
      </c>
      <c r="F45" t="n">
        <v>2</v>
      </c>
      <c r="G45" t="inlineStr">
        <is>
          <t>Client Route And Contracts, NEW-DSL JMR</t>
        </is>
      </c>
      <c r="H45" t="inlineStr"/>
    </row>
    <row r="46">
      <c r="A46" t="inlineStr">
        <is>
          <t>Destination</t>
        </is>
      </c>
      <c r="B46" t="inlineStr">
        <is>
          <t>Akure</t>
        </is>
      </c>
      <c r="C46" t="inlineStr">
        <is>
          <t>Akure</t>
        </is>
      </c>
      <c r="D46" t="inlineStr">
        <is>
          <t>Ondo</t>
        </is>
      </c>
      <c r="E46" t="inlineStr">
        <is>
          <t>No</t>
        </is>
      </c>
      <c r="F46" t="n">
        <v>11</v>
      </c>
      <c r="G46" t="inlineStr">
        <is>
          <t>Client Route And Contracts, NEW-DSL JMR</t>
        </is>
      </c>
      <c r="H46" t="inlineStr"/>
    </row>
    <row r="47">
      <c r="A47" t="inlineStr">
        <is>
          <t>Destination</t>
        </is>
      </c>
      <c r="B47" t="inlineStr">
        <is>
          <t>ONDO-AKURE</t>
        </is>
      </c>
      <c r="C47" t="inlineStr">
        <is>
          <t>Akure</t>
        </is>
      </c>
      <c r="D47" t="inlineStr">
        <is>
          <t>Ondo</t>
        </is>
      </c>
      <c r="E47" t="inlineStr">
        <is>
          <t>Yes</t>
        </is>
      </c>
      <c r="F47" t="n">
        <v>3</v>
      </c>
      <c r="G47" t="inlineStr">
        <is>
          <t>Client Route And Contracts</t>
        </is>
      </c>
      <c r="H47" t="inlineStr"/>
    </row>
    <row r="48">
      <c r="A48" t="inlineStr">
        <is>
          <t>Destination</t>
        </is>
      </c>
      <c r="B48" t="inlineStr">
        <is>
          <t>Akute</t>
        </is>
      </c>
      <c r="C48" t="inlineStr">
        <is>
          <t>Akute</t>
        </is>
      </c>
      <c r="D48" t="inlineStr">
        <is>
          <t>Ogun</t>
        </is>
      </c>
      <c r="E48" t="inlineStr">
        <is>
          <t>No</t>
        </is>
      </c>
      <c r="F48" t="n">
        <v>6</v>
      </c>
      <c r="G48" t="inlineStr">
        <is>
          <t>Client Route And Contracts, NEW-DSL JMR</t>
        </is>
      </c>
      <c r="H48" t="inlineStr"/>
    </row>
    <row r="49">
      <c r="A49" s="273" t="inlineStr">
        <is>
          <t>Destination</t>
        </is>
      </c>
      <c r="B49" s="273" t="inlineStr">
        <is>
          <t>Akwa-IBOM</t>
        </is>
      </c>
      <c r="C49" s="273" t="inlineStr">
        <is>
          <t>Akwa Ibom</t>
        </is>
      </c>
      <c r="D49" s="273" t="inlineStr">
        <is>
          <t>Akwa Ibom</t>
        </is>
      </c>
      <c r="E49" s="273" t="inlineStr">
        <is>
          <t>Yes</t>
        </is>
      </c>
      <c r="F49" s="273" t="n">
        <v>4</v>
      </c>
      <c r="G49" s="273" t="inlineStr">
        <is>
          <t>Client Route And Contracts, NEW-DSL JMR</t>
        </is>
      </c>
      <c r="H49" s="273" t="inlineStr">
        <is>
          <t>State name used as destination (no specific town given in the original).</t>
        </is>
      </c>
    </row>
    <row r="50">
      <c r="A50" s="273" t="inlineStr">
        <is>
          <t>Destination</t>
        </is>
      </c>
      <c r="B50" s="273" t="inlineStr">
        <is>
          <t xml:space="preserve">Akwaibom </t>
        </is>
      </c>
      <c r="C50" s="273" t="inlineStr">
        <is>
          <t>Akwa Ibom</t>
        </is>
      </c>
      <c r="D50" s="273" t="inlineStr">
        <is>
          <t>Akwa Ibom</t>
        </is>
      </c>
      <c r="E50" s="273" t="inlineStr">
        <is>
          <t>Yes</t>
        </is>
      </c>
      <c r="F50" s="273" t="n">
        <v>2</v>
      </c>
      <c r="G50" s="273" t="inlineStr">
        <is>
          <t>Client Route And Contracts, NEW-DSL JMR</t>
        </is>
      </c>
      <c r="H50" s="273" t="inlineStr">
        <is>
          <t>State name used as destination (no specific town given in the original).</t>
        </is>
      </c>
    </row>
    <row r="51">
      <c r="A51" t="inlineStr">
        <is>
          <t>Destination</t>
        </is>
      </c>
      <c r="B51" t="inlineStr">
        <is>
          <t>Akwanga</t>
        </is>
      </c>
      <c r="C51" t="inlineStr">
        <is>
          <t>Akwanga</t>
        </is>
      </c>
      <c r="D51" t="inlineStr">
        <is>
          <t>Nasarawa</t>
        </is>
      </c>
      <c r="E51" t="inlineStr">
        <is>
          <t>No</t>
        </is>
      </c>
      <c r="F51" t="n">
        <v>4</v>
      </c>
      <c r="G51" t="inlineStr">
        <is>
          <t>Client Route And Contracts, NEW-DSL JMR</t>
        </is>
      </c>
      <c r="H51" t="inlineStr"/>
    </row>
    <row r="52">
      <c r="A52" t="inlineStr">
        <is>
          <t>Destination</t>
        </is>
      </c>
      <c r="B52" t="inlineStr">
        <is>
          <t>ALABA</t>
        </is>
      </c>
      <c r="C52" t="inlineStr">
        <is>
          <t>Alaba</t>
        </is>
      </c>
      <c r="D52" t="inlineStr">
        <is>
          <t>Lagos</t>
        </is>
      </c>
      <c r="E52" t="inlineStr">
        <is>
          <t>Yes</t>
        </is>
      </c>
      <c r="F52" t="n">
        <v>4</v>
      </c>
      <c r="G52" t="inlineStr">
        <is>
          <t>Client Route And Contracts, NEW-DSL JMR</t>
        </is>
      </c>
      <c r="H52" t="inlineStr"/>
    </row>
    <row r="53">
      <c r="A53" t="inlineStr">
        <is>
          <t>Destination</t>
        </is>
      </c>
      <c r="B53" t="inlineStr">
        <is>
          <t xml:space="preserve">Alaba </t>
        </is>
      </c>
      <c r="C53" t="inlineStr">
        <is>
          <t>Alaba</t>
        </is>
      </c>
      <c r="D53" t="inlineStr">
        <is>
          <t>Lagos</t>
        </is>
      </c>
      <c r="E53" t="inlineStr">
        <is>
          <t>Yes</t>
        </is>
      </c>
      <c r="F53" t="n">
        <v>4</v>
      </c>
      <c r="G53" t="inlineStr">
        <is>
          <t>Client Route And Contracts, NEW-DSL JMR</t>
        </is>
      </c>
      <c r="H53" t="inlineStr"/>
    </row>
    <row r="54">
      <c r="A54" t="inlineStr">
        <is>
          <t>Destination</t>
        </is>
      </c>
      <c r="B54" t="inlineStr">
        <is>
          <t>Alakahia</t>
        </is>
      </c>
      <c r="C54" t="inlineStr">
        <is>
          <t>Alakahia</t>
        </is>
      </c>
      <c r="D54" t="inlineStr">
        <is>
          <t>Rivers</t>
        </is>
      </c>
      <c r="E54" t="inlineStr">
        <is>
          <t>No</t>
        </is>
      </c>
      <c r="F54" t="n">
        <v>2</v>
      </c>
      <c r="G54" t="inlineStr">
        <is>
          <t>Client Route And Contracts, NEW-DSL JMR</t>
        </is>
      </c>
      <c r="H54" t="inlineStr"/>
    </row>
    <row r="55">
      <c r="A55" t="inlineStr">
        <is>
          <t>Destination</t>
        </is>
      </c>
      <c r="B55" t="inlineStr">
        <is>
          <t>ALAPERE</t>
        </is>
      </c>
      <c r="C55" t="inlineStr">
        <is>
          <t>Alapere</t>
        </is>
      </c>
      <c r="D55" t="inlineStr">
        <is>
          <t>Lagos</t>
        </is>
      </c>
      <c r="E55" t="inlineStr">
        <is>
          <t>Yes</t>
        </is>
      </c>
      <c r="F55" t="n">
        <v>4</v>
      </c>
      <c r="G55" t="inlineStr">
        <is>
          <t>Client Route And Contracts, NEW-DSL JMR</t>
        </is>
      </c>
      <c r="H55" t="inlineStr"/>
    </row>
    <row r="56">
      <c r="A56" t="inlineStr">
        <is>
          <t>Destination</t>
        </is>
      </c>
      <c r="B56" t="inlineStr">
        <is>
          <t>AMUWO</t>
        </is>
      </c>
      <c r="C56" t="inlineStr">
        <is>
          <t>Amuwo Odofin</t>
        </is>
      </c>
      <c r="D56" t="inlineStr">
        <is>
          <t>Lagos</t>
        </is>
      </c>
      <c r="E56" t="inlineStr">
        <is>
          <t>Yes</t>
        </is>
      </c>
      <c r="F56" t="n">
        <v>2</v>
      </c>
      <c r="G56" t="inlineStr">
        <is>
          <t>Client Route And Contracts</t>
        </is>
      </c>
      <c r="H56" t="inlineStr"/>
    </row>
    <row r="57">
      <c r="A57" s="273" t="inlineStr">
        <is>
          <t>Destination</t>
        </is>
      </c>
      <c r="B57" s="273" t="inlineStr">
        <is>
          <t>Anambra</t>
        </is>
      </c>
      <c r="C57" s="273" t="inlineStr">
        <is>
          <t>Anambra</t>
        </is>
      </c>
      <c r="D57" s="273" t="inlineStr">
        <is>
          <t>Anambra</t>
        </is>
      </c>
      <c r="E57" s="273" t="inlineStr">
        <is>
          <t>No</t>
        </is>
      </c>
      <c r="F57" s="273" t="n">
        <v>6</v>
      </c>
      <c r="G57" s="273" t="inlineStr">
        <is>
          <t>Client Route And Contracts, NEW-DSL JMR</t>
        </is>
      </c>
      <c r="H57" s="273" t="inlineStr">
        <is>
          <t>State name used as destination (no specific town given in the original).</t>
        </is>
      </c>
    </row>
    <row r="58">
      <c r="A58" t="inlineStr">
        <is>
          <t>Destination</t>
        </is>
      </c>
      <c r="B58" t="inlineStr">
        <is>
          <t>ANKPA</t>
        </is>
      </c>
      <c r="C58" t="inlineStr">
        <is>
          <t>Ankpa</t>
        </is>
      </c>
      <c r="D58" t="inlineStr">
        <is>
          <t>Kogi</t>
        </is>
      </c>
      <c r="E58" t="inlineStr">
        <is>
          <t>Yes</t>
        </is>
      </c>
      <c r="F58" t="n">
        <v>2</v>
      </c>
      <c r="G58" t="inlineStr">
        <is>
          <t>Client Route And Contracts, NEW-DSL JMR</t>
        </is>
      </c>
      <c r="H58" t="inlineStr"/>
    </row>
    <row r="59">
      <c r="A59" t="inlineStr">
        <is>
          <t>Destination</t>
        </is>
      </c>
      <c r="B59" t="inlineStr">
        <is>
          <t>APAPA</t>
        </is>
      </c>
      <c r="C59" t="inlineStr">
        <is>
          <t>Apapa</t>
        </is>
      </c>
      <c r="D59" t="inlineStr">
        <is>
          <t>Lagos</t>
        </is>
      </c>
      <c r="E59" t="inlineStr">
        <is>
          <t>Yes</t>
        </is>
      </c>
      <c r="F59" t="n">
        <v>8</v>
      </c>
      <c r="G59" t="inlineStr">
        <is>
          <t>Client Route And Contracts, NEW-DSL JMR</t>
        </is>
      </c>
      <c r="H59" t="inlineStr"/>
    </row>
    <row r="60">
      <c r="A60" t="inlineStr">
        <is>
          <t>Destination</t>
        </is>
      </c>
      <c r="B60" t="inlineStr">
        <is>
          <t>APO</t>
        </is>
      </c>
      <c r="C60" t="inlineStr">
        <is>
          <t>Apo</t>
        </is>
      </c>
      <c r="D60" t="inlineStr">
        <is>
          <t>FCT</t>
        </is>
      </c>
      <c r="E60" t="inlineStr">
        <is>
          <t>Yes</t>
        </is>
      </c>
      <c r="F60" t="n">
        <v>2</v>
      </c>
      <c r="G60" t="inlineStr">
        <is>
          <t>Client Route And Contracts, NEW-DSL JMR</t>
        </is>
      </c>
      <c r="H60" t="inlineStr"/>
    </row>
    <row r="61">
      <c r="A61" t="inlineStr">
        <is>
          <t>Destination</t>
        </is>
      </c>
      <c r="B61" t="inlineStr">
        <is>
          <t>APO MECHANIC VILLAGE</t>
        </is>
      </c>
      <c r="C61" t="inlineStr">
        <is>
          <t>Apo Mechanic Village</t>
        </is>
      </c>
      <c r="D61" t="inlineStr">
        <is>
          <t>FCT</t>
        </is>
      </c>
      <c r="E61" t="inlineStr">
        <is>
          <t>Yes</t>
        </is>
      </c>
      <c r="F61" t="n">
        <v>2</v>
      </c>
      <c r="G61" t="inlineStr">
        <is>
          <t>Client Route And Contracts, NEW-DSL JMR</t>
        </is>
      </c>
      <c r="H61" t="inlineStr"/>
    </row>
    <row r="62">
      <c r="A62" t="inlineStr">
        <is>
          <t>Destination</t>
        </is>
      </c>
      <c r="B62" t="inlineStr">
        <is>
          <t>APO,GUDU</t>
        </is>
      </c>
      <c r="C62" t="inlineStr">
        <is>
          <t>Apo/Gudu</t>
        </is>
      </c>
      <c r="D62" t="inlineStr">
        <is>
          <t>FCT</t>
        </is>
      </c>
      <c r="E62" t="inlineStr">
        <is>
          <t>Yes</t>
        </is>
      </c>
      <c r="F62" t="n">
        <v>2</v>
      </c>
      <c r="G62" t="inlineStr">
        <is>
          <t>Client Route And Contracts, NEW-DSL JMR</t>
        </is>
      </c>
      <c r="H62" t="inlineStr"/>
    </row>
    <row r="63">
      <c r="A63" t="inlineStr">
        <is>
          <t>Destination</t>
        </is>
      </c>
      <c r="B63" t="inlineStr">
        <is>
          <t>Area 11</t>
        </is>
      </c>
      <c r="C63" t="inlineStr">
        <is>
          <t>Area 11</t>
        </is>
      </c>
      <c r="D63" t="inlineStr">
        <is>
          <t>FCT</t>
        </is>
      </c>
      <c r="E63" t="inlineStr">
        <is>
          <t>No</t>
        </is>
      </c>
      <c r="F63" t="n">
        <v>2</v>
      </c>
      <c r="G63" t="inlineStr">
        <is>
          <t>Client Route And Contracts, NEW-DSL JMR</t>
        </is>
      </c>
      <c r="H63" t="inlineStr"/>
    </row>
    <row r="64">
      <c r="A64" t="inlineStr">
        <is>
          <t>Destination</t>
        </is>
      </c>
      <c r="B64" t="inlineStr">
        <is>
          <t>Arochukwu</t>
        </is>
      </c>
      <c r="C64" t="inlineStr">
        <is>
          <t>Arochukwu</t>
        </is>
      </c>
      <c r="D64" t="inlineStr">
        <is>
          <t>Abia</t>
        </is>
      </c>
      <c r="E64" t="inlineStr">
        <is>
          <t>No</t>
        </is>
      </c>
      <c r="F64" t="n">
        <v>2</v>
      </c>
      <c r="G64" t="inlineStr">
        <is>
          <t>Client Route And Contracts, NEW-DSL JMR</t>
        </is>
      </c>
      <c r="H64" t="inlineStr"/>
    </row>
    <row r="65">
      <c r="A65" t="inlineStr">
        <is>
          <t>Destination</t>
        </is>
      </c>
      <c r="B65" t="inlineStr">
        <is>
          <t>Arondizogu</t>
        </is>
      </c>
      <c r="C65" t="inlineStr">
        <is>
          <t>Arondizuogu</t>
        </is>
      </c>
      <c r="D65" t="inlineStr">
        <is>
          <t>Imo</t>
        </is>
      </c>
      <c r="E65" t="inlineStr">
        <is>
          <t>Yes</t>
        </is>
      </c>
      <c r="F65" t="n">
        <v>2</v>
      </c>
      <c r="G65" t="inlineStr">
        <is>
          <t>Client Route And Contracts, NEW-DSL JMR</t>
        </is>
      </c>
      <c r="H65" t="inlineStr"/>
    </row>
    <row r="66">
      <c r="A66" t="inlineStr">
        <is>
          <t>Destination</t>
        </is>
      </c>
      <c r="B66" t="inlineStr">
        <is>
          <t>ASABA</t>
        </is>
      </c>
      <c r="C66" t="inlineStr">
        <is>
          <t>Asaba</t>
        </is>
      </c>
      <c r="D66" t="inlineStr">
        <is>
          <t>Delta</t>
        </is>
      </c>
      <c r="E66" t="inlineStr">
        <is>
          <t>Yes</t>
        </is>
      </c>
      <c r="F66" t="n">
        <v>6</v>
      </c>
      <c r="G66" t="inlineStr">
        <is>
          <t>Client Route And Contracts, NEW-DSL JMR</t>
        </is>
      </c>
      <c r="H66" t="inlineStr"/>
    </row>
    <row r="67">
      <c r="A67" t="inlineStr">
        <is>
          <t>Destination</t>
        </is>
      </c>
      <c r="B67" t="inlineStr">
        <is>
          <t>DELTA-ASABA</t>
        </is>
      </c>
      <c r="C67" t="inlineStr">
        <is>
          <t>Asaba (Direct)</t>
        </is>
      </c>
      <c r="D67" t="inlineStr">
        <is>
          <t>Delta</t>
        </is>
      </c>
      <c r="E67" t="inlineStr">
        <is>
          <t>Yes</t>
        </is>
      </c>
      <c r="F67" t="n">
        <v>2</v>
      </c>
      <c r="G67" t="inlineStr">
        <is>
          <t>NEW-DSL JMR</t>
        </is>
      </c>
      <c r="H67" t="inlineStr"/>
    </row>
    <row r="68">
      <c r="A68" t="inlineStr">
        <is>
          <t>Destination</t>
        </is>
      </c>
      <c r="B68" t="inlineStr">
        <is>
          <t>Delta-direct</t>
        </is>
      </c>
      <c r="C68" t="inlineStr">
        <is>
          <t>Asaba (Direct)</t>
        </is>
      </c>
      <c r="D68" t="inlineStr">
        <is>
          <t>Delta</t>
        </is>
      </c>
      <c r="E68" t="inlineStr">
        <is>
          <t>Yes</t>
        </is>
      </c>
      <c r="F68" t="n">
        <v>2</v>
      </c>
      <c r="G68" t="inlineStr">
        <is>
          <t>Client Route And Contracts</t>
        </is>
      </c>
      <c r="H68" t="inlineStr"/>
    </row>
    <row r="69">
      <c r="A69" t="inlineStr">
        <is>
          <t>Destination</t>
        </is>
      </c>
      <c r="B69" t="inlineStr">
        <is>
          <t>Asokoro</t>
        </is>
      </c>
      <c r="C69" t="inlineStr">
        <is>
          <t>Asokoro</t>
        </is>
      </c>
      <c r="D69" t="inlineStr">
        <is>
          <t>FCT</t>
        </is>
      </c>
      <c r="E69" t="inlineStr">
        <is>
          <t>No</t>
        </is>
      </c>
      <c r="F69" t="n">
        <v>2</v>
      </c>
      <c r="G69" t="inlineStr">
        <is>
          <t>Client Route And Contracts, NEW-DSL JMR</t>
        </is>
      </c>
      <c r="H69" t="inlineStr"/>
    </row>
    <row r="70">
      <c r="A70" t="inlineStr">
        <is>
          <t>Destination</t>
        </is>
      </c>
      <c r="B70" t="inlineStr">
        <is>
          <t>AUCHI</t>
        </is>
      </c>
      <c r="C70" t="inlineStr">
        <is>
          <t>Auchi</t>
        </is>
      </c>
      <c r="D70" t="inlineStr">
        <is>
          <t>Edo</t>
        </is>
      </c>
      <c r="E70" t="inlineStr">
        <is>
          <t>Yes</t>
        </is>
      </c>
      <c r="F70" t="n">
        <v>2</v>
      </c>
      <c r="G70" t="inlineStr">
        <is>
          <t>Client Route And Contracts, NEW-DSL JMR</t>
        </is>
      </c>
      <c r="H70" t="inlineStr"/>
    </row>
    <row r="71">
      <c r="A71" t="inlineStr">
        <is>
          <t>Destination</t>
        </is>
      </c>
      <c r="B71" t="inlineStr">
        <is>
          <t>Auchi</t>
        </is>
      </c>
      <c r="C71" t="inlineStr">
        <is>
          <t>Auchi</t>
        </is>
      </c>
      <c r="D71" t="inlineStr">
        <is>
          <t>Edo</t>
        </is>
      </c>
      <c r="E71" t="inlineStr">
        <is>
          <t>No</t>
        </is>
      </c>
      <c r="F71" t="n">
        <v>4</v>
      </c>
      <c r="G71" t="inlineStr">
        <is>
          <t>Client Route And Contracts, NEW-DSL JMR</t>
        </is>
      </c>
      <c r="H71" t="inlineStr"/>
    </row>
    <row r="72">
      <c r="A72" t="inlineStr">
        <is>
          <t>Destination</t>
        </is>
      </c>
      <c r="B72" t="inlineStr">
        <is>
          <t>AWKA</t>
        </is>
      </c>
      <c r="C72" t="inlineStr">
        <is>
          <t>Awka</t>
        </is>
      </c>
      <c r="D72" t="inlineStr">
        <is>
          <t>Anambra</t>
        </is>
      </c>
      <c r="E72" t="inlineStr">
        <is>
          <t>Yes</t>
        </is>
      </c>
      <c r="F72" t="n">
        <v>5</v>
      </c>
      <c r="G72" t="inlineStr">
        <is>
          <t>Client Route And Contracts, NEW-DSL JMR</t>
        </is>
      </c>
      <c r="H72" t="inlineStr"/>
    </row>
    <row r="73">
      <c r="A73" t="inlineStr">
        <is>
          <t>Destination</t>
        </is>
      </c>
      <c r="B73" t="inlineStr">
        <is>
          <t>Awka</t>
        </is>
      </c>
      <c r="C73" t="inlineStr">
        <is>
          <t>Awka</t>
        </is>
      </c>
      <c r="D73" t="inlineStr">
        <is>
          <t>Anambra</t>
        </is>
      </c>
      <c r="E73" t="inlineStr">
        <is>
          <t>No</t>
        </is>
      </c>
      <c r="F73" t="n">
        <v>4</v>
      </c>
      <c r="G73" t="inlineStr">
        <is>
          <t>Client Route And Contracts, NEW-DSL JMR</t>
        </is>
      </c>
      <c r="H73" t="inlineStr"/>
    </row>
    <row r="74">
      <c r="A74" t="inlineStr">
        <is>
          <t>Destination</t>
        </is>
      </c>
      <c r="B74" t="inlineStr">
        <is>
          <t>AYA -FCT</t>
        </is>
      </c>
      <c r="C74" t="inlineStr">
        <is>
          <t>Aya</t>
        </is>
      </c>
      <c r="D74" t="inlineStr">
        <is>
          <t>FCT</t>
        </is>
      </c>
      <c r="E74" t="inlineStr">
        <is>
          <t>Yes</t>
        </is>
      </c>
      <c r="F74" t="n">
        <v>2</v>
      </c>
      <c r="G74" t="inlineStr">
        <is>
          <t>Client Route And Contracts, NEW-DSL JMR</t>
        </is>
      </c>
      <c r="H74" t="inlineStr"/>
    </row>
    <row r="75">
      <c r="A75" t="inlineStr">
        <is>
          <t>Destination</t>
        </is>
      </c>
      <c r="B75" t="inlineStr">
        <is>
          <t>AYANGBA</t>
        </is>
      </c>
      <c r="C75" t="inlineStr">
        <is>
          <t>Ayangba</t>
        </is>
      </c>
      <c r="D75" t="inlineStr">
        <is>
          <t>Kogi</t>
        </is>
      </c>
      <c r="E75" t="inlineStr">
        <is>
          <t>Yes</t>
        </is>
      </c>
      <c r="F75" t="n">
        <v>2</v>
      </c>
      <c r="G75" t="inlineStr">
        <is>
          <t>Client Route And Contracts</t>
        </is>
      </c>
      <c r="H75" t="inlineStr"/>
    </row>
    <row r="76">
      <c r="A76" t="inlineStr">
        <is>
          <t>Destination</t>
        </is>
      </c>
      <c r="B76" t="inlineStr">
        <is>
          <t>Ayangba</t>
        </is>
      </c>
      <c r="C76" t="inlineStr">
        <is>
          <t>Ayangba</t>
        </is>
      </c>
      <c r="D76" t="inlineStr">
        <is>
          <t>Kogi</t>
        </is>
      </c>
      <c r="E76" t="inlineStr">
        <is>
          <t>No</t>
        </is>
      </c>
      <c r="F76" t="n">
        <v>4</v>
      </c>
      <c r="G76" t="inlineStr">
        <is>
          <t>Client Route And Contracts, NEW-DSL JMR</t>
        </is>
      </c>
      <c r="H76" t="inlineStr"/>
    </row>
    <row r="77">
      <c r="A77" t="inlineStr">
        <is>
          <t>Destination</t>
        </is>
      </c>
      <c r="B77" t="inlineStr">
        <is>
          <t>BARBEACH</t>
        </is>
      </c>
      <c r="C77" t="inlineStr">
        <is>
          <t>Bar Beach</t>
        </is>
      </c>
      <c r="D77" t="inlineStr">
        <is>
          <t>Lagos</t>
        </is>
      </c>
      <c r="E77" t="inlineStr">
        <is>
          <t>Yes</t>
        </is>
      </c>
      <c r="F77" t="n">
        <v>4</v>
      </c>
      <c r="G77" t="inlineStr">
        <is>
          <t>Client Route And Contracts, NEW-DSL JMR</t>
        </is>
      </c>
      <c r="H77" t="inlineStr"/>
    </row>
    <row r="78">
      <c r="A78" t="inlineStr">
        <is>
          <t>Destination</t>
        </is>
      </c>
      <c r="B78" t="inlineStr">
        <is>
          <t>Bariga</t>
        </is>
      </c>
      <c r="C78" t="inlineStr">
        <is>
          <t>Bariga</t>
        </is>
      </c>
      <c r="D78" t="inlineStr">
        <is>
          <t>Lagos</t>
        </is>
      </c>
      <c r="E78" t="inlineStr">
        <is>
          <t>No</t>
        </is>
      </c>
      <c r="F78" t="n">
        <v>4</v>
      </c>
      <c r="G78" t="inlineStr">
        <is>
          <t>Client Route And Contracts, NEW-DSL JMR</t>
        </is>
      </c>
      <c r="H78" t="inlineStr"/>
    </row>
    <row r="79">
      <c r="A79" t="inlineStr">
        <is>
          <t>Destination</t>
        </is>
      </c>
      <c r="B79" t="inlineStr">
        <is>
          <t>Bauchi</t>
        </is>
      </c>
      <c r="C79" t="inlineStr">
        <is>
          <t>Bauchi</t>
        </is>
      </c>
      <c r="D79" t="inlineStr">
        <is>
          <t>Bauchi</t>
        </is>
      </c>
      <c r="E79" t="inlineStr">
        <is>
          <t>No</t>
        </is>
      </c>
      <c r="F79" t="n">
        <v>9</v>
      </c>
      <c r="G79" t="inlineStr">
        <is>
          <t>Client Route And Contracts, NEW-DSL JMR</t>
        </is>
      </c>
      <c r="H79" t="inlineStr"/>
    </row>
    <row r="80">
      <c r="A80" s="273" t="inlineStr">
        <is>
          <t>Destination</t>
        </is>
      </c>
      <c r="B80" s="273" t="inlineStr">
        <is>
          <t>Bayelsa</t>
        </is>
      </c>
      <c r="C80" s="273" t="inlineStr">
        <is>
          <t>Bayelsa</t>
        </is>
      </c>
      <c r="D80" s="273" t="inlineStr">
        <is>
          <t>Bayelsa</t>
        </is>
      </c>
      <c r="E80" s="273" t="inlineStr">
        <is>
          <t>No</t>
        </is>
      </c>
      <c r="F80" s="273" t="n">
        <v>2</v>
      </c>
      <c r="G80" s="273" t="inlineStr">
        <is>
          <t>Client Route And Contracts, NEW-DSL JMR</t>
        </is>
      </c>
      <c r="H80" s="273" t="inlineStr">
        <is>
          <t>State name used as destination (no specific town given in the original).</t>
        </is>
      </c>
    </row>
    <row r="81">
      <c r="A81" t="inlineStr">
        <is>
          <t>Destination</t>
        </is>
      </c>
      <c r="B81" t="inlineStr">
        <is>
          <t>BENIN</t>
        </is>
      </c>
      <c r="C81" t="inlineStr">
        <is>
          <t>Benin City</t>
        </is>
      </c>
      <c r="D81" t="inlineStr">
        <is>
          <t>Edo</t>
        </is>
      </c>
      <c r="E81" t="inlineStr">
        <is>
          <t>Yes</t>
        </is>
      </c>
      <c r="F81" t="n">
        <v>4</v>
      </c>
      <c r="G81" t="inlineStr">
        <is>
          <t>Client Route And Contracts</t>
        </is>
      </c>
      <c r="H81" t="inlineStr"/>
    </row>
    <row r="82">
      <c r="A82" t="inlineStr">
        <is>
          <t>Destination</t>
        </is>
      </c>
      <c r="B82" t="inlineStr">
        <is>
          <t>Benin</t>
        </is>
      </c>
      <c r="C82" t="inlineStr">
        <is>
          <t>Benin City</t>
        </is>
      </c>
      <c r="D82" t="inlineStr">
        <is>
          <t>Edo</t>
        </is>
      </c>
      <c r="E82" t="inlineStr">
        <is>
          <t>Yes</t>
        </is>
      </c>
      <c r="F82" t="n">
        <v>16</v>
      </c>
      <c r="G82" t="inlineStr">
        <is>
          <t>Client Route And Contracts, NEW-DSL JMR</t>
        </is>
      </c>
      <c r="H82" t="inlineStr"/>
    </row>
    <row r="83">
      <c r="A83" t="inlineStr">
        <is>
          <t>Destination</t>
        </is>
      </c>
      <c r="B83" t="inlineStr">
        <is>
          <t>Benin City</t>
        </is>
      </c>
      <c r="C83" t="inlineStr">
        <is>
          <t>Benin City</t>
        </is>
      </c>
      <c r="D83" t="inlineStr">
        <is>
          <t>Edo</t>
        </is>
      </c>
      <c r="E83" t="inlineStr">
        <is>
          <t>No</t>
        </is>
      </c>
      <c r="F83" t="n">
        <v>1</v>
      </c>
      <c r="G83" t="inlineStr">
        <is>
          <t>Client Route And Contracts</t>
        </is>
      </c>
      <c r="H83" t="inlineStr"/>
    </row>
    <row r="84">
      <c r="A84" t="inlineStr">
        <is>
          <t>Destination</t>
        </is>
      </c>
      <c r="B84" t="inlineStr">
        <is>
          <t>Direct Benin</t>
        </is>
      </c>
      <c r="C84" t="inlineStr">
        <is>
          <t>Benin City (Direct)</t>
        </is>
      </c>
      <c r="D84" t="inlineStr">
        <is>
          <t>Edo</t>
        </is>
      </c>
      <c r="E84" t="inlineStr">
        <is>
          <t>Yes</t>
        </is>
      </c>
      <c r="F84" t="n">
        <v>4</v>
      </c>
      <c r="G84" t="inlineStr">
        <is>
          <t>Client Route And Contracts, NEW-DSL JMR</t>
        </is>
      </c>
      <c r="H84" t="inlineStr"/>
    </row>
    <row r="85">
      <c r="A85" s="273" t="inlineStr">
        <is>
          <t>Destination</t>
        </is>
      </c>
      <c r="B85" s="273" t="inlineStr">
        <is>
          <t>BIDA</t>
        </is>
      </c>
      <c r="C85" s="273" t="inlineStr">
        <is>
          <t>Bida</t>
        </is>
      </c>
      <c r="D85" s="273" t="inlineStr">
        <is>
          <t>Niger</t>
        </is>
      </c>
      <c r="E85" s="273" t="inlineStr">
        <is>
          <t>Yes</t>
        </is>
      </c>
      <c r="F85" s="273" t="n">
        <v>2</v>
      </c>
      <c r="G85" s="273" t="inlineStr">
        <is>
          <t>Client Route And Contracts, NEW-DSL JMR</t>
        </is>
      </c>
      <c r="H85" s="273" t="inlineStr">
        <is>
          <t>Abuja-loaded row is only 16 km, which doesn't match Bida town (Niger). Check that row.</t>
        </is>
      </c>
    </row>
    <row r="86">
      <c r="A86" s="273" t="inlineStr">
        <is>
          <t>Destination</t>
        </is>
      </c>
      <c r="B86" s="273" t="inlineStr">
        <is>
          <t>Bida</t>
        </is>
      </c>
      <c r="C86" s="273" t="inlineStr">
        <is>
          <t>Bida</t>
        </is>
      </c>
      <c r="D86" s="273" t="inlineStr">
        <is>
          <t>Niger</t>
        </is>
      </c>
      <c r="E86" s="273" t="inlineStr">
        <is>
          <t>No</t>
        </is>
      </c>
      <c r="F86" s="273" t="n">
        <v>6</v>
      </c>
      <c r="G86" s="273" t="inlineStr">
        <is>
          <t>Client Route And Contracts, NEW-DSL JMR</t>
        </is>
      </c>
      <c r="H86" s="273" t="inlineStr">
        <is>
          <t>Abuja-loaded row is only 16 km, which doesn't match Bida town (Niger). Check that row.</t>
        </is>
      </c>
    </row>
    <row r="87">
      <c r="A87" t="inlineStr">
        <is>
          <t>Destination</t>
        </is>
      </c>
      <c r="B87" t="inlineStr">
        <is>
          <t>Bernin Kebi</t>
        </is>
      </c>
      <c r="C87" t="inlineStr">
        <is>
          <t>Birnin Kebbi</t>
        </is>
      </c>
      <c r="D87" t="inlineStr">
        <is>
          <t>Kebbi</t>
        </is>
      </c>
      <c r="E87" t="inlineStr">
        <is>
          <t>Yes</t>
        </is>
      </c>
      <c r="F87" t="n">
        <v>2</v>
      </c>
      <c r="G87" t="inlineStr">
        <is>
          <t>Client Route And Contracts, NEW-DSL JMR</t>
        </is>
      </c>
      <c r="H87" t="inlineStr"/>
    </row>
    <row r="88">
      <c r="A88" t="inlineStr">
        <is>
          <t>Destination</t>
        </is>
      </c>
      <c r="B88" t="inlineStr">
        <is>
          <t>Birnin Kebbi</t>
        </is>
      </c>
      <c r="C88" t="inlineStr">
        <is>
          <t>Birnin Kebbi</t>
        </is>
      </c>
      <c r="D88" t="inlineStr">
        <is>
          <t>Kebbi</t>
        </is>
      </c>
      <c r="E88" t="inlineStr">
        <is>
          <t>No</t>
        </is>
      </c>
      <c r="F88" t="n">
        <v>5</v>
      </c>
      <c r="G88" t="inlineStr">
        <is>
          <t>Client Route And Contracts, NEW-DSL JMR</t>
        </is>
      </c>
      <c r="H88" t="inlineStr"/>
    </row>
    <row r="89">
      <c r="A89" t="inlineStr">
        <is>
          <t>Destination</t>
        </is>
      </c>
      <c r="B89" t="inlineStr">
        <is>
          <t>BORI</t>
        </is>
      </c>
      <c r="C89" t="inlineStr">
        <is>
          <t>Bori</t>
        </is>
      </c>
      <c r="D89" t="inlineStr">
        <is>
          <t>Rivers</t>
        </is>
      </c>
      <c r="E89" t="inlineStr">
        <is>
          <t>Yes</t>
        </is>
      </c>
      <c r="F89" t="n">
        <v>2</v>
      </c>
      <c r="G89" t="inlineStr">
        <is>
          <t>Client Route And Contracts, NEW-DSL JMR</t>
        </is>
      </c>
      <c r="H89" t="inlineStr"/>
    </row>
    <row r="90">
      <c r="A90" t="inlineStr">
        <is>
          <t>Destination</t>
        </is>
      </c>
      <c r="B90" t="inlineStr">
        <is>
          <t>Bori</t>
        </is>
      </c>
      <c r="C90" t="inlineStr">
        <is>
          <t>Bori</t>
        </is>
      </c>
      <c r="D90" t="inlineStr">
        <is>
          <t>Rivers</t>
        </is>
      </c>
      <c r="E90" t="inlineStr">
        <is>
          <t>No</t>
        </is>
      </c>
      <c r="F90" t="n">
        <v>4</v>
      </c>
      <c r="G90" t="inlineStr">
        <is>
          <t>Client Route And Contracts, NEW-DSL JMR</t>
        </is>
      </c>
      <c r="H90" t="inlineStr"/>
    </row>
    <row r="91">
      <c r="A91" t="inlineStr">
        <is>
          <t>Destination</t>
        </is>
      </c>
      <c r="B91" t="inlineStr">
        <is>
          <t>BWARI</t>
        </is>
      </c>
      <c r="C91" t="inlineStr">
        <is>
          <t>Bwari</t>
        </is>
      </c>
      <c r="D91" t="inlineStr">
        <is>
          <t>FCT</t>
        </is>
      </c>
      <c r="E91" t="inlineStr">
        <is>
          <t>Yes</t>
        </is>
      </c>
      <c r="F91" t="n">
        <v>2</v>
      </c>
      <c r="G91" t="inlineStr">
        <is>
          <t>Client Route And Contracts, NEW-DSL JMR</t>
        </is>
      </c>
      <c r="H91" t="inlineStr"/>
    </row>
    <row r="92">
      <c r="A92" t="inlineStr">
        <is>
          <t>Destination</t>
        </is>
      </c>
      <c r="B92" t="inlineStr">
        <is>
          <t>CALABAR</t>
        </is>
      </c>
      <c r="C92" t="inlineStr">
        <is>
          <t>Calabar</t>
        </is>
      </c>
      <c r="D92" t="inlineStr">
        <is>
          <t>Cross River</t>
        </is>
      </c>
      <c r="E92" t="inlineStr">
        <is>
          <t>Yes</t>
        </is>
      </c>
      <c r="F92" t="n">
        <v>3</v>
      </c>
      <c r="G92" t="inlineStr">
        <is>
          <t>Client Route And Contracts</t>
        </is>
      </c>
      <c r="H92" t="inlineStr"/>
    </row>
    <row r="93">
      <c r="A93" t="inlineStr">
        <is>
          <t>Destination</t>
        </is>
      </c>
      <c r="B93" t="inlineStr">
        <is>
          <t>Calabar</t>
        </is>
      </c>
      <c r="C93" t="inlineStr">
        <is>
          <t>Calabar</t>
        </is>
      </c>
      <c r="D93" t="inlineStr">
        <is>
          <t>Cross River</t>
        </is>
      </c>
      <c r="E93" t="inlineStr">
        <is>
          <t>No</t>
        </is>
      </c>
      <c r="F93" t="n">
        <v>7</v>
      </c>
      <c r="G93" t="inlineStr">
        <is>
          <t>Client Route And Contracts, NEW-DSL JMR</t>
        </is>
      </c>
      <c r="H93" t="inlineStr"/>
    </row>
    <row r="94">
      <c r="A94" t="inlineStr">
        <is>
          <t>Destination</t>
        </is>
      </c>
      <c r="B94" t="inlineStr">
        <is>
          <t>Chikanda</t>
        </is>
      </c>
      <c r="C94" t="inlineStr">
        <is>
          <t>Chikanda</t>
        </is>
      </c>
      <c r="D94" t="inlineStr">
        <is>
          <t>Kwara</t>
        </is>
      </c>
      <c r="E94" t="inlineStr">
        <is>
          <t>No</t>
        </is>
      </c>
      <c r="F94" t="n">
        <v>4</v>
      </c>
      <c r="G94" t="inlineStr">
        <is>
          <t>Client Route And Contracts, NEW-DSL JMR</t>
        </is>
      </c>
      <c r="H94" t="inlineStr"/>
    </row>
    <row r="95">
      <c r="A95" t="inlineStr">
        <is>
          <t>Destination</t>
        </is>
      </c>
      <c r="B95" t="inlineStr">
        <is>
          <t>CHOBA</t>
        </is>
      </c>
      <c r="C95" t="inlineStr">
        <is>
          <t>Choba</t>
        </is>
      </c>
      <c r="D95" t="inlineStr">
        <is>
          <t>Rivers</t>
        </is>
      </c>
      <c r="E95" t="inlineStr">
        <is>
          <t>Yes</t>
        </is>
      </c>
      <c r="F95" t="n">
        <v>2</v>
      </c>
      <c r="G95" t="inlineStr">
        <is>
          <t>Client Route And Contracts, NEW-DSL JMR</t>
        </is>
      </c>
      <c r="H95" t="inlineStr"/>
    </row>
    <row r="96">
      <c r="A96" t="inlineStr">
        <is>
          <t>Destination</t>
        </is>
      </c>
      <c r="B96" t="inlineStr">
        <is>
          <t>CITEC</t>
        </is>
      </c>
      <c r="C96" t="inlineStr">
        <is>
          <t>CITEC Estate</t>
        </is>
      </c>
      <c r="D96" t="inlineStr">
        <is>
          <t>FCT</t>
        </is>
      </c>
      <c r="E96" t="inlineStr">
        <is>
          <t>Yes</t>
        </is>
      </c>
      <c r="F96" t="n">
        <v>2</v>
      </c>
      <c r="G96" t="inlineStr">
        <is>
          <t>Client Route And Contracts, NEW-DSL JMR</t>
        </is>
      </c>
      <c r="H96" t="inlineStr"/>
    </row>
    <row r="97">
      <c r="A97" t="inlineStr">
        <is>
          <t>Destination</t>
        </is>
      </c>
      <c r="B97" t="inlineStr">
        <is>
          <t>Deidei</t>
        </is>
      </c>
      <c r="C97" t="inlineStr">
        <is>
          <t>Dei-Dei</t>
        </is>
      </c>
      <c r="D97" t="inlineStr">
        <is>
          <t>FCT</t>
        </is>
      </c>
      <c r="E97" t="inlineStr">
        <is>
          <t>Yes</t>
        </is>
      </c>
      <c r="F97" t="n">
        <v>2</v>
      </c>
      <c r="G97" t="inlineStr">
        <is>
          <t>Client Route And Contracts, NEW-DSL JMR</t>
        </is>
      </c>
      <c r="H97" t="inlineStr"/>
    </row>
    <row r="98">
      <c r="A98" s="273" t="inlineStr">
        <is>
          <t>Destination</t>
        </is>
      </c>
      <c r="B98" s="273" t="inlineStr">
        <is>
          <t xml:space="preserve">Dembal </t>
        </is>
      </c>
      <c r="C98" s="273" t="inlineStr">
        <is>
          <t>Dembal</t>
        </is>
      </c>
      <c r="D98" s="273" t="inlineStr">
        <is>
          <t>Lagos</t>
        </is>
      </c>
      <c r="E98" s="273" t="inlineStr">
        <is>
          <t>Yes</t>
        </is>
      </c>
      <c r="F98" s="273" t="n">
        <v>4</v>
      </c>
      <c r="G98" s="273" t="inlineStr">
        <is>
          <t>Client Route And Contracts, NEW-DSL JMR</t>
        </is>
      </c>
      <c r="H98" s="273" t="inlineStr">
        <is>
          <t>Not a place name I could verify; kept as-is, State set from loading point (Lagos, 19 km).</t>
        </is>
      </c>
    </row>
    <row r="99">
      <c r="A99" t="inlineStr">
        <is>
          <t>Destination</t>
        </is>
      </c>
      <c r="B99" t="inlineStr">
        <is>
          <t>DOPEMU</t>
        </is>
      </c>
      <c r="C99" t="inlineStr">
        <is>
          <t>Dopemu</t>
        </is>
      </c>
      <c r="D99" t="inlineStr">
        <is>
          <t>Lagos</t>
        </is>
      </c>
      <c r="E99" t="inlineStr">
        <is>
          <t>Yes</t>
        </is>
      </c>
      <c r="F99" t="n">
        <v>2</v>
      </c>
      <c r="G99" t="inlineStr">
        <is>
          <t>Client Route And Contracts</t>
        </is>
      </c>
      <c r="H99" t="inlineStr"/>
    </row>
    <row r="100">
      <c r="A100" t="inlineStr">
        <is>
          <t>Destination</t>
        </is>
      </c>
      <c r="B100" t="inlineStr">
        <is>
          <t>Durumi</t>
        </is>
      </c>
      <c r="C100" t="inlineStr">
        <is>
          <t>Durumi</t>
        </is>
      </c>
      <c r="D100" t="inlineStr">
        <is>
          <t>FCT</t>
        </is>
      </c>
      <c r="E100" t="inlineStr">
        <is>
          <t>No</t>
        </is>
      </c>
      <c r="F100" t="n">
        <v>2</v>
      </c>
      <c r="G100" t="inlineStr">
        <is>
          <t>Client Route And Contracts, NEW-DSL JMR</t>
        </is>
      </c>
      <c r="H100" t="inlineStr"/>
    </row>
    <row r="101">
      <c r="A101" t="inlineStr">
        <is>
          <t>Destination</t>
        </is>
      </c>
      <c r="B101" t="inlineStr">
        <is>
          <t>Jigawa (Dutse)</t>
        </is>
      </c>
      <c r="C101" t="inlineStr">
        <is>
          <t>Dutse</t>
        </is>
      </c>
      <c r="D101" t="inlineStr">
        <is>
          <t>Jigawa</t>
        </is>
      </c>
      <c r="E101" t="inlineStr">
        <is>
          <t>Yes</t>
        </is>
      </c>
      <c r="F101" t="n">
        <v>1</v>
      </c>
      <c r="G101" t="inlineStr">
        <is>
          <t>Client Route And Contracts</t>
        </is>
      </c>
      <c r="H101" t="inlineStr"/>
    </row>
    <row r="102">
      <c r="A102" t="inlineStr">
        <is>
          <t>Destination</t>
        </is>
      </c>
      <c r="B102" t="inlineStr">
        <is>
          <t>Dutse Alhaji</t>
        </is>
      </c>
      <c r="C102" t="inlineStr">
        <is>
          <t>Dutse Alhaji</t>
        </is>
      </c>
      <c r="D102" t="inlineStr">
        <is>
          <t>FCT</t>
        </is>
      </c>
      <c r="E102" t="inlineStr">
        <is>
          <t>No</t>
        </is>
      </c>
      <c r="F102" t="n">
        <v>2</v>
      </c>
      <c r="G102" t="inlineStr">
        <is>
          <t>Client Route And Contracts, NEW-DSL JMR</t>
        </is>
      </c>
      <c r="H102" t="inlineStr"/>
    </row>
    <row r="103">
      <c r="A103" s="273" t="inlineStr">
        <is>
          <t>Destination</t>
        </is>
      </c>
      <c r="B103" s="273" t="inlineStr">
        <is>
          <t>Ebonyi</t>
        </is>
      </c>
      <c r="C103" s="273" t="inlineStr">
        <is>
          <t>Ebonyi</t>
        </is>
      </c>
      <c r="D103" s="273" t="inlineStr">
        <is>
          <t>Ebonyi</t>
        </is>
      </c>
      <c r="E103" s="273" t="inlineStr">
        <is>
          <t>No</t>
        </is>
      </c>
      <c r="F103" s="273" t="n">
        <v>2</v>
      </c>
      <c r="G103" s="273" t="inlineStr">
        <is>
          <t>Client Route And Contracts, NEW-DSL JMR</t>
        </is>
      </c>
      <c r="H103" s="273" t="inlineStr">
        <is>
          <t>State name used as destination (no specific town given in the original).</t>
        </is>
      </c>
    </row>
    <row r="104">
      <c r="A104" t="inlineStr">
        <is>
          <t>Destination</t>
        </is>
      </c>
      <c r="B104" t="inlineStr">
        <is>
          <t>EBUTE METTA</t>
        </is>
      </c>
      <c r="C104" t="inlineStr">
        <is>
          <t>Ebute Metta</t>
        </is>
      </c>
      <c r="D104" t="inlineStr">
        <is>
          <t>Lagos</t>
        </is>
      </c>
      <c r="E104" t="inlineStr">
        <is>
          <t>Yes</t>
        </is>
      </c>
      <c r="F104" t="n">
        <v>4</v>
      </c>
      <c r="G104" t="inlineStr">
        <is>
          <t>Client Route And Contracts, NEW-DSL JMR</t>
        </is>
      </c>
      <c r="H104" t="inlineStr"/>
    </row>
    <row r="105">
      <c r="A105" t="inlineStr">
        <is>
          <t>Destination</t>
        </is>
      </c>
      <c r="B105" t="inlineStr">
        <is>
          <t>EFAB</t>
        </is>
      </c>
      <c r="C105" t="inlineStr">
        <is>
          <t>EFAB Estate</t>
        </is>
      </c>
      <c r="D105" t="inlineStr">
        <is>
          <t>FCT</t>
        </is>
      </c>
      <c r="E105" t="inlineStr">
        <is>
          <t>Yes</t>
        </is>
      </c>
      <c r="F105" t="n">
        <v>2</v>
      </c>
      <c r="G105" t="inlineStr">
        <is>
          <t>Client Route And Contracts, NEW-DSL JMR</t>
        </is>
      </c>
      <c r="H105" t="inlineStr"/>
    </row>
    <row r="106">
      <c r="A106" t="inlineStr">
        <is>
          <t>Destination</t>
        </is>
      </c>
      <c r="B106" t="inlineStr">
        <is>
          <t>EJIGBO</t>
        </is>
      </c>
      <c r="C106" t="inlineStr">
        <is>
          <t>Ejigbo</t>
        </is>
      </c>
      <c r="D106" t="inlineStr">
        <is>
          <t>Lagos</t>
        </is>
      </c>
      <c r="E106" t="inlineStr">
        <is>
          <t>Yes</t>
        </is>
      </c>
      <c r="F106" t="n">
        <v>6</v>
      </c>
      <c r="G106" t="inlineStr">
        <is>
          <t>Client Route And Contracts, NEW-DSL JMR</t>
        </is>
      </c>
      <c r="H106" t="inlineStr"/>
    </row>
    <row r="107">
      <c r="A107" t="inlineStr">
        <is>
          <t>Destination</t>
        </is>
      </c>
      <c r="B107" t="inlineStr">
        <is>
          <t>Ejigbo (Osun)</t>
        </is>
      </c>
      <c r="C107" t="inlineStr">
        <is>
          <t>Ejigbo (Osun)</t>
        </is>
      </c>
      <c r="D107" t="inlineStr">
        <is>
          <t>Osun</t>
        </is>
      </c>
      <c r="E107" t="inlineStr">
        <is>
          <t>No</t>
        </is>
      </c>
      <c r="F107" t="n">
        <v>1</v>
      </c>
      <c r="G107" t="inlineStr">
        <is>
          <t>Client Route And Contracts</t>
        </is>
      </c>
      <c r="H107" t="inlineStr"/>
    </row>
    <row r="108">
      <c r="A108" t="inlineStr">
        <is>
          <t>Destination</t>
        </is>
      </c>
      <c r="B108" t="inlineStr">
        <is>
          <t>EKET</t>
        </is>
      </c>
      <c r="C108" t="inlineStr">
        <is>
          <t>Eket</t>
        </is>
      </c>
      <c r="D108" t="inlineStr">
        <is>
          <t>Akwa Ibom</t>
        </is>
      </c>
      <c r="E108" t="inlineStr">
        <is>
          <t>Yes</t>
        </is>
      </c>
      <c r="F108" t="n">
        <v>2</v>
      </c>
      <c r="G108" t="inlineStr">
        <is>
          <t>Client Route And Contracts, NEW-DSL JMR</t>
        </is>
      </c>
      <c r="H108" t="inlineStr"/>
    </row>
    <row r="109">
      <c r="A109" t="inlineStr">
        <is>
          <t>Destination</t>
        </is>
      </c>
      <c r="B109" t="inlineStr">
        <is>
          <t>Eket</t>
        </is>
      </c>
      <c r="C109" t="inlineStr">
        <is>
          <t>Eket</t>
        </is>
      </c>
      <c r="D109" t="inlineStr">
        <is>
          <t>Akwa Ibom</t>
        </is>
      </c>
      <c r="E109" t="inlineStr">
        <is>
          <t>No</t>
        </is>
      </c>
      <c r="F109" t="n">
        <v>4</v>
      </c>
      <c r="G109" t="inlineStr">
        <is>
          <t>Client Route And Contracts, NEW-DSL JMR</t>
        </is>
      </c>
      <c r="H109" t="inlineStr"/>
    </row>
    <row r="110">
      <c r="A110" s="273" t="inlineStr">
        <is>
          <t>Destination</t>
        </is>
      </c>
      <c r="B110" s="273" t="inlineStr">
        <is>
          <t>EKITE</t>
        </is>
      </c>
      <c r="C110" s="273" t="inlineStr">
        <is>
          <t>Ekiti</t>
        </is>
      </c>
      <c r="D110" s="273" t="inlineStr">
        <is>
          <t>Ekiti</t>
        </is>
      </c>
      <c r="E110" s="273" t="inlineStr">
        <is>
          <t>Yes</t>
        </is>
      </c>
      <c r="F110" s="273" t="n">
        <v>4</v>
      </c>
      <c r="G110" s="273" t="inlineStr">
        <is>
          <t>Client Route And Contracts, NEW-DSL JMR</t>
        </is>
      </c>
      <c r="H110" s="273" t="inlineStr">
        <is>
          <t>State name used as destination (no specific town given in the original).</t>
        </is>
      </c>
    </row>
    <row r="111">
      <c r="A111" t="inlineStr">
        <is>
          <t>Destination</t>
        </is>
      </c>
      <c r="B111" t="inlineStr">
        <is>
          <t>EKPOMA</t>
        </is>
      </c>
      <c r="C111" t="inlineStr">
        <is>
          <t>Ekpoma</t>
        </is>
      </c>
      <c r="D111" t="inlineStr">
        <is>
          <t>Edo</t>
        </is>
      </c>
      <c r="E111" t="inlineStr">
        <is>
          <t>Yes</t>
        </is>
      </c>
      <c r="F111" t="n">
        <v>2</v>
      </c>
      <c r="G111" t="inlineStr">
        <is>
          <t>Client Route And Contracts, NEW-DSL JMR</t>
        </is>
      </c>
      <c r="H111" t="inlineStr"/>
    </row>
    <row r="112">
      <c r="A112" t="inlineStr">
        <is>
          <t>Destination</t>
        </is>
      </c>
      <c r="B112" t="inlineStr">
        <is>
          <t>Ekpoma</t>
        </is>
      </c>
      <c r="C112" t="inlineStr">
        <is>
          <t>Ekpoma</t>
        </is>
      </c>
      <c r="D112" t="inlineStr">
        <is>
          <t>Edo</t>
        </is>
      </c>
      <c r="E112" t="inlineStr">
        <is>
          <t>No</t>
        </is>
      </c>
      <c r="F112" t="n">
        <v>2</v>
      </c>
      <c r="G112" t="inlineStr">
        <is>
          <t>Client Route And Contracts</t>
        </is>
      </c>
      <c r="H112" t="inlineStr"/>
    </row>
    <row r="113">
      <c r="A113" t="inlineStr">
        <is>
          <t>Destination</t>
        </is>
      </c>
      <c r="B113" t="inlineStr">
        <is>
          <t>Elekahia</t>
        </is>
      </c>
      <c r="C113" t="inlineStr">
        <is>
          <t>Elekahia</t>
        </is>
      </c>
      <c r="D113" t="inlineStr">
        <is>
          <t>Rivers</t>
        </is>
      </c>
      <c r="E113" t="inlineStr">
        <is>
          <t>No</t>
        </is>
      </c>
      <c r="F113" t="n">
        <v>2</v>
      </c>
      <c r="G113" t="inlineStr">
        <is>
          <t>Client Route And Contracts, NEW-DSL JMR</t>
        </is>
      </c>
      <c r="H113" t="inlineStr"/>
    </row>
    <row r="114">
      <c r="A114" t="inlineStr">
        <is>
          <t>Destination</t>
        </is>
      </c>
      <c r="B114" t="inlineStr">
        <is>
          <t>ELELE</t>
        </is>
      </c>
      <c r="C114" t="inlineStr">
        <is>
          <t>Elele</t>
        </is>
      </c>
      <c r="D114" t="inlineStr">
        <is>
          <t>Rivers</t>
        </is>
      </c>
      <c r="E114" t="inlineStr">
        <is>
          <t>Yes</t>
        </is>
      </c>
      <c r="F114" t="n">
        <v>2</v>
      </c>
      <c r="G114" t="inlineStr">
        <is>
          <t>Client Route And Contracts, NEW-DSL JMR</t>
        </is>
      </c>
      <c r="H114" t="inlineStr"/>
    </row>
    <row r="115">
      <c r="A115" t="inlineStr">
        <is>
          <t>Destination</t>
        </is>
      </c>
      <c r="B115" t="inlineStr">
        <is>
          <t>Eleme</t>
        </is>
      </c>
      <c r="C115" t="inlineStr">
        <is>
          <t>Eleme</t>
        </is>
      </c>
      <c r="D115" t="inlineStr">
        <is>
          <t>Rivers</t>
        </is>
      </c>
      <c r="E115" t="inlineStr">
        <is>
          <t>No</t>
        </is>
      </c>
      <c r="F115" t="n">
        <v>2</v>
      </c>
      <c r="G115" t="inlineStr">
        <is>
          <t>Client Route And Contracts, NEW-DSL JMR</t>
        </is>
      </c>
      <c r="H115" t="inlineStr"/>
    </row>
    <row r="116">
      <c r="A116" t="inlineStr">
        <is>
          <t>Destination</t>
        </is>
      </c>
      <c r="B116" t="inlineStr">
        <is>
          <t>ENUGU</t>
        </is>
      </c>
      <c r="C116" t="inlineStr">
        <is>
          <t>Enugu</t>
        </is>
      </c>
      <c r="D116" t="inlineStr">
        <is>
          <t>Enugu</t>
        </is>
      </c>
      <c r="E116" t="inlineStr">
        <is>
          <t>Yes</t>
        </is>
      </c>
      <c r="F116" t="n">
        <v>3</v>
      </c>
      <c r="G116" t="inlineStr">
        <is>
          <t>Client Route And Contracts</t>
        </is>
      </c>
      <c r="H116" t="inlineStr"/>
    </row>
    <row r="117">
      <c r="A117" t="inlineStr">
        <is>
          <t>Destination</t>
        </is>
      </c>
      <c r="B117" t="inlineStr">
        <is>
          <t>Enugu</t>
        </is>
      </c>
      <c r="C117" t="inlineStr">
        <is>
          <t>Enugu</t>
        </is>
      </c>
      <c r="D117" t="inlineStr">
        <is>
          <t>Enugu</t>
        </is>
      </c>
      <c r="E117" t="inlineStr">
        <is>
          <t>No</t>
        </is>
      </c>
      <c r="F117" t="n">
        <v>8</v>
      </c>
      <c r="G117" t="inlineStr">
        <is>
          <t>Client Route And Contracts, NEW-DSL JMR</t>
        </is>
      </c>
      <c r="H117" t="inlineStr"/>
    </row>
    <row r="118">
      <c r="A118" t="inlineStr">
        <is>
          <t>Destination</t>
        </is>
      </c>
      <c r="B118" t="inlineStr">
        <is>
          <t>EPE</t>
        </is>
      </c>
      <c r="C118" t="inlineStr">
        <is>
          <t>Epe</t>
        </is>
      </c>
      <c r="D118" t="inlineStr">
        <is>
          <t>Lagos</t>
        </is>
      </c>
      <c r="E118" t="inlineStr">
        <is>
          <t>Yes</t>
        </is>
      </c>
      <c r="F118" t="n">
        <v>3</v>
      </c>
      <c r="G118" t="inlineStr">
        <is>
          <t>Client Route And Contracts</t>
        </is>
      </c>
      <c r="H118" t="inlineStr"/>
    </row>
    <row r="119">
      <c r="A119" t="inlineStr">
        <is>
          <t>Destination</t>
        </is>
      </c>
      <c r="B119" t="inlineStr">
        <is>
          <t>FADEYI</t>
        </is>
      </c>
      <c r="C119" t="inlineStr">
        <is>
          <t>Fadeyi</t>
        </is>
      </c>
      <c r="D119" t="inlineStr">
        <is>
          <t>Lagos</t>
        </is>
      </c>
      <c r="E119" t="inlineStr">
        <is>
          <t>Yes</t>
        </is>
      </c>
      <c r="F119" t="n">
        <v>2</v>
      </c>
      <c r="G119" t="inlineStr">
        <is>
          <t>Client Route And Contracts</t>
        </is>
      </c>
      <c r="H119" t="inlineStr"/>
    </row>
    <row r="120">
      <c r="A120" t="inlineStr">
        <is>
          <t>Destination</t>
        </is>
      </c>
      <c r="B120" t="inlineStr">
        <is>
          <t xml:space="preserve">FATAI ATERE </t>
        </is>
      </c>
      <c r="C120" t="inlineStr">
        <is>
          <t>Fatai Atere</t>
        </is>
      </c>
      <c r="D120" t="inlineStr">
        <is>
          <t>Lagos</t>
        </is>
      </c>
      <c r="E120" t="inlineStr">
        <is>
          <t>Yes</t>
        </is>
      </c>
      <c r="F120" t="n">
        <v>2</v>
      </c>
      <c r="G120" t="inlineStr">
        <is>
          <t>Client Route And Contracts</t>
        </is>
      </c>
      <c r="H120" t="inlineStr"/>
    </row>
    <row r="121">
      <c r="A121" t="inlineStr">
        <is>
          <t>Destination</t>
        </is>
      </c>
      <c r="B121" t="inlineStr">
        <is>
          <t>FESTAC</t>
        </is>
      </c>
      <c r="C121" t="inlineStr">
        <is>
          <t>Festac</t>
        </is>
      </c>
      <c r="D121" t="inlineStr">
        <is>
          <t>Lagos</t>
        </is>
      </c>
      <c r="E121" t="inlineStr">
        <is>
          <t>Yes</t>
        </is>
      </c>
      <c r="F121" t="n">
        <v>4</v>
      </c>
      <c r="G121" t="inlineStr">
        <is>
          <t>Client Route And Contracts, NEW-DSL JMR</t>
        </is>
      </c>
      <c r="H121" t="inlineStr"/>
    </row>
    <row r="122">
      <c r="A122" t="inlineStr">
        <is>
          <t>Destination</t>
        </is>
      </c>
      <c r="B122" t="inlineStr">
        <is>
          <t>Festac</t>
        </is>
      </c>
      <c r="C122" t="inlineStr">
        <is>
          <t>Festac</t>
        </is>
      </c>
      <c r="D122" t="inlineStr">
        <is>
          <t>Lagos</t>
        </is>
      </c>
      <c r="E122" t="inlineStr">
        <is>
          <t>No</t>
        </is>
      </c>
      <c r="F122" t="n">
        <v>2</v>
      </c>
      <c r="G122" t="inlineStr">
        <is>
          <t>Client Route And Contracts</t>
        </is>
      </c>
      <c r="H122" t="inlineStr"/>
    </row>
    <row r="123">
      <c r="A123" t="inlineStr">
        <is>
          <t>Destination</t>
        </is>
      </c>
      <c r="B123" t="inlineStr">
        <is>
          <t>FESTAC-MILE2 --AMOWO-OKOTA</t>
        </is>
      </c>
      <c r="C123" t="inlineStr">
        <is>
          <t>Festac-Mile 2-Amuwo-Okota</t>
        </is>
      </c>
      <c r="D123" t="inlineStr">
        <is>
          <t>Lagos</t>
        </is>
      </c>
      <c r="E123" t="inlineStr">
        <is>
          <t>Yes</t>
        </is>
      </c>
      <c r="F123" t="n">
        <v>5</v>
      </c>
      <c r="G123" t="inlineStr">
        <is>
          <t>Client Route And Contracts, NEW-DSL JMR</t>
        </is>
      </c>
      <c r="H123" t="inlineStr"/>
    </row>
    <row r="124">
      <c r="A124" t="inlineStr">
        <is>
          <t>Destination</t>
        </is>
      </c>
      <c r="B124" t="inlineStr">
        <is>
          <t>FUNTUA</t>
        </is>
      </c>
      <c r="C124" t="inlineStr">
        <is>
          <t>Funtua</t>
        </is>
      </c>
      <c r="D124" t="inlineStr">
        <is>
          <t>Katsina</t>
        </is>
      </c>
      <c r="E124" t="inlineStr">
        <is>
          <t>Yes</t>
        </is>
      </c>
      <c r="F124" t="n">
        <v>3</v>
      </c>
      <c r="G124" t="inlineStr">
        <is>
          <t>Client Route And Contracts</t>
        </is>
      </c>
      <c r="H124" t="inlineStr"/>
    </row>
    <row r="125">
      <c r="A125" t="inlineStr">
        <is>
          <t>Destination</t>
        </is>
      </c>
      <c r="B125" t="inlineStr">
        <is>
          <t>GALADIMAWA</t>
        </is>
      </c>
      <c r="C125" t="inlineStr">
        <is>
          <t>Galadimawa</t>
        </is>
      </c>
      <c r="D125" t="inlineStr">
        <is>
          <t>FCT</t>
        </is>
      </c>
      <c r="E125" t="inlineStr">
        <is>
          <t>Yes</t>
        </is>
      </c>
      <c r="F125" t="n">
        <v>2</v>
      </c>
      <c r="G125" t="inlineStr">
        <is>
          <t>Client Route And Contracts, NEW-DSL JMR</t>
        </is>
      </c>
      <c r="H125" t="inlineStr"/>
    </row>
    <row r="126">
      <c r="A126" t="inlineStr">
        <is>
          <t>Destination</t>
        </is>
      </c>
      <c r="B126" t="inlineStr">
        <is>
          <t>Games Village</t>
        </is>
      </c>
      <c r="C126" t="inlineStr">
        <is>
          <t>Games Village</t>
        </is>
      </c>
      <c r="D126" t="inlineStr">
        <is>
          <t>FCT</t>
        </is>
      </c>
      <c r="E126" t="inlineStr">
        <is>
          <t>No</t>
        </is>
      </c>
      <c r="F126" t="n">
        <v>2</v>
      </c>
      <c r="G126" t="inlineStr">
        <is>
          <t>Client Route And Contracts, NEW-DSL JMR</t>
        </is>
      </c>
      <c r="H126" t="inlineStr"/>
    </row>
    <row r="127">
      <c r="A127" t="inlineStr">
        <is>
          <t>Destination</t>
        </is>
      </c>
      <c r="B127" t="inlineStr">
        <is>
          <t>GANYE</t>
        </is>
      </c>
      <c r="C127" t="inlineStr">
        <is>
          <t>Ganye</t>
        </is>
      </c>
      <c r="D127" t="inlineStr">
        <is>
          <t>Adamawa</t>
        </is>
      </c>
      <c r="E127" t="inlineStr">
        <is>
          <t>Yes</t>
        </is>
      </c>
      <c r="F127" t="n">
        <v>2</v>
      </c>
      <c r="G127" t="inlineStr">
        <is>
          <t>Client Route And Contracts</t>
        </is>
      </c>
      <c r="H127" t="inlineStr"/>
    </row>
    <row r="128">
      <c r="A128" t="inlineStr">
        <is>
          <t>Destination</t>
        </is>
      </c>
      <c r="B128" t="inlineStr">
        <is>
          <t>Garki 2</t>
        </is>
      </c>
      <c r="C128" t="inlineStr">
        <is>
          <t>Garki 2</t>
        </is>
      </c>
      <c r="D128" t="inlineStr">
        <is>
          <t>FCT</t>
        </is>
      </c>
      <c r="E128" t="inlineStr">
        <is>
          <t>No</t>
        </is>
      </c>
      <c r="F128" t="n">
        <v>2</v>
      </c>
      <c r="G128" t="inlineStr">
        <is>
          <t>Client Route And Contracts, NEW-DSL JMR</t>
        </is>
      </c>
      <c r="H128" t="inlineStr"/>
    </row>
    <row r="129">
      <c r="A129" t="inlineStr">
        <is>
          <t>Destination</t>
        </is>
      </c>
      <c r="B129" t="inlineStr">
        <is>
          <t>Gbagada</t>
        </is>
      </c>
      <c r="C129" t="inlineStr">
        <is>
          <t>Gbagada</t>
        </is>
      </c>
      <c r="D129" t="inlineStr">
        <is>
          <t>Lagos</t>
        </is>
      </c>
      <c r="E129" t="inlineStr">
        <is>
          <t>No</t>
        </is>
      </c>
      <c r="F129" t="n">
        <v>2</v>
      </c>
      <c r="G129" t="inlineStr">
        <is>
          <t>Client Route And Contracts</t>
        </is>
      </c>
      <c r="H129" t="inlineStr"/>
    </row>
    <row r="130">
      <c r="A130" t="inlineStr">
        <is>
          <t>Destination</t>
        </is>
      </c>
      <c r="B130" t="inlineStr">
        <is>
          <t>GBOKO</t>
        </is>
      </c>
      <c r="C130" t="inlineStr">
        <is>
          <t>Gboko</t>
        </is>
      </c>
      <c r="D130" t="inlineStr">
        <is>
          <t>Benue</t>
        </is>
      </c>
      <c r="E130" t="inlineStr">
        <is>
          <t>Yes</t>
        </is>
      </c>
      <c r="F130" t="n">
        <v>7</v>
      </c>
      <c r="G130" t="inlineStr">
        <is>
          <t>Client Route And Contracts, NEW-DSL JMR</t>
        </is>
      </c>
      <c r="H130" t="inlineStr"/>
    </row>
    <row r="131">
      <c r="A131" t="inlineStr">
        <is>
          <t>Destination</t>
        </is>
      </c>
      <c r="B131" t="inlineStr">
        <is>
          <t>Gboko</t>
        </is>
      </c>
      <c r="C131" t="inlineStr">
        <is>
          <t>Gboko</t>
        </is>
      </c>
      <c r="D131" t="inlineStr">
        <is>
          <t>Benue</t>
        </is>
      </c>
      <c r="E131" t="inlineStr">
        <is>
          <t>No</t>
        </is>
      </c>
      <c r="F131" t="n">
        <v>1</v>
      </c>
      <c r="G131" t="inlineStr">
        <is>
          <t>Client Route And Contracts</t>
        </is>
      </c>
      <c r="H131" t="inlineStr"/>
    </row>
    <row r="132">
      <c r="A132" t="inlineStr">
        <is>
          <t>Destination</t>
        </is>
      </c>
      <c r="B132" t="inlineStr">
        <is>
          <t>GOMBE</t>
        </is>
      </c>
      <c r="C132" t="inlineStr">
        <is>
          <t>Gombe</t>
        </is>
      </c>
      <c r="D132" t="inlineStr">
        <is>
          <t>Gombe</t>
        </is>
      </c>
      <c r="E132" t="inlineStr">
        <is>
          <t>Yes</t>
        </is>
      </c>
      <c r="F132" t="n">
        <v>2</v>
      </c>
      <c r="G132" t="inlineStr">
        <is>
          <t>Client Route And Contracts, NEW-DSL JMR</t>
        </is>
      </c>
      <c r="H132" t="inlineStr"/>
    </row>
    <row r="133">
      <c r="A133" t="inlineStr">
        <is>
          <t>Destination</t>
        </is>
      </c>
      <c r="B133" t="inlineStr">
        <is>
          <t>Gombe</t>
        </is>
      </c>
      <c r="C133" t="inlineStr">
        <is>
          <t>Gombe</t>
        </is>
      </c>
      <c r="D133" t="inlineStr">
        <is>
          <t>Gombe</t>
        </is>
      </c>
      <c r="E133" t="inlineStr">
        <is>
          <t>No</t>
        </is>
      </c>
      <c r="F133" t="n">
        <v>8</v>
      </c>
      <c r="G133" t="inlineStr">
        <is>
          <t>Client Route And Contracts, NEW-DSL JMR</t>
        </is>
      </c>
      <c r="H133" t="inlineStr"/>
    </row>
    <row r="134">
      <c r="A134" t="inlineStr">
        <is>
          <t>Destination</t>
        </is>
      </c>
      <c r="B134" t="inlineStr">
        <is>
          <t>GUDU</t>
        </is>
      </c>
      <c r="C134" t="inlineStr">
        <is>
          <t>Gudu</t>
        </is>
      </c>
      <c r="D134" t="inlineStr">
        <is>
          <t>FCT</t>
        </is>
      </c>
      <c r="E134" t="inlineStr">
        <is>
          <t>Yes</t>
        </is>
      </c>
      <c r="F134" t="n">
        <v>2</v>
      </c>
      <c r="G134" t="inlineStr">
        <is>
          <t>Client Route And Contracts, NEW-DSL JMR</t>
        </is>
      </c>
      <c r="H134" t="inlineStr"/>
    </row>
    <row r="135">
      <c r="A135" t="inlineStr">
        <is>
          <t>Destination</t>
        </is>
      </c>
      <c r="B135" t="inlineStr">
        <is>
          <t>Gusau</t>
        </is>
      </c>
      <c r="C135" t="inlineStr">
        <is>
          <t>Gusau</t>
        </is>
      </c>
      <c r="D135" t="inlineStr">
        <is>
          <t>Zamfara</t>
        </is>
      </c>
      <c r="E135" t="inlineStr">
        <is>
          <t>No</t>
        </is>
      </c>
      <c r="F135" t="n">
        <v>6</v>
      </c>
      <c r="G135" t="inlineStr">
        <is>
          <t>Client Route And Contracts, NEW-DSL JMR</t>
        </is>
      </c>
      <c r="H135" t="inlineStr"/>
    </row>
    <row r="136">
      <c r="A136" t="inlineStr">
        <is>
          <t>Destination</t>
        </is>
      </c>
      <c r="B136" t="inlineStr">
        <is>
          <t>Zamfara (Gusau)</t>
        </is>
      </c>
      <c r="C136" t="inlineStr">
        <is>
          <t>Gusau</t>
        </is>
      </c>
      <c r="D136" t="inlineStr">
        <is>
          <t>Zamfara</t>
        </is>
      </c>
      <c r="E136" t="inlineStr">
        <is>
          <t>Yes</t>
        </is>
      </c>
      <c r="F136" t="n">
        <v>1</v>
      </c>
      <c r="G136" t="inlineStr">
        <is>
          <t>Client Route And Contracts</t>
        </is>
      </c>
      <c r="H136" t="inlineStr"/>
    </row>
    <row r="137">
      <c r="A137" t="inlineStr">
        <is>
          <t>Destination</t>
        </is>
      </c>
      <c r="B137" t="inlineStr">
        <is>
          <t>GUZAPE, GARKI</t>
        </is>
      </c>
      <c r="C137" t="inlineStr">
        <is>
          <t>Guzape</t>
        </is>
      </c>
      <c r="D137" t="inlineStr">
        <is>
          <t>FCT</t>
        </is>
      </c>
      <c r="E137" t="inlineStr">
        <is>
          <t>Yes</t>
        </is>
      </c>
      <c r="F137" t="n">
        <v>2</v>
      </c>
      <c r="G137" t="inlineStr">
        <is>
          <t>Client Route And Contracts, NEW-DSL JMR</t>
        </is>
      </c>
      <c r="H137" t="inlineStr"/>
    </row>
    <row r="138">
      <c r="A138" t="inlineStr">
        <is>
          <t>Destination</t>
        </is>
      </c>
      <c r="B138" t="inlineStr">
        <is>
          <t>Gwagwalada</t>
        </is>
      </c>
      <c r="C138" t="inlineStr">
        <is>
          <t>Gwagwalada</t>
        </is>
      </c>
      <c r="D138" t="inlineStr">
        <is>
          <t>FCT</t>
        </is>
      </c>
      <c r="E138" t="inlineStr">
        <is>
          <t>No</t>
        </is>
      </c>
      <c r="F138" t="n">
        <v>2</v>
      </c>
      <c r="G138" t="inlineStr">
        <is>
          <t>Client Route And Contracts, NEW-DSL JMR</t>
        </is>
      </c>
      <c r="H138" t="inlineStr"/>
    </row>
    <row r="139">
      <c r="A139" t="inlineStr">
        <is>
          <t>Destination</t>
        </is>
      </c>
      <c r="B139" t="inlineStr">
        <is>
          <t>GWARINPA</t>
        </is>
      </c>
      <c r="C139" t="inlineStr">
        <is>
          <t>Gwarinpa</t>
        </is>
      </c>
      <c r="D139" t="inlineStr">
        <is>
          <t>FCT</t>
        </is>
      </c>
      <c r="E139" t="inlineStr">
        <is>
          <t>Yes</t>
        </is>
      </c>
      <c r="F139" t="n">
        <v>2</v>
      </c>
      <c r="G139" t="inlineStr">
        <is>
          <t>Client Route And Contracts, NEW-DSL JMR</t>
        </is>
      </c>
      <c r="H139" t="inlineStr"/>
    </row>
    <row r="140">
      <c r="A140" s="273" t="inlineStr">
        <is>
          <t>Destination</t>
        </is>
      </c>
      <c r="B140" s="273" t="inlineStr">
        <is>
          <t>IBADAN</t>
        </is>
      </c>
      <c r="C140" s="273" t="inlineStr">
        <is>
          <t>Ibadan</t>
        </is>
      </c>
      <c r="D140" s="273" t="inlineStr">
        <is>
          <t>Oyo</t>
        </is>
      </c>
      <c r="E140" s="273" t="inlineStr">
        <is>
          <t>Yes</t>
        </is>
      </c>
      <c r="F140" s="273" t="n">
        <v>2</v>
      </c>
      <c r="G140" s="273" t="inlineStr">
        <is>
          <t>Client Route And Contracts</t>
        </is>
      </c>
      <c r="H140" s="273" t="inlineStr">
        <is>
          <t>'Ibadan 45Tons' reduced to Ibadan; the tonnage is already in the Truck Tonnage column.</t>
        </is>
      </c>
    </row>
    <row r="141">
      <c r="A141" s="273" t="inlineStr">
        <is>
          <t>Destination</t>
        </is>
      </c>
      <c r="B141" s="273" t="inlineStr">
        <is>
          <t>Ibadan</t>
        </is>
      </c>
      <c r="C141" s="273" t="inlineStr">
        <is>
          <t>Ibadan</t>
        </is>
      </c>
      <c r="D141" s="273" t="inlineStr">
        <is>
          <t>Oyo</t>
        </is>
      </c>
      <c r="E141" s="273" t="inlineStr">
        <is>
          <t>No</t>
        </is>
      </c>
      <c r="F141" s="273" t="n">
        <v>28</v>
      </c>
      <c r="G141" s="273" t="inlineStr">
        <is>
          <t>Client Route And Contracts, NEW-DSL JMR</t>
        </is>
      </c>
      <c r="H141" s="273" t="inlineStr">
        <is>
          <t>'Ibadan 45Tons' reduced to Ibadan; the tonnage is already in the Truck Tonnage column.</t>
        </is>
      </c>
    </row>
    <row r="142">
      <c r="A142" s="273" t="inlineStr">
        <is>
          <t>Destination</t>
        </is>
      </c>
      <c r="B142" s="273" t="inlineStr">
        <is>
          <t xml:space="preserve">Ibadan </t>
        </is>
      </c>
      <c r="C142" s="273" t="inlineStr">
        <is>
          <t>Ibadan</t>
        </is>
      </c>
      <c r="D142" s="273" t="inlineStr">
        <is>
          <t>Oyo</t>
        </is>
      </c>
      <c r="E142" s="273" t="inlineStr">
        <is>
          <t>Yes</t>
        </is>
      </c>
      <c r="F142" s="273" t="n">
        <v>2</v>
      </c>
      <c r="G142" s="273" t="inlineStr">
        <is>
          <t>Client Route And Contracts</t>
        </is>
      </c>
      <c r="H142" s="273" t="inlineStr">
        <is>
          <t>'Ibadan 45Tons' reduced to Ibadan; the tonnage is already in the Truck Tonnage column.</t>
        </is>
      </c>
    </row>
    <row r="143">
      <c r="A143" s="273" t="inlineStr">
        <is>
          <t>Destination</t>
        </is>
      </c>
      <c r="B143" s="273" t="inlineStr">
        <is>
          <t xml:space="preserve">Ibadan 45Tons </t>
        </is>
      </c>
      <c r="C143" s="273" t="inlineStr">
        <is>
          <t>Ibadan</t>
        </is>
      </c>
      <c r="D143" s="273" t="inlineStr">
        <is>
          <t>Oyo</t>
        </is>
      </c>
      <c r="E143" s="273" t="inlineStr">
        <is>
          <t>Yes</t>
        </is>
      </c>
      <c r="F143" s="273" t="n">
        <v>1</v>
      </c>
      <c r="G143" s="273" t="inlineStr">
        <is>
          <t>Client Route And Contracts</t>
        </is>
      </c>
      <c r="H143" s="273" t="inlineStr">
        <is>
          <t>'Ibadan 45Tons' reduced to Ibadan; the tonnage is already in the Truck Tonnage column.</t>
        </is>
      </c>
    </row>
    <row r="144">
      <c r="A144" t="inlineStr">
        <is>
          <t>Destination</t>
        </is>
      </c>
      <c r="B144" t="inlineStr">
        <is>
          <t>OYO-IBADAN (TOLL GATE)</t>
        </is>
      </c>
      <c r="C144" t="inlineStr">
        <is>
          <t>Ibadan (Toll Gate)</t>
        </is>
      </c>
      <c r="D144" t="inlineStr">
        <is>
          <t>Oyo</t>
        </is>
      </c>
      <c r="E144" t="inlineStr">
        <is>
          <t>Yes</t>
        </is>
      </c>
      <c r="F144" t="n">
        <v>3</v>
      </c>
      <c r="G144" t="inlineStr">
        <is>
          <t>Client Route And Contracts</t>
        </is>
      </c>
      <c r="H144" t="inlineStr"/>
    </row>
    <row r="145">
      <c r="A145" t="inlineStr">
        <is>
          <t>Destination</t>
        </is>
      </c>
      <c r="B145" t="inlineStr">
        <is>
          <t>OYO-IBADAN TOWN</t>
        </is>
      </c>
      <c r="C145" t="inlineStr">
        <is>
          <t>Ibadan (Town)</t>
        </is>
      </c>
      <c r="D145" t="inlineStr">
        <is>
          <t>Oyo</t>
        </is>
      </c>
      <c r="E145" t="inlineStr">
        <is>
          <t>Yes</t>
        </is>
      </c>
      <c r="F145" t="n">
        <v>3</v>
      </c>
      <c r="G145" t="inlineStr">
        <is>
          <t>Client Route And Contracts</t>
        </is>
      </c>
      <c r="H145" t="inlineStr"/>
    </row>
    <row r="146">
      <c r="A146" t="inlineStr">
        <is>
          <t>Destination</t>
        </is>
      </c>
      <c r="B146" t="inlineStr">
        <is>
          <t>OGUN-IBAFO</t>
        </is>
      </c>
      <c r="C146" t="inlineStr">
        <is>
          <t>Ibafo</t>
        </is>
      </c>
      <c r="D146" t="inlineStr">
        <is>
          <t>Ogun</t>
        </is>
      </c>
      <c r="E146" t="inlineStr">
        <is>
          <t>Yes</t>
        </is>
      </c>
      <c r="F146" t="n">
        <v>3</v>
      </c>
      <c r="G146" t="inlineStr">
        <is>
          <t>Client Route And Contracts</t>
        </is>
      </c>
      <c r="H146" t="inlineStr"/>
    </row>
    <row r="147">
      <c r="A147" t="inlineStr">
        <is>
          <t>Destination</t>
        </is>
      </c>
      <c r="B147" t="inlineStr">
        <is>
          <t>Ibeju</t>
        </is>
      </c>
      <c r="C147" t="inlineStr">
        <is>
          <t>Ibeju-Lekki</t>
        </is>
      </c>
      <c r="D147" t="inlineStr">
        <is>
          <t>Lagos</t>
        </is>
      </c>
      <c r="E147" t="inlineStr">
        <is>
          <t>Yes</t>
        </is>
      </c>
      <c r="F147" t="n">
        <v>2</v>
      </c>
      <c r="G147" t="inlineStr">
        <is>
          <t>Client Route And Contracts</t>
        </is>
      </c>
      <c r="H147" t="inlineStr"/>
    </row>
    <row r="148">
      <c r="A148" t="inlineStr">
        <is>
          <t>Destination</t>
        </is>
      </c>
      <c r="B148" t="inlineStr">
        <is>
          <t>IDAH</t>
        </is>
      </c>
      <c r="C148" t="inlineStr">
        <is>
          <t>Idah</t>
        </is>
      </c>
      <c r="D148" t="inlineStr">
        <is>
          <t>Kogi</t>
        </is>
      </c>
      <c r="E148" t="inlineStr">
        <is>
          <t>Yes</t>
        </is>
      </c>
      <c r="F148" t="n">
        <v>4</v>
      </c>
      <c r="G148" t="inlineStr">
        <is>
          <t>Client Route And Contracts, NEW-DSL JMR</t>
        </is>
      </c>
      <c r="H148" t="inlineStr"/>
    </row>
    <row r="149">
      <c r="A149" t="inlineStr">
        <is>
          <t>Destination</t>
        </is>
      </c>
      <c r="B149" t="inlineStr">
        <is>
          <t>Idanre</t>
        </is>
      </c>
      <c r="C149" t="inlineStr">
        <is>
          <t>Idanre</t>
        </is>
      </c>
      <c r="D149" t="inlineStr">
        <is>
          <t>Ondo</t>
        </is>
      </c>
      <c r="E149" t="inlineStr">
        <is>
          <t>No</t>
        </is>
      </c>
      <c r="F149" t="n">
        <v>1</v>
      </c>
      <c r="G149" t="inlineStr">
        <is>
          <t>Client Route And Contracts</t>
        </is>
      </c>
      <c r="H149" t="inlineStr"/>
    </row>
    <row r="150">
      <c r="A150" t="inlineStr">
        <is>
          <t>Destination</t>
        </is>
      </c>
      <c r="B150" t="inlineStr">
        <is>
          <t>OGUN-IDIROKO</t>
        </is>
      </c>
      <c r="C150" t="inlineStr">
        <is>
          <t>Idiroko</t>
        </is>
      </c>
      <c r="D150" t="inlineStr">
        <is>
          <t>Ogun</t>
        </is>
      </c>
      <c r="E150" t="inlineStr">
        <is>
          <t>Yes</t>
        </is>
      </c>
      <c r="F150" t="n">
        <v>3</v>
      </c>
      <c r="G150" t="inlineStr">
        <is>
          <t>Client Route And Contracts</t>
        </is>
      </c>
      <c r="H150" t="inlineStr"/>
    </row>
    <row r="151">
      <c r="A151" t="inlineStr">
        <is>
          <t>Destination</t>
        </is>
      </c>
      <c r="B151" t="inlineStr">
        <is>
          <t>Ifon</t>
        </is>
      </c>
      <c r="C151" t="inlineStr">
        <is>
          <t>Ifon</t>
        </is>
      </c>
      <c r="D151" t="inlineStr">
        <is>
          <t>Ondo</t>
        </is>
      </c>
      <c r="E151" t="inlineStr">
        <is>
          <t>No</t>
        </is>
      </c>
      <c r="F151" t="n">
        <v>4</v>
      </c>
      <c r="G151" t="inlineStr">
        <is>
          <t>Client Route And Contracts, NEW-DSL JMR</t>
        </is>
      </c>
      <c r="H151" t="inlineStr"/>
    </row>
    <row r="152">
      <c r="A152" t="inlineStr">
        <is>
          <t>Destination</t>
        </is>
      </c>
      <c r="B152" t="inlineStr">
        <is>
          <t>IGBESA</t>
        </is>
      </c>
      <c r="C152" t="inlineStr">
        <is>
          <t>Igbesa</t>
        </is>
      </c>
      <c r="D152" t="inlineStr">
        <is>
          <t>Ogun</t>
        </is>
      </c>
      <c r="E152" t="inlineStr">
        <is>
          <t>Yes</t>
        </is>
      </c>
      <c r="F152" t="n">
        <v>2</v>
      </c>
      <c r="G152" t="inlineStr">
        <is>
          <t>Client Route And Contracts</t>
        </is>
      </c>
      <c r="H152" t="inlineStr"/>
    </row>
    <row r="153">
      <c r="A153" t="inlineStr">
        <is>
          <t>Destination</t>
        </is>
      </c>
      <c r="B153" t="inlineStr">
        <is>
          <t>IJAIYE</t>
        </is>
      </c>
      <c r="C153" t="inlineStr">
        <is>
          <t>Ijaiye</t>
        </is>
      </c>
      <c r="D153" t="inlineStr">
        <is>
          <t>Lagos</t>
        </is>
      </c>
      <c r="E153" t="inlineStr">
        <is>
          <t>Yes</t>
        </is>
      </c>
      <c r="F153" t="n">
        <v>6</v>
      </c>
      <c r="G153" t="inlineStr">
        <is>
          <t>Client Route And Contracts, NEW-DSL JMR</t>
        </is>
      </c>
      <c r="H153" t="inlineStr"/>
    </row>
    <row r="154">
      <c r="A154" t="inlineStr">
        <is>
          <t>Destination</t>
        </is>
      </c>
      <c r="B154" t="inlineStr">
        <is>
          <t>IJEBU ODE</t>
        </is>
      </c>
      <c r="C154" t="inlineStr">
        <is>
          <t>Ijebu-Ode</t>
        </is>
      </c>
      <c r="D154" t="inlineStr">
        <is>
          <t>Ogun</t>
        </is>
      </c>
      <c r="E154" t="inlineStr">
        <is>
          <t>Yes</t>
        </is>
      </c>
      <c r="F154" t="n">
        <v>10</v>
      </c>
      <c r="G154" t="inlineStr">
        <is>
          <t>Client Route And Contracts, NEW-DSL JMR</t>
        </is>
      </c>
      <c r="H154" t="inlineStr"/>
    </row>
    <row r="155">
      <c r="A155" t="inlineStr">
        <is>
          <t>Destination</t>
        </is>
      </c>
      <c r="B155" t="inlineStr">
        <is>
          <t>Ijebu-Ode</t>
        </is>
      </c>
      <c r="C155" t="inlineStr">
        <is>
          <t>Ijebu-Ode</t>
        </is>
      </c>
      <c r="D155" t="inlineStr">
        <is>
          <t>Ogun</t>
        </is>
      </c>
      <c r="E155" t="inlineStr">
        <is>
          <t>No</t>
        </is>
      </c>
      <c r="F155" t="n">
        <v>1</v>
      </c>
      <c r="G155" t="inlineStr">
        <is>
          <t>Client Route And Contracts</t>
        </is>
      </c>
      <c r="H155" t="inlineStr"/>
    </row>
    <row r="156">
      <c r="A156" s="273" t="inlineStr">
        <is>
          <t>Destination</t>
        </is>
      </c>
      <c r="B156" s="273" t="inlineStr">
        <is>
          <t>IJEBU OSAS</t>
        </is>
      </c>
      <c r="C156" s="273" t="inlineStr">
        <is>
          <t>Ijebu-Ososa</t>
        </is>
      </c>
      <c r="D156" s="273" t="inlineStr">
        <is>
          <t>Ogun</t>
        </is>
      </c>
      <c r="E156" s="273" t="inlineStr">
        <is>
          <t>Yes</t>
        </is>
      </c>
      <c r="F156" s="273" t="n">
        <v>2</v>
      </c>
      <c r="G156" s="273" t="inlineStr">
        <is>
          <t>Client Route And Contracts</t>
        </is>
      </c>
      <c r="H156" s="273" t="inlineStr">
        <is>
          <t>Read 'IJEBU OSAS' as Ososa, Ijebu area. Please confirm.</t>
        </is>
      </c>
    </row>
    <row r="157">
      <c r="A157" t="inlineStr">
        <is>
          <t>Destination</t>
        </is>
      </c>
      <c r="B157" t="inlineStr">
        <is>
          <t>Ikare</t>
        </is>
      </c>
      <c r="C157" t="inlineStr">
        <is>
          <t>Ikare</t>
        </is>
      </c>
      <c r="D157" t="inlineStr">
        <is>
          <t>Ondo</t>
        </is>
      </c>
      <c r="E157" t="inlineStr">
        <is>
          <t>No</t>
        </is>
      </c>
      <c r="F157" t="n">
        <v>1</v>
      </c>
      <c r="G157" t="inlineStr">
        <is>
          <t>Client Route And Contracts</t>
        </is>
      </c>
      <c r="H157" t="inlineStr"/>
    </row>
    <row r="158">
      <c r="A158" t="inlineStr">
        <is>
          <t>Destination</t>
        </is>
      </c>
      <c r="B158" t="inlineStr">
        <is>
          <t>IKEJA</t>
        </is>
      </c>
      <c r="C158" t="inlineStr">
        <is>
          <t>Ikeja</t>
        </is>
      </c>
      <c r="D158" t="inlineStr">
        <is>
          <t>Lagos</t>
        </is>
      </c>
      <c r="E158" t="inlineStr">
        <is>
          <t>Yes</t>
        </is>
      </c>
      <c r="F158" t="n">
        <v>2</v>
      </c>
      <c r="G158" t="inlineStr">
        <is>
          <t>Client Route And Contracts</t>
        </is>
      </c>
      <c r="H158" t="inlineStr"/>
    </row>
    <row r="159">
      <c r="A159" t="inlineStr">
        <is>
          <t>Destination</t>
        </is>
      </c>
      <c r="B159" t="inlineStr">
        <is>
          <t>Ikeja</t>
        </is>
      </c>
      <c r="C159" t="inlineStr">
        <is>
          <t>Ikeja</t>
        </is>
      </c>
      <c r="D159" t="inlineStr">
        <is>
          <t>Lagos</t>
        </is>
      </c>
      <c r="E159" t="inlineStr">
        <is>
          <t>No</t>
        </is>
      </c>
      <c r="F159" t="n">
        <v>2</v>
      </c>
      <c r="G159" t="inlineStr">
        <is>
          <t>Client Route And Contracts</t>
        </is>
      </c>
      <c r="H159" t="inlineStr"/>
    </row>
    <row r="160">
      <c r="A160" t="inlineStr">
        <is>
          <t>Destination</t>
        </is>
      </c>
      <c r="B160" t="inlineStr">
        <is>
          <t xml:space="preserve">Ikeja </t>
        </is>
      </c>
      <c r="C160" t="inlineStr">
        <is>
          <t>Ikeja</t>
        </is>
      </c>
      <c r="D160" t="inlineStr">
        <is>
          <t>Lagos</t>
        </is>
      </c>
      <c r="E160" t="inlineStr">
        <is>
          <t>Yes</t>
        </is>
      </c>
      <c r="F160" t="n">
        <v>4</v>
      </c>
      <c r="G160" t="inlineStr">
        <is>
          <t>Client Route And Contracts, NEW-DSL JMR</t>
        </is>
      </c>
      <c r="H160" t="inlineStr"/>
    </row>
    <row r="161">
      <c r="A161" t="inlineStr">
        <is>
          <t>Destination</t>
        </is>
      </c>
      <c r="B161" t="inlineStr">
        <is>
          <t>LAGOS -IKEJA</t>
        </is>
      </c>
      <c r="C161" t="inlineStr">
        <is>
          <t>Ikeja</t>
        </is>
      </c>
      <c r="D161" t="inlineStr">
        <is>
          <t>Lagos</t>
        </is>
      </c>
      <c r="E161" t="inlineStr">
        <is>
          <t>Yes</t>
        </is>
      </c>
      <c r="F161" t="n">
        <v>3</v>
      </c>
      <c r="G161" t="inlineStr">
        <is>
          <t>Client Route And Contracts</t>
        </is>
      </c>
      <c r="H161" t="inlineStr"/>
    </row>
    <row r="162">
      <c r="A162" t="inlineStr">
        <is>
          <t>Destination</t>
        </is>
      </c>
      <c r="B162" t="inlineStr">
        <is>
          <t>Ikeja Branch</t>
        </is>
      </c>
      <c r="C162" t="inlineStr">
        <is>
          <t>Ikeja Branch</t>
        </is>
      </c>
      <c r="D162" t="inlineStr">
        <is>
          <t>Lagos</t>
        </is>
      </c>
      <c r="E162" t="inlineStr">
        <is>
          <t>No</t>
        </is>
      </c>
      <c r="F162" t="n">
        <v>4</v>
      </c>
      <c r="G162" t="inlineStr">
        <is>
          <t>Client Route And Contracts, NEW-DSL JMR</t>
        </is>
      </c>
      <c r="H162" t="inlineStr"/>
    </row>
    <row r="163">
      <c r="A163" t="inlineStr">
        <is>
          <t>Destination</t>
        </is>
      </c>
      <c r="B163" t="inlineStr">
        <is>
          <t>IKEJA-AGEGE-DOPEMU-MAGODO</t>
        </is>
      </c>
      <c r="C163" t="inlineStr">
        <is>
          <t>Ikeja-Agege-Dopemu-Magodo</t>
        </is>
      </c>
      <c r="D163" t="inlineStr">
        <is>
          <t>Lagos</t>
        </is>
      </c>
      <c r="E163" t="inlineStr">
        <is>
          <t>Yes</t>
        </is>
      </c>
      <c r="F163" t="n">
        <v>10</v>
      </c>
      <c r="G163" t="inlineStr">
        <is>
          <t>Client Route And Contracts, NEW-DSL JMR</t>
        </is>
      </c>
      <c r="H163" t="inlineStr"/>
    </row>
    <row r="164">
      <c r="A164" s="273" t="inlineStr">
        <is>
          <t>Destination</t>
        </is>
      </c>
      <c r="B164" s="273" t="inlineStr">
        <is>
          <t>IKM</t>
        </is>
      </c>
      <c r="C164" s="273" t="inlineStr">
        <is>
          <t>IKM</t>
        </is>
      </c>
      <c r="D164" s="273" t="inlineStr">
        <is>
          <t>Lagos</t>
        </is>
      </c>
      <c r="E164" s="273" t="inlineStr">
        <is>
          <t>No</t>
        </is>
      </c>
      <c r="F164" s="273" t="n">
        <v>7</v>
      </c>
      <c r="G164" s="273" t="inlineStr">
        <is>
          <t>Client Route And Contracts, NEW-DSL JMR</t>
        </is>
      </c>
      <c r="H164" s="273" t="inlineStr">
        <is>
          <t>Abbreviation kept as-is; could not confirm which area (possibly Ikotun). Please confirm.</t>
        </is>
      </c>
    </row>
    <row r="165">
      <c r="A165" s="273" t="inlineStr">
        <is>
          <t>Destination</t>
        </is>
      </c>
      <c r="B165" s="273" t="inlineStr">
        <is>
          <t>IKM-SHAGARI-EGIGBO-IPAJA-AYOBO-OKOKOMAIKO-OSHODI-ISOLO</t>
        </is>
      </c>
      <c r="C165" s="273" t="inlineStr">
        <is>
          <t>IKM-Shagari-Ejigbo-Ipaja-Ayobo-Okokomaiko-Oshodi-Isolo</t>
        </is>
      </c>
      <c r="D165" s="273" t="inlineStr">
        <is>
          <t>Lagos</t>
        </is>
      </c>
      <c r="E165" s="273" t="inlineStr">
        <is>
          <t>Yes</t>
        </is>
      </c>
      <c r="F165" s="273" t="n">
        <v>15</v>
      </c>
      <c r="G165" s="273" t="inlineStr">
        <is>
          <t>NEW-DSL JMR</t>
        </is>
      </c>
      <c r="H165" s="273" t="inlineStr">
        <is>
          <t>'IKM' part kept as-is; please confirm what it stands for.</t>
        </is>
      </c>
    </row>
    <row r="166">
      <c r="A166" t="inlineStr">
        <is>
          <t>Destination</t>
        </is>
      </c>
      <c r="B166" t="inlineStr">
        <is>
          <t>IKOM</t>
        </is>
      </c>
      <c r="C166" t="inlineStr">
        <is>
          <t>Ikom</t>
        </is>
      </c>
      <c r="D166" t="inlineStr">
        <is>
          <t>Cross River</t>
        </is>
      </c>
      <c r="E166" t="inlineStr">
        <is>
          <t>Yes</t>
        </is>
      </c>
      <c r="F166" t="n">
        <v>5</v>
      </c>
      <c r="G166" t="inlineStr">
        <is>
          <t>Client Route And Contracts, NEW-DSL JMR</t>
        </is>
      </c>
      <c r="H166" t="inlineStr"/>
    </row>
    <row r="167">
      <c r="A167" t="inlineStr">
        <is>
          <t>Destination</t>
        </is>
      </c>
      <c r="B167" t="inlineStr">
        <is>
          <t>Ikom</t>
        </is>
      </c>
      <c r="C167" t="inlineStr">
        <is>
          <t>Ikom</t>
        </is>
      </c>
      <c r="D167" t="inlineStr">
        <is>
          <t>Cross River</t>
        </is>
      </c>
      <c r="E167" t="inlineStr">
        <is>
          <t>No</t>
        </is>
      </c>
      <c r="F167" t="n">
        <v>4</v>
      </c>
      <c r="G167" t="inlineStr">
        <is>
          <t>Client Route And Contracts, NEW-DSL JMR</t>
        </is>
      </c>
      <c r="H167" t="inlineStr"/>
    </row>
    <row r="168">
      <c r="A168" t="inlineStr">
        <is>
          <t>Destination</t>
        </is>
      </c>
      <c r="B168" t="inlineStr">
        <is>
          <t>IKORODU</t>
        </is>
      </c>
      <c r="C168" t="inlineStr">
        <is>
          <t>Ikorodu</t>
        </is>
      </c>
      <c r="D168" t="inlineStr">
        <is>
          <t>Lagos</t>
        </is>
      </c>
      <c r="E168" t="inlineStr">
        <is>
          <t>Yes</t>
        </is>
      </c>
      <c r="F168" t="n">
        <v>6</v>
      </c>
      <c r="G168" t="inlineStr">
        <is>
          <t>Client Route And Contracts, NEW-DSL JMR</t>
        </is>
      </c>
      <c r="H168" t="inlineStr"/>
    </row>
    <row r="169">
      <c r="A169" t="inlineStr">
        <is>
          <t>Destination</t>
        </is>
      </c>
      <c r="B169" t="inlineStr">
        <is>
          <t>Ikorodu</t>
        </is>
      </c>
      <c r="C169" t="inlineStr">
        <is>
          <t>Ikorodu</t>
        </is>
      </c>
      <c r="D169" t="inlineStr">
        <is>
          <t>Lagos</t>
        </is>
      </c>
      <c r="E169" t="inlineStr">
        <is>
          <t>No</t>
        </is>
      </c>
      <c r="F169" t="n">
        <v>1</v>
      </c>
      <c r="G169" t="inlineStr">
        <is>
          <t>Client Route And Contracts</t>
        </is>
      </c>
      <c r="H169" t="inlineStr"/>
    </row>
    <row r="170">
      <c r="A170" t="inlineStr">
        <is>
          <t>Destination</t>
        </is>
      </c>
      <c r="B170" t="inlineStr">
        <is>
          <t>IKOT ABASI</t>
        </is>
      </c>
      <c r="C170" t="inlineStr">
        <is>
          <t>Ikot Abasi</t>
        </is>
      </c>
      <c r="D170" t="inlineStr">
        <is>
          <t>Akwa Ibom</t>
        </is>
      </c>
      <c r="E170" t="inlineStr">
        <is>
          <t>Yes</t>
        </is>
      </c>
      <c r="F170" t="n">
        <v>2</v>
      </c>
      <c r="G170" t="inlineStr">
        <is>
          <t>Client Route And Contracts, NEW-DSL JMR</t>
        </is>
      </c>
      <c r="H170" t="inlineStr"/>
    </row>
    <row r="171">
      <c r="A171" t="inlineStr">
        <is>
          <t>Destination</t>
        </is>
      </c>
      <c r="B171" t="inlineStr">
        <is>
          <t>IKOT EKPENE</t>
        </is>
      </c>
      <c r="C171" t="inlineStr">
        <is>
          <t>Ikot Ekpene</t>
        </is>
      </c>
      <c r="D171" t="inlineStr">
        <is>
          <t>Akwa Ibom</t>
        </is>
      </c>
      <c r="E171" t="inlineStr">
        <is>
          <t>Yes</t>
        </is>
      </c>
      <c r="F171" t="n">
        <v>2</v>
      </c>
      <c r="G171" t="inlineStr">
        <is>
          <t>Client Route And Contracts, NEW-DSL JMR</t>
        </is>
      </c>
      <c r="H171" t="inlineStr"/>
    </row>
    <row r="172">
      <c r="A172" t="inlineStr">
        <is>
          <t>Destination</t>
        </is>
      </c>
      <c r="B172" t="inlineStr">
        <is>
          <t>Ikot Ekpene</t>
        </is>
      </c>
      <c r="C172" t="inlineStr">
        <is>
          <t>Ikot Ekpene</t>
        </is>
      </c>
      <c r="D172" t="inlineStr">
        <is>
          <t>Akwa Ibom</t>
        </is>
      </c>
      <c r="E172" t="inlineStr">
        <is>
          <t>No</t>
        </is>
      </c>
      <c r="F172" t="n">
        <v>5</v>
      </c>
      <c r="G172" t="inlineStr">
        <is>
          <t>Client Route And Contracts, NEW-DSL JMR</t>
        </is>
      </c>
      <c r="H172" t="inlineStr"/>
    </row>
    <row r="173">
      <c r="A173" t="inlineStr">
        <is>
          <t>Destination</t>
        </is>
      </c>
      <c r="B173" t="inlineStr">
        <is>
          <t>Ikoton</t>
        </is>
      </c>
      <c r="C173" t="inlineStr">
        <is>
          <t>Ikotun</t>
        </is>
      </c>
      <c r="D173" t="inlineStr">
        <is>
          <t>Lagos</t>
        </is>
      </c>
      <c r="E173" t="inlineStr">
        <is>
          <t>Yes</t>
        </is>
      </c>
      <c r="F173" t="n">
        <v>1</v>
      </c>
      <c r="G173" t="inlineStr">
        <is>
          <t>Client Route And Contracts</t>
        </is>
      </c>
      <c r="H173" t="inlineStr"/>
    </row>
    <row r="174">
      <c r="A174" t="inlineStr">
        <is>
          <t>Destination</t>
        </is>
      </c>
      <c r="B174" t="inlineStr">
        <is>
          <t>Ikotun</t>
        </is>
      </c>
      <c r="C174" t="inlineStr">
        <is>
          <t>Ikotun</t>
        </is>
      </c>
      <c r="D174" t="inlineStr">
        <is>
          <t>Lagos</t>
        </is>
      </c>
      <c r="E174" t="inlineStr">
        <is>
          <t>No</t>
        </is>
      </c>
      <c r="F174" t="n">
        <v>2</v>
      </c>
      <c r="G174" t="inlineStr">
        <is>
          <t>Client Route And Contracts</t>
        </is>
      </c>
      <c r="H174" t="inlineStr"/>
    </row>
    <row r="175">
      <c r="A175" s="273" t="inlineStr">
        <is>
          <t>Destination</t>
        </is>
      </c>
      <c r="B175" s="273" t="inlineStr">
        <is>
          <t>lara</t>
        </is>
      </c>
      <c r="C175" s="273" t="inlineStr">
        <is>
          <t>Ilaro</t>
        </is>
      </c>
      <c r="D175" s="273" t="inlineStr">
        <is>
          <t>Ogun</t>
        </is>
      </c>
      <c r="E175" s="273" t="inlineStr">
        <is>
          <t>Yes</t>
        </is>
      </c>
      <c r="F175" s="273" t="n">
        <v>4</v>
      </c>
      <c r="G175" s="273" t="inlineStr">
        <is>
          <t>Client Route And Contracts, NEW-DSL JMR</t>
        </is>
      </c>
      <c r="H175" s="273" t="inlineStr">
        <is>
          <t>Was 'lara' (Ogun, 43 km); read as Ilaro.</t>
        </is>
      </c>
    </row>
    <row r="176">
      <c r="A176" t="inlineStr">
        <is>
          <t>Destination</t>
        </is>
      </c>
      <c r="B176" t="inlineStr">
        <is>
          <t>ILE-EFE</t>
        </is>
      </c>
      <c r="C176" t="inlineStr">
        <is>
          <t>Ile-Ife</t>
        </is>
      </c>
      <c r="D176" t="inlineStr">
        <is>
          <t>Osun</t>
        </is>
      </c>
      <c r="E176" t="inlineStr">
        <is>
          <t>Yes</t>
        </is>
      </c>
      <c r="F176" t="n">
        <v>4</v>
      </c>
      <c r="G176" t="inlineStr">
        <is>
          <t>Client Route And Contracts, NEW-DSL JMR</t>
        </is>
      </c>
      <c r="H176" t="inlineStr"/>
    </row>
    <row r="177">
      <c r="A177" t="inlineStr">
        <is>
          <t>Destination</t>
        </is>
      </c>
      <c r="B177" t="inlineStr">
        <is>
          <t>Ile-Ife</t>
        </is>
      </c>
      <c r="C177" t="inlineStr">
        <is>
          <t>Ile-Ife</t>
        </is>
      </c>
      <c r="D177" t="inlineStr">
        <is>
          <t>Osun</t>
        </is>
      </c>
      <c r="E177" t="inlineStr">
        <is>
          <t>No</t>
        </is>
      </c>
      <c r="F177" t="n">
        <v>1</v>
      </c>
      <c r="G177" t="inlineStr">
        <is>
          <t>Client Route And Contracts</t>
        </is>
      </c>
      <c r="H177" t="inlineStr"/>
    </row>
    <row r="178">
      <c r="A178" t="inlineStr">
        <is>
          <t>Destination</t>
        </is>
      </c>
      <c r="B178" t="inlineStr">
        <is>
          <t>Ilesa</t>
        </is>
      </c>
      <c r="C178" t="inlineStr">
        <is>
          <t>Ilesa</t>
        </is>
      </c>
      <c r="D178" t="inlineStr">
        <is>
          <t>Osun</t>
        </is>
      </c>
      <c r="E178" t="inlineStr">
        <is>
          <t>No</t>
        </is>
      </c>
      <c r="F178" t="n">
        <v>1</v>
      </c>
      <c r="G178" t="inlineStr">
        <is>
          <t>Client Route And Contracts</t>
        </is>
      </c>
      <c r="H178" t="inlineStr"/>
    </row>
    <row r="179">
      <c r="A179" s="273" t="inlineStr">
        <is>
          <t>Destination</t>
        </is>
      </c>
      <c r="B179" s="273" t="inlineStr">
        <is>
          <t>lella</t>
        </is>
      </c>
      <c r="C179" s="273" t="inlineStr">
        <is>
          <t>Illela</t>
        </is>
      </c>
      <c r="D179" s="273" t="inlineStr">
        <is>
          <t>Sokoto</t>
        </is>
      </c>
      <c r="E179" s="273" t="inlineStr">
        <is>
          <t>Yes</t>
        </is>
      </c>
      <c r="F179" s="273" t="n">
        <v>4</v>
      </c>
      <c r="G179" s="273" t="inlineStr">
        <is>
          <t>Client Route And Contracts, NEW-DSL JMR</t>
        </is>
      </c>
      <c r="H179" s="273" t="inlineStr">
        <is>
          <t>Was 'lella'; read as Illela, Sokoto.</t>
        </is>
      </c>
    </row>
    <row r="180">
      <c r="A180" t="inlineStr">
        <is>
          <t>Destination</t>
        </is>
      </c>
      <c r="B180" t="inlineStr">
        <is>
          <t>ILORIN</t>
        </is>
      </c>
      <c r="C180" t="inlineStr">
        <is>
          <t>Ilorin</t>
        </is>
      </c>
      <c r="D180" t="inlineStr">
        <is>
          <t>Kwara</t>
        </is>
      </c>
      <c r="E180" t="inlineStr">
        <is>
          <t>Yes</t>
        </is>
      </c>
      <c r="F180" t="n">
        <v>8</v>
      </c>
      <c r="G180" t="inlineStr">
        <is>
          <t>Client Route And Contracts, NEW-DSL JMR</t>
        </is>
      </c>
      <c r="H180" t="inlineStr"/>
    </row>
    <row r="181">
      <c r="A181" t="inlineStr">
        <is>
          <t>Destination</t>
        </is>
      </c>
      <c r="B181" t="inlineStr">
        <is>
          <t>Ilorin</t>
        </is>
      </c>
      <c r="C181" t="inlineStr">
        <is>
          <t>Ilorin</t>
        </is>
      </c>
      <c r="D181" t="inlineStr">
        <is>
          <t>Kwara</t>
        </is>
      </c>
      <c r="E181" t="inlineStr">
        <is>
          <t>No</t>
        </is>
      </c>
      <c r="F181" t="n">
        <v>3</v>
      </c>
      <c r="G181" t="inlineStr">
        <is>
          <t>Client Route And Contracts</t>
        </is>
      </c>
      <c r="H181" t="inlineStr"/>
    </row>
    <row r="182">
      <c r="A182" t="inlineStr">
        <is>
          <t>Destination</t>
        </is>
      </c>
      <c r="B182" t="inlineStr">
        <is>
          <t>lorin</t>
        </is>
      </c>
      <c r="C182" t="inlineStr">
        <is>
          <t>Ilorin</t>
        </is>
      </c>
      <c r="D182" t="inlineStr">
        <is>
          <t>Kwara</t>
        </is>
      </c>
      <c r="E182" t="inlineStr">
        <is>
          <t>Yes</t>
        </is>
      </c>
      <c r="F182" t="n">
        <v>4</v>
      </c>
      <c r="G182" t="inlineStr">
        <is>
          <t>Client Route And Contracts, NEW-DSL JMR</t>
        </is>
      </c>
      <c r="H182" t="inlineStr"/>
    </row>
    <row r="183">
      <c r="A183" t="inlineStr">
        <is>
          <t>Destination</t>
        </is>
      </c>
      <c r="B183" t="inlineStr">
        <is>
          <t>ILUPEJU</t>
        </is>
      </c>
      <c r="C183" t="inlineStr">
        <is>
          <t>Ilupeju</t>
        </is>
      </c>
      <c r="D183" t="inlineStr">
        <is>
          <t>Lagos</t>
        </is>
      </c>
      <c r="E183" t="inlineStr">
        <is>
          <t>Yes</t>
        </is>
      </c>
      <c r="F183" t="n">
        <v>2</v>
      </c>
      <c r="G183" t="inlineStr">
        <is>
          <t>Client Route And Contracts</t>
        </is>
      </c>
      <c r="H183" t="inlineStr"/>
    </row>
    <row r="184">
      <c r="A184" t="inlineStr">
        <is>
          <t>Destination</t>
        </is>
      </c>
      <c r="B184" t="inlineStr">
        <is>
          <t>Ilupeju</t>
        </is>
      </c>
      <c r="C184" t="inlineStr">
        <is>
          <t>Ilupeju</t>
        </is>
      </c>
      <c r="D184" t="inlineStr">
        <is>
          <t>Lagos</t>
        </is>
      </c>
      <c r="E184" t="inlineStr">
        <is>
          <t>No</t>
        </is>
      </c>
      <c r="F184" t="n">
        <v>3</v>
      </c>
      <c r="G184" t="inlineStr">
        <is>
          <t>Client Route And Contracts</t>
        </is>
      </c>
      <c r="H184" t="inlineStr"/>
    </row>
    <row r="185">
      <c r="A185" t="inlineStr">
        <is>
          <t>Destination</t>
        </is>
      </c>
      <c r="B185" t="inlineStr">
        <is>
          <t>Ilupeju-GBD-APAPA-MUSHIN-OKOTA-FADEYI</t>
        </is>
      </c>
      <c r="C185" t="inlineStr">
        <is>
          <t>Ilupeju-Gbagada-Apapa-Mushin-Okota-Fadeyi</t>
        </is>
      </c>
      <c r="D185" t="inlineStr">
        <is>
          <t>Lagos</t>
        </is>
      </c>
      <c r="E185" t="inlineStr">
        <is>
          <t>Yes</t>
        </is>
      </c>
      <c r="F185" t="n">
        <v>21</v>
      </c>
      <c r="G185" t="inlineStr">
        <is>
          <t>Client Route And Contracts, NEW-DSL JMR</t>
        </is>
      </c>
      <c r="H185" t="inlineStr"/>
    </row>
    <row r="186">
      <c r="A186" t="inlineStr">
        <is>
          <t>Destination</t>
        </is>
      </c>
      <c r="B186" t="inlineStr">
        <is>
          <t>Imeko</t>
        </is>
      </c>
      <c r="C186" t="inlineStr">
        <is>
          <t>Imeko</t>
        </is>
      </c>
      <c r="D186" t="inlineStr">
        <is>
          <t>Ogun</t>
        </is>
      </c>
      <c r="E186" t="inlineStr">
        <is>
          <t>No</t>
        </is>
      </c>
      <c r="F186" t="n">
        <v>4</v>
      </c>
      <c r="G186" t="inlineStr">
        <is>
          <t>Client Route And Contracts, NEW-DSL JMR</t>
        </is>
      </c>
      <c r="H186" t="inlineStr"/>
    </row>
    <row r="187">
      <c r="A187" s="273" t="inlineStr">
        <is>
          <t>Destination</t>
        </is>
      </c>
      <c r="B187" s="273" t="inlineStr">
        <is>
          <t>IMO STATE</t>
        </is>
      </c>
      <c r="C187" s="273" t="inlineStr">
        <is>
          <t>Imo</t>
        </is>
      </c>
      <c r="D187" s="273" t="inlineStr">
        <is>
          <t>Imo</t>
        </is>
      </c>
      <c r="E187" s="273" t="inlineStr">
        <is>
          <t>Yes</t>
        </is>
      </c>
      <c r="F187" s="273" t="n">
        <v>2</v>
      </c>
      <c r="G187" s="273" t="inlineStr">
        <is>
          <t>Client Route And Contracts, NEW-DSL JMR</t>
        </is>
      </c>
      <c r="H187" s="273" t="inlineStr">
        <is>
          <t>State name used as destination (no specific town given in the original).</t>
        </is>
      </c>
    </row>
    <row r="188">
      <c r="A188" s="273" t="inlineStr">
        <is>
          <t>Destination</t>
        </is>
      </c>
      <c r="B188" s="273" t="inlineStr">
        <is>
          <t>Imo</t>
        </is>
      </c>
      <c r="C188" s="273" t="inlineStr">
        <is>
          <t>Imo</t>
        </is>
      </c>
      <c r="D188" s="273" t="inlineStr">
        <is>
          <t>Imo</t>
        </is>
      </c>
      <c r="E188" s="273" t="inlineStr">
        <is>
          <t>No</t>
        </is>
      </c>
      <c r="F188" s="273" t="n">
        <v>3</v>
      </c>
      <c r="G188" s="273" t="inlineStr">
        <is>
          <t>Client Route And Contracts</t>
        </is>
      </c>
      <c r="H188" s="273" t="inlineStr">
        <is>
          <t>State name used as destination (no specific town given in the original).</t>
        </is>
      </c>
    </row>
    <row r="189">
      <c r="A189" t="inlineStr">
        <is>
          <t>Destination</t>
        </is>
      </c>
      <c r="B189" t="inlineStr">
        <is>
          <t>IPAJA</t>
        </is>
      </c>
      <c r="C189" t="inlineStr">
        <is>
          <t>Ipaja</t>
        </is>
      </c>
      <c r="D189" t="inlineStr">
        <is>
          <t>Lagos</t>
        </is>
      </c>
      <c r="E189" t="inlineStr">
        <is>
          <t>Yes</t>
        </is>
      </c>
      <c r="F189" t="n">
        <v>2</v>
      </c>
      <c r="G189" t="inlineStr">
        <is>
          <t>Client Route And Contracts</t>
        </is>
      </c>
      <c r="H189" t="inlineStr"/>
    </row>
    <row r="190">
      <c r="A190" t="inlineStr">
        <is>
          <t>Destination</t>
        </is>
      </c>
      <c r="B190" t="inlineStr">
        <is>
          <t>Iseyin</t>
        </is>
      </c>
      <c r="C190" t="inlineStr">
        <is>
          <t>Iseyin</t>
        </is>
      </c>
      <c r="D190" t="inlineStr">
        <is>
          <t>Oyo</t>
        </is>
      </c>
      <c r="E190" t="inlineStr">
        <is>
          <t>No</t>
        </is>
      </c>
      <c r="F190" t="n">
        <v>9</v>
      </c>
      <c r="G190" t="inlineStr">
        <is>
          <t>Client Route And Contracts, NEW-DSL JMR</t>
        </is>
      </c>
      <c r="H190" t="inlineStr"/>
    </row>
    <row r="191">
      <c r="A191" t="inlineStr">
        <is>
          <t>Destination</t>
        </is>
      </c>
      <c r="B191" t="inlineStr">
        <is>
          <t>ISIOKPO</t>
        </is>
      </c>
      <c r="C191" t="inlineStr">
        <is>
          <t>Isiokpo</t>
        </is>
      </c>
      <c r="D191" t="inlineStr">
        <is>
          <t>Rivers</t>
        </is>
      </c>
      <c r="E191" t="inlineStr">
        <is>
          <t>Yes</t>
        </is>
      </c>
      <c r="F191" t="n">
        <v>2</v>
      </c>
      <c r="G191" t="inlineStr">
        <is>
          <t>Client Route And Contracts, NEW-DSL JMR</t>
        </is>
      </c>
      <c r="H191" t="inlineStr"/>
    </row>
    <row r="192">
      <c r="A192" t="inlineStr">
        <is>
          <t>Destination</t>
        </is>
      </c>
      <c r="B192" t="inlineStr">
        <is>
          <t>ISOLO</t>
        </is>
      </c>
      <c r="C192" t="inlineStr">
        <is>
          <t>Isolo</t>
        </is>
      </c>
      <c r="D192" t="inlineStr">
        <is>
          <t>Lagos</t>
        </is>
      </c>
      <c r="E192" t="inlineStr">
        <is>
          <t>Yes</t>
        </is>
      </c>
      <c r="F192" t="n">
        <v>4</v>
      </c>
      <c r="G192" t="inlineStr">
        <is>
          <t>Client Route And Contracts</t>
        </is>
      </c>
      <c r="H192" t="inlineStr"/>
    </row>
    <row r="193">
      <c r="A193" t="inlineStr">
        <is>
          <t>Destination</t>
        </is>
      </c>
      <c r="B193" t="inlineStr">
        <is>
          <t>Isolo</t>
        </is>
      </c>
      <c r="C193" t="inlineStr">
        <is>
          <t>Isolo</t>
        </is>
      </c>
      <c r="D193" t="inlineStr">
        <is>
          <t>Lagos</t>
        </is>
      </c>
      <c r="E193" t="inlineStr">
        <is>
          <t>No</t>
        </is>
      </c>
      <c r="F193" t="n">
        <v>4</v>
      </c>
      <c r="G193" t="inlineStr">
        <is>
          <t>Client Route And Contracts, NEW-DSL JMR</t>
        </is>
      </c>
      <c r="H193" t="inlineStr"/>
    </row>
    <row r="194">
      <c r="A194" t="inlineStr">
        <is>
          <t>Destination</t>
        </is>
      </c>
      <c r="B194" t="inlineStr">
        <is>
          <t>ITU</t>
        </is>
      </c>
      <c r="C194" t="inlineStr">
        <is>
          <t>Itu</t>
        </is>
      </c>
      <c r="D194" t="inlineStr">
        <is>
          <t>Akwa Ibom</t>
        </is>
      </c>
      <c r="E194" t="inlineStr">
        <is>
          <t>Yes</t>
        </is>
      </c>
      <c r="F194" t="n">
        <v>2</v>
      </c>
      <c r="G194" t="inlineStr">
        <is>
          <t>Client Route And Contracts, NEW-DSL JMR</t>
        </is>
      </c>
      <c r="H194" t="inlineStr"/>
    </row>
    <row r="195">
      <c r="A195" t="inlineStr">
        <is>
          <t>Destination</t>
        </is>
      </c>
      <c r="B195" t="inlineStr">
        <is>
          <t>IYANA PAJA</t>
        </is>
      </c>
      <c r="C195" t="inlineStr">
        <is>
          <t>Iyana Ipaja</t>
        </is>
      </c>
      <c r="D195" t="inlineStr">
        <is>
          <t>Lagos</t>
        </is>
      </c>
      <c r="E195" t="inlineStr">
        <is>
          <t>Yes</t>
        </is>
      </c>
      <c r="F195" t="n">
        <v>4</v>
      </c>
      <c r="G195" t="inlineStr">
        <is>
          <t>Client Route And Contracts, NEW-DSL JMR</t>
        </is>
      </c>
      <c r="H195" t="inlineStr"/>
    </row>
    <row r="196">
      <c r="A196" t="inlineStr">
        <is>
          <t>Destination</t>
        </is>
      </c>
      <c r="B196" t="inlineStr">
        <is>
          <t>JABI</t>
        </is>
      </c>
      <c r="C196" t="inlineStr">
        <is>
          <t>Jabi</t>
        </is>
      </c>
      <c r="D196" t="inlineStr">
        <is>
          <t>FCT</t>
        </is>
      </c>
      <c r="E196" t="inlineStr">
        <is>
          <t>Yes</t>
        </is>
      </c>
      <c r="F196" t="n">
        <v>2</v>
      </c>
      <c r="G196" t="inlineStr">
        <is>
          <t>Client Route And Contracts, NEW-DSL JMR</t>
        </is>
      </c>
      <c r="H196" t="inlineStr"/>
    </row>
    <row r="197">
      <c r="A197" t="inlineStr">
        <is>
          <t>Destination</t>
        </is>
      </c>
      <c r="B197" t="inlineStr">
        <is>
          <t>Jalingo</t>
        </is>
      </c>
      <c r="C197" t="inlineStr">
        <is>
          <t>Jalingo</t>
        </is>
      </c>
      <c r="D197" t="inlineStr">
        <is>
          <t>Taraba</t>
        </is>
      </c>
      <c r="E197" t="inlineStr">
        <is>
          <t>No</t>
        </is>
      </c>
      <c r="F197" t="n">
        <v>10</v>
      </c>
      <c r="G197" t="inlineStr">
        <is>
          <t>Client Route And Contracts, NEW-DSL JMR</t>
        </is>
      </c>
      <c r="H197" t="inlineStr"/>
    </row>
    <row r="198">
      <c r="A198" t="inlineStr">
        <is>
          <t>Destination</t>
        </is>
      </c>
      <c r="B198" t="inlineStr">
        <is>
          <t>JANKARA</t>
        </is>
      </c>
      <c r="C198" t="inlineStr">
        <is>
          <t>Jankara</t>
        </is>
      </c>
      <c r="D198" t="inlineStr">
        <is>
          <t>Lagos</t>
        </is>
      </c>
      <c r="E198" t="inlineStr">
        <is>
          <t>Yes</t>
        </is>
      </c>
      <c r="F198" t="n">
        <v>4</v>
      </c>
      <c r="G198" t="inlineStr">
        <is>
          <t>Client Route And Contracts, NEW-DSL JMR</t>
        </is>
      </c>
      <c r="H198" t="inlineStr"/>
    </row>
    <row r="199">
      <c r="A199" t="inlineStr">
        <is>
          <t>Destination</t>
        </is>
      </c>
      <c r="B199" t="inlineStr">
        <is>
          <t>Jebba</t>
        </is>
      </c>
      <c r="C199" t="inlineStr">
        <is>
          <t>Jebba</t>
        </is>
      </c>
      <c r="D199" t="inlineStr">
        <is>
          <t>Kwara</t>
        </is>
      </c>
      <c r="E199" t="inlineStr">
        <is>
          <t>No</t>
        </is>
      </c>
      <c r="F199" t="n">
        <v>5</v>
      </c>
      <c r="G199" t="inlineStr">
        <is>
          <t>Client Route And Contracts, NEW-DSL JMR</t>
        </is>
      </c>
      <c r="H199" t="inlineStr"/>
    </row>
    <row r="200">
      <c r="A200" s="273" t="inlineStr">
        <is>
          <t>Destination</t>
        </is>
      </c>
      <c r="B200" s="273" t="inlineStr">
        <is>
          <t>JEGA</t>
        </is>
      </c>
      <c r="C200" s="273" t="inlineStr">
        <is>
          <t>Jega</t>
        </is>
      </c>
      <c r="D200" s="273" t="inlineStr">
        <is>
          <t>Kebbi</t>
        </is>
      </c>
      <c r="E200" s="273" t="inlineStr">
        <is>
          <t>Yes</t>
        </is>
      </c>
      <c r="F200" s="273" t="n">
        <v>2</v>
      </c>
      <c r="G200" s="273" t="inlineStr">
        <is>
          <t>Client Route And Contracts, NEW-DSL JMR</t>
        </is>
      </c>
      <c r="H200" s="273" t="inlineStr">
        <is>
          <t>Abuja-loaded row is 26 km, which doesn't match Jega town (Kebbi). Check that row.</t>
        </is>
      </c>
    </row>
    <row r="201">
      <c r="A201" t="inlineStr">
        <is>
          <t>Destination</t>
        </is>
      </c>
      <c r="B201" t="inlineStr">
        <is>
          <t>JIKOYI</t>
        </is>
      </c>
      <c r="C201" t="inlineStr">
        <is>
          <t>Jikwoyi</t>
        </is>
      </c>
      <c r="D201" t="inlineStr">
        <is>
          <t>FCT</t>
        </is>
      </c>
      <c r="E201" t="inlineStr">
        <is>
          <t>Yes</t>
        </is>
      </c>
      <c r="F201" t="n">
        <v>2</v>
      </c>
      <c r="G201" t="inlineStr">
        <is>
          <t>Client Route And Contracts, NEW-DSL JMR</t>
        </is>
      </c>
      <c r="H201" t="inlineStr"/>
    </row>
    <row r="202">
      <c r="A202" t="inlineStr">
        <is>
          <t>Destination</t>
        </is>
      </c>
      <c r="B202" t="inlineStr">
        <is>
          <t>JOS</t>
        </is>
      </c>
      <c r="C202" t="inlineStr">
        <is>
          <t>Jos</t>
        </is>
      </c>
      <c r="D202" t="inlineStr">
        <is>
          <t>Plateau</t>
        </is>
      </c>
      <c r="E202" t="inlineStr">
        <is>
          <t>Yes</t>
        </is>
      </c>
      <c r="F202" t="n">
        <v>3</v>
      </c>
      <c r="G202" t="inlineStr">
        <is>
          <t>Client Route And Contracts</t>
        </is>
      </c>
      <c r="H202" t="inlineStr"/>
    </row>
    <row r="203">
      <c r="A203" t="inlineStr">
        <is>
          <t>Destination</t>
        </is>
      </c>
      <c r="B203" t="inlineStr">
        <is>
          <t>Jos</t>
        </is>
      </c>
      <c r="C203" t="inlineStr">
        <is>
          <t>Jos</t>
        </is>
      </c>
      <c r="D203" t="inlineStr">
        <is>
          <t>Plateau</t>
        </is>
      </c>
      <c r="E203" t="inlineStr">
        <is>
          <t>No</t>
        </is>
      </c>
      <c r="F203" t="n">
        <v>9</v>
      </c>
      <c r="G203" t="inlineStr">
        <is>
          <t>Client Route And Contracts, NEW-DSL JMR</t>
        </is>
      </c>
      <c r="H203" t="inlineStr"/>
    </row>
    <row r="204">
      <c r="A204" t="inlineStr">
        <is>
          <t>Destination</t>
        </is>
      </c>
      <c r="B204" t="inlineStr">
        <is>
          <t>KABBA</t>
        </is>
      </c>
      <c r="C204" t="inlineStr">
        <is>
          <t>Kabba</t>
        </is>
      </c>
      <c r="D204" t="inlineStr">
        <is>
          <t>Kogi</t>
        </is>
      </c>
      <c r="E204" t="inlineStr">
        <is>
          <t>Yes</t>
        </is>
      </c>
      <c r="F204" t="n">
        <v>2</v>
      </c>
      <c r="G204" t="inlineStr">
        <is>
          <t>Client Route And Contracts</t>
        </is>
      </c>
      <c r="H204" t="inlineStr"/>
    </row>
    <row r="205">
      <c r="A205" t="inlineStr">
        <is>
          <t>Destination</t>
        </is>
      </c>
      <c r="B205" t="inlineStr">
        <is>
          <t>KADO</t>
        </is>
      </c>
      <c r="C205" t="inlineStr">
        <is>
          <t>Kado</t>
        </is>
      </c>
      <c r="D205" t="inlineStr">
        <is>
          <t>FCT</t>
        </is>
      </c>
      <c r="E205" t="inlineStr">
        <is>
          <t>Yes</t>
        </is>
      </c>
      <c r="F205" t="n">
        <v>2</v>
      </c>
      <c r="G205" t="inlineStr">
        <is>
          <t>Client Route And Contracts, NEW-DSL JMR</t>
        </is>
      </c>
      <c r="H205" t="inlineStr"/>
    </row>
    <row r="206">
      <c r="A206" t="inlineStr">
        <is>
          <t>Destination</t>
        </is>
      </c>
      <c r="B206" t="inlineStr">
        <is>
          <t>KADUNA</t>
        </is>
      </c>
      <c r="C206" t="inlineStr">
        <is>
          <t>Kaduna</t>
        </is>
      </c>
      <c r="D206" t="inlineStr">
        <is>
          <t>Kaduna</t>
        </is>
      </c>
      <c r="E206" t="inlineStr">
        <is>
          <t>Yes</t>
        </is>
      </c>
      <c r="F206" t="n">
        <v>7</v>
      </c>
      <c r="G206" t="inlineStr">
        <is>
          <t>Client Route And Contracts, NEW-DSL JMR</t>
        </is>
      </c>
      <c r="H206" t="inlineStr"/>
    </row>
    <row r="207">
      <c r="A207" t="inlineStr">
        <is>
          <t>Destination</t>
        </is>
      </c>
      <c r="B207" t="inlineStr">
        <is>
          <t>Kaduna</t>
        </is>
      </c>
      <c r="C207" t="inlineStr">
        <is>
          <t>Kaduna</t>
        </is>
      </c>
      <c r="D207" t="inlineStr">
        <is>
          <t>Kaduna</t>
        </is>
      </c>
      <c r="E207" t="inlineStr">
        <is>
          <t>No</t>
        </is>
      </c>
      <c r="F207" t="n">
        <v>13</v>
      </c>
      <c r="G207" t="inlineStr">
        <is>
          <t>Client Route And Contracts, NEW-DSL JMR</t>
        </is>
      </c>
      <c r="H207" t="inlineStr"/>
    </row>
    <row r="208">
      <c r="A208" t="inlineStr">
        <is>
          <t>Destination</t>
        </is>
      </c>
      <c r="B208" t="inlineStr">
        <is>
          <t>Kayama</t>
        </is>
      </c>
      <c r="C208" t="inlineStr">
        <is>
          <t>Kaiama</t>
        </is>
      </c>
      <c r="D208" t="inlineStr">
        <is>
          <t>Kwara</t>
        </is>
      </c>
      <c r="E208" t="inlineStr">
        <is>
          <t>Yes</t>
        </is>
      </c>
      <c r="F208" t="n">
        <v>4</v>
      </c>
      <c r="G208" t="inlineStr">
        <is>
          <t>Client Route And Contracts, NEW-DSL JMR</t>
        </is>
      </c>
      <c r="H208" t="inlineStr"/>
    </row>
    <row r="209">
      <c r="A209" t="inlineStr">
        <is>
          <t>Destination</t>
        </is>
      </c>
      <c r="B209" t="inlineStr">
        <is>
          <t>KANO</t>
        </is>
      </c>
      <c r="C209" t="inlineStr">
        <is>
          <t>Kano</t>
        </is>
      </c>
      <c r="D209" t="inlineStr">
        <is>
          <t>Kano</t>
        </is>
      </c>
      <c r="E209" t="inlineStr">
        <is>
          <t>Yes</t>
        </is>
      </c>
      <c r="F209" t="n">
        <v>3</v>
      </c>
      <c r="G209" t="inlineStr">
        <is>
          <t>Client Route And Contracts</t>
        </is>
      </c>
      <c r="H209" t="inlineStr"/>
    </row>
    <row r="210">
      <c r="A210" t="inlineStr">
        <is>
          <t>Destination</t>
        </is>
      </c>
      <c r="B210" t="inlineStr">
        <is>
          <t>Kano</t>
        </is>
      </c>
      <c r="C210" t="inlineStr">
        <is>
          <t>Kano</t>
        </is>
      </c>
      <c r="D210" t="inlineStr">
        <is>
          <t>Kano</t>
        </is>
      </c>
      <c r="E210" t="inlineStr">
        <is>
          <t>No</t>
        </is>
      </c>
      <c r="F210" t="n">
        <v>24</v>
      </c>
      <c r="G210" t="inlineStr">
        <is>
          <t>Client Route And Contracts, NEW-DSL JMR</t>
        </is>
      </c>
      <c r="H210" t="inlineStr"/>
    </row>
    <row r="211">
      <c r="A211" t="inlineStr">
        <is>
          <t>Destination</t>
        </is>
      </c>
      <c r="B211" t="inlineStr">
        <is>
          <t>kano</t>
        </is>
      </c>
      <c r="C211" t="inlineStr">
        <is>
          <t>Kano</t>
        </is>
      </c>
      <c r="D211" t="inlineStr">
        <is>
          <t>Kano</t>
        </is>
      </c>
      <c r="E211" t="inlineStr">
        <is>
          <t>Yes</t>
        </is>
      </c>
      <c r="F211" t="n">
        <v>1</v>
      </c>
      <c r="G211" t="inlineStr">
        <is>
          <t>Client Route And Contracts</t>
        </is>
      </c>
      <c r="H211" t="inlineStr"/>
    </row>
    <row r="212">
      <c r="A212" t="inlineStr">
        <is>
          <t>Destination</t>
        </is>
      </c>
      <c r="B212" t="inlineStr">
        <is>
          <t>KARMO</t>
        </is>
      </c>
      <c r="C212" t="inlineStr">
        <is>
          <t>Karmo</t>
        </is>
      </c>
      <c r="D212" t="inlineStr">
        <is>
          <t>FCT</t>
        </is>
      </c>
      <c r="E212" t="inlineStr">
        <is>
          <t>Yes</t>
        </is>
      </c>
      <c r="F212" t="n">
        <v>2</v>
      </c>
      <c r="G212" t="inlineStr">
        <is>
          <t>Client Route And Contracts, NEW-DSL JMR</t>
        </is>
      </c>
      <c r="H212" t="inlineStr"/>
    </row>
    <row r="213">
      <c r="A213" t="inlineStr">
        <is>
          <t>Destination</t>
        </is>
      </c>
      <c r="B213" t="inlineStr">
        <is>
          <t>KARSHI</t>
        </is>
      </c>
      <c r="C213" t="inlineStr">
        <is>
          <t>Karshi</t>
        </is>
      </c>
      <c r="D213" t="inlineStr">
        <is>
          <t>FCT</t>
        </is>
      </c>
      <c r="E213" t="inlineStr">
        <is>
          <t>Yes</t>
        </is>
      </c>
      <c r="F213" t="n">
        <v>2</v>
      </c>
      <c r="G213" t="inlineStr">
        <is>
          <t>Client Route And Contracts, NEW-DSL JMR</t>
        </is>
      </c>
      <c r="H213" t="inlineStr"/>
    </row>
    <row r="214">
      <c r="A214" t="inlineStr">
        <is>
          <t>Destination</t>
        </is>
      </c>
      <c r="B214" t="inlineStr">
        <is>
          <t>KARU</t>
        </is>
      </c>
      <c r="C214" t="inlineStr">
        <is>
          <t>Karu</t>
        </is>
      </c>
      <c r="D214" t="inlineStr">
        <is>
          <t>FCT</t>
        </is>
      </c>
      <c r="E214" t="inlineStr">
        <is>
          <t>Yes</t>
        </is>
      </c>
      <c r="F214" t="n">
        <v>2</v>
      </c>
      <c r="G214" t="inlineStr">
        <is>
          <t>Client Route And Contracts, NEW-DSL JMR</t>
        </is>
      </c>
      <c r="H214" t="inlineStr"/>
    </row>
    <row r="215">
      <c r="A215" t="inlineStr">
        <is>
          <t>Destination</t>
        </is>
      </c>
      <c r="B215" t="inlineStr">
        <is>
          <t>KASANA</t>
        </is>
      </c>
      <c r="C215" t="inlineStr">
        <is>
          <t>Kasana</t>
        </is>
      </c>
      <c r="D215" t="inlineStr">
        <is>
          <t>FCT</t>
        </is>
      </c>
      <c r="E215" t="inlineStr">
        <is>
          <t>Yes</t>
        </is>
      </c>
      <c r="F215" t="n">
        <v>2</v>
      </c>
      <c r="G215" t="inlineStr">
        <is>
          <t>Client Route And Contracts, NEW-DSL JMR</t>
        </is>
      </c>
      <c r="H215" t="inlineStr"/>
    </row>
    <row r="216">
      <c r="A216" t="inlineStr">
        <is>
          <t>Destination</t>
        </is>
      </c>
      <c r="B216" t="inlineStr">
        <is>
          <t>KETAMPE</t>
        </is>
      </c>
      <c r="C216" t="inlineStr">
        <is>
          <t>Katampe</t>
        </is>
      </c>
      <c r="D216" t="inlineStr">
        <is>
          <t>FCT</t>
        </is>
      </c>
      <c r="E216" t="inlineStr">
        <is>
          <t>Yes</t>
        </is>
      </c>
      <c r="F216" t="n">
        <v>2</v>
      </c>
      <c r="G216" t="inlineStr">
        <is>
          <t>Client Route And Contracts, NEW-DSL JMR</t>
        </is>
      </c>
      <c r="H216" t="inlineStr"/>
    </row>
    <row r="217">
      <c r="A217" t="inlineStr">
        <is>
          <t>Destination</t>
        </is>
      </c>
      <c r="B217" t="inlineStr">
        <is>
          <t>KATSINA</t>
        </is>
      </c>
      <c r="C217" t="inlineStr">
        <is>
          <t>Katsina</t>
        </is>
      </c>
      <c r="D217" t="inlineStr">
        <is>
          <t>Katsina</t>
        </is>
      </c>
      <c r="E217" t="inlineStr">
        <is>
          <t>Yes</t>
        </is>
      </c>
      <c r="F217" t="n">
        <v>1</v>
      </c>
      <c r="G217" t="inlineStr">
        <is>
          <t>Client Route And Contracts</t>
        </is>
      </c>
      <c r="H217" t="inlineStr"/>
    </row>
    <row r="218">
      <c r="A218" t="inlineStr">
        <is>
          <t>Destination</t>
        </is>
      </c>
      <c r="B218" t="inlineStr">
        <is>
          <t>Kastina</t>
        </is>
      </c>
      <c r="C218" t="inlineStr">
        <is>
          <t>Katsina</t>
        </is>
      </c>
      <c r="D218" t="inlineStr">
        <is>
          <t>Katsina</t>
        </is>
      </c>
      <c r="E218" t="inlineStr">
        <is>
          <t>Yes</t>
        </is>
      </c>
      <c r="F218" t="n">
        <v>4</v>
      </c>
      <c r="G218" t="inlineStr">
        <is>
          <t>Client Route And Contracts, NEW-DSL JMR</t>
        </is>
      </c>
      <c r="H218" t="inlineStr"/>
    </row>
    <row r="219">
      <c r="A219" t="inlineStr">
        <is>
          <t>Destination</t>
        </is>
      </c>
      <c r="B219" t="inlineStr">
        <is>
          <t>Katsina</t>
        </is>
      </c>
      <c r="C219" t="inlineStr">
        <is>
          <t>Katsina</t>
        </is>
      </c>
      <c r="D219" t="inlineStr">
        <is>
          <t>Katsina</t>
        </is>
      </c>
      <c r="E219" t="inlineStr">
        <is>
          <t>No</t>
        </is>
      </c>
      <c r="F219" t="n">
        <v>1</v>
      </c>
      <c r="G219" t="inlineStr">
        <is>
          <t>Client Route And Contracts</t>
        </is>
      </c>
      <c r="H219" t="inlineStr"/>
    </row>
    <row r="220">
      <c r="A220" t="inlineStr">
        <is>
          <t>Destination</t>
        </is>
      </c>
      <c r="B220" t="inlineStr">
        <is>
          <t>Kastina ala</t>
        </is>
      </c>
      <c r="C220" t="inlineStr">
        <is>
          <t>Katsina-Ala</t>
        </is>
      </c>
      <c r="D220" t="inlineStr">
        <is>
          <t>Benue</t>
        </is>
      </c>
      <c r="E220" t="inlineStr">
        <is>
          <t>Yes</t>
        </is>
      </c>
      <c r="F220" t="n">
        <v>4</v>
      </c>
      <c r="G220" t="inlineStr">
        <is>
          <t>Client Route And Contracts, NEW-DSL JMR</t>
        </is>
      </c>
      <c r="H220" t="inlineStr"/>
    </row>
    <row r="221">
      <c r="A221" t="inlineStr">
        <is>
          <t>Destination</t>
        </is>
      </c>
      <c r="B221" t="inlineStr">
        <is>
          <t>Keffi</t>
        </is>
      </c>
      <c r="C221" t="inlineStr">
        <is>
          <t>Keffi</t>
        </is>
      </c>
      <c r="D221" t="inlineStr">
        <is>
          <t>Nasarawa</t>
        </is>
      </c>
      <c r="E221" t="inlineStr">
        <is>
          <t>No</t>
        </is>
      </c>
      <c r="F221" t="n">
        <v>6</v>
      </c>
      <c r="G221" t="inlineStr">
        <is>
          <t>Client Route And Contracts, NEW-DSL JMR</t>
        </is>
      </c>
      <c r="H221" t="inlineStr"/>
    </row>
    <row r="222">
      <c r="A222" t="inlineStr">
        <is>
          <t>Destination</t>
        </is>
      </c>
      <c r="B222" t="inlineStr">
        <is>
          <t xml:space="preserve">Keffi </t>
        </is>
      </c>
      <c r="C222" t="inlineStr">
        <is>
          <t>Keffi</t>
        </is>
      </c>
      <c r="D222" t="inlineStr">
        <is>
          <t>Nasarawa</t>
        </is>
      </c>
      <c r="E222" t="inlineStr">
        <is>
          <t>Yes</t>
        </is>
      </c>
      <c r="F222" t="n">
        <v>2</v>
      </c>
      <c r="G222" t="inlineStr">
        <is>
          <t>Client Route And Contracts, NEW-DSL JMR</t>
        </is>
      </c>
      <c r="H222" t="inlineStr"/>
    </row>
    <row r="223">
      <c r="A223" t="inlineStr">
        <is>
          <t>Destination</t>
        </is>
      </c>
      <c r="B223" t="inlineStr">
        <is>
          <t>Ketu</t>
        </is>
      </c>
      <c r="C223" t="inlineStr">
        <is>
          <t>Ketu</t>
        </is>
      </c>
      <c r="D223" t="inlineStr">
        <is>
          <t>Lagos</t>
        </is>
      </c>
      <c r="E223" t="inlineStr">
        <is>
          <t>No</t>
        </is>
      </c>
      <c r="F223" t="n">
        <v>3</v>
      </c>
      <c r="G223" t="inlineStr">
        <is>
          <t>Client Route And Contracts</t>
        </is>
      </c>
      <c r="H223" t="inlineStr"/>
    </row>
    <row r="224">
      <c r="A224" t="inlineStr">
        <is>
          <t>Destination</t>
        </is>
      </c>
      <c r="B224" t="inlineStr">
        <is>
          <t>KETU-IKORODU</t>
        </is>
      </c>
      <c r="C224" t="inlineStr">
        <is>
          <t>Ketu-Ikorodu</t>
        </is>
      </c>
      <c r="D224" t="inlineStr">
        <is>
          <t>Lagos</t>
        </is>
      </c>
      <c r="E224" t="inlineStr">
        <is>
          <t>Yes</t>
        </is>
      </c>
      <c r="F224" t="n">
        <v>6</v>
      </c>
      <c r="G224" t="inlineStr">
        <is>
          <t>NEW-DSL JMR</t>
        </is>
      </c>
      <c r="H224" t="inlineStr"/>
    </row>
    <row r="225">
      <c r="A225" t="inlineStr">
        <is>
          <t>Destination</t>
        </is>
      </c>
      <c r="B225" t="inlineStr">
        <is>
          <t>KODESHO</t>
        </is>
      </c>
      <c r="C225" t="inlineStr">
        <is>
          <t>Kodesoh</t>
        </is>
      </c>
      <c r="D225" t="inlineStr">
        <is>
          <t>Lagos</t>
        </is>
      </c>
      <c r="E225" t="inlineStr">
        <is>
          <t>Yes</t>
        </is>
      </c>
      <c r="F225" t="n">
        <v>4</v>
      </c>
      <c r="G225" t="inlineStr">
        <is>
          <t>Client Route And Contracts, NEW-DSL JMR</t>
        </is>
      </c>
      <c r="H225" t="inlineStr"/>
    </row>
    <row r="226">
      <c r="A226" s="273" t="inlineStr">
        <is>
          <t>Destination</t>
        </is>
      </c>
      <c r="B226" s="273" t="inlineStr">
        <is>
          <t>KOKO</t>
        </is>
      </c>
      <c r="C226" s="273" t="inlineStr">
        <is>
          <t>Koko</t>
        </is>
      </c>
      <c r="D226" s="273" t="inlineStr">
        <is>
          <t>Kebbi</t>
        </is>
      </c>
      <c r="E226" s="273" t="inlineStr">
        <is>
          <t>Yes</t>
        </is>
      </c>
      <c r="F226" s="273" t="n">
        <v>2</v>
      </c>
      <c r="G226" s="273" t="inlineStr">
        <is>
          <t>Client Route And Contracts</t>
        </is>
      </c>
      <c r="H226" s="273" t="inlineStr">
        <is>
          <t>Set to Koko, Kebbi based on 660 km distance from Ibadan (not Koko, Delta).</t>
        </is>
      </c>
    </row>
    <row r="227">
      <c r="A227" t="inlineStr">
        <is>
          <t>Destination</t>
        </is>
      </c>
      <c r="B227" t="inlineStr">
        <is>
          <t>KONTANGORA</t>
        </is>
      </c>
      <c r="C227" t="inlineStr">
        <is>
          <t>Kontagora</t>
        </is>
      </c>
      <c r="D227" t="inlineStr">
        <is>
          <t>Niger</t>
        </is>
      </c>
      <c r="E227" t="inlineStr">
        <is>
          <t>Yes</t>
        </is>
      </c>
      <c r="F227" t="n">
        <v>2</v>
      </c>
      <c r="G227" t="inlineStr">
        <is>
          <t>Client Route And Contracts</t>
        </is>
      </c>
      <c r="H227" t="inlineStr"/>
    </row>
    <row r="228">
      <c r="A228" t="inlineStr">
        <is>
          <t>Destination</t>
        </is>
      </c>
      <c r="B228" t="inlineStr">
        <is>
          <t>Kontagora</t>
        </is>
      </c>
      <c r="C228" t="inlineStr">
        <is>
          <t>Kontagora</t>
        </is>
      </c>
      <c r="D228" t="inlineStr">
        <is>
          <t>Niger</t>
        </is>
      </c>
      <c r="E228" t="inlineStr">
        <is>
          <t>No</t>
        </is>
      </c>
      <c r="F228" t="n">
        <v>1</v>
      </c>
      <c r="G228" t="inlineStr">
        <is>
          <t>Client Route And Contracts</t>
        </is>
      </c>
      <c r="H228" t="inlineStr"/>
    </row>
    <row r="229">
      <c r="A229" t="inlineStr">
        <is>
          <t>Destination</t>
        </is>
      </c>
      <c r="B229" t="inlineStr">
        <is>
          <t>Kotongora</t>
        </is>
      </c>
      <c r="C229" t="inlineStr">
        <is>
          <t>Kontagora</t>
        </is>
      </c>
      <c r="D229" t="inlineStr">
        <is>
          <t>Niger</t>
        </is>
      </c>
      <c r="E229" t="inlineStr">
        <is>
          <t>Yes</t>
        </is>
      </c>
      <c r="F229" t="n">
        <v>4</v>
      </c>
      <c r="G229" t="inlineStr">
        <is>
          <t>Client Route And Contracts, NEW-DSL JMR</t>
        </is>
      </c>
      <c r="H229" t="inlineStr"/>
    </row>
    <row r="230">
      <c r="A230" s="273" t="inlineStr">
        <is>
          <t>Destination</t>
        </is>
      </c>
      <c r="B230" s="273" t="inlineStr">
        <is>
          <t>KPOKO</t>
        </is>
      </c>
      <c r="C230" s="273" t="inlineStr">
        <is>
          <t>Kpoko</t>
        </is>
      </c>
      <c r="D230" s="273" t="inlineStr">
        <is>
          <t>Benue</t>
        </is>
      </c>
      <c r="E230" s="273" t="inlineStr">
        <is>
          <t>Yes</t>
        </is>
      </c>
      <c r="F230" s="273" t="n">
        <v>2</v>
      </c>
      <c r="G230" s="273" t="inlineStr">
        <is>
          <t>Client Route And Contracts, NEW-DSL JMR</t>
        </is>
      </c>
      <c r="H230" s="273" t="inlineStr">
        <is>
          <t>Could not verify; same distance as Makurdi from Port Harcourt so set to Benue. Please confirm.</t>
        </is>
      </c>
    </row>
    <row r="231">
      <c r="A231" t="inlineStr">
        <is>
          <t>Destination</t>
        </is>
      </c>
      <c r="B231" t="inlineStr">
        <is>
          <t>KUBWA</t>
        </is>
      </c>
      <c r="C231" t="inlineStr">
        <is>
          <t>Kubwa</t>
        </is>
      </c>
      <c r="D231" t="inlineStr">
        <is>
          <t>FCT</t>
        </is>
      </c>
      <c r="E231" t="inlineStr">
        <is>
          <t>Yes</t>
        </is>
      </c>
      <c r="F231" t="n">
        <v>2</v>
      </c>
      <c r="G231" t="inlineStr">
        <is>
          <t>Client Route And Contracts, NEW-DSL JMR</t>
        </is>
      </c>
      <c r="H231" t="inlineStr"/>
    </row>
    <row r="232">
      <c r="A232" t="inlineStr">
        <is>
          <t>Destination</t>
        </is>
      </c>
      <c r="B232" t="inlineStr">
        <is>
          <t>KUJE</t>
        </is>
      </c>
      <c r="C232" t="inlineStr">
        <is>
          <t>Kuje</t>
        </is>
      </c>
      <c r="D232" t="inlineStr">
        <is>
          <t>FCT</t>
        </is>
      </c>
      <c r="E232" t="inlineStr">
        <is>
          <t>Yes</t>
        </is>
      </c>
      <c r="F232" t="n">
        <v>2</v>
      </c>
      <c r="G232" t="inlineStr">
        <is>
          <t>Client Route And Contracts, NEW-DSL JMR</t>
        </is>
      </c>
      <c r="H232" t="inlineStr"/>
    </row>
    <row r="233">
      <c r="A233" t="inlineStr">
        <is>
          <t>Destination</t>
        </is>
      </c>
      <c r="B233" t="inlineStr">
        <is>
          <t>KURUDU</t>
        </is>
      </c>
      <c r="C233" t="inlineStr">
        <is>
          <t>Kurudu</t>
        </is>
      </c>
      <c r="D233" t="inlineStr">
        <is>
          <t>FCT</t>
        </is>
      </c>
      <c r="E233" t="inlineStr">
        <is>
          <t>Yes</t>
        </is>
      </c>
      <c r="F233" t="n">
        <v>2</v>
      </c>
      <c r="G233" t="inlineStr">
        <is>
          <t>Client Route And Contracts, NEW-DSL JMR</t>
        </is>
      </c>
      <c r="H233" t="inlineStr"/>
    </row>
    <row r="234">
      <c r="A234" t="inlineStr">
        <is>
          <t>Destination</t>
        </is>
      </c>
      <c r="B234" t="inlineStr">
        <is>
          <t>KWALE</t>
        </is>
      </c>
      <c r="C234" t="inlineStr">
        <is>
          <t>Kwale</t>
        </is>
      </c>
      <c r="D234" t="inlineStr">
        <is>
          <t>Delta</t>
        </is>
      </c>
      <c r="E234" t="inlineStr">
        <is>
          <t>Yes</t>
        </is>
      </c>
      <c r="F234" t="n">
        <v>3</v>
      </c>
      <c r="G234" t="inlineStr">
        <is>
          <t>Client Route And Contracts, NEW-DSL JMR</t>
        </is>
      </c>
      <c r="H234" t="inlineStr"/>
    </row>
    <row r="235">
      <c r="A235" s="273" t="inlineStr">
        <is>
          <t>Destination</t>
        </is>
      </c>
      <c r="B235" s="273" t="inlineStr">
        <is>
          <t>KWARA</t>
        </is>
      </c>
      <c r="C235" s="273" t="inlineStr">
        <is>
          <t>Kwara</t>
        </is>
      </c>
      <c r="D235" s="273" t="inlineStr">
        <is>
          <t>Kwara</t>
        </is>
      </c>
      <c r="E235" s="273" t="inlineStr">
        <is>
          <t>Yes</t>
        </is>
      </c>
      <c r="F235" s="273" t="n">
        <v>4</v>
      </c>
      <c r="G235" s="273" t="inlineStr">
        <is>
          <t>Client Route And Contracts, NEW-DSL JMR</t>
        </is>
      </c>
      <c r="H235" s="273" t="inlineStr">
        <is>
          <t>State name used as destination (no specific town given in the original).</t>
        </is>
      </c>
    </row>
    <row r="236">
      <c r="A236" t="inlineStr">
        <is>
          <t>Destination</t>
        </is>
      </c>
      <c r="B236" t="inlineStr">
        <is>
          <t>LAFIA</t>
        </is>
      </c>
      <c r="C236" t="inlineStr">
        <is>
          <t>Lafia</t>
        </is>
      </c>
      <c r="D236" t="inlineStr">
        <is>
          <t>Nasarawa</t>
        </is>
      </c>
      <c r="E236" t="inlineStr">
        <is>
          <t>Yes</t>
        </is>
      </c>
      <c r="F236" t="n">
        <v>3</v>
      </c>
      <c r="G236" t="inlineStr">
        <is>
          <t>Client Route And Contracts</t>
        </is>
      </c>
      <c r="H236" t="inlineStr"/>
    </row>
    <row r="237">
      <c r="A237" t="inlineStr">
        <is>
          <t>Destination</t>
        </is>
      </c>
      <c r="B237" t="inlineStr">
        <is>
          <t>Lafia</t>
        </is>
      </c>
      <c r="C237" t="inlineStr">
        <is>
          <t>Lafia</t>
        </is>
      </c>
      <c r="D237" t="inlineStr">
        <is>
          <t>Nasarawa</t>
        </is>
      </c>
      <c r="E237" t="inlineStr">
        <is>
          <t>No</t>
        </is>
      </c>
      <c r="F237" t="n">
        <v>8</v>
      </c>
      <c r="G237" t="inlineStr">
        <is>
          <t>Client Route And Contracts, NEW-DSL JMR</t>
        </is>
      </c>
      <c r="H237" t="inlineStr"/>
    </row>
    <row r="238">
      <c r="A238" s="273" t="inlineStr">
        <is>
          <t>Destination</t>
        </is>
      </c>
      <c r="B238" s="273" t="inlineStr">
        <is>
          <t>Lagos</t>
        </is>
      </c>
      <c r="C238" s="273" t="inlineStr">
        <is>
          <t>Lagos</t>
        </is>
      </c>
      <c r="D238" s="273" t="inlineStr">
        <is>
          <t>Lagos</t>
        </is>
      </c>
      <c r="E238" s="273" t="inlineStr">
        <is>
          <t>No</t>
        </is>
      </c>
      <c r="F238" s="273" t="n">
        <v>2</v>
      </c>
      <c r="G238" s="273" t="inlineStr">
        <is>
          <t>Client Route And Contracts, NEW-DSL JMR</t>
        </is>
      </c>
      <c r="H238" s="273" t="inlineStr">
        <is>
          <t>State name used as destination (no specific town given in the original).</t>
        </is>
      </c>
    </row>
    <row r="239">
      <c r="A239" t="inlineStr">
        <is>
          <t>Destination</t>
        </is>
      </c>
      <c r="B239" t="inlineStr">
        <is>
          <t>LAGOS ISLA</t>
        </is>
      </c>
      <c r="C239" t="inlineStr">
        <is>
          <t>Lagos Island</t>
        </is>
      </c>
      <c r="D239" t="inlineStr">
        <is>
          <t>Lagos</t>
        </is>
      </c>
      <c r="E239" t="inlineStr">
        <is>
          <t>Yes</t>
        </is>
      </c>
      <c r="F239" t="n">
        <v>2</v>
      </c>
      <c r="G239" t="inlineStr">
        <is>
          <t>Client Route And Contracts</t>
        </is>
      </c>
      <c r="H239" t="inlineStr"/>
    </row>
    <row r="240">
      <c r="A240" t="inlineStr">
        <is>
          <t>Destination</t>
        </is>
      </c>
      <c r="B240" t="inlineStr">
        <is>
          <t>LAGOS-LAGOS ISLAND</t>
        </is>
      </c>
      <c r="C240" t="inlineStr">
        <is>
          <t>Lagos Island</t>
        </is>
      </c>
      <c r="D240" t="inlineStr">
        <is>
          <t>Lagos</t>
        </is>
      </c>
      <c r="E240" t="inlineStr">
        <is>
          <t>Yes</t>
        </is>
      </c>
      <c r="F240" t="n">
        <v>3</v>
      </c>
      <c r="G240" t="inlineStr">
        <is>
          <t>Client Route And Contracts</t>
        </is>
      </c>
      <c r="H240" t="inlineStr"/>
    </row>
    <row r="241">
      <c r="A241" t="inlineStr">
        <is>
          <t>Destination</t>
        </is>
      </c>
      <c r="B241" t="inlineStr">
        <is>
          <t xml:space="preserve">Lagos Island </t>
        </is>
      </c>
      <c r="C241" t="inlineStr">
        <is>
          <t>Lagos Island</t>
        </is>
      </c>
      <c r="D241" t="inlineStr">
        <is>
          <t>Lagos</t>
        </is>
      </c>
      <c r="E241" t="inlineStr">
        <is>
          <t>Yes</t>
        </is>
      </c>
      <c r="F241" t="n">
        <v>4</v>
      </c>
      <c r="G241" t="inlineStr">
        <is>
          <t>Client Route And Contracts, NEW-DSL JMR</t>
        </is>
      </c>
      <c r="H241" t="inlineStr"/>
    </row>
    <row r="242">
      <c r="A242" t="inlineStr">
        <is>
          <t>Destination</t>
        </is>
      </c>
      <c r="B242" t="inlineStr">
        <is>
          <t>LAGOS-ISLAND-MARINA</t>
        </is>
      </c>
      <c r="C242" t="inlineStr">
        <is>
          <t>Lagos Island-Marina</t>
        </is>
      </c>
      <c r="D242" t="inlineStr">
        <is>
          <t>Lagos</t>
        </is>
      </c>
      <c r="E242" t="inlineStr">
        <is>
          <t>Yes</t>
        </is>
      </c>
      <c r="F242" t="n">
        <v>6</v>
      </c>
      <c r="G242" t="inlineStr">
        <is>
          <t>NEW-DSL JMR</t>
        </is>
      </c>
      <c r="H242" t="inlineStr"/>
    </row>
    <row r="243">
      <c r="A243" t="inlineStr">
        <is>
          <t>Destination</t>
        </is>
      </c>
      <c r="B243" t="inlineStr">
        <is>
          <t>LAGOS-LEKKI</t>
        </is>
      </c>
      <c r="C243" t="inlineStr">
        <is>
          <t>Lekki</t>
        </is>
      </c>
      <c r="D243" t="inlineStr">
        <is>
          <t>Lagos</t>
        </is>
      </c>
      <c r="E243" t="inlineStr">
        <is>
          <t>Yes</t>
        </is>
      </c>
      <c r="F243" t="n">
        <v>3</v>
      </c>
      <c r="G243" t="inlineStr">
        <is>
          <t>Client Route And Contracts</t>
        </is>
      </c>
      <c r="H243" t="inlineStr"/>
    </row>
    <row r="244">
      <c r="A244" t="inlineStr">
        <is>
          <t>Destination</t>
        </is>
      </c>
      <c r="B244" t="inlineStr">
        <is>
          <t>LEKKI</t>
        </is>
      </c>
      <c r="C244" t="inlineStr">
        <is>
          <t>Lekki</t>
        </is>
      </c>
      <c r="D244" t="inlineStr">
        <is>
          <t>Lagos</t>
        </is>
      </c>
      <c r="E244" t="inlineStr">
        <is>
          <t>Yes</t>
        </is>
      </c>
      <c r="F244" t="n">
        <v>1</v>
      </c>
      <c r="G244" t="inlineStr">
        <is>
          <t>Client Route And Contracts</t>
        </is>
      </c>
      <c r="H244" t="inlineStr"/>
    </row>
    <row r="245">
      <c r="A245" t="inlineStr">
        <is>
          <t>Destination</t>
        </is>
      </c>
      <c r="B245" t="inlineStr">
        <is>
          <t>Lekki</t>
        </is>
      </c>
      <c r="C245" t="inlineStr">
        <is>
          <t>Lekki</t>
        </is>
      </c>
      <c r="D245" t="inlineStr">
        <is>
          <t>Lagos</t>
        </is>
      </c>
      <c r="E245" t="inlineStr">
        <is>
          <t>No</t>
        </is>
      </c>
      <c r="F245" t="n">
        <v>1</v>
      </c>
      <c r="G245" t="inlineStr">
        <is>
          <t>Client Route And Contracts</t>
        </is>
      </c>
      <c r="H245" t="inlineStr"/>
    </row>
    <row r="246">
      <c r="A246" t="inlineStr">
        <is>
          <t>Destination</t>
        </is>
      </c>
      <c r="B246" t="inlineStr">
        <is>
          <t xml:space="preserve">Lekki </t>
        </is>
      </c>
      <c r="C246" t="inlineStr">
        <is>
          <t>Lekki</t>
        </is>
      </c>
      <c r="D246" t="inlineStr">
        <is>
          <t>Lagos</t>
        </is>
      </c>
      <c r="E246" t="inlineStr">
        <is>
          <t>Yes</t>
        </is>
      </c>
      <c r="F246" t="n">
        <v>4</v>
      </c>
      <c r="G246" t="inlineStr">
        <is>
          <t>Client Route And Contracts, NEW-DSL JMR</t>
        </is>
      </c>
      <c r="H246" t="inlineStr"/>
    </row>
    <row r="247">
      <c r="A247" t="inlineStr">
        <is>
          <t>Destination</t>
        </is>
      </c>
      <c r="B247" t="inlineStr">
        <is>
          <t>lekki</t>
        </is>
      </c>
      <c r="C247" t="inlineStr">
        <is>
          <t>Lekki</t>
        </is>
      </c>
      <c r="D247" t="inlineStr">
        <is>
          <t>Lagos</t>
        </is>
      </c>
      <c r="E247" t="inlineStr">
        <is>
          <t>Yes</t>
        </is>
      </c>
      <c r="F247" t="n">
        <v>2</v>
      </c>
      <c r="G247" t="inlineStr">
        <is>
          <t>Client Route And Contracts</t>
        </is>
      </c>
      <c r="H247" t="inlineStr"/>
    </row>
    <row r="248">
      <c r="A248" t="inlineStr">
        <is>
          <t>Destination</t>
        </is>
      </c>
      <c r="B248" t="inlineStr">
        <is>
          <t>LIFE CAMP</t>
        </is>
      </c>
      <c r="C248" t="inlineStr">
        <is>
          <t>Life Camp</t>
        </is>
      </c>
      <c r="D248" t="inlineStr">
        <is>
          <t>FCT</t>
        </is>
      </c>
      <c r="E248" t="inlineStr">
        <is>
          <t>Yes</t>
        </is>
      </c>
      <c r="F248" t="n">
        <v>2</v>
      </c>
      <c r="G248" t="inlineStr">
        <is>
          <t>Client Route And Contracts, NEW-DSL JMR</t>
        </is>
      </c>
      <c r="H248" t="inlineStr"/>
    </row>
    <row r="249">
      <c r="A249" t="inlineStr">
        <is>
          <t>Destination</t>
        </is>
      </c>
      <c r="B249" t="inlineStr">
        <is>
          <t>LOKOGOMA</t>
        </is>
      </c>
      <c r="C249" t="inlineStr">
        <is>
          <t>Lokogoma</t>
        </is>
      </c>
      <c r="D249" t="inlineStr">
        <is>
          <t>FCT</t>
        </is>
      </c>
      <c r="E249" t="inlineStr">
        <is>
          <t>Yes</t>
        </is>
      </c>
      <c r="F249" t="n">
        <v>2</v>
      </c>
      <c r="G249" t="inlineStr">
        <is>
          <t>Client Route And Contracts, NEW-DSL JMR</t>
        </is>
      </c>
      <c r="H249" t="inlineStr"/>
    </row>
    <row r="250">
      <c r="A250" t="inlineStr">
        <is>
          <t>Destination</t>
        </is>
      </c>
      <c r="B250" t="inlineStr">
        <is>
          <t>LOKOJA</t>
        </is>
      </c>
      <c r="C250" t="inlineStr">
        <is>
          <t>Lokoja</t>
        </is>
      </c>
      <c r="D250" t="inlineStr">
        <is>
          <t>Kogi</t>
        </is>
      </c>
      <c r="E250" t="inlineStr">
        <is>
          <t>Yes</t>
        </is>
      </c>
      <c r="F250" t="n">
        <v>2</v>
      </c>
      <c r="G250" t="inlineStr">
        <is>
          <t>Client Route And Contracts, NEW-DSL JMR</t>
        </is>
      </c>
      <c r="H250" t="inlineStr"/>
    </row>
    <row r="251">
      <c r="A251" t="inlineStr">
        <is>
          <t>Destination</t>
        </is>
      </c>
      <c r="B251" t="inlineStr">
        <is>
          <t>Lokoja</t>
        </is>
      </c>
      <c r="C251" t="inlineStr">
        <is>
          <t>Lokoja</t>
        </is>
      </c>
      <c r="D251" t="inlineStr">
        <is>
          <t>Kogi</t>
        </is>
      </c>
      <c r="E251" t="inlineStr">
        <is>
          <t>No</t>
        </is>
      </c>
      <c r="F251" t="n">
        <v>7</v>
      </c>
      <c r="G251" t="inlineStr">
        <is>
          <t>Client Route And Contracts, NEW-DSL JMR</t>
        </is>
      </c>
      <c r="H251" t="inlineStr"/>
    </row>
    <row r="252">
      <c r="A252" t="inlineStr">
        <is>
          <t>Destination</t>
        </is>
      </c>
      <c r="B252" t="inlineStr">
        <is>
          <t>LUGBE</t>
        </is>
      </c>
      <c r="C252" t="inlineStr">
        <is>
          <t>Lugbe</t>
        </is>
      </c>
      <c r="D252" t="inlineStr">
        <is>
          <t>FCT</t>
        </is>
      </c>
      <c r="E252" t="inlineStr">
        <is>
          <t>Yes</t>
        </is>
      </c>
      <c r="F252" t="n">
        <v>2</v>
      </c>
      <c r="G252" t="inlineStr">
        <is>
          <t>Client Route And Contracts, NEW-DSL JMR</t>
        </is>
      </c>
      <c r="H252" t="inlineStr"/>
    </row>
    <row r="253">
      <c r="A253" t="inlineStr">
        <is>
          <t>Destination</t>
        </is>
      </c>
      <c r="B253" t="inlineStr">
        <is>
          <t>Madagali</t>
        </is>
      </c>
      <c r="C253" t="inlineStr">
        <is>
          <t>Madagali</t>
        </is>
      </c>
      <c r="D253" t="inlineStr">
        <is>
          <t>Adamawa</t>
        </is>
      </c>
      <c r="E253" t="inlineStr">
        <is>
          <t>No</t>
        </is>
      </c>
      <c r="F253" t="n">
        <v>4</v>
      </c>
      <c r="G253" t="inlineStr">
        <is>
          <t>Client Route And Contracts, NEW-DSL JMR</t>
        </is>
      </c>
      <c r="H253" t="inlineStr"/>
    </row>
    <row r="254">
      <c r="A254" t="inlineStr">
        <is>
          <t>Destination</t>
        </is>
      </c>
      <c r="B254" t="inlineStr">
        <is>
          <t>MAGBORO</t>
        </is>
      </c>
      <c r="C254" t="inlineStr">
        <is>
          <t>Magboro</t>
        </is>
      </c>
      <c r="D254" t="inlineStr">
        <is>
          <t>Ogun</t>
        </is>
      </c>
      <c r="E254" t="inlineStr">
        <is>
          <t>Yes</t>
        </is>
      </c>
      <c r="F254" t="n">
        <v>6</v>
      </c>
      <c r="G254" t="inlineStr">
        <is>
          <t>Client Route And Contracts, NEW-DSL JMR</t>
        </is>
      </c>
      <c r="H254" t="inlineStr"/>
    </row>
    <row r="255">
      <c r="A255" t="inlineStr">
        <is>
          <t>Destination</t>
        </is>
      </c>
      <c r="B255" t="inlineStr">
        <is>
          <t>MAGODO</t>
        </is>
      </c>
      <c r="C255" t="inlineStr">
        <is>
          <t>Magodo</t>
        </is>
      </c>
      <c r="D255" t="inlineStr">
        <is>
          <t>Lagos</t>
        </is>
      </c>
      <c r="E255" t="inlineStr">
        <is>
          <t>Yes</t>
        </is>
      </c>
      <c r="F255" t="n">
        <v>2</v>
      </c>
      <c r="G255" t="inlineStr">
        <is>
          <t>Client Route And Contracts</t>
        </is>
      </c>
      <c r="H255" t="inlineStr"/>
    </row>
    <row r="256">
      <c r="A256" t="inlineStr">
        <is>
          <t>Destination</t>
        </is>
      </c>
      <c r="B256" t="inlineStr">
        <is>
          <t>Maidugri</t>
        </is>
      </c>
      <c r="C256" t="inlineStr">
        <is>
          <t>Maiduguri</t>
        </is>
      </c>
      <c r="D256" t="inlineStr">
        <is>
          <t>Borno</t>
        </is>
      </c>
      <c r="E256" t="inlineStr">
        <is>
          <t>Yes</t>
        </is>
      </c>
      <c r="F256" t="n">
        <v>3</v>
      </c>
      <c r="G256" t="inlineStr">
        <is>
          <t>Client Route And Contracts</t>
        </is>
      </c>
      <c r="H256" t="inlineStr"/>
    </row>
    <row r="257">
      <c r="A257" t="inlineStr">
        <is>
          <t>Destination</t>
        </is>
      </c>
      <c r="B257" t="inlineStr">
        <is>
          <t>Maiduguri</t>
        </is>
      </c>
      <c r="C257" t="inlineStr">
        <is>
          <t>Maiduguri</t>
        </is>
      </c>
      <c r="D257" t="inlineStr">
        <is>
          <t>Borno</t>
        </is>
      </c>
      <c r="E257" t="inlineStr">
        <is>
          <t>No</t>
        </is>
      </c>
      <c r="F257" t="n">
        <v>9</v>
      </c>
      <c r="G257" t="inlineStr">
        <is>
          <t>Client Route And Contracts, NEW-DSL JMR</t>
        </is>
      </c>
      <c r="H257" t="inlineStr"/>
    </row>
    <row r="258">
      <c r="A258" t="inlineStr">
        <is>
          <t>Destination</t>
        </is>
      </c>
      <c r="B258" t="inlineStr">
        <is>
          <t>MAITAMA-FCT</t>
        </is>
      </c>
      <c r="C258" t="inlineStr">
        <is>
          <t>Maitama</t>
        </is>
      </c>
      <c r="D258" t="inlineStr">
        <is>
          <t>FCT</t>
        </is>
      </c>
      <c r="E258" t="inlineStr">
        <is>
          <t>Yes</t>
        </is>
      </c>
      <c r="F258" t="n">
        <v>2</v>
      </c>
      <c r="G258" t="inlineStr">
        <is>
          <t>Client Route And Contracts, NEW-DSL JMR</t>
        </is>
      </c>
      <c r="H258" t="inlineStr"/>
    </row>
    <row r="259">
      <c r="A259" t="inlineStr">
        <is>
          <t>Destination</t>
        </is>
      </c>
      <c r="B259" t="inlineStr">
        <is>
          <t>Maitama</t>
        </is>
      </c>
      <c r="C259" t="inlineStr">
        <is>
          <t>Maitama</t>
        </is>
      </c>
      <c r="D259" t="inlineStr">
        <is>
          <t>FCT</t>
        </is>
      </c>
      <c r="E259" t="inlineStr">
        <is>
          <t>No</t>
        </is>
      </c>
      <c r="F259" t="n">
        <v>2</v>
      </c>
      <c r="G259" t="inlineStr">
        <is>
          <t>Client Route And Contracts, NEW-DSL JMR</t>
        </is>
      </c>
      <c r="H259" t="inlineStr"/>
    </row>
    <row r="260">
      <c r="A260" t="inlineStr">
        <is>
          <t>Destination</t>
        </is>
      </c>
      <c r="B260" t="inlineStr">
        <is>
          <t>MAKURDI</t>
        </is>
      </c>
      <c r="C260" t="inlineStr">
        <is>
          <t>Makurdi</t>
        </is>
      </c>
      <c r="D260" t="inlineStr">
        <is>
          <t>Benue</t>
        </is>
      </c>
      <c r="E260" t="inlineStr">
        <is>
          <t>Yes</t>
        </is>
      </c>
      <c r="F260" t="n">
        <v>2</v>
      </c>
      <c r="G260" t="inlineStr">
        <is>
          <t>Client Route And Contracts, NEW-DSL JMR</t>
        </is>
      </c>
      <c r="H260" t="inlineStr"/>
    </row>
    <row r="261">
      <c r="A261" t="inlineStr">
        <is>
          <t>Destination</t>
        </is>
      </c>
      <c r="B261" t="inlineStr">
        <is>
          <t>Makurdi</t>
        </is>
      </c>
      <c r="C261" t="inlineStr">
        <is>
          <t>Makurdi</t>
        </is>
      </c>
      <c r="D261" t="inlineStr">
        <is>
          <t>Benue</t>
        </is>
      </c>
      <c r="E261" t="inlineStr">
        <is>
          <t>No</t>
        </is>
      </c>
      <c r="F261" t="n">
        <v>9</v>
      </c>
      <c r="G261" t="inlineStr">
        <is>
          <t>Client Route And Contracts, NEW-DSL JMR</t>
        </is>
      </c>
      <c r="H261" t="inlineStr"/>
    </row>
    <row r="262">
      <c r="A262" s="273" t="inlineStr">
        <is>
          <t>Destination</t>
        </is>
      </c>
      <c r="B262" s="273" t="inlineStr">
        <is>
          <t>Maraba</t>
        </is>
      </c>
      <c r="C262" s="273" t="inlineStr">
        <is>
          <t>Mararaba</t>
        </is>
      </c>
      <c r="D262" s="273" t="inlineStr">
        <is>
          <t>Nasarawa</t>
        </is>
      </c>
      <c r="E262" s="273" t="inlineStr">
        <is>
          <t>Yes</t>
        </is>
      </c>
      <c r="F262" s="273" t="n">
        <v>1</v>
      </c>
      <c r="G262" s="273" t="inlineStr">
        <is>
          <t>Client Route And Contracts</t>
        </is>
      </c>
      <c r="H262" s="273" t="inlineStr">
        <is>
          <t>Mararaba is in Nasarawa State (Karu LGA), next to Abuja.</t>
        </is>
      </c>
    </row>
    <row r="263">
      <c r="A263" s="273" t="inlineStr">
        <is>
          <t>Destination</t>
        </is>
      </c>
      <c r="B263" s="273" t="inlineStr">
        <is>
          <t>Mararaba</t>
        </is>
      </c>
      <c r="C263" s="273" t="inlineStr">
        <is>
          <t>Mararaba</t>
        </is>
      </c>
      <c r="D263" s="273" t="inlineStr">
        <is>
          <t>Nasarawa</t>
        </is>
      </c>
      <c r="E263" s="273" t="inlineStr">
        <is>
          <t>No</t>
        </is>
      </c>
      <c r="F263" s="273" t="n">
        <v>2</v>
      </c>
      <c r="G263" s="273" t="inlineStr">
        <is>
          <t>Client Route And Contracts, NEW-DSL JMR</t>
        </is>
      </c>
      <c r="H263" s="273" t="inlineStr">
        <is>
          <t>Mararaba is in Nasarawa State (Karu LGA), next to Abuja.</t>
        </is>
      </c>
    </row>
    <row r="264">
      <c r="A264" t="inlineStr">
        <is>
          <t>Destination</t>
        </is>
      </c>
      <c r="B264" t="inlineStr">
        <is>
          <t>MARINA</t>
        </is>
      </c>
      <c r="C264" t="inlineStr">
        <is>
          <t>Marina</t>
        </is>
      </c>
      <c r="D264" t="inlineStr">
        <is>
          <t>Lagos</t>
        </is>
      </c>
      <c r="E264" t="inlineStr">
        <is>
          <t>Yes</t>
        </is>
      </c>
      <c r="F264" t="n">
        <v>7</v>
      </c>
      <c r="G264" t="inlineStr">
        <is>
          <t>Client Route And Contracts, NEW-DSL JMR</t>
        </is>
      </c>
      <c r="H264" t="inlineStr"/>
    </row>
    <row r="265">
      <c r="A265" t="inlineStr">
        <is>
          <t>Destination</t>
        </is>
      </c>
      <c r="B265" t="inlineStr">
        <is>
          <t>MATORI</t>
        </is>
      </c>
      <c r="C265" t="inlineStr">
        <is>
          <t>Matori</t>
        </is>
      </c>
      <c r="D265" t="inlineStr">
        <is>
          <t>Lagos</t>
        </is>
      </c>
      <c r="E265" t="inlineStr">
        <is>
          <t>Yes</t>
        </is>
      </c>
      <c r="F265" t="n">
        <v>8</v>
      </c>
      <c r="G265" t="inlineStr">
        <is>
          <t>Client Route And Contracts, NEW-DSL JMR</t>
        </is>
      </c>
      <c r="H265" t="inlineStr"/>
    </row>
    <row r="266">
      <c r="A266" t="inlineStr">
        <is>
          <t>Destination</t>
        </is>
      </c>
      <c r="B266" t="inlineStr">
        <is>
          <t>Mbaise</t>
        </is>
      </c>
      <c r="C266" t="inlineStr">
        <is>
          <t>Mbaise</t>
        </is>
      </c>
      <c r="D266" t="inlineStr">
        <is>
          <t>Imo</t>
        </is>
      </c>
      <c r="E266" t="inlineStr">
        <is>
          <t>No</t>
        </is>
      </c>
      <c r="F266" t="n">
        <v>2</v>
      </c>
      <c r="G266" t="inlineStr">
        <is>
          <t>Client Route And Contracts, NEW-DSL JMR</t>
        </is>
      </c>
      <c r="H266" t="inlineStr"/>
    </row>
    <row r="267">
      <c r="A267" t="inlineStr">
        <is>
          <t>Destination</t>
        </is>
      </c>
      <c r="B267" t="inlineStr">
        <is>
          <t>MBIAMA</t>
        </is>
      </c>
      <c r="C267" t="inlineStr">
        <is>
          <t>Mbiama</t>
        </is>
      </c>
      <c r="D267" t="inlineStr">
        <is>
          <t>Rivers</t>
        </is>
      </c>
      <c r="E267" t="inlineStr">
        <is>
          <t>Yes</t>
        </is>
      </c>
      <c r="F267" t="n">
        <v>2</v>
      </c>
      <c r="G267" t="inlineStr">
        <is>
          <t>Client Route And Contracts, NEW-DSL JMR</t>
        </is>
      </c>
      <c r="H267" t="inlineStr"/>
    </row>
    <row r="268">
      <c r="A268" t="inlineStr">
        <is>
          <t>Destination</t>
        </is>
      </c>
      <c r="B268" t="inlineStr">
        <is>
          <t>MBO</t>
        </is>
      </c>
      <c r="C268" t="inlineStr">
        <is>
          <t>Mbo</t>
        </is>
      </c>
      <c r="D268" t="inlineStr">
        <is>
          <t>Akwa Ibom</t>
        </is>
      </c>
      <c r="E268" t="inlineStr">
        <is>
          <t>Yes</t>
        </is>
      </c>
      <c r="F268" t="n">
        <v>2</v>
      </c>
      <c r="G268" t="inlineStr">
        <is>
          <t>Client Route And Contracts, NEW-DSL JMR</t>
        </is>
      </c>
      <c r="H268" t="inlineStr"/>
    </row>
    <row r="269">
      <c r="A269" t="inlineStr">
        <is>
          <t>Destination</t>
        </is>
      </c>
      <c r="B269" t="inlineStr">
        <is>
          <t>MILE2</t>
        </is>
      </c>
      <c r="C269" t="inlineStr">
        <is>
          <t>Mile 2</t>
        </is>
      </c>
      <c r="D269" t="inlineStr">
        <is>
          <t>Lagos</t>
        </is>
      </c>
      <c r="E269" t="inlineStr">
        <is>
          <t>Yes</t>
        </is>
      </c>
      <c r="F269" t="n">
        <v>4</v>
      </c>
      <c r="G269" t="inlineStr">
        <is>
          <t>Client Route And Contracts, NEW-DSL JMR</t>
        </is>
      </c>
      <c r="H269" t="inlineStr"/>
    </row>
    <row r="270">
      <c r="A270" t="inlineStr">
        <is>
          <t>Destination</t>
        </is>
      </c>
      <c r="B270" t="inlineStr">
        <is>
          <t>Mile 2</t>
        </is>
      </c>
      <c r="C270" t="inlineStr">
        <is>
          <t>Mile 2</t>
        </is>
      </c>
      <c r="D270" t="inlineStr">
        <is>
          <t>Lagos</t>
        </is>
      </c>
      <c r="E270" t="inlineStr">
        <is>
          <t>No</t>
        </is>
      </c>
      <c r="F270" t="n">
        <v>2</v>
      </c>
      <c r="G270" t="inlineStr">
        <is>
          <t>Client Route And Contracts</t>
        </is>
      </c>
      <c r="H270" t="inlineStr"/>
    </row>
    <row r="271">
      <c r="A271" t="inlineStr">
        <is>
          <t>Destination</t>
        </is>
      </c>
      <c r="B271" t="inlineStr">
        <is>
          <t>MINNA</t>
        </is>
      </c>
      <c r="C271" t="inlineStr">
        <is>
          <t>Minna</t>
        </is>
      </c>
      <c r="D271" t="inlineStr">
        <is>
          <t>Niger</t>
        </is>
      </c>
      <c r="E271" t="inlineStr">
        <is>
          <t>Yes</t>
        </is>
      </c>
      <c r="F271" t="n">
        <v>3</v>
      </c>
      <c r="G271" t="inlineStr">
        <is>
          <t>Client Route And Contracts</t>
        </is>
      </c>
      <c r="H271" t="inlineStr"/>
    </row>
    <row r="272">
      <c r="A272" t="inlineStr">
        <is>
          <t>Destination</t>
        </is>
      </c>
      <c r="B272" t="inlineStr">
        <is>
          <t>Minna</t>
        </is>
      </c>
      <c r="C272" t="inlineStr">
        <is>
          <t>Minna</t>
        </is>
      </c>
      <c r="D272" t="inlineStr">
        <is>
          <t>Niger</t>
        </is>
      </c>
      <c r="E272" t="inlineStr">
        <is>
          <t>No</t>
        </is>
      </c>
      <c r="F272" t="n">
        <v>9</v>
      </c>
      <c r="G272" t="inlineStr">
        <is>
          <t>Client Route And Contracts, NEW-DSL JMR</t>
        </is>
      </c>
      <c r="H272" t="inlineStr"/>
    </row>
    <row r="273">
      <c r="A273" t="inlineStr">
        <is>
          <t>Destination</t>
        </is>
      </c>
      <c r="B273" t="inlineStr">
        <is>
          <t>Mokwa</t>
        </is>
      </c>
      <c r="C273" t="inlineStr">
        <is>
          <t>Mokwa</t>
        </is>
      </c>
      <c r="D273" t="inlineStr">
        <is>
          <t>Niger</t>
        </is>
      </c>
      <c r="E273" t="inlineStr">
        <is>
          <t>No</t>
        </is>
      </c>
      <c r="F273" t="n">
        <v>1</v>
      </c>
      <c r="G273" t="inlineStr">
        <is>
          <t>Client Route And Contracts</t>
        </is>
      </c>
      <c r="H273" t="inlineStr"/>
    </row>
    <row r="274">
      <c r="A274" t="inlineStr">
        <is>
          <t>Destination</t>
        </is>
      </c>
      <c r="B274" t="inlineStr">
        <is>
          <t>MOWE</t>
        </is>
      </c>
      <c r="C274" t="inlineStr">
        <is>
          <t>Mowe</t>
        </is>
      </c>
      <c r="D274" t="inlineStr">
        <is>
          <t>Ogun</t>
        </is>
      </c>
      <c r="E274" t="inlineStr">
        <is>
          <t>Yes</t>
        </is>
      </c>
      <c r="F274" t="n">
        <v>6</v>
      </c>
      <c r="G274" t="inlineStr">
        <is>
          <t>Client Route And Contracts, NEW-DSL JMR</t>
        </is>
      </c>
      <c r="H274" t="inlineStr"/>
    </row>
    <row r="275">
      <c r="A275" s="273" t="inlineStr">
        <is>
          <t>Destination</t>
        </is>
      </c>
      <c r="B275" s="273" t="inlineStr">
        <is>
          <t>MPAPE ASOKORO</t>
        </is>
      </c>
      <c r="C275" s="273" t="inlineStr">
        <is>
          <t>Mpape</t>
        </is>
      </c>
      <c r="D275" s="273" t="inlineStr">
        <is>
          <t>FCT</t>
        </is>
      </c>
      <c r="E275" s="273" t="inlineStr">
        <is>
          <t>Yes</t>
        </is>
      </c>
      <c r="F275" s="273" t="n">
        <v>2</v>
      </c>
      <c r="G275" s="273" t="inlineStr">
        <is>
          <t>Client Route And Contracts, NEW-DSL JMR</t>
        </is>
      </c>
      <c r="H275" s="273" t="inlineStr">
        <is>
          <t>Was 'MPAPE ASOKORO'; Mpape and Asokoro are different districts. Please confirm.</t>
        </is>
      </c>
    </row>
    <row r="276">
      <c r="A276" t="inlineStr">
        <is>
          <t>Destination</t>
        </is>
      </c>
      <c r="B276" t="inlineStr">
        <is>
          <t>MUBI</t>
        </is>
      </c>
      <c r="C276" t="inlineStr">
        <is>
          <t>Mubi</t>
        </is>
      </c>
      <c r="D276" t="inlineStr">
        <is>
          <t>Adamawa</t>
        </is>
      </c>
      <c r="E276" t="inlineStr">
        <is>
          <t>Yes</t>
        </is>
      </c>
      <c r="F276" t="n">
        <v>2</v>
      </c>
      <c r="G276" t="inlineStr">
        <is>
          <t>Client Route And Contracts, NEW-DSL JMR</t>
        </is>
      </c>
      <c r="H276" t="inlineStr"/>
    </row>
    <row r="277">
      <c r="A277" t="inlineStr">
        <is>
          <t>Destination</t>
        </is>
      </c>
      <c r="B277" t="inlineStr">
        <is>
          <t>Mubi</t>
        </is>
      </c>
      <c r="C277" t="inlineStr">
        <is>
          <t>Mubi</t>
        </is>
      </c>
      <c r="D277" t="inlineStr">
        <is>
          <t>Adamawa</t>
        </is>
      </c>
      <c r="E277" t="inlineStr">
        <is>
          <t>No</t>
        </is>
      </c>
      <c r="F277" t="n">
        <v>7</v>
      </c>
      <c r="G277" t="inlineStr">
        <is>
          <t>Client Route And Contracts, NEW-DSL JMR</t>
        </is>
      </c>
      <c r="H277" t="inlineStr"/>
    </row>
    <row r="278">
      <c r="A278" t="inlineStr">
        <is>
          <t>Destination</t>
        </is>
      </c>
      <c r="B278" t="inlineStr">
        <is>
          <t>Mushin</t>
        </is>
      </c>
      <c r="C278" t="inlineStr">
        <is>
          <t>Mushin</t>
        </is>
      </c>
      <c r="D278" t="inlineStr">
        <is>
          <t>Lagos</t>
        </is>
      </c>
      <c r="E278" t="inlineStr">
        <is>
          <t>No</t>
        </is>
      </c>
      <c r="F278" t="n">
        <v>6</v>
      </c>
      <c r="G278" t="inlineStr">
        <is>
          <t>Client Route And Contracts, NEW-DSL JMR</t>
        </is>
      </c>
      <c r="H278" t="inlineStr"/>
    </row>
    <row r="279">
      <c r="A279" t="inlineStr">
        <is>
          <t>Destination</t>
        </is>
      </c>
      <c r="B279" t="inlineStr">
        <is>
          <t>Mutu biyu</t>
        </is>
      </c>
      <c r="C279" t="inlineStr">
        <is>
          <t>Mutum Biyu</t>
        </is>
      </c>
      <c r="D279" t="inlineStr">
        <is>
          <t>Taraba</t>
        </is>
      </c>
      <c r="E279" t="inlineStr">
        <is>
          <t>Yes</t>
        </is>
      </c>
      <c r="F279" t="n">
        <v>4</v>
      </c>
      <c r="G279" t="inlineStr">
        <is>
          <t>Client Route And Contracts, NEW-DSL JMR</t>
        </is>
      </c>
      <c r="H279" t="inlineStr"/>
    </row>
    <row r="280">
      <c r="A280" s="273" t="inlineStr">
        <is>
          <t>Destination</t>
        </is>
      </c>
      <c r="B280" s="273" t="inlineStr">
        <is>
          <t>Nigerian Gas</t>
        </is>
      </c>
      <c r="C280" s="273" t="inlineStr">
        <is>
          <t>Nigerian Gas</t>
        </is>
      </c>
      <c r="D280" s="273" t="inlineStr">
        <is>
          <t>Lagos</t>
        </is>
      </c>
      <c r="E280" s="273" t="inlineStr">
        <is>
          <t>No</t>
        </is>
      </c>
      <c r="F280" s="273" t="n">
        <v>4</v>
      </c>
      <c r="G280" s="273" t="inlineStr">
        <is>
          <t>Client Route And Contracts, NEW-DSL JMR</t>
        </is>
      </c>
      <c r="H280" s="273" t="inlineStr">
        <is>
          <t>Customer site, not a town; State set from loading point (Lagos).</t>
        </is>
      </c>
    </row>
    <row r="281">
      <c r="A281" t="inlineStr">
        <is>
          <t>Destination</t>
        </is>
      </c>
      <c r="B281" t="inlineStr">
        <is>
          <t>NNEWI</t>
        </is>
      </c>
      <c r="C281" t="inlineStr">
        <is>
          <t>Nnewi</t>
        </is>
      </c>
      <c r="D281" t="inlineStr">
        <is>
          <t>Anambra</t>
        </is>
      </c>
      <c r="E281" t="inlineStr">
        <is>
          <t>Yes</t>
        </is>
      </c>
      <c r="F281" t="n">
        <v>2</v>
      </c>
      <c r="G281" t="inlineStr">
        <is>
          <t>Client Route And Contracts, NEW-DSL JMR</t>
        </is>
      </c>
      <c r="H281" t="inlineStr"/>
    </row>
    <row r="282">
      <c r="A282" t="inlineStr">
        <is>
          <t>Destination</t>
        </is>
      </c>
      <c r="B282" t="inlineStr">
        <is>
          <t>Nsit Ibom</t>
        </is>
      </c>
      <c r="C282" t="inlineStr">
        <is>
          <t>Nsit Ibom</t>
        </is>
      </c>
      <c r="D282" t="inlineStr">
        <is>
          <t>Akwa Ibom</t>
        </is>
      </c>
      <c r="E282" t="inlineStr">
        <is>
          <t>No</t>
        </is>
      </c>
      <c r="F282" t="n">
        <v>2</v>
      </c>
      <c r="G282" t="inlineStr">
        <is>
          <t>Client Route And Contracts, NEW-DSL JMR</t>
        </is>
      </c>
      <c r="H282" t="inlineStr"/>
    </row>
    <row r="283">
      <c r="A283" t="inlineStr">
        <is>
          <t>Destination</t>
        </is>
      </c>
      <c r="B283" t="inlineStr">
        <is>
          <t>NSUKA</t>
        </is>
      </c>
      <c r="C283" t="inlineStr">
        <is>
          <t>Nsukka</t>
        </is>
      </c>
      <c r="D283" t="inlineStr">
        <is>
          <t>Enugu</t>
        </is>
      </c>
      <c r="E283" t="inlineStr">
        <is>
          <t>Yes</t>
        </is>
      </c>
      <c r="F283" t="n">
        <v>2</v>
      </c>
      <c r="G283" t="inlineStr">
        <is>
          <t>Client Route And Contracts, NEW-DSL JMR</t>
        </is>
      </c>
      <c r="H283" t="inlineStr"/>
    </row>
    <row r="284">
      <c r="A284" t="inlineStr">
        <is>
          <t>Destination</t>
        </is>
      </c>
      <c r="B284" t="inlineStr">
        <is>
          <t>Nsukka</t>
        </is>
      </c>
      <c r="C284" t="inlineStr">
        <is>
          <t>Nsukka</t>
        </is>
      </c>
      <c r="D284" t="inlineStr">
        <is>
          <t>Enugu</t>
        </is>
      </c>
      <c r="E284" t="inlineStr">
        <is>
          <t>No</t>
        </is>
      </c>
      <c r="F284" t="n">
        <v>4</v>
      </c>
      <c r="G284" t="inlineStr">
        <is>
          <t>Client Route And Contracts, NEW-DSL JMR</t>
        </is>
      </c>
      <c r="H284" t="inlineStr"/>
    </row>
    <row r="285">
      <c r="A285" t="inlineStr">
        <is>
          <t>Destination</t>
        </is>
      </c>
      <c r="B285" t="inlineStr">
        <is>
          <t>NYANYA</t>
        </is>
      </c>
      <c r="C285" t="inlineStr">
        <is>
          <t>Nyanya</t>
        </is>
      </c>
      <c r="D285" t="inlineStr">
        <is>
          <t>FCT</t>
        </is>
      </c>
      <c r="E285" t="inlineStr">
        <is>
          <t>Yes</t>
        </is>
      </c>
      <c r="F285" t="n">
        <v>2</v>
      </c>
      <c r="G285" t="inlineStr">
        <is>
          <t>Client Route And Contracts, NEW-DSL JMR</t>
        </is>
      </c>
      <c r="H285" t="inlineStr"/>
    </row>
    <row r="286">
      <c r="A286" t="inlineStr">
        <is>
          <t>Destination</t>
        </is>
      </c>
      <c r="B286" t="inlineStr">
        <is>
          <t>OBAJANA</t>
        </is>
      </c>
      <c r="C286" t="inlineStr">
        <is>
          <t>Obajana</t>
        </is>
      </c>
      <c r="D286" t="inlineStr">
        <is>
          <t>Kogi</t>
        </is>
      </c>
      <c r="E286" t="inlineStr">
        <is>
          <t>Yes</t>
        </is>
      </c>
      <c r="F286" t="n">
        <v>2</v>
      </c>
      <c r="G286" t="inlineStr">
        <is>
          <t>Client Route And Contracts, NEW-DSL JMR</t>
        </is>
      </c>
      <c r="H286" t="inlineStr"/>
    </row>
    <row r="287">
      <c r="A287" t="inlineStr">
        <is>
          <t>Destination</t>
        </is>
      </c>
      <c r="B287" t="inlineStr">
        <is>
          <t>Obubra</t>
        </is>
      </c>
      <c r="C287" t="inlineStr">
        <is>
          <t>Obubra</t>
        </is>
      </c>
      <c r="D287" t="inlineStr">
        <is>
          <t>Cross River</t>
        </is>
      </c>
      <c r="E287" t="inlineStr">
        <is>
          <t>No</t>
        </is>
      </c>
      <c r="F287" t="n">
        <v>4</v>
      </c>
      <c r="G287" t="inlineStr">
        <is>
          <t>Client Route And Contracts, NEW-DSL JMR</t>
        </is>
      </c>
      <c r="H287" t="inlineStr"/>
    </row>
    <row r="288">
      <c r="A288" t="inlineStr">
        <is>
          <t>Destination</t>
        </is>
      </c>
      <c r="B288" t="inlineStr">
        <is>
          <t>Obudu Cattle Ranch</t>
        </is>
      </c>
      <c r="C288" t="inlineStr">
        <is>
          <t>Obudu Cattle Ranch</t>
        </is>
      </c>
      <c r="D288" t="inlineStr">
        <is>
          <t>Cross River</t>
        </is>
      </c>
      <c r="E288" t="inlineStr">
        <is>
          <t>No</t>
        </is>
      </c>
      <c r="F288" t="n">
        <v>2</v>
      </c>
      <c r="G288" t="inlineStr">
        <is>
          <t>Client Route And Contracts, NEW-DSL JMR</t>
        </is>
      </c>
      <c r="H288" t="inlineStr"/>
    </row>
    <row r="289">
      <c r="A289" t="inlineStr">
        <is>
          <t>Destination</t>
        </is>
      </c>
      <c r="B289" t="inlineStr">
        <is>
          <t>ODUKPANI</t>
        </is>
      </c>
      <c r="C289" t="inlineStr">
        <is>
          <t>Odukpani</t>
        </is>
      </c>
      <c r="D289" t="inlineStr">
        <is>
          <t>Cross River</t>
        </is>
      </c>
      <c r="E289" t="inlineStr">
        <is>
          <t>Yes</t>
        </is>
      </c>
      <c r="F289" t="n">
        <v>2</v>
      </c>
      <c r="G289" t="inlineStr">
        <is>
          <t>Client Route And Contracts, NEW-DSL JMR</t>
        </is>
      </c>
      <c r="H289" t="inlineStr"/>
    </row>
    <row r="290">
      <c r="A290" t="inlineStr">
        <is>
          <t>Destination</t>
        </is>
      </c>
      <c r="B290" t="inlineStr">
        <is>
          <t>Offa</t>
        </is>
      </c>
      <c r="C290" t="inlineStr">
        <is>
          <t>Offa</t>
        </is>
      </c>
      <c r="D290" t="inlineStr">
        <is>
          <t>Kwara</t>
        </is>
      </c>
      <c r="E290" t="inlineStr">
        <is>
          <t>No</t>
        </is>
      </c>
      <c r="F290" t="n">
        <v>5</v>
      </c>
      <c r="G290" t="inlineStr">
        <is>
          <t>Client Route And Contracts, NEW-DSL JMR</t>
        </is>
      </c>
      <c r="H290" t="inlineStr"/>
    </row>
    <row r="291">
      <c r="A291" t="inlineStr">
        <is>
          <t>Destination</t>
        </is>
      </c>
      <c r="B291" t="inlineStr">
        <is>
          <t>OGBA</t>
        </is>
      </c>
      <c r="C291" t="inlineStr">
        <is>
          <t>Ogba</t>
        </is>
      </c>
      <c r="D291" t="inlineStr">
        <is>
          <t>Lagos</t>
        </is>
      </c>
      <c r="E291" t="inlineStr">
        <is>
          <t>Yes</t>
        </is>
      </c>
      <c r="F291" t="n">
        <v>6</v>
      </c>
      <c r="G291" t="inlineStr">
        <is>
          <t>Client Route And Contracts, NEW-DSL JMR</t>
        </is>
      </c>
      <c r="H291" t="inlineStr"/>
    </row>
    <row r="292">
      <c r="A292" t="inlineStr">
        <is>
          <t>Destination</t>
        </is>
      </c>
      <c r="B292" t="inlineStr">
        <is>
          <t>OYO-OGBOMOSHO</t>
        </is>
      </c>
      <c r="C292" t="inlineStr">
        <is>
          <t>Ogbomoso</t>
        </is>
      </c>
      <c r="D292" t="inlineStr">
        <is>
          <t>Oyo</t>
        </is>
      </c>
      <c r="E292" t="inlineStr">
        <is>
          <t>Yes</t>
        </is>
      </c>
      <c r="F292" t="n">
        <v>3</v>
      </c>
      <c r="G292" t="inlineStr">
        <is>
          <t>Client Route And Contracts</t>
        </is>
      </c>
      <c r="H292" t="inlineStr"/>
    </row>
    <row r="293">
      <c r="A293" t="inlineStr">
        <is>
          <t>Destination</t>
        </is>
      </c>
      <c r="B293" t="inlineStr">
        <is>
          <t>Ogbomosho</t>
        </is>
      </c>
      <c r="C293" t="inlineStr">
        <is>
          <t>Ogbomoso</t>
        </is>
      </c>
      <c r="D293" t="inlineStr">
        <is>
          <t>Oyo</t>
        </is>
      </c>
      <c r="E293" t="inlineStr">
        <is>
          <t>Yes</t>
        </is>
      </c>
      <c r="F293" t="n">
        <v>1</v>
      </c>
      <c r="G293" t="inlineStr">
        <is>
          <t>Client Route And Contracts</t>
        </is>
      </c>
      <c r="H293" t="inlineStr"/>
    </row>
    <row r="294">
      <c r="A294" t="inlineStr">
        <is>
          <t>Destination</t>
        </is>
      </c>
      <c r="B294" t="inlineStr">
        <is>
          <t>Ogbunabali</t>
        </is>
      </c>
      <c r="C294" t="inlineStr">
        <is>
          <t>Ogbunabali</t>
        </is>
      </c>
      <c r="D294" t="inlineStr">
        <is>
          <t>Rivers</t>
        </is>
      </c>
      <c r="E294" t="inlineStr">
        <is>
          <t>No</t>
        </is>
      </c>
      <c r="F294" t="n">
        <v>2</v>
      </c>
      <c r="G294" t="inlineStr">
        <is>
          <t>Client Route And Contracts, NEW-DSL JMR</t>
        </is>
      </c>
      <c r="H294" t="inlineStr"/>
    </row>
    <row r="295">
      <c r="A295" t="inlineStr">
        <is>
          <t>Destination</t>
        </is>
      </c>
      <c r="B295" t="inlineStr">
        <is>
          <t>OGERE</t>
        </is>
      </c>
      <c r="C295" t="inlineStr">
        <is>
          <t>Ogere</t>
        </is>
      </c>
      <c r="D295" t="inlineStr">
        <is>
          <t>Ogun</t>
        </is>
      </c>
      <c r="E295" t="inlineStr">
        <is>
          <t>Yes</t>
        </is>
      </c>
      <c r="F295" t="n">
        <v>3</v>
      </c>
      <c r="G295" t="inlineStr">
        <is>
          <t>Client Route And Contracts</t>
        </is>
      </c>
      <c r="H295" t="inlineStr"/>
    </row>
    <row r="296">
      <c r="A296" t="inlineStr">
        <is>
          <t>Destination</t>
        </is>
      </c>
      <c r="B296" t="inlineStr">
        <is>
          <t>OGOJA</t>
        </is>
      </c>
      <c r="C296" t="inlineStr">
        <is>
          <t>Ogoja</t>
        </is>
      </c>
      <c r="D296" t="inlineStr">
        <is>
          <t>Cross River</t>
        </is>
      </c>
      <c r="E296" t="inlineStr">
        <is>
          <t>Yes</t>
        </is>
      </c>
      <c r="F296" t="n">
        <v>2</v>
      </c>
      <c r="G296" t="inlineStr">
        <is>
          <t>Client Route And Contracts, NEW-DSL JMR</t>
        </is>
      </c>
      <c r="H296" t="inlineStr"/>
    </row>
    <row r="297">
      <c r="A297" t="inlineStr">
        <is>
          <t>Destination</t>
        </is>
      </c>
      <c r="B297" t="inlineStr">
        <is>
          <t>OGONI</t>
        </is>
      </c>
      <c r="C297" t="inlineStr">
        <is>
          <t>Ogoni</t>
        </is>
      </c>
      <c r="D297" t="inlineStr">
        <is>
          <t>Rivers</t>
        </is>
      </c>
      <c r="E297" t="inlineStr">
        <is>
          <t>Yes</t>
        </is>
      </c>
      <c r="F297" t="n">
        <v>2</v>
      </c>
      <c r="G297" t="inlineStr">
        <is>
          <t>Client Route And Contracts, NEW-DSL JMR</t>
        </is>
      </c>
      <c r="H297" t="inlineStr"/>
    </row>
    <row r="298">
      <c r="A298" s="273" t="inlineStr">
        <is>
          <t>Destination</t>
        </is>
      </c>
      <c r="B298" s="273" t="inlineStr">
        <is>
          <t xml:space="preserve">Ogun </t>
        </is>
      </c>
      <c r="C298" s="273" t="inlineStr">
        <is>
          <t>Ogun</t>
        </is>
      </c>
      <c r="D298" s="273" t="inlineStr">
        <is>
          <t>Ogun</t>
        </is>
      </c>
      <c r="E298" s="273" t="inlineStr">
        <is>
          <t>Yes</t>
        </is>
      </c>
      <c r="F298" s="273" t="n">
        <v>5</v>
      </c>
      <c r="G298" s="273" t="inlineStr">
        <is>
          <t>Client Route And Contracts, NEW-DSL JMR</t>
        </is>
      </c>
      <c r="H298" s="273" t="inlineStr">
        <is>
          <t>State name used as destination (no specific town given in the original).</t>
        </is>
      </c>
    </row>
    <row r="299">
      <c r="A299" t="inlineStr">
        <is>
          <t>Destination</t>
        </is>
      </c>
      <c r="B299" t="inlineStr">
        <is>
          <t>OGUTA</t>
        </is>
      </c>
      <c r="C299" t="inlineStr">
        <is>
          <t>Oguta</t>
        </is>
      </c>
      <c r="D299" t="inlineStr">
        <is>
          <t>Imo</t>
        </is>
      </c>
      <c r="E299" t="inlineStr">
        <is>
          <t>Yes</t>
        </is>
      </c>
      <c r="F299" t="n">
        <v>2</v>
      </c>
      <c r="G299" t="inlineStr">
        <is>
          <t>Client Route And Contracts, NEW-DSL JMR</t>
        </is>
      </c>
      <c r="H299" t="inlineStr"/>
    </row>
    <row r="300">
      <c r="A300" t="inlineStr">
        <is>
          <t>Destination</t>
        </is>
      </c>
      <c r="B300" t="inlineStr">
        <is>
          <t>Ohafia</t>
        </is>
      </c>
      <c r="C300" t="inlineStr">
        <is>
          <t>Ohafia</t>
        </is>
      </c>
      <c r="D300" t="inlineStr">
        <is>
          <t>Abia</t>
        </is>
      </c>
      <c r="E300" t="inlineStr">
        <is>
          <t>No</t>
        </is>
      </c>
      <c r="F300" t="n">
        <v>2</v>
      </c>
      <c r="G300" t="inlineStr">
        <is>
          <t>Client Route And Contracts, NEW-DSL JMR</t>
        </is>
      </c>
      <c r="H300" t="inlineStr"/>
    </row>
    <row r="301">
      <c r="A301" t="inlineStr">
        <is>
          <t>Destination</t>
        </is>
      </c>
      <c r="B301" t="inlineStr">
        <is>
          <t>Oja odan</t>
        </is>
      </c>
      <c r="C301" t="inlineStr">
        <is>
          <t>Oja-Odan</t>
        </is>
      </c>
      <c r="D301" t="inlineStr">
        <is>
          <t>Ogun</t>
        </is>
      </c>
      <c r="E301" t="inlineStr">
        <is>
          <t>Yes</t>
        </is>
      </c>
      <c r="F301" t="n">
        <v>4</v>
      </c>
      <c r="G301" t="inlineStr">
        <is>
          <t>Client Route And Contracts, NEW-DSL JMR</t>
        </is>
      </c>
      <c r="H301" t="inlineStr"/>
    </row>
    <row r="302">
      <c r="A302" t="inlineStr">
        <is>
          <t>Destination</t>
        </is>
      </c>
      <c r="B302" t="inlineStr">
        <is>
          <t>OJI RIVER</t>
        </is>
      </c>
      <c r="C302" t="inlineStr">
        <is>
          <t>Oji River</t>
        </is>
      </c>
      <c r="D302" t="inlineStr">
        <is>
          <t>Enugu</t>
        </is>
      </c>
      <c r="E302" t="inlineStr">
        <is>
          <t>Yes</t>
        </is>
      </c>
      <c r="F302" t="n">
        <v>2</v>
      </c>
      <c r="G302" t="inlineStr">
        <is>
          <t>Client Route And Contracts, NEW-DSL JMR</t>
        </is>
      </c>
      <c r="H302" t="inlineStr"/>
    </row>
    <row r="303">
      <c r="A303" t="inlineStr">
        <is>
          <t>Destination</t>
        </is>
      </c>
      <c r="B303" t="inlineStr">
        <is>
          <t>Ojo</t>
        </is>
      </c>
      <c r="C303" t="inlineStr">
        <is>
          <t>Ojo</t>
        </is>
      </c>
      <c r="D303" t="inlineStr">
        <is>
          <t>Lagos</t>
        </is>
      </c>
      <c r="E303" t="inlineStr">
        <is>
          <t>No</t>
        </is>
      </c>
      <c r="F303" t="n">
        <v>2</v>
      </c>
      <c r="G303" t="inlineStr">
        <is>
          <t>Client Route And Contracts</t>
        </is>
      </c>
      <c r="H303" t="inlineStr"/>
    </row>
    <row r="304">
      <c r="A304" t="inlineStr">
        <is>
          <t>Destination</t>
        </is>
      </c>
      <c r="B304" t="inlineStr">
        <is>
          <t>OJODU</t>
        </is>
      </c>
      <c r="C304" t="inlineStr">
        <is>
          <t>Ojodu</t>
        </is>
      </c>
      <c r="D304" t="inlineStr">
        <is>
          <t>Lagos</t>
        </is>
      </c>
      <c r="E304" t="inlineStr">
        <is>
          <t>Yes</t>
        </is>
      </c>
      <c r="F304" t="n">
        <v>4</v>
      </c>
      <c r="G304" t="inlineStr">
        <is>
          <t>Client Route And Contracts, NEW-DSL JMR</t>
        </is>
      </c>
      <c r="H304" t="inlineStr"/>
    </row>
    <row r="305">
      <c r="A305" t="inlineStr">
        <is>
          <t>Destination</t>
        </is>
      </c>
      <c r="B305" t="inlineStr">
        <is>
          <t>Ojodu</t>
        </is>
      </c>
      <c r="C305" t="inlineStr">
        <is>
          <t>Ojodu</t>
        </is>
      </c>
      <c r="D305" t="inlineStr">
        <is>
          <t>Lagos</t>
        </is>
      </c>
      <c r="E305" t="inlineStr">
        <is>
          <t>No</t>
        </is>
      </c>
      <c r="F305" t="n">
        <v>2</v>
      </c>
      <c r="G305" t="inlineStr">
        <is>
          <t>Client Route And Contracts</t>
        </is>
      </c>
      <c r="H305" t="inlineStr"/>
    </row>
    <row r="306">
      <c r="A306" t="inlineStr">
        <is>
          <t>Destination</t>
        </is>
      </c>
      <c r="B306" t="inlineStr">
        <is>
          <t>Ojodu-Akute-Mowe</t>
        </is>
      </c>
      <c r="C306" t="inlineStr">
        <is>
          <t>Ojodu-Akute-Mowe</t>
        </is>
      </c>
      <c r="D306" t="inlineStr">
        <is>
          <t>Lagos/Ogun</t>
        </is>
      </c>
      <c r="E306" t="inlineStr">
        <is>
          <t>No</t>
        </is>
      </c>
      <c r="F306" t="n">
        <v>10</v>
      </c>
      <c r="G306" t="inlineStr">
        <is>
          <t>Client Route And Contracts, NEW-DSL JMR</t>
        </is>
      </c>
      <c r="H306" t="inlineStr"/>
    </row>
    <row r="307">
      <c r="A307" t="inlineStr">
        <is>
          <t>Destination</t>
        </is>
      </c>
      <c r="B307" t="inlineStr">
        <is>
          <t>OJOTA</t>
        </is>
      </c>
      <c r="C307" t="inlineStr">
        <is>
          <t>Ojota</t>
        </is>
      </c>
      <c r="D307" t="inlineStr">
        <is>
          <t>Lagos</t>
        </is>
      </c>
      <c r="E307" t="inlineStr">
        <is>
          <t>Yes</t>
        </is>
      </c>
      <c r="F307" t="n">
        <v>2</v>
      </c>
      <c r="G307" t="inlineStr">
        <is>
          <t>Client Route And Contracts</t>
        </is>
      </c>
      <c r="H307" t="inlineStr"/>
    </row>
    <row r="308">
      <c r="A308" t="inlineStr">
        <is>
          <t>Destination</t>
        </is>
      </c>
      <c r="B308" t="inlineStr">
        <is>
          <t>OKENE</t>
        </is>
      </c>
      <c r="C308" t="inlineStr">
        <is>
          <t>Okene</t>
        </is>
      </c>
      <c r="D308" t="inlineStr">
        <is>
          <t>Kogi</t>
        </is>
      </c>
      <c r="E308" t="inlineStr">
        <is>
          <t>Yes</t>
        </is>
      </c>
      <c r="F308" t="n">
        <v>2</v>
      </c>
      <c r="G308" t="inlineStr">
        <is>
          <t>Client Route And Contracts, NEW-DSL JMR</t>
        </is>
      </c>
      <c r="H308" t="inlineStr"/>
    </row>
    <row r="309">
      <c r="A309" t="inlineStr">
        <is>
          <t>Destination</t>
        </is>
      </c>
      <c r="B309" t="inlineStr">
        <is>
          <t>Okene</t>
        </is>
      </c>
      <c r="C309" t="inlineStr">
        <is>
          <t>Okene</t>
        </is>
      </c>
      <c r="D309" t="inlineStr">
        <is>
          <t>Kogi</t>
        </is>
      </c>
      <c r="E309" t="inlineStr">
        <is>
          <t>No</t>
        </is>
      </c>
      <c r="F309" t="n">
        <v>4</v>
      </c>
      <c r="G309" t="inlineStr">
        <is>
          <t>Client Route And Contracts, NEW-DSL JMR</t>
        </is>
      </c>
      <c r="H309" t="inlineStr"/>
    </row>
    <row r="310">
      <c r="A310" t="inlineStr">
        <is>
          <t>Destination</t>
        </is>
      </c>
      <c r="B310" t="inlineStr">
        <is>
          <t>Okigwe</t>
        </is>
      </c>
      <c r="C310" t="inlineStr">
        <is>
          <t>Okigwe</t>
        </is>
      </c>
      <c r="D310" t="inlineStr">
        <is>
          <t>Imo</t>
        </is>
      </c>
      <c r="E310" t="inlineStr">
        <is>
          <t>No</t>
        </is>
      </c>
      <c r="F310" t="n">
        <v>2</v>
      </c>
      <c r="G310" t="inlineStr">
        <is>
          <t>Client Route And Contracts, NEW-DSL JMR</t>
        </is>
      </c>
      <c r="H310" t="inlineStr"/>
    </row>
    <row r="311">
      <c r="A311" t="inlineStr">
        <is>
          <t>Destination</t>
        </is>
      </c>
      <c r="B311" t="inlineStr">
        <is>
          <t>OKOBO</t>
        </is>
      </c>
      <c r="C311" t="inlineStr">
        <is>
          <t>Okobo</t>
        </is>
      </c>
      <c r="D311" t="inlineStr">
        <is>
          <t>Akwa Ibom</t>
        </is>
      </c>
      <c r="E311" t="inlineStr">
        <is>
          <t>Yes</t>
        </is>
      </c>
      <c r="F311" t="n">
        <v>2</v>
      </c>
      <c r="G311" t="inlineStr">
        <is>
          <t>Client Route And Contracts, NEW-DSL JMR</t>
        </is>
      </c>
      <c r="H311" t="inlineStr"/>
    </row>
    <row r="312">
      <c r="A312" t="inlineStr">
        <is>
          <t>Destination</t>
        </is>
      </c>
      <c r="B312" t="inlineStr">
        <is>
          <t>OKOKOMAIKO</t>
        </is>
      </c>
      <c r="C312" t="inlineStr">
        <is>
          <t>Okokomaiko</t>
        </is>
      </c>
      <c r="D312" t="inlineStr">
        <is>
          <t>Lagos</t>
        </is>
      </c>
      <c r="E312" t="inlineStr">
        <is>
          <t>Yes</t>
        </is>
      </c>
      <c r="F312" t="n">
        <v>4</v>
      </c>
      <c r="G312" t="inlineStr">
        <is>
          <t>Client Route And Contracts, NEW-DSL JMR</t>
        </is>
      </c>
      <c r="H312" t="inlineStr"/>
    </row>
    <row r="313">
      <c r="A313" t="inlineStr">
        <is>
          <t>Destination</t>
        </is>
      </c>
      <c r="B313" t="inlineStr">
        <is>
          <t>OKOTA</t>
        </is>
      </c>
      <c r="C313" t="inlineStr">
        <is>
          <t>Okota</t>
        </is>
      </c>
      <c r="D313" t="inlineStr">
        <is>
          <t>Lagos</t>
        </is>
      </c>
      <c r="E313" t="inlineStr">
        <is>
          <t>Yes</t>
        </is>
      </c>
      <c r="F313" t="n">
        <v>8</v>
      </c>
      <c r="G313" t="inlineStr">
        <is>
          <t>Client Route And Contracts, NEW-DSL JMR</t>
        </is>
      </c>
      <c r="H313" t="inlineStr"/>
    </row>
    <row r="314">
      <c r="A314" t="inlineStr">
        <is>
          <t>Destination</t>
        </is>
      </c>
      <c r="B314" t="inlineStr">
        <is>
          <t xml:space="preserve">Okrika </t>
        </is>
      </c>
      <c r="C314" t="inlineStr">
        <is>
          <t>Okrika</t>
        </is>
      </c>
      <c r="D314" t="inlineStr">
        <is>
          <t>Rivers</t>
        </is>
      </c>
      <c r="E314" t="inlineStr">
        <is>
          <t>Yes</t>
        </is>
      </c>
      <c r="F314" t="n">
        <v>2</v>
      </c>
      <c r="G314" t="inlineStr">
        <is>
          <t>Client Route And Contracts, NEW-DSL JMR</t>
        </is>
      </c>
      <c r="H314" t="inlineStr"/>
    </row>
    <row r="315">
      <c r="A315" t="inlineStr">
        <is>
          <t>Destination</t>
        </is>
      </c>
      <c r="B315" t="inlineStr">
        <is>
          <t>OMAGWA</t>
        </is>
      </c>
      <c r="C315" t="inlineStr">
        <is>
          <t>Omagwa</t>
        </is>
      </c>
      <c r="D315" t="inlineStr">
        <is>
          <t>Rivers</t>
        </is>
      </c>
      <c r="E315" t="inlineStr">
        <is>
          <t>Yes</t>
        </is>
      </c>
      <c r="F315" t="n">
        <v>2</v>
      </c>
      <c r="G315" t="inlineStr">
        <is>
          <t>Client Route And Contracts, NEW-DSL JMR</t>
        </is>
      </c>
      <c r="H315" t="inlineStr"/>
    </row>
    <row r="316">
      <c r="A316" t="inlineStr">
        <is>
          <t>Destination</t>
        </is>
      </c>
      <c r="B316" t="inlineStr">
        <is>
          <t>OMOKU</t>
        </is>
      </c>
      <c r="C316" t="inlineStr">
        <is>
          <t>Omoku</t>
        </is>
      </c>
      <c r="D316" t="inlineStr">
        <is>
          <t>Rivers</t>
        </is>
      </c>
      <c r="E316" t="inlineStr">
        <is>
          <t>Yes</t>
        </is>
      </c>
      <c r="F316" t="n">
        <v>2</v>
      </c>
      <c r="G316" t="inlineStr">
        <is>
          <t>Client Route And Contracts, NEW-DSL JMR</t>
        </is>
      </c>
      <c r="H316" t="inlineStr"/>
    </row>
    <row r="317">
      <c r="A317" t="inlineStr">
        <is>
          <t>Destination</t>
        </is>
      </c>
      <c r="B317" t="inlineStr">
        <is>
          <t>OMU-ARAN</t>
        </is>
      </c>
      <c r="C317" t="inlineStr">
        <is>
          <t>Omu-Aran</t>
        </is>
      </c>
      <c r="D317" t="inlineStr">
        <is>
          <t>Kwara</t>
        </is>
      </c>
      <c r="E317" t="inlineStr">
        <is>
          <t>Yes</t>
        </is>
      </c>
      <c r="F317" t="n">
        <v>2</v>
      </c>
      <c r="G317" t="inlineStr">
        <is>
          <t>Client Route And Contracts, NEW-DSL JMR</t>
        </is>
      </c>
      <c r="H317" t="inlineStr"/>
    </row>
    <row r="318">
      <c r="A318" s="273" t="inlineStr">
        <is>
          <t>Destination</t>
        </is>
      </c>
      <c r="B318" s="273" t="inlineStr">
        <is>
          <t>ONDO</t>
        </is>
      </c>
      <c r="C318" s="273" t="inlineStr">
        <is>
          <t>Ondo</t>
        </is>
      </c>
      <c r="D318" s="273" t="inlineStr">
        <is>
          <t>Ondo</t>
        </is>
      </c>
      <c r="E318" s="273" t="inlineStr">
        <is>
          <t>Yes</t>
        </is>
      </c>
      <c r="F318" s="273" t="n">
        <v>4</v>
      </c>
      <c r="G318" s="273" t="inlineStr">
        <is>
          <t>Client Route And Contracts, NEW-DSL JMR</t>
        </is>
      </c>
      <c r="H318" s="273" t="inlineStr">
        <is>
          <t>State name used as destination (no specific town given in the original).</t>
        </is>
      </c>
    </row>
    <row r="319">
      <c r="A319" s="273" t="inlineStr">
        <is>
          <t>Destination</t>
        </is>
      </c>
      <c r="B319" s="273" t="inlineStr">
        <is>
          <t>ONDO-ONDO</t>
        </is>
      </c>
      <c r="C319" s="273" t="inlineStr">
        <is>
          <t>Ondo</t>
        </is>
      </c>
      <c r="D319" s="273" t="inlineStr">
        <is>
          <t>Ondo</t>
        </is>
      </c>
      <c r="E319" s="273" t="inlineStr">
        <is>
          <t>Yes</t>
        </is>
      </c>
      <c r="F319" s="273" t="n">
        <v>3</v>
      </c>
      <c r="G319" s="273" t="inlineStr">
        <is>
          <t>Client Route And Contracts</t>
        </is>
      </c>
      <c r="H319" s="273" t="inlineStr">
        <is>
          <t>State name used as destination (no specific town given in the original).</t>
        </is>
      </c>
    </row>
    <row r="320">
      <c r="A320" t="inlineStr">
        <is>
          <t>Destination</t>
        </is>
      </c>
      <c r="B320" t="inlineStr">
        <is>
          <t>ONIRU</t>
        </is>
      </c>
      <c r="C320" t="inlineStr">
        <is>
          <t>Oniru</t>
        </is>
      </c>
      <c r="D320" t="inlineStr">
        <is>
          <t>Lagos</t>
        </is>
      </c>
      <c r="E320" t="inlineStr">
        <is>
          <t>Yes</t>
        </is>
      </c>
      <c r="F320" t="n">
        <v>2</v>
      </c>
      <c r="G320" t="inlineStr">
        <is>
          <t>Client Route And Contracts</t>
        </is>
      </c>
      <c r="H320" t="inlineStr"/>
    </row>
    <row r="321">
      <c r="A321" t="inlineStr">
        <is>
          <t>Destination</t>
        </is>
      </c>
      <c r="B321" t="inlineStr">
        <is>
          <t>Oniru</t>
        </is>
      </c>
      <c r="C321" t="inlineStr">
        <is>
          <t>Oniru</t>
        </is>
      </c>
      <c r="D321" t="inlineStr">
        <is>
          <t>Lagos</t>
        </is>
      </c>
      <c r="E321" t="inlineStr">
        <is>
          <t>No</t>
        </is>
      </c>
      <c r="F321" t="n">
        <v>4</v>
      </c>
      <c r="G321" t="inlineStr">
        <is>
          <t>Client Route And Contracts, NEW-DSL JMR</t>
        </is>
      </c>
      <c r="H321" t="inlineStr"/>
    </row>
    <row r="322">
      <c r="A322" t="inlineStr">
        <is>
          <t>Destination</t>
        </is>
      </c>
      <c r="B322" t="inlineStr">
        <is>
          <t>ONITSHA</t>
        </is>
      </c>
      <c r="C322" t="inlineStr">
        <is>
          <t>Onitsha</t>
        </is>
      </c>
      <c r="D322" t="inlineStr">
        <is>
          <t>Anambra</t>
        </is>
      </c>
      <c r="E322" t="inlineStr">
        <is>
          <t>Yes</t>
        </is>
      </c>
      <c r="F322" t="n">
        <v>3</v>
      </c>
      <c r="G322" t="inlineStr">
        <is>
          <t>Client Route And Contracts</t>
        </is>
      </c>
      <c r="H322" t="inlineStr"/>
    </row>
    <row r="323">
      <c r="A323" t="inlineStr">
        <is>
          <t>Destination</t>
        </is>
      </c>
      <c r="B323" t="inlineStr">
        <is>
          <t>OnitSha</t>
        </is>
      </c>
      <c r="C323" t="inlineStr">
        <is>
          <t>Onitsha</t>
        </is>
      </c>
      <c r="D323" t="inlineStr">
        <is>
          <t>Anambra</t>
        </is>
      </c>
      <c r="E323" t="inlineStr">
        <is>
          <t>Yes</t>
        </is>
      </c>
      <c r="F323" t="n">
        <v>2</v>
      </c>
      <c r="G323" t="inlineStr">
        <is>
          <t>Client Route And Contracts, NEW-DSL JMR</t>
        </is>
      </c>
      <c r="H323" t="inlineStr"/>
    </row>
    <row r="324">
      <c r="A324" t="inlineStr">
        <is>
          <t>Destination</t>
        </is>
      </c>
      <c r="B324" t="inlineStr">
        <is>
          <t>Onitsha</t>
        </is>
      </c>
      <c r="C324" t="inlineStr">
        <is>
          <t>Onitsha</t>
        </is>
      </c>
      <c r="D324" t="inlineStr">
        <is>
          <t>Anambra</t>
        </is>
      </c>
      <c r="E324" t="inlineStr">
        <is>
          <t>No</t>
        </is>
      </c>
      <c r="F324" t="n">
        <v>17</v>
      </c>
      <c r="G324" t="inlineStr">
        <is>
          <t>Client Route And Contracts, NEW-DSL JMR</t>
        </is>
      </c>
      <c r="H324" t="inlineStr"/>
    </row>
    <row r="325">
      <c r="A325" t="inlineStr">
        <is>
          <t>Destination</t>
        </is>
      </c>
      <c r="B325" t="inlineStr">
        <is>
          <t>ONNE</t>
        </is>
      </c>
      <c r="C325" t="inlineStr">
        <is>
          <t>Onne</t>
        </is>
      </c>
      <c r="D325" t="inlineStr">
        <is>
          <t>Rivers</t>
        </is>
      </c>
      <c r="E325" t="inlineStr">
        <is>
          <t>Yes</t>
        </is>
      </c>
      <c r="F325" t="n">
        <v>2</v>
      </c>
      <c r="G325" t="inlineStr">
        <is>
          <t>Client Route And Contracts, NEW-DSL JMR</t>
        </is>
      </c>
      <c r="H325" t="inlineStr"/>
    </row>
    <row r="326">
      <c r="A326" t="inlineStr">
        <is>
          <t>Destination</t>
        </is>
      </c>
      <c r="B326" t="inlineStr">
        <is>
          <t>Ore</t>
        </is>
      </c>
      <c r="C326" t="inlineStr">
        <is>
          <t>Ore</t>
        </is>
      </c>
      <c r="D326" t="inlineStr">
        <is>
          <t>Ondo</t>
        </is>
      </c>
      <c r="E326" t="inlineStr">
        <is>
          <t>No</t>
        </is>
      </c>
      <c r="F326" t="n">
        <v>1</v>
      </c>
      <c r="G326" t="inlineStr">
        <is>
          <t>Client Route And Contracts</t>
        </is>
      </c>
      <c r="H326" t="inlineStr"/>
    </row>
    <row r="327">
      <c r="A327" t="inlineStr">
        <is>
          <t>Destination</t>
        </is>
      </c>
      <c r="B327" t="inlineStr">
        <is>
          <t>Orile</t>
        </is>
      </c>
      <c r="C327" t="inlineStr">
        <is>
          <t>Orile</t>
        </is>
      </c>
      <c r="D327" t="inlineStr">
        <is>
          <t>Lagos</t>
        </is>
      </c>
      <c r="E327" t="inlineStr">
        <is>
          <t>No</t>
        </is>
      </c>
      <c r="F327" t="n">
        <v>4</v>
      </c>
      <c r="G327" t="inlineStr">
        <is>
          <t>Client Route And Contracts, NEW-DSL JMR</t>
        </is>
      </c>
      <c r="H327" t="inlineStr"/>
    </row>
    <row r="328">
      <c r="A328" t="inlineStr">
        <is>
          <t>Destination</t>
        </is>
      </c>
      <c r="B328" t="inlineStr">
        <is>
          <t>ORON</t>
        </is>
      </c>
      <c r="C328" t="inlineStr">
        <is>
          <t>Oron</t>
        </is>
      </c>
      <c r="D328" t="inlineStr">
        <is>
          <t>Akwa Ibom</t>
        </is>
      </c>
      <c r="E328" t="inlineStr">
        <is>
          <t>Yes</t>
        </is>
      </c>
      <c r="F328" t="n">
        <v>2</v>
      </c>
      <c r="G328" t="inlineStr">
        <is>
          <t>Client Route And Contracts, NEW-DSL JMR</t>
        </is>
      </c>
      <c r="H328" t="inlineStr"/>
    </row>
    <row r="329">
      <c r="A329" t="inlineStr">
        <is>
          <t>Destination</t>
        </is>
      </c>
      <c r="B329" t="inlineStr">
        <is>
          <t>Oron</t>
        </is>
      </c>
      <c r="C329" t="inlineStr">
        <is>
          <t>Oron</t>
        </is>
      </c>
      <c r="D329" t="inlineStr">
        <is>
          <t>Akwa Ibom</t>
        </is>
      </c>
      <c r="E329" t="inlineStr">
        <is>
          <t>No</t>
        </is>
      </c>
      <c r="F329" t="n">
        <v>4</v>
      </c>
      <c r="G329" t="inlineStr">
        <is>
          <t>Client Route And Contracts, NEW-DSL JMR</t>
        </is>
      </c>
      <c r="H329" t="inlineStr"/>
    </row>
    <row r="330">
      <c r="A330" t="inlineStr">
        <is>
          <t>Destination</t>
        </is>
      </c>
      <c r="B330" t="inlineStr">
        <is>
          <t>OSHODI</t>
        </is>
      </c>
      <c r="C330" t="inlineStr">
        <is>
          <t>Oshodi</t>
        </is>
      </c>
      <c r="D330" t="inlineStr">
        <is>
          <t>Lagos</t>
        </is>
      </c>
      <c r="E330" t="inlineStr">
        <is>
          <t>Yes</t>
        </is>
      </c>
      <c r="F330" t="n">
        <v>4</v>
      </c>
      <c r="G330" t="inlineStr">
        <is>
          <t>Client Route And Contracts</t>
        </is>
      </c>
      <c r="H330" t="inlineStr"/>
    </row>
    <row r="331">
      <c r="A331" t="inlineStr">
        <is>
          <t>Destination</t>
        </is>
      </c>
      <c r="B331" t="inlineStr">
        <is>
          <t>Oshodi</t>
        </is>
      </c>
      <c r="C331" t="inlineStr">
        <is>
          <t>Oshodi</t>
        </is>
      </c>
      <c r="D331" t="inlineStr">
        <is>
          <t>Lagos</t>
        </is>
      </c>
      <c r="E331" t="inlineStr">
        <is>
          <t>No</t>
        </is>
      </c>
      <c r="F331" t="n">
        <v>4</v>
      </c>
      <c r="G331" t="inlineStr">
        <is>
          <t>Client Route And Contracts, NEW-DSL JMR</t>
        </is>
      </c>
      <c r="H331" t="inlineStr"/>
    </row>
    <row r="332">
      <c r="A332" t="inlineStr">
        <is>
          <t>Destination</t>
        </is>
      </c>
      <c r="B332" t="inlineStr">
        <is>
          <t>OSUN-OSHOGBO</t>
        </is>
      </c>
      <c r="C332" t="inlineStr">
        <is>
          <t>Osogbo</t>
        </is>
      </c>
      <c r="D332" t="inlineStr">
        <is>
          <t>Osun</t>
        </is>
      </c>
      <c r="E332" t="inlineStr">
        <is>
          <t>Yes</t>
        </is>
      </c>
      <c r="F332" t="n">
        <v>3</v>
      </c>
      <c r="G332" t="inlineStr">
        <is>
          <t>Client Route And Contracts</t>
        </is>
      </c>
      <c r="H332" t="inlineStr"/>
    </row>
    <row r="333">
      <c r="A333" t="inlineStr">
        <is>
          <t>Destination</t>
        </is>
      </c>
      <c r="B333" t="inlineStr">
        <is>
          <t>Oshogbo</t>
        </is>
      </c>
      <c r="C333" t="inlineStr">
        <is>
          <t>Osogbo</t>
        </is>
      </c>
      <c r="D333" t="inlineStr">
        <is>
          <t>Osun</t>
        </is>
      </c>
      <c r="E333" t="inlineStr">
        <is>
          <t>Yes</t>
        </is>
      </c>
      <c r="F333" t="n">
        <v>4</v>
      </c>
      <c r="G333" t="inlineStr">
        <is>
          <t>Client Route And Contracts, NEW-DSL JMR</t>
        </is>
      </c>
      <c r="H333" t="inlineStr"/>
    </row>
    <row r="334">
      <c r="A334" t="inlineStr">
        <is>
          <t>Destination</t>
        </is>
      </c>
      <c r="B334" t="inlineStr">
        <is>
          <t>Osogbo</t>
        </is>
      </c>
      <c r="C334" t="inlineStr">
        <is>
          <t>Osogbo</t>
        </is>
      </c>
      <c r="D334" t="inlineStr">
        <is>
          <t>Osun</t>
        </is>
      </c>
      <c r="E334" t="inlineStr">
        <is>
          <t>No</t>
        </is>
      </c>
      <c r="F334" t="n">
        <v>1</v>
      </c>
      <c r="G334" t="inlineStr">
        <is>
          <t>Client Route And Contracts</t>
        </is>
      </c>
      <c r="H334" t="inlineStr"/>
    </row>
    <row r="335">
      <c r="A335" s="273" t="inlineStr">
        <is>
          <t>Destination</t>
        </is>
      </c>
      <c r="B335" s="273" t="inlineStr">
        <is>
          <t>OSUN</t>
        </is>
      </c>
      <c r="C335" s="273" t="inlineStr">
        <is>
          <t>Osun</t>
        </is>
      </c>
      <c r="D335" s="273" t="inlineStr">
        <is>
          <t>Osun</t>
        </is>
      </c>
      <c r="E335" s="273" t="inlineStr">
        <is>
          <t>Yes</t>
        </is>
      </c>
      <c r="F335" s="273" t="n">
        <v>2</v>
      </c>
      <c r="G335" s="273" t="inlineStr">
        <is>
          <t>Client Route And Contracts, NEW-DSL JMR</t>
        </is>
      </c>
      <c r="H335" s="273" t="inlineStr">
        <is>
          <t>State name used as destination (no specific town given in the original).</t>
        </is>
      </c>
    </row>
    <row r="336">
      <c r="A336" s="273" t="inlineStr">
        <is>
          <t>Destination</t>
        </is>
      </c>
      <c r="B336" s="273" t="inlineStr">
        <is>
          <t>Osun</t>
        </is>
      </c>
      <c r="C336" s="273" t="inlineStr">
        <is>
          <t>Osun</t>
        </is>
      </c>
      <c r="D336" s="273" t="inlineStr">
        <is>
          <t>Osun</t>
        </is>
      </c>
      <c r="E336" s="273" t="inlineStr">
        <is>
          <t>No</t>
        </is>
      </c>
      <c r="F336" s="273" t="n">
        <v>4</v>
      </c>
      <c r="G336" s="273" t="inlineStr">
        <is>
          <t>Client Route And Contracts, NEW-DSL JMR</t>
        </is>
      </c>
      <c r="H336" s="273" t="inlineStr">
        <is>
          <t>State name used as destination (no specific town given in the original).</t>
        </is>
      </c>
    </row>
    <row r="337">
      <c r="A337" t="inlineStr">
        <is>
          <t>Destination</t>
        </is>
      </c>
      <c r="B337" t="inlineStr">
        <is>
          <t>OTUKPA</t>
        </is>
      </c>
      <c r="C337" t="inlineStr">
        <is>
          <t>Otukpa</t>
        </is>
      </c>
      <c r="D337" t="inlineStr">
        <is>
          <t>Benue</t>
        </is>
      </c>
      <c r="E337" t="inlineStr">
        <is>
          <t>Yes</t>
        </is>
      </c>
      <c r="F337" t="n">
        <v>2</v>
      </c>
      <c r="G337" t="inlineStr">
        <is>
          <t>Client Route And Contracts, NEW-DSL JMR</t>
        </is>
      </c>
      <c r="H337" t="inlineStr"/>
    </row>
    <row r="338">
      <c r="A338" t="inlineStr">
        <is>
          <t>Destination</t>
        </is>
      </c>
      <c r="B338" t="inlineStr">
        <is>
          <t>OTUKPO</t>
        </is>
      </c>
      <c r="C338" t="inlineStr">
        <is>
          <t>Otukpo</t>
        </is>
      </c>
      <c r="D338" t="inlineStr">
        <is>
          <t>Benue</t>
        </is>
      </c>
      <c r="E338" t="inlineStr">
        <is>
          <t>Yes</t>
        </is>
      </c>
      <c r="F338" t="n">
        <v>4</v>
      </c>
      <c r="G338" t="inlineStr">
        <is>
          <t>Client Route And Contracts, NEW-DSL JMR</t>
        </is>
      </c>
      <c r="H338" t="inlineStr"/>
    </row>
    <row r="339">
      <c r="A339" t="inlineStr">
        <is>
          <t>Destination</t>
        </is>
      </c>
      <c r="B339" t="inlineStr">
        <is>
          <t>Otukpo</t>
        </is>
      </c>
      <c r="C339" t="inlineStr">
        <is>
          <t>Otukpo</t>
        </is>
      </c>
      <c r="D339" t="inlineStr">
        <is>
          <t>Benue</t>
        </is>
      </c>
      <c r="E339" t="inlineStr">
        <is>
          <t>No</t>
        </is>
      </c>
      <c r="F339" t="n">
        <v>2</v>
      </c>
      <c r="G339" t="inlineStr">
        <is>
          <t>Client Route And Contracts</t>
        </is>
      </c>
      <c r="H339" t="inlineStr"/>
    </row>
    <row r="340">
      <c r="A340" t="inlineStr">
        <is>
          <t>Destination</t>
        </is>
      </c>
      <c r="B340" t="inlineStr">
        <is>
          <t>OWERrI</t>
        </is>
      </c>
      <c r="C340" t="inlineStr">
        <is>
          <t>Owerri</t>
        </is>
      </c>
      <c r="D340" t="inlineStr">
        <is>
          <t>Imo</t>
        </is>
      </c>
      <c r="E340" t="inlineStr">
        <is>
          <t>Yes</t>
        </is>
      </c>
      <c r="F340" t="n">
        <v>2</v>
      </c>
      <c r="G340" t="inlineStr">
        <is>
          <t>Client Route And Contracts, NEW-DSL JMR</t>
        </is>
      </c>
      <c r="H340" t="inlineStr"/>
    </row>
    <row r="341">
      <c r="A341" t="inlineStr">
        <is>
          <t>Destination</t>
        </is>
      </c>
      <c r="B341" t="inlineStr">
        <is>
          <t>Owerri</t>
        </is>
      </c>
      <c r="C341" t="inlineStr">
        <is>
          <t>Owerri</t>
        </is>
      </c>
      <c r="D341" t="inlineStr">
        <is>
          <t>Imo</t>
        </is>
      </c>
      <c r="E341" t="inlineStr">
        <is>
          <t>No</t>
        </is>
      </c>
      <c r="F341" t="n">
        <v>6</v>
      </c>
      <c r="G341" t="inlineStr">
        <is>
          <t>Client Route And Contracts, NEW-DSL JMR</t>
        </is>
      </c>
      <c r="H341" t="inlineStr"/>
    </row>
    <row r="342">
      <c r="A342" t="inlineStr">
        <is>
          <t>Destination</t>
        </is>
      </c>
      <c r="B342" t="inlineStr">
        <is>
          <t>OYIGBO</t>
        </is>
      </c>
      <c r="C342" t="inlineStr">
        <is>
          <t>Oyigbo</t>
        </is>
      </c>
      <c r="D342" t="inlineStr">
        <is>
          <t>Rivers</t>
        </is>
      </c>
      <c r="E342" t="inlineStr">
        <is>
          <t>Yes</t>
        </is>
      </c>
      <c r="F342" t="n">
        <v>2</v>
      </c>
      <c r="G342" t="inlineStr">
        <is>
          <t>Client Route And Contracts, NEW-DSL JMR</t>
        </is>
      </c>
      <c r="H342" t="inlineStr"/>
    </row>
    <row r="343">
      <c r="A343" t="inlineStr">
        <is>
          <t>Destination</t>
        </is>
      </c>
      <c r="B343" t="inlineStr">
        <is>
          <t>Oyo</t>
        </is>
      </c>
      <c r="C343" t="inlineStr">
        <is>
          <t>Oyo</t>
        </is>
      </c>
      <c r="D343" t="inlineStr">
        <is>
          <t>Oyo</t>
        </is>
      </c>
      <c r="E343" t="inlineStr">
        <is>
          <t>No</t>
        </is>
      </c>
      <c r="F343" t="n">
        <v>1</v>
      </c>
      <c r="G343" t="inlineStr">
        <is>
          <t>Client Route And Contracts</t>
        </is>
      </c>
      <c r="H343" t="inlineStr"/>
    </row>
    <row r="344">
      <c r="A344" t="inlineStr">
        <is>
          <t>Destination</t>
        </is>
      </c>
      <c r="B344" t="inlineStr">
        <is>
          <t>PHC</t>
        </is>
      </c>
      <c r="C344" t="inlineStr">
        <is>
          <t>Port Harcourt</t>
        </is>
      </c>
      <c r="D344" t="inlineStr">
        <is>
          <t>Rivers</t>
        </is>
      </c>
      <c r="E344" t="inlineStr">
        <is>
          <t>Yes</t>
        </is>
      </c>
      <c r="F344" t="n">
        <v>9</v>
      </c>
      <c r="G344" t="inlineStr">
        <is>
          <t>Client Route And Contracts, NEW-DSL JMR</t>
        </is>
      </c>
      <c r="H344" t="inlineStr"/>
    </row>
    <row r="345">
      <c r="A345" t="inlineStr">
        <is>
          <t>Destination</t>
        </is>
      </c>
      <c r="B345" t="inlineStr">
        <is>
          <t>Port Harcourt</t>
        </is>
      </c>
      <c r="C345" t="inlineStr">
        <is>
          <t>Port Harcourt</t>
        </is>
      </c>
      <c r="D345" t="inlineStr">
        <is>
          <t>Rivers</t>
        </is>
      </c>
      <c r="E345" t="inlineStr">
        <is>
          <t>No</t>
        </is>
      </c>
      <c r="F345" t="n">
        <v>13</v>
      </c>
      <c r="G345" t="inlineStr">
        <is>
          <t>Client Route And Contracts, NEW-DSL JMR</t>
        </is>
      </c>
      <c r="H345" t="inlineStr"/>
    </row>
    <row r="346">
      <c r="A346" t="inlineStr">
        <is>
          <t>Destination</t>
        </is>
      </c>
      <c r="B346" t="inlineStr">
        <is>
          <t>POTISKUM</t>
        </is>
      </c>
      <c r="C346" t="inlineStr">
        <is>
          <t>Potiskum</t>
        </is>
      </c>
      <c r="D346" t="inlineStr">
        <is>
          <t>Yobe</t>
        </is>
      </c>
      <c r="E346" t="inlineStr">
        <is>
          <t>Yes</t>
        </is>
      </c>
      <c r="F346" t="n">
        <v>2</v>
      </c>
      <c r="G346" t="inlineStr">
        <is>
          <t>Client Route And Contracts</t>
        </is>
      </c>
      <c r="H346" t="inlineStr"/>
    </row>
    <row r="347">
      <c r="A347" t="inlineStr">
        <is>
          <t>Destination</t>
        </is>
      </c>
      <c r="B347" t="inlineStr">
        <is>
          <t>PYAKASA</t>
        </is>
      </c>
      <c r="C347" t="inlineStr">
        <is>
          <t>Pyakasa</t>
        </is>
      </c>
      <c r="D347" t="inlineStr">
        <is>
          <t>FCT</t>
        </is>
      </c>
      <c r="E347" t="inlineStr">
        <is>
          <t>Yes</t>
        </is>
      </c>
      <c r="F347" t="n">
        <v>2</v>
      </c>
      <c r="G347" t="inlineStr">
        <is>
          <t>Client Route And Contracts, NEW-DSL JMR</t>
        </is>
      </c>
      <c r="H347" t="inlineStr"/>
    </row>
    <row r="348">
      <c r="A348" t="inlineStr">
        <is>
          <t>Destination</t>
        </is>
      </c>
      <c r="B348" t="inlineStr">
        <is>
          <t>RIVER PARK</t>
        </is>
      </c>
      <c r="C348" t="inlineStr">
        <is>
          <t>River Park</t>
        </is>
      </c>
      <c r="D348" t="inlineStr">
        <is>
          <t>FCT</t>
        </is>
      </c>
      <c r="E348" t="inlineStr">
        <is>
          <t>Yes</t>
        </is>
      </c>
      <c r="F348" t="n">
        <v>2</v>
      </c>
      <c r="G348" t="inlineStr">
        <is>
          <t>Client Route And Contracts, NEW-DSL JMR</t>
        </is>
      </c>
      <c r="H348" t="inlineStr"/>
    </row>
    <row r="349">
      <c r="A349" t="inlineStr">
        <is>
          <t>Destination</t>
        </is>
      </c>
      <c r="B349" t="inlineStr">
        <is>
          <t>Rumuepirikom</t>
        </is>
      </c>
      <c r="C349" t="inlineStr">
        <is>
          <t>Rumuepirikom</t>
        </is>
      </c>
      <c r="D349" t="inlineStr">
        <is>
          <t>Rivers</t>
        </is>
      </c>
      <c r="E349" t="inlineStr">
        <is>
          <t>No</t>
        </is>
      </c>
      <c r="F349" t="n">
        <v>2</v>
      </c>
      <c r="G349" t="inlineStr">
        <is>
          <t>Client Route And Contracts, NEW-DSL JMR</t>
        </is>
      </c>
      <c r="H349" t="inlineStr"/>
    </row>
    <row r="350">
      <c r="A350" t="inlineStr">
        <is>
          <t>Destination</t>
        </is>
      </c>
      <c r="B350" t="inlineStr">
        <is>
          <t>Rumukpakolosi</t>
        </is>
      </c>
      <c r="C350" t="inlineStr">
        <is>
          <t>Rumukpakolosi</t>
        </is>
      </c>
      <c r="D350" t="inlineStr">
        <is>
          <t>Rivers</t>
        </is>
      </c>
      <c r="E350" t="inlineStr">
        <is>
          <t>No</t>
        </is>
      </c>
      <c r="F350" t="n">
        <v>2</v>
      </c>
      <c r="G350" t="inlineStr">
        <is>
          <t>Client Route And Contracts, NEW-DSL JMR</t>
        </is>
      </c>
      <c r="H350" t="inlineStr"/>
    </row>
    <row r="351">
      <c r="A351" t="inlineStr">
        <is>
          <t>Destination</t>
        </is>
      </c>
      <c r="B351" t="inlineStr">
        <is>
          <t>OGUN-SAGAMU</t>
        </is>
      </c>
      <c r="C351" t="inlineStr">
        <is>
          <t>Sagamu</t>
        </is>
      </c>
      <c r="D351" t="inlineStr">
        <is>
          <t>Ogun</t>
        </is>
      </c>
      <c r="E351" t="inlineStr">
        <is>
          <t>Yes</t>
        </is>
      </c>
      <c r="F351" t="n">
        <v>3</v>
      </c>
      <c r="G351" t="inlineStr">
        <is>
          <t>Client Route And Contracts</t>
        </is>
      </c>
      <c r="H351" t="inlineStr"/>
    </row>
    <row r="352">
      <c r="A352" t="inlineStr">
        <is>
          <t>Destination</t>
        </is>
      </c>
      <c r="B352" t="inlineStr">
        <is>
          <t>SAGAMU</t>
        </is>
      </c>
      <c r="C352" t="inlineStr">
        <is>
          <t>Sagamu</t>
        </is>
      </c>
      <c r="D352" t="inlineStr">
        <is>
          <t>Ogun</t>
        </is>
      </c>
      <c r="E352" t="inlineStr">
        <is>
          <t>Yes</t>
        </is>
      </c>
      <c r="F352" t="n">
        <v>2</v>
      </c>
      <c r="G352" t="inlineStr">
        <is>
          <t>Client Route And Contracts</t>
        </is>
      </c>
      <c r="H352" t="inlineStr"/>
    </row>
    <row r="353">
      <c r="A353" t="inlineStr">
        <is>
          <t>Destination</t>
        </is>
      </c>
      <c r="B353" t="inlineStr">
        <is>
          <t>Sagamu</t>
        </is>
      </c>
      <c r="C353" t="inlineStr">
        <is>
          <t>Sagamu</t>
        </is>
      </c>
      <c r="D353" t="inlineStr">
        <is>
          <t>Ogun</t>
        </is>
      </c>
      <c r="E353" t="inlineStr">
        <is>
          <t>No</t>
        </is>
      </c>
      <c r="F353" t="n">
        <v>6</v>
      </c>
      <c r="G353" t="inlineStr">
        <is>
          <t>Client Route And Contracts, NEW-DSL JMR</t>
        </is>
      </c>
      <c r="H353" t="inlineStr"/>
    </row>
    <row r="354">
      <c r="A354" t="inlineStr">
        <is>
          <t>Destination</t>
        </is>
      </c>
      <c r="B354" t="inlineStr">
        <is>
          <t>Shagamu</t>
        </is>
      </c>
      <c r="C354" t="inlineStr">
        <is>
          <t>Sagamu</t>
        </is>
      </c>
      <c r="D354" t="inlineStr">
        <is>
          <t>Ogun</t>
        </is>
      </c>
      <c r="E354" t="inlineStr">
        <is>
          <t>Yes</t>
        </is>
      </c>
      <c r="F354" t="n">
        <v>5</v>
      </c>
      <c r="G354" t="inlineStr">
        <is>
          <t>Client Route And Contracts, NEW-DSL JMR</t>
        </is>
      </c>
      <c r="H354" t="inlineStr"/>
    </row>
    <row r="355">
      <c r="A355" t="inlineStr">
        <is>
          <t>Destination</t>
        </is>
      </c>
      <c r="B355" t="inlineStr">
        <is>
          <t>Sagamu-Ijebu Ode</t>
        </is>
      </c>
      <c r="C355" t="inlineStr">
        <is>
          <t>Sagamu-Ijebu-Ode</t>
        </is>
      </c>
      <c r="D355" t="inlineStr">
        <is>
          <t>Ogun</t>
        </is>
      </c>
      <c r="E355" t="inlineStr">
        <is>
          <t>Yes</t>
        </is>
      </c>
      <c r="F355" t="n">
        <v>6</v>
      </c>
      <c r="G355" t="inlineStr">
        <is>
          <t>NEW-DSL JMR</t>
        </is>
      </c>
      <c r="H355" t="inlineStr"/>
    </row>
    <row r="356">
      <c r="A356" t="inlineStr">
        <is>
          <t>Destination</t>
        </is>
      </c>
      <c r="B356" t="inlineStr">
        <is>
          <t>SAGBAMA</t>
        </is>
      </c>
      <c r="C356" t="inlineStr">
        <is>
          <t>Sagbama</t>
        </is>
      </c>
      <c r="D356" t="inlineStr">
        <is>
          <t>Bayelsa</t>
        </is>
      </c>
      <c r="E356" t="inlineStr">
        <is>
          <t>Yes</t>
        </is>
      </c>
      <c r="F356" t="n">
        <v>2</v>
      </c>
      <c r="G356" t="inlineStr">
        <is>
          <t>Client Route And Contracts, NEW-DSL JMR</t>
        </is>
      </c>
      <c r="H356" t="inlineStr"/>
    </row>
    <row r="357">
      <c r="A357" t="inlineStr">
        <is>
          <t>Destination</t>
        </is>
      </c>
      <c r="B357" t="inlineStr">
        <is>
          <t>Saki</t>
        </is>
      </c>
      <c r="C357" t="inlineStr">
        <is>
          <t>Saki</t>
        </is>
      </c>
      <c r="D357" t="inlineStr">
        <is>
          <t>Oyo</t>
        </is>
      </c>
      <c r="E357" t="inlineStr">
        <is>
          <t>No</t>
        </is>
      </c>
      <c r="F357" t="n">
        <v>1</v>
      </c>
      <c r="G357" t="inlineStr">
        <is>
          <t>Client Route And Contracts</t>
        </is>
      </c>
      <c r="H357" t="inlineStr"/>
    </row>
    <row r="358">
      <c r="A358" t="inlineStr">
        <is>
          <t>Destination</t>
        </is>
      </c>
      <c r="B358" t="inlineStr">
        <is>
          <t>SAMINAKA</t>
        </is>
      </c>
      <c r="C358" t="inlineStr">
        <is>
          <t>Saminaka</t>
        </is>
      </c>
      <c r="D358" t="inlineStr">
        <is>
          <t>Kaduna</t>
        </is>
      </c>
      <c r="E358" t="inlineStr">
        <is>
          <t>Yes</t>
        </is>
      </c>
      <c r="F358" t="n">
        <v>2</v>
      </c>
      <c r="G358" t="inlineStr">
        <is>
          <t>Client Route And Contracts</t>
        </is>
      </c>
      <c r="H358" t="inlineStr"/>
    </row>
    <row r="359">
      <c r="A359" t="inlineStr">
        <is>
          <t>Destination</t>
        </is>
      </c>
      <c r="B359" t="inlineStr">
        <is>
          <t>Saminaka</t>
        </is>
      </c>
      <c r="C359" t="inlineStr">
        <is>
          <t>Saminaka</t>
        </is>
      </c>
      <c r="D359" t="inlineStr">
        <is>
          <t>Kaduna</t>
        </is>
      </c>
      <c r="E359" t="inlineStr">
        <is>
          <t>No</t>
        </is>
      </c>
      <c r="F359" t="n">
        <v>1</v>
      </c>
      <c r="G359" t="inlineStr">
        <is>
          <t>Client Route And Contracts</t>
        </is>
      </c>
      <c r="H359" t="inlineStr"/>
    </row>
    <row r="360">
      <c r="A360" t="inlineStr">
        <is>
          <t>Destination</t>
        </is>
      </c>
      <c r="B360" t="inlineStr">
        <is>
          <t>OGUN-SANGO OTA</t>
        </is>
      </c>
      <c r="C360" t="inlineStr">
        <is>
          <t>Sango-Ota</t>
        </is>
      </c>
      <c r="D360" t="inlineStr">
        <is>
          <t>Ogun</t>
        </is>
      </c>
      <c r="E360" t="inlineStr">
        <is>
          <t>Yes</t>
        </is>
      </c>
      <c r="F360" t="n">
        <v>3</v>
      </c>
      <c r="G360" t="inlineStr">
        <is>
          <t>Client Route And Contracts</t>
        </is>
      </c>
      <c r="H360" t="inlineStr"/>
    </row>
    <row r="361">
      <c r="A361" t="inlineStr">
        <is>
          <t>Destination</t>
        </is>
      </c>
      <c r="B361" t="inlineStr">
        <is>
          <t>SANGO OTTA</t>
        </is>
      </c>
      <c r="C361" t="inlineStr">
        <is>
          <t>Sango-Ota</t>
        </is>
      </c>
      <c r="D361" t="inlineStr">
        <is>
          <t>Ogun</t>
        </is>
      </c>
      <c r="E361" t="inlineStr">
        <is>
          <t>Yes</t>
        </is>
      </c>
      <c r="F361" t="n">
        <v>2</v>
      </c>
      <c r="G361" t="inlineStr">
        <is>
          <t>Client Route And Contracts</t>
        </is>
      </c>
      <c r="H361" t="inlineStr"/>
    </row>
    <row r="362">
      <c r="A362" t="inlineStr">
        <is>
          <t>Destination</t>
        </is>
      </c>
      <c r="B362" t="inlineStr">
        <is>
          <t>SANGO-OTTA</t>
        </is>
      </c>
      <c r="C362" t="inlineStr">
        <is>
          <t>Sango-Ota</t>
        </is>
      </c>
      <c r="D362" t="inlineStr">
        <is>
          <t>Ogun</t>
        </is>
      </c>
      <c r="E362" t="inlineStr">
        <is>
          <t>Yes</t>
        </is>
      </c>
      <c r="F362" t="n">
        <v>4</v>
      </c>
      <c r="G362" t="inlineStr">
        <is>
          <t>Client Route And Contracts</t>
        </is>
      </c>
      <c r="H362" t="inlineStr"/>
    </row>
    <row r="363">
      <c r="A363" t="inlineStr">
        <is>
          <t>Destination</t>
        </is>
      </c>
      <c r="B363" t="inlineStr">
        <is>
          <t>Sango-Ota</t>
        </is>
      </c>
      <c r="C363" t="inlineStr">
        <is>
          <t>Sango-Ota</t>
        </is>
      </c>
      <c r="D363" t="inlineStr">
        <is>
          <t>Ogun</t>
        </is>
      </c>
      <c r="E363" t="inlineStr">
        <is>
          <t>No</t>
        </is>
      </c>
      <c r="F363" t="n">
        <v>4</v>
      </c>
      <c r="G363" t="inlineStr">
        <is>
          <t>Client Route And Contracts, NEW-DSL JMR</t>
        </is>
      </c>
      <c r="H363" t="inlineStr"/>
    </row>
    <row r="364">
      <c r="A364" t="inlineStr">
        <is>
          <t>Destination</t>
        </is>
      </c>
      <c r="B364" t="inlineStr">
        <is>
          <t>Sangotta (Sango-Otta)</t>
        </is>
      </c>
      <c r="C364" t="inlineStr">
        <is>
          <t>Sango-Ota</t>
        </is>
      </c>
      <c r="D364" t="inlineStr">
        <is>
          <t>Ogun</t>
        </is>
      </c>
      <c r="E364" t="inlineStr">
        <is>
          <t>Yes</t>
        </is>
      </c>
      <c r="F364" t="n">
        <v>1</v>
      </c>
      <c r="G364" t="inlineStr">
        <is>
          <t>Client Route And Contracts</t>
        </is>
      </c>
      <c r="H364" t="inlineStr"/>
    </row>
    <row r="365">
      <c r="A365" t="inlineStr">
        <is>
          <t>Destination</t>
        </is>
      </c>
      <c r="B365" t="inlineStr">
        <is>
          <t>SAPELE</t>
        </is>
      </c>
      <c r="C365" t="inlineStr">
        <is>
          <t>Sapele</t>
        </is>
      </c>
      <c r="D365" t="inlineStr">
        <is>
          <t>Delta</t>
        </is>
      </c>
      <c r="E365" t="inlineStr">
        <is>
          <t>Yes</t>
        </is>
      </c>
      <c r="F365" t="n">
        <v>2</v>
      </c>
      <c r="G365" t="inlineStr">
        <is>
          <t>Client Route And Contracts, NEW-DSL JMR</t>
        </is>
      </c>
      <c r="H365" t="inlineStr"/>
    </row>
    <row r="366">
      <c r="A366" t="inlineStr">
        <is>
          <t>Destination</t>
        </is>
      </c>
      <c r="B366" t="inlineStr">
        <is>
          <t>SHANDAM</t>
        </is>
      </c>
      <c r="C366" t="inlineStr">
        <is>
          <t>Shendam</t>
        </is>
      </c>
      <c r="D366" t="inlineStr">
        <is>
          <t>Plateau</t>
        </is>
      </c>
      <c r="E366" t="inlineStr">
        <is>
          <t>Yes</t>
        </is>
      </c>
      <c r="F366" t="n">
        <v>2</v>
      </c>
      <c r="G366" t="inlineStr">
        <is>
          <t>Client Route And Contracts</t>
        </is>
      </c>
      <c r="H366" t="inlineStr"/>
    </row>
    <row r="367">
      <c r="A367" t="inlineStr">
        <is>
          <t>Destination</t>
        </is>
      </c>
      <c r="B367" t="inlineStr">
        <is>
          <t>Shendam</t>
        </is>
      </c>
      <c r="C367" t="inlineStr">
        <is>
          <t>Shendam</t>
        </is>
      </c>
      <c r="D367" t="inlineStr">
        <is>
          <t>Plateau</t>
        </is>
      </c>
      <c r="E367" t="inlineStr">
        <is>
          <t>No</t>
        </is>
      </c>
      <c r="F367" t="n">
        <v>4</v>
      </c>
      <c r="G367" t="inlineStr">
        <is>
          <t>Client Route And Contracts, NEW-DSL JMR</t>
        </is>
      </c>
      <c r="H367" t="inlineStr"/>
    </row>
    <row r="368">
      <c r="A368" t="inlineStr">
        <is>
          <t>Destination</t>
        </is>
      </c>
      <c r="B368" t="inlineStr">
        <is>
          <t>SOKOTO</t>
        </is>
      </c>
      <c r="C368" t="inlineStr">
        <is>
          <t>Sokoto</t>
        </is>
      </c>
      <c r="D368" t="inlineStr">
        <is>
          <t>Sokoto</t>
        </is>
      </c>
      <c r="E368" t="inlineStr">
        <is>
          <t>Yes</t>
        </is>
      </c>
      <c r="F368" t="n">
        <v>2</v>
      </c>
      <c r="G368" t="inlineStr">
        <is>
          <t>Client Route And Contracts, NEW-DSL JMR</t>
        </is>
      </c>
      <c r="H368" t="inlineStr"/>
    </row>
    <row r="369">
      <c r="A369" t="inlineStr">
        <is>
          <t>Destination</t>
        </is>
      </c>
      <c r="B369" t="inlineStr">
        <is>
          <t>Sokoto</t>
        </is>
      </c>
      <c r="C369" t="inlineStr">
        <is>
          <t>Sokoto</t>
        </is>
      </c>
      <c r="D369" t="inlineStr">
        <is>
          <t>Sokoto</t>
        </is>
      </c>
      <c r="E369" t="inlineStr">
        <is>
          <t>No</t>
        </is>
      </c>
      <c r="F369" t="n">
        <v>7</v>
      </c>
      <c r="G369" t="inlineStr">
        <is>
          <t>Client Route And Contracts, NEW-DSL JMR</t>
        </is>
      </c>
      <c r="H369" t="inlineStr"/>
    </row>
    <row r="370">
      <c r="A370" t="inlineStr">
        <is>
          <t>Destination</t>
        </is>
      </c>
      <c r="B370" t="inlineStr">
        <is>
          <t>Suleja</t>
        </is>
      </c>
      <c r="C370" t="inlineStr">
        <is>
          <t>Suleja</t>
        </is>
      </c>
      <c r="D370" t="inlineStr">
        <is>
          <t>Niger</t>
        </is>
      </c>
      <c r="E370" t="inlineStr">
        <is>
          <t>No</t>
        </is>
      </c>
      <c r="F370" t="n">
        <v>4</v>
      </c>
      <c r="G370" t="inlineStr">
        <is>
          <t>Client Route And Contracts, NEW-DSL JMR</t>
        </is>
      </c>
      <c r="H370" t="inlineStr"/>
    </row>
    <row r="371">
      <c r="A371" t="inlineStr">
        <is>
          <t>Destination</t>
        </is>
      </c>
      <c r="B371" t="inlineStr">
        <is>
          <t>SUNCITY</t>
        </is>
      </c>
      <c r="C371" t="inlineStr">
        <is>
          <t>Sun City</t>
        </is>
      </c>
      <c r="D371" t="inlineStr">
        <is>
          <t>FCT</t>
        </is>
      </c>
      <c r="E371" t="inlineStr">
        <is>
          <t>Yes</t>
        </is>
      </c>
      <c r="F371" t="n">
        <v>2</v>
      </c>
      <c r="G371" t="inlineStr">
        <is>
          <t>Client Route And Contracts, NEW-DSL JMR</t>
        </is>
      </c>
      <c r="H371" t="inlineStr"/>
    </row>
    <row r="372">
      <c r="A372" t="inlineStr">
        <is>
          <t>Destination</t>
        </is>
      </c>
      <c r="B372" t="inlineStr">
        <is>
          <t>SUNNYVALE</t>
        </is>
      </c>
      <c r="C372" t="inlineStr">
        <is>
          <t>Sunnyvale</t>
        </is>
      </c>
      <c r="D372" t="inlineStr">
        <is>
          <t>FCT</t>
        </is>
      </c>
      <c r="E372" t="inlineStr">
        <is>
          <t>Yes</t>
        </is>
      </c>
      <c r="F372" t="n">
        <v>2</v>
      </c>
      <c r="G372" t="inlineStr">
        <is>
          <t>Client Route And Contracts, NEW-DSL JMR</t>
        </is>
      </c>
      <c r="H372" t="inlineStr"/>
    </row>
    <row r="373">
      <c r="A373" t="inlineStr">
        <is>
          <t>Destination</t>
        </is>
      </c>
      <c r="B373" t="inlineStr">
        <is>
          <t>SURULERE</t>
        </is>
      </c>
      <c r="C373" t="inlineStr">
        <is>
          <t>Surulere</t>
        </is>
      </c>
      <c r="D373" t="inlineStr">
        <is>
          <t>Lagos</t>
        </is>
      </c>
      <c r="E373" t="inlineStr">
        <is>
          <t>Yes</t>
        </is>
      </c>
      <c r="F373" t="n">
        <v>6</v>
      </c>
      <c r="G373" t="inlineStr">
        <is>
          <t>Client Route And Contracts, NEW-DSL JMR</t>
        </is>
      </c>
      <c r="H373" t="inlineStr"/>
    </row>
    <row r="374">
      <c r="A374" t="inlineStr">
        <is>
          <t>Destination</t>
        </is>
      </c>
      <c r="B374" t="inlineStr">
        <is>
          <t>SURULELE-TEJESHU-YABA-EBUTE META-OYINGOBO</t>
        </is>
      </c>
      <c r="C374" t="inlineStr">
        <is>
          <t>Surulere-Tejuosho-Yaba-Ebute Metta-Oyingbo</t>
        </is>
      </c>
      <c r="D374" t="inlineStr">
        <is>
          <t>Lagos</t>
        </is>
      </c>
      <c r="E374" t="inlineStr">
        <is>
          <t>Yes</t>
        </is>
      </c>
      <c r="F374" t="n">
        <v>9</v>
      </c>
      <c r="G374" t="inlineStr">
        <is>
          <t>NEW-DSL JMR</t>
        </is>
      </c>
      <c r="H374" t="inlineStr"/>
    </row>
    <row r="375">
      <c r="A375" t="inlineStr">
        <is>
          <t>Destination</t>
        </is>
      </c>
      <c r="B375" t="inlineStr">
        <is>
          <t>Takum</t>
        </is>
      </c>
      <c r="C375" t="inlineStr">
        <is>
          <t>Takum</t>
        </is>
      </c>
      <c r="D375" t="inlineStr">
        <is>
          <t>Taraba</t>
        </is>
      </c>
      <c r="E375" t="inlineStr">
        <is>
          <t>No</t>
        </is>
      </c>
      <c r="F375" t="n">
        <v>6</v>
      </c>
      <c r="G375" t="inlineStr">
        <is>
          <t>Client Route And Contracts, NEW-DSL JMR</t>
        </is>
      </c>
      <c r="H375" t="inlineStr"/>
    </row>
    <row r="376">
      <c r="A376" t="inlineStr">
        <is>
          <t>Destination</t>
        </is>
      </c>
      <c r="B376" t="inlineStr">
        <is>
          <t>Talata Mafara</t>
        </is>
      </c>
      <c r="C376" t="inlineStr">
        <is>
          <t>Talata Mafara</t>
        </is>
      </c>
      <c r="D376" t="inlineStr">
        <is>
          <t>Zamfara</t>
        </is>
      </c>
      <c r="E376" t="inlineStr">
        <is>
          <t>No</t>
        </is>
      </c>
      <c r="F376" t="n">
        <v>1</v>
      </c>
      <c r="G376" t="inlineStr">
        <is>
          <t>Client Route And Contracts</t>
        </is>
      </c>
      <c r="H376" t="inlineStr"/>
    </row>
    <row r="377">
      <c r="A377" t="inlineStr">
        <is>
          <t>Destination</t>
        </is>
      </c>
      <c r="B377" t="inlineStr">
        <is>
          <t>Tigina</t>
        </is>
      </c>
      <c r="C377" t="inlineStr">
        <is>
          <t>Tegina</t>
        </is>
      </c>
      <c r="D377" t="inlineStr">
        <is>
          <t>Niger</t>
        </is>
      </c>
      <c r="E377" t="inlineStr">
        <is>
          <t>Yes</t>
        </is>
      </c>
      <c r="F377" t="n">
        <v>2</v>
      </c>
      <c r="G377" t="inlineStr">
        <is>
          <t>Client Route And Contracts</t>
        </is>
      </c>
      <c r="H377" t="inlineStr"/>
    </row>
    <row r="378">
      <c r="A378" t="inlineStr">
        <is>
          <t>Destination</t>
        </is>
      </c>
      <c r="B378" t="inlineStr">
        <is>
          <t>TEJESHO</t>
        </is>
      </c>
      <c r="C378" t="inlineStr">
        <is>
          <t>Tejuosho</t>
        </is>
      </c>
      <c r="D378" t="inlineStr">
        <is>
          <t>Lagos</t>
        </is>
      </c>
      <c r="E378" t="inlineStr">
        <is>
          <t>Yes</t>
        </is>
      </c>
      <c r="F378" t="n">
        <v>2</v>
      </c>
      <c r="G378" t="inlineStr">
        <is>
          <t>Client Route And Contracts</t>
        </is>
      </c>
      <c r="H378" t="inlineStr"/>
    </row>
    <row r="379">
      <c r="A379" t="inlineStr">
        <is>
          <t>Destination</t>
        </is>
      </c>
      <c r="B379" t="inlineStr">
        <is>
          <t xml:space="preserve">Tejesho </t>
        </is>
      </c>
      <c r="C379" t="inlineStr">
        <is>
          <t>Tejuosho</t>
        </is>
      </c>
      <c r="D379" t="inlineStr">
        <is>
          <t>Lagos</t>
        </is>
      </c>
      <c r="E379" t="inlineStr">
        <is>
          <t>Yes</t>
        </is>
      </c>
      <c r="F379" t="n">
        <v>4</v>
      </c>
      <c r="G379" t="inlineStr">
        <is>
          <t>Client Route And Contracts, NEW-DSL JMR</t>
        </is>
      </c>
      <c r="H379" t="inlineStr"/>
    </row>
    <row r="380">
      <c r="A380" t="inlineStr">
        <is>
          <t>Destination</t>
        </is>
      </c>
      <c r="B380" t="inlineStr">
        <is>
          <t xml:space="preserve">Trade Fair </t>
        </is>
      </c>
      <c r="C380" t="inlineStr">
        <is>
          <t>Trade Fair</t>
        </is>
      </c>
      <c r="D380" t="inlineStr">
        <is>
          <t>Lagos</t>
        </is>
      </c>
      <c r="E380" t="inlineStr">
        <is>
          <t>Yes</t>
        </is>
      </c>
      <c r="F380" t="n">
        <v>4</v>
      </c>
      <c r="G380" t="inlineStr">
        <is>
          <t>Client Route And Contracts, NEW-DSL JMR</t>
        </is>
      </c>
      <c r="H380" t="inlineStr"/>
    </row>
    <row r="381">
      <c r="A381" t="inlineStr">
        <is>
          <t>Destination</t>
        </is>
      </c>
      <c r="B381" t="inlineStr">
        <is>
          <t>Transamadi</t>
        </is>
      </c>
      <c r="C381" t="inlineStr">
        <is>
          <t>Trans-Amadi</t>
        </is>
      </c>
      <c r="D381" t="inlineStr">
        <is>
          <t>Rivers</t>
        </is>
      </c>
      <c r="E381" t="inlineStr">
        <is>
          <t>Yes</t>
        </is>
      </c>
      <c r="F381" t="n">
        <v>2</v>
      </c>
      <c r="G381" t="inlineStr">
        <is>
          <t>Client Route And Contracts, NEW-DSL JMR</t>
        </is>
      </c>
      <c r="H381" t="inlineStr"/>
    </row>
    <row r="382">
      <c r="A382" t="inlineStr">
        <is>
          <t>Destination</t>
        </is>
      </c>
      <c r="B382" t="inlineStr">
        <is>
          <t>UGHELLE</t>
        </is>
      </c>
      <c r="C382" t="inlineStr">
        <is>
          <t>Ughelli</t>
        </is>
      </c>
      <c r="D382" t="inlineStr">
        <is>
          <t>Delta</t>
        </is>
      </c>
      <c r="E382" t="inlineStr">
        <is>
          <t>Yes</t>
        </is>
      </c>
      <c r="F382" t="n">
        <v>2</v>
      </c>
      <c r="G382" t="inlineStr">
        <is>
          <t>Client Route And Contracts, NEW-DSL JMR</t>
        </is>
      </c>
      <c r="H382" t="inlineStr"/>
    </row>
    <row r="383">
      <c r="A383" t="inlineStr">
        <is>
          <t>Destination</t>
        </is>
      </c>
      <c r="B383" t="inlineStr">
        <is>
          <t>UMUAHIA</t>
        </is>
      </c>
      <c r="C383" t="inlineStr">
        <is>
          <t>Umuahia</t>
        </is>
      </c>
      <c r="D383" t="inlineStr">
        <is>
          <t>Abia</t>
        </is>
      </c>
      <c r="E383" t="inlineStr">
        <is>
          <t>Yes</t>
        </is>
      </c>
      <c r="F383" t="n">
        <v>5</v>
      </c>
      <c r="G383" t="inlineStr">
        <is>
          <t>Client Route And Contracts, NEW-DSL JMR</t>
        </is>
      </c>
      <c r="H383" t="inlineStr"/>
    </row>
    <row r="384">
      <c r="A384" t="inlineStr">
        <is>
          <t>Destination</t>
        </is>
      </c>
      <c r="B384" t="inlineStr">
        <is>
          <t>Umuahia</t>
        </is>
      </c>
      <c r="C384" t="inlineStr">
        <is>
          <t>Umuahia</t>
        </is>
      </c>
      <c r="D384" t="inlineStr">
        <is>
          <t>Abia</t>
        </is>
      </c>
      <c r="E384" t="inlineStr">
        <is>
          <t>No</t>
        </is>
      </c>
      <c r="F384" t="n">
        <v>1</v>
      </c>
      <c r="G384" t="inlineStr">
        <is>
          <t>Client Route And Contracts</t>
        </is>
      </c>
      <c r="H384" t="inlineStr"/>
    </row>
    <row r="385">
      <c r="A385" t="inlineStr">
        <is>
          <t>Destination</t>
        </is>
      </c>
      <c r="B385" t="inlineStr">
        <is>
          <t>Umunze</t>
        </is>
      </c>
      <c r="C385" t="inlineStr">
        <is>
          <t>Umunze</t>
        </is>
      </c>
      <c r="D385" t="inlineStr">
        <is>
          <t>Anambra</t>
        </is>
      </c>
      <c r="E385" t="inlineStr">
        <is>
          <t>No</t>
        </is>
      </c>
      <c r="F385" t="n">
        <v>4</v>
      </c>
      <c r="G385" t="inlineStr">
        <is>
          <t>Client Route And Contracts, NEW-DSL JMR</t>
        </is>
      </c>
      <c r="H385" t="inlineStr"/>
    </row>
    <row r="386">
      <c r="A386" t="inlineStr">
        <is>
          <t>Destination</t>
        </is>
      </c>
      <c r="B386" t="inlineStr">
        <is>
          <t>UROMI</t>
        </is>
      </c>
      <c r="C386" t="inlineStr">
        <is>
          <t>Uromi</t>
        </is>
      </c>
      <c r="D386" t="inlineStr">
        <is>
          <t>Edo</t>
        </is>
      </c>
      <c r="E386" t="inlineStr">
        <is>
          <t>Yes</t>
        </is>
      </c>
      <c r="F386" t="n">
        <v>2</v>
      </c>
      <c r="G386" t="inlineStr">
        <is>
          <t>Client Route And Contracts, NEW-DSL JMR</t>
        </is>
      </c>
      <c r="H386" t="inlineStr"/>
    </row>
    <row r="387">
      <c r="A387" t="inlineStr">
        <is>
          <t>Destination</t>
        </is>
      </c>
      <c r="B387" t="inlineStr">
        <is>
          <t>Uromi</t>
        </is>
      </c>
      <c r="C387" t="inlineStr">
        <is>
          <t>Uromi</t>
        </is>
      </c>
      <c r="D387" t="inlineStr">
        <is>
          <t>Edo</t>
        </is>
      </c>
      <c r="E387" t="inlineStr">
        <is>
          <t>No</t>
        </is>
      </c>
      <c r="F387" t="n">
        <v>4</v>
      </c>
      <c r="G387" t="inlineStr">
        <is>
          <t>Client Route And Contracts, NEW-DSL JMR</t>
        </is>
      </c>
      <c r="H387" t="inlineStr"/>
    </row>
    <row r="388">
      <c r="A388" t="inlineStr">
        <is>
          <t>Destination</t>
        </is>
      </c>
      <c r="B388" t="inlineStr">
        <is>
          <t>UTAKO</t>
        </is>
      </c>
      <c r="C388" t="inlineStr">
        <is>
          <t>Utako</t>
        </is>
      </c>
      <c r="D388" t="inlineStr">
        <is>
          <t>FCT</t>
        </is>
      </c>
      <c r="E388" t="inlineStr">
        <is>
          <t>Yes</t>
        </is>
      </c>
      <c r="F388" t="n">
        <v>2</v>
      </c>
      <c r="G388" t="inlineStr">
        <is>
          <t>Client Route And Contracts, NEW-DSL JMR</t>
        </is>
      </c>
      <c r="H388" t="inlineStr"/>
    </row>
    <row r="389">
      <c r="A389" t="inlineStr">
        <is>
          <t>Destination</t>
        </is>
      </c>
      <c r="B389" t="inlineStr">
        <is>
          <t>UTURU</t>
        </is>
      </c>
      <c r="C389" t="inlineStr">
        <is>
          <t>Uturu</t>
        </is>
      </c>
      <c r="D389" t="inlineStr">
        <is>
          <t>Abia</t>
        </is>
      </c>
      <c r="E389" t="inlineStr">
        <is>
          <t>Yes</t>
        </is>
      </c>
      <c r="F389" t="n">
        <v>2</v>
      </c>
      <c r="G389" t="inlineStr">
        <is>
          <t>Client Route And Contracts, NEW-DSL JMR</t>
        </is>
      </c>
      <c r="H389" t="inlineStr"/>
    </row>
    <row r="390">
      <c r="A390" t="inlineStr">
        <is>
          <t>Destination</t>
        </is>
      </c>
      <c r="B390" t="inlineStr">
        <is>
          <t>Uyo</t>
        </is>
      </c>
      <c r="C390" t="inlineStr">
        <is>
          <t>Uyo</t>
        </is>
      </c>
      <c r="D390" t="inlineStr">
        <is>
          <t>Akwa Ibom</t>
        </is>
      </c>
      <c r="E390" t="inlineStr">
        <is>
          <t>No</t>
        </is>
      </c>
      <c r="F390" t="n">
        <v>7</v>
      </c>
      <c r="G390" t="inlineStr">
        <is>
          <t>Client Route And Contracts, NEW-DSL JMR</t>
        </is>
      </c>
      <c r="H390" t="inlineStr"/>
    </row>
    <row r="391">
      <c r="A391" t="inlineStr">
        <is>
          <t>Destination</t>
        </is>
      </c>
      <c r="B391" t="inlineStr">
        <is>
          <t>VI</t>
        </is>
      </c>
      <c r="C391" t="inlineStr">
        <is>
          <t>Victoria Island</t>
        </is>
      </c>
      <c r="D391" t="inlineStr">
        <is>
          <t>Lagos</t>
        </is>
      </c>
      <c r="E391" t="inlineStr">
        <is>
          <t>Yes</t>
        </is>
      </c>
      <c r="F391" t="n">
        <v>3</v>
      </c>
      <c r="G391" t="inlineStr">
        <is>
          <t>Client Route And Contracts</t>
        </is>
      </c>
      <c r="H391" t="inlineStr"/>
    </row>
    <row r="392">
      <c r="A392" t="inlineStr">
        <is>
          <t>Destination</t>
        </is>
      </c>
      <c r="B392" t="inlineStr">
        <is>
          <t xml:space="preserve">VI </t>
        </is>
      </c>
      <c r="C392" t="inlineStr">
        <is>
          <t>Victoria Island</t>
        </is>
      </c>
      <c r="D392" t="inlineStr">
        <is>
          <t>Lagos</t>
        </is>
      </c>
      <c r="E392" t="inlineStr">
        <is>
          <t>Yes</t>
        </is>
      </c>
      <c r="F392" t="n">
        <v>4</v>
      </c>
      <c r="G392" t="inlineStr">
        <is>
          <t>Client Route And Contracts, NEW-DSL JMR</t>
        </is>
      </c>
      <c r="H392" t="inlineStr"/>
    </row>
    <row r="393">
      <c r="A393" t="inlineStr">
        <is>
          <t>Destination</t>
        </is>
      </c>
      <c r="B393" t="inlineStr">
        <is>
          <t>VI-Lekki-AJAH</t>
        </is>
      </c>
      <c r="C393" t="inlineStr">
        <is>
          <t>Victoria Island-Lekki-Ajah</t>
        </is>
      </c>
      <c r="D393" t="inlineStr">
        <is>
          <t>Lagos</t>
        </is>
      </c>
      <c r="E393" t="inlineStr">
        <is>
          <t>Yes</t>
        </is>
      </c>
      <c r="F393" t="n">
        <v>15</v>
      </c>
      <c r="G393" t="inlineStr">
        <is>
          <t>NEW-DSL JMR</t>
        </is>
      </c>
      <c r="H393" t="inlineStr"/>
    </row>
    <row r="394">
      <c r="A394" t="inlineStr">
        <is>
          <t>Destination</t>
        </is>
      </c>
      <c r="B394" t="inlineStr">
        <is>
          <t>WARRI</t>
        </is>
      </c>
      <c r="C394" t="inlineStr">
        <is>
          <t>Warri</t>
        </is>
      </c>
      <c r="D394" t="inlineStr">
        <is>
          <t>Delta</t>
        </is>
      </c>
      <c r="E394" t="inlineStr">
        <is>
          <t>Yes</t>
        </is>
      </c>
      <c r="F394" t="n">
        <v>3</v>
      </c>
      <c r="G394" t="inlineStr">
        <is>
          <t>Client Route And Contracts</t>
        </is>
      </c>
      <c r="H394" t="inlineStr"/>
    </row>
    <row r="395">
      <c r="A395" t="inlineStr">
        <is>
          <t>Destination</t>
        </is>
      </c>
      <c r="B395" t="inlineStr">
        <is>
          <t>Warri</t>
        </is>
      </c>
      <c r="C395" t="inlineStr">
        <is>
          <t>Warri</t>
        </is>
      </c>
      <c r="D395" t="inlineStr">
        <is>
          <t>Delta</t>
        </is>
      </c>
      <c r="E395" t="inlineStr">
        <is>
          <t>No</t>
        </is>
      </c>
      <c r="F395" t="n">
        <v>15</v>
      </c>
      <c r="G395" t="inlineStr">
        <is>
          <t>Client Route And Contracts, NEW-DSL JMR</t>
        </is>
      </c>
      <c r="H395" t="inlineStr"/>
    </row>
    <row r="396">
      <c r="A396" t="inlineStr">
        <is>
          <t>Destination</t>
        </is>
      </c>
      <c r="B396" t="inlineStr">
        <is>
          <t>Wukari</t>
        </is>
      </c>
      <c r="C396" t="inlineStr">
        <is>
          <t>Wukari</t>
        </is>
      </c>
      <c r="D396" t="inlineStr">
        <is>
          <t>Taraba</t>
        </is>
      </c>
      <c r="E396" t="inlineStr">
        <is>
          <t>No</t>
        </is>
      </c>
      <c r="F396" t="n">
        <v>6</v>
      </c>
      <c r="G396" t="inlineStr">
        <is>
          <t>Client Route And Contracts, NEW-DSL JMR</t>
        </is>
      </c>
      <c r="H396" t="inlineStr"/>
    </row>
    <row r="397">
      <c r="A397" t="inlineStr">
        <is>
          <t>Destination</t>
        </is>
      </c>
      <c r="B397" t="inlineStr">
        <is>
          <t>WUSE ZONE</t>
        </is>
      </c>
      <c r="C397" t="inlineStr">
        <is>
          <t>Wuse</t>
        </is>
      </c>
      <c r="D397" t="inlineStr">
        <is>
          <t>FCT</t>
        </is>
      </c>
      <c r="E397" t="inlineStr">
        <is>
          <t>Yes</t>
        </is>
      </c>
      <c r="F397" t="n">
        <v>2</v>
      </c>
      <c r="G397" t="inlineStr">
        <is>
          <t>Client Route And Contracts, NEW-DSL JMR</t>
        </is>
      </c>
      <c r="H397" t="inlineStr"/>
    </row>
    <row r="398">
      <c r="A398" t="inlineStr">
        <is>
          <t>Destination</t>
        </is>
      </c>
      <c r="B398" t="inlineStr">
        <is>
          <t>Wuse</t>
        </is>
      </c>
      <c r="C398" t="inlineStr">
        <is>
          <t>Wuse</t>
        </is>
      </c>
      <c r="D398" t="inlineStr">
        <is>
          <t>FCT</t>
        </is>
      </c>
      <c r="E398" t="inlineStr">
        <is>
          <t>No</t>
        </is>
      </c>
      <c r="F398" t="n">
        <v>2</v>
      </c>
      <c r="G398" t="inlineStr">
        <is>
          <t>Client Route And Contracts, NEW-DSL JMR</t>
        </is>
      </c>
      <c r="H398" t="inlineStr"/>
    </row>
    <row r="399">
      <c r="A399" t="inlineStr">
        <is>
          <t>Destination</t>
        </is>
      </c>
      <c r="B399" t="inlineStr">
        <is>
          <t>WUSE 2</t>
        </is>
      </c>
      <c r="C399" t="inlineStr">
        <is>
          <t>Wuse 2</t>
        </is>
      </c>
      <c r="D399" t="inlineStr">
        <is>
          <t>FCT</t>
        </is>
      </c>
      <c r="E399" t="inlineStr">
        <is>
          <t>Yes</t>
        </is>
      </c>
      <c r="F399" t="n">
        <v>2</v>
      </c>
      <c r="G399" t="inlineStr">
        <is>
          <t>Client Route And Contracts, NEW-DSL JMR</t>
        </is>
      </c>
      <c r="H399" t="inlineStr"/>
    </row>
    <row r="400">
      <c r="A400" t="inlineStr">
        <is>
          <t>Destination</t>
        </is>
      </c>
      <c r="B400" t="inlineStr">
        <is>
          <t>Wuse Zone 5</t>
        </is>
      </c>
      <c r="C400" t="inlineStr">
        <is>
          <t>Wuse Zone 5</t>
        </is>
      </c>
      <c r="D400" t="inlineStr">
        <is>
          <t>FCT</t>
        </is>
      </c>
      <c r="E400" t="inlineStr">
        <is>
          <t>No</t>
        </is>
      </c>
      <c r="F400" t="n">
        <v>2</v>
      </c>
      <c r="G400" t="inlineStr">
        <is>
          <t>Client Route And Contracts, NEW-DSL JMR</t>
        </is>
      </c>
      <c r="H400" t="inlineStr"/>
    </row>
    <row r="401">
      <c r="A401" t="inlineStr">
        <is>
          <t>Destination</t>
        </is>
      </c>
      <c r="B401" t="inlineStr">
        <is>
          <t>WUSE ZONE 6</t>
        </is>
      </c>
      <c r="C401" t="inlineStr">
        <is>
          <t>Wuse Zone 6</t>
        </is>
      </c>
      <c r="D401" t="inlineStr">
        <is>
          <t>FCT</t>
        </is>
      </c>
      <c r="E401" t="inlineStr">
        <is>
          <t>Yes</t>
        </is>
      </c>
      <c r="F401" t="n">
        <v>2</v>
      </c>
      <c r="G401" t="inlineStr">
        <is>
          <t>Client Route And Contracts, NEW-DSL JMR</t>
        </is>
      </c>
      <c r="H401" t="inlineStr"/>
    </row>
    <row r="402">
      <c r="A402" t="inlineStr">
        <is>
          <t>Destination</t>
        </is>
      </c>
      <c r="B402" t="inlineStr">
        <is>
          <t>YABA</t>
        </is>
      </c>
      <c r="C402" t="inlineStr">
        <is>
          <t>Yaba</t>
        </is>
      </c>
      <c r="D402" t="inlineStr">
        <is>
          <t>Lagos</t>
        </is>
      </c>
      <c r="E402" t="inlineStr">
        <is>
          <t>Yes</t>
        </is>
      </c>
      <c r="F402" t="n">
        <v>7</v>
      </c>
      <c r="G402" t="inlineStr">
        <is>
          <t>Client Route And Contracts, NEW-DSL JMR</t>
        </is>
      </c>
      <c r="H402" t="inlineStr"/>
    </row>
    <row r="403">
      <c r="A403" t="inlineStr">
        <is>
          <t>Destination</t>
        </is>
      </c>
      <c r="B403" t="inlineStr">
        <is>
          <t>YAURI</t>
        </is>
      </c>
      <c r="C403" t="inlineStr">
        <is>
          <t>Yauri</t>
        </is>
      </c>
      <c r="D403" t="inlineStr">
        <is>
          <t>Kebbi</t>
        </is>
      </c>
      <c r="E403" t="inlineStr">
        <is>
          <t>Yes</t>
        </is>
      </c>
      <c r="F403" t="n">
        <v>2</v>
      </c>
      <c r="G403" t="inlineStr">
        <is>
          <t>Client Route And Contracts</t>
        </is>
      </c>
      <c r="H403" t="inlineStr"/>
    </row>
    <row r="404">
      <c r="A404" t="inlineStr">
        <is>
          <t>Destination</t>
        </is>
      </c>
      <c r="B404" t="inlineStr">
        <is>
          <t>Yauri</t>
        </is>
      </c>
      <c r="C404" t="inlineStr">
        <is>
          <t>Yauri</t>
        </is>
      </c>
      <c r="D404" t="inlineStr">
        <is>
          <t>Kebbi</t>
        </is>
      </c>
      <c r="E404" t="inlineStr">
        <is>
          <t>No</t>
        </is>
      </c>
      <c r="F404" t="n">
        <v>1</v>
      </c>
      <c r="G404" t="inlineStr">
        <is>
          <t>Client Route And Contracts</t>
        </is>
      </c>
      <c r="H404" t="inlineStr"/>
    </row>
    <row r="405">
      <c r="A405" t="inlineStr">
        <is>
          <t>Destination</t>
        </is>
      </c>
      <c r="B405" t="inlineStr">
        <is>
          <t>YENAGOA</t>
        </is>
      </c>
      <c r="C405" t="inlineStr">
        <is>
          <t>Yenagoa</t>
        </is>
      </c>
      <c r="D405" t="inlineStr">
        <is>
          <t>Bayelsa</t>
        </is>
      </c>
      <c r="E405" t="inlineStr">
        <is>
          <t>Yes</t>
        </is>
      </c>
      <c r="F405" t="n">
        <v>2</v>
      </c>
      <c r="G405" t="inlineStr">
        <is>
          <t>Client Route And Contracts, NEW-DSL JMR</t>
        </is>
      </c>
      <c r="H405" t="inlineStr"/>
    </row>
    <row r="406">
      <c r="A406" t="inlineStr">
        <is>
          <t>Destination</t>
        </is>
      </c>
      <c r="B406" t="inlineStr">
        <is>
          <t>Yenagoa</t>
        </is>
      </c>
      <c r="C406" t="inlineStr">
        <is>
          <t>Yenagoa</t>
        </is>
      </c>
      <c r="D406" t="inlineStr">
        <is>
          <t>Bayelsa</t>
        </is>
      </c>
      <c r="E406" t="inlineStr">
        <is>
          <t>No</t>
        </is>
      </c>
      <c r="F406" t="n">
        <v>4</v>
      </c>
      <c r="G406" t="inlineStr">
        <is>
          <t>Client Route And Contracts, NEW-DSL JMR</t>
        </is>
      </c>
      <c r="H406" t="inlineStr"/>
    </row>
    <row r="407">
      <c r="A407" s="273" t="inlineStr">
        <is>
          <t>Destination</t>
        </is>
      </c>
      <c r="B407" s="273" t="inlineStr">
        <is>
          <t>yobe</t>
        </is>
      </c>
      <c r="C407" s="273" t="inlineStr">
        <is>
          <t>Yobe</t>
        </is>
      </c>
      <c r="D407" s="273" t="inlineStr">
        <is>
          <t>Yobe</t>
        </is>
      </c>
      <c r="E407" s="273" t="inlineStr">
        <is>
          <t>Yes</t>
        </is>
      </c>
      <c r="F407" s="273" t="n">
        <v>2</v>
      </c>
      <c r="G407" s="273" t="inlineStr">
        <is>
          <t>Client Route And Contracts, NEW-DSL JMR</t>
        </is>
      </c>
      <c r="H407" s="273" t="inlineStr">
        <is>
          <t>State name used as destination (no specific town given in the original).</t>
        </is>
      </c>
    </row>
    <row r="408">
      <c r="A408" t="inlineStr">
        <is>
          <t>Destination</t>
        </is>
      </c>
      <c r="B408" t="inlineStr">
        <is>
          <t>YOLA</t>
        </is>
      </c>
      <c r="C408" t="inlineStr">
        <is>
          <t>Yola</t>
        </is>
      </c>
      <c r="D408" t="inlineStr">
        <is>
          <t>Adamawa</t>
        </is>
      </c>
      <c r="E408" t="inlineStr">
        <is>
          <t>Yes</t>
        </is>
      </c>
      <c r="F408" t="n">
        <v>1</v>
      </c>
      <c r="G408" t="inlineStr">
        <is>
          <t>Client Route And Contracts</t>
        </is>
      </c>
      <c r="H408" t="inlineStr"/>
    </row>
    <row r="409">
      <c r="A409" t="inlineStr">
        <is>
          <t>Destination</t>
        </is>
      </c>
      <c r="B409" t="inlineStr">
        <is>
          <t>Yola</t>
        </is>
      </c>
      <c r="C409" t="inlineStr">
        <is>
          <t>Yola</t>
        </is>
      </c>
      <c r="D409" t="inlineStr">
        <is>
          <t>Adamawa</t>
        </is>
      </c>
      <c r="E409" t="inlineStr">
        <is>
          <t>No</t>
        </is>
      </c>
      <c r="F409" t="n">
        <v>9</v>
      </c>
      <c r="G409" t="inlineStr">
        <is>
          <t>Client Route And Contracts, NEW-DSL JMR</t>
        </is>
      </c>
      <c r="H409" t="inlineStr"/>
    </row>
    <row r="410">
      <c r="A410" t="inlineStr">
        <is>
          <t>Destination</t>
        </is>
      </c>
      <c r="B410" t="inlineStr">
        <is>
          <t>Zakiblarn</t>
        </is>
      </c>
      <c r="C410" t="inlineStr">
        <is>
          <t>Zaki Biam</t>
        </is>
      </c>
      <c r="D410" t="inlineStr">
        <is>
          <t>Benue</t>
        </is>
      </c>
      <c r="E410" t="inlineStr">
        <is>
          <t>Yes</t>
        </is>
      </c>
      <c r="F410" t="n">
        <v>4</v>
      </c>
      <c r="G410" t="inlineStr">
        <is>
          <t>Client Route And Contracts, NEW-DSL JMR</t>
        </is>
      </c>
      <c r="H410" t="inlineStr"/>
    </row>
    <row r="411">
      <c r="A411" s="273" t="inlineStr">
        <is>
          <t>Destination</t>
        </is>
      </c>
      <c r="B411" s="273" t="inlineStr">
        <is>
          <t>Zamfara</t>
        </is>
      </c>
      <c r="C411" s="273" t="inlineStr">
        <is>
          <t>Zamfara</t>
        </is>
      </c>
      <c r="D411" s="273" t="inlineStr">
        <is>
          <t>Zamfara</t>
        </is>
      </c>
      <c r="E411" s="273" t="inlineStr">
        <is>
          <t>No</t>
        </is>
      </c>
      <c r="F411" s="273" t="n">
        <v>2</v>
      </c>
      <c r="G411" s="273" t="inlineStr">
        <is>
          <t>Client Route And Contracts, NEW-DSL JMR</t>
        </is>
      </c>
      <c r="H411" s="273" t="inlineStr">
        <is>
          <t>State name used as destination (no specific town given in the original).</t>
        </is>
      </c>
    </row>
    <row r="412">
      <c r="A412" t="inlineStr">
        <is>
          <t>Destination</t>
        </is>
      </c>
      <c r="B412" t="inlineStr">
        <is>
          <t>Zaria</t>
        </is>
      </c>
      <c r="C412" t="inlineStr">
        <is>
          <t>Zaria</t>
        </is>
      </c>
      <c r="D412" t="inlineStr">
        <is>
          <t>Kaduna</t>
        </is>
      </c>
      <c r="E412" t="inlineStr">
        <is>
          <t>No</t>
        </is>
      </c>
      <c r="F412" t="n">
        <v>8</v>
      </c>
      <c r="G412" t="inlineStr">
        <is>
          <t>Client Route And Contracts, NEW-DSL JMR</t>
        </is>
      </c>
      <c r="H412" t="inlineStr"/>
    </row>
    <row r="413">
      <c r="A413" t="inlineStr">
        <is>
          <t>Destination</t>
        </is>
      </c>
      <c r="B413" t="inlineStr">
        <is>
          <t>Zuba</t>
        </is>
      </c>
      <c r="C413" t="inlineStr">
        <is>
          <t>Zuba</t>
        </is>
      </c>
      <c r="D413" t="inlineStr">
        <is>
          <t>FCT</t>
        </is>
      </c>
      <c r="E413" t="inlineStr">
        <is>
          <t>No</t>
        </is>
      </c>
      <c r="F413" t="n">
        <v>2</v>
      </c>
      <c r="G413" t="inlineStr">
        <is>
          <t>Client Route And Contracts, NEW-DSL JMR</t>
        </is>
      </c>
      <c r="H413" t="inlineStr"/>
    </row>
    <row r="414">
      <c r="A414" t="inlineStr">
        <is>
          <t>Loading Point</t>
        </is>
      </c>
      <c r="B414" t="inlineStr">
        <is>
          <t xml:space="preserve">Abuja </t>
        </is>
      </c>
      <c r="C414" t="inlineStr">
        <is>
          <t>Abuja</t>
        </is>
      </c>
      <c r="D414" t="inlineStr"/>
      <c r="E414" t="inlineStr">
        <is>
          <t>Yes</t>
        </is>
      </c>
      <c r="F414" t="n">
        <v>1</v>
      </c>
      <c r="G414" t="inlineStr">
        <is>
          <t>Client Route And Contracts</t>
        </is>
      </c>
      <c r="H414" t="inlineStr"/>
    </row>
    <row r="415">
      <c r="A415" t="inlineStr">
        <is>
          <t>Loading Point</t>
        </is>
      </c>
      <c r="B415" t="inlineStr">
        <is>
          <t>APAPA</t>
        </is>
      </c>
      <c r="C415" t="inlineStr">
        <is>
          <t>Apapa</t>
        </is>
      </c>
      <c r="D415" t="inlineStr"/>
      <c r="E415" t="inlineStr">
        <is>
          <t>Yes</t>
        </is>
      </c>
      <c r="F415" t="n">
        <v>2</v>
      </c>
      <c r="G415" t="inlineStr">
        <is>
          <t>Client Route And Contracts</t>
        </is>
      </c>
      <c r="H415" t="inlineStr"/>
    </row>
    <row r="416">
      <c r="A416" s="273" t="inlineStr">
        <is>
          <t>Loading Point</t>
        </is>
      </c>
      <c r="B416" s="273" t="inlineStr">
        <is>
          <t>IBADAN</t>
        </is>
      </c>
      <c r="C416" s="273" t="inlineStr">
        <is>
          <t>Ibadan</t>
        </is>
      </c>
      <c r="D416" s="273" t="inlineStr"/>
      <c r="E416" s="273" t="inlineStr">
        <is>
          <t>Yes</t>
        </is>
      </c>
      <c r="F416" s="273" t="n">
        <v>86</v>
      </c>
      <c r="G416" s="273" t="inlineStr">
        <is>
          <t>Client Route And Contracts</t>
        </is>
      </c>
      <c r="H416" s="273" t="inlineStr">
        <is>
          <t>'Ibadan 45Tons' reduced to Ibadan; the tonnage is already in the Truck Tonnage column.</t>
        </is>
      </c>
    </row>
    <row r="417">
      <c r="A417" t="inlineStr">
        <is>
          <t>Loading Point</t>
        </is>
      </c>
      <c r="B417" t="inlineStr">
        <is>
          <t>PHC</t>
        </is>
      </c>
      <c r="C417" t="inlineStr">
        <is>
          <t>Port Harcourt</t>
        </is>
      </c>
      <c r="D417" t="inlineStr"/>
      <c r="E417" t="inlineStr">
        <is>
          <t>Yes</t>
        </is>
      </c>
      <c r="F417" t="n">
        <v>1</v>
      </c>
      <c r="G417" t="inlineStr">
        <is>
          <t>Client Route And Contracts</t>
        </is>
      </c>
      <c r="H417" t="inlineStr"/>
    </row>
  </sheetData>
  <autoFilter ref="A1:H4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Mohamad  Dayekh</dc:creator>
  <dcterms:created xmlns:dcterms="http://purl.org/dc/terms/" xmlns:xsi="http://www.w3.org/2001/XMLSchema-instance" xsi:type="dcterms:W3CDTF">2026-09-29T15:03:36Z</dcterms:created>
  <dcterms:modified xmlns:dcterms="http://purl.org/dc/terms/" xmlns:xsi="http://www.w3.org/2001/XMLSchema-instance" xsi:type="dcterms:W3CDTF">2026-09-30T11:41:06Z</dcterms:modified>
  <cp:lastModifiedBy>Mohamad  Dayekh</cp:lastModifiedBy>
</cp:coreProperties>
</file>